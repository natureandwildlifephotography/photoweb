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cpro-denis/src/photoweb/"/>
    </mc:Choice>
  </mc:AlternateContent>
  <xr:revisionPtr revIDLastSave="0" documentId="13_ncr:1_{D3DF22D2-E27B-E54C-83DA-50412D6CE3F3}" xr6:coauthVersionLast="47" xr6:coauthVersionMax="47" xr10:uidLastSave="{00000000-0000-0000-0000-000000000000}"/>
  <bookViews>
    <workbookView xWindow="19960" yWindow="580" windowWidth="29140" windowHeight="26080" xr2:uid="{EBB6A99E-EFFA-0C45-A908-5E1DF35A874C}"/>
  </bookViews>
  <sheets>
    <sheet name="BirdPhotos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09" i="2" l="1"/>
  <c r="G3209" i="2"/>
  <c r="F3209" i="2"/>
  <c r="E3209" i="2"/>
  <c r="D3209" i="2"/>
  <c r="H762" i="2"/>
  <c r="G762" i="2"/>
  <c r="F762" i="2"/>
  <c r="E762" i="2"/>
  <c r="D762" i="2"/>
  <c r="H761" i="2"/>
  <c r="G761" i="2"/>
  <c r="F761" i="2"/>
  <c r="E761" i="2"/>
  <c r="D761" i="2"/>
  <c r="H760" i="2"/>
  <c r="G760" i="2"/>
  <c r="F760" i="2"/>
  <c r="E760" i="2"/>
  <c r="D760" i="2"/>
  <c r="H2184" i="2"/>
  <c r="G2184" i="2"/>
  <c r="F2184" i="2"/>
  <c r="E2184" i="2"/>
  <c r="D2184" i="2"/>
  <c r="H2183" i="2"/>
  <c r="G2183" i="2"/>
  <c r="F2183" i="2"/>
  <c r="E2183" i="2"/>
  <c r="D2183" i="2"/>
  <c r="H2182" i="2"/>
  <c r="G2182" i="2"/>
  <c r="F2182" i="2"/>
  <c r="E2182" i="2"/>
  <c r="D2182" i="2"/>
  <c r="H2181" i="2"/>
  <c r="G2181" i="2"/>
  <c r="F2181" i="2"/>
  <c r="E2181" i="2"/>
  <c r="D2181" i="2"/>
  <c r="H2209" i="2"/>
  <c r="G2209" i="2"/>
  <c r="F2209" i="2"/>
  <c r="E2209" i="2"/>
  <c r="D2209" i="2"/>
  <c r="H369" i="2"/>
  <c r="G369" i="2"/>
  <c r="F369" i="2"/>
  <c r="E369" i="2"/>
  <c r="D369" i="2"/>
  <c r="H368" i="2"/>
  <c r="G368" i="2"/>
  <c r="F368" i="2"/>
  <c r="E368" i="2"/>
  <c r="D368" i="2"/>
  <c r="H417" i="2"/>
  <c r="G417" i="2"/>
  <c r="F417" i="2"/>
  <c r="E417" i="2"/>
  <c r="D417" i="2"/>
  <c r="H602" i="2"/>
  <c r="G602" i="2"/>
  <c r="F602" i="2"/>
  <c r="E602" i="2"/>
  <c r="D602" i="2"/>
  <c r="H601" i="2"/>
  <c r="G601" i="2"/>
  <c r="F601" i="2"/>
  <c r="E601" i="2"/>
  <c r="D601" i="2"/>
  <c r="H600" i="2"/>
  <c r="G600" i="2"/>
  <c r="F600" i="2"/>
  <c r="E600" i="2"/>
  <c r="D600" i="2"/>
  <c r="H599" i="2"/>
  <c r="G599" i="2"/>
  <c r="F599" i="2"/>
  <c r="E599" i="2"/>
  <c r="D599" i="2"/>
  <c r="H598" i="2"/>
  <c r="G598" i="2"/>
  <c r="F598" i="2"/>
  <c r="E598" i="2"/>
  <c r="D598" i="2"/>
  <c r="H597" i="2"/>
  <c r="G597" i="2"/>
  <c r="F597" i="2"/>
  <c r="E597" i="2"/>
  <c r="D597" i="2"/>
  <c r="H1917" i="2"/>
  <c r="G1917" i="2"/>
  <c r="F1917" i="2"/>
  <c r="E1917" i="2"/>
  <c r="D1917" i="2"/>
  <c r="H980" i="2"/>
  <c r="G980" i="2"/>
  <c r="F980" i="2"/>
  <c r="E980" i="2"/>
  <c r="D980" i="2"/>
  <c r="H354" i="2"/>
  <c r="G354" i="2"/>
  <c r="F354" i="2"/>
  <c r="E354" i="2"/>
  <c r="D354" i="2"/>
  <c r="H353" i="2"/>
  <c r="G353" i="2"/>
  <c r="F353" i="2"/>
  <c r="E353" i="2"/>
  <c r="D353" i="2"/>
  <c r="H3819" i="2"/>
  <c r="G3819" i="2"/>
  <c r="F3819" i="2"/>
  <c r="E3819" i="2"/>
  <c r="D3819" i="2"/>
  <c r="H3818" i="2"/>
  <c r="G3818" i="2"/>
  <c r="F3818" i="2"/>
  <c r="E3818" i="2"/>
  <c r="D3818" i="2"/>
  <c r="H3817" i="2"/>
  <c r="G3817" i="2"/>
  <c r="F3817" i="2"/>
  <c r="E3817" i="2"/>
  <c r="D3817" i="2"/>
  <c r="H3816" i="2"/>
  <c r="G3816" i="2"/>
  <c r="F3816" i="2"/>
  <c r="E3816" i="2"/>
  <c r="D3816" i="2"/>
  <c r="H3815" i="2"/>
  <c r="G3815" i="2"/>
  <c r="F3815" i="2"/>
  <c r="E3815" i="2"/>
  <c r="D3815" i="2"/>
  <c r="H3814" i="2"/>
  <c r="G3814" i="2"/>
  <c r="F3814" i="2"/>
  <c r="E3814" i="2"/>
  <c r="D3814" i="2"/>
  <c r="H157" i="2"/>
  <c r="G157" i="2"/>
  <c r="F157" i="2"/>
  <c r="E157" i="2"/>
  <c r="D157" i="2"/>
  <c r="H156" i="2"/>
  <c r="G156" i="2"/>
  <c r="F156" i="2"/>
  <c r="E156" i="2"/>
  <c r="D156" i="2"/>
  <c r="H155" i="2"/>
  <c r="G155" i="2"/>
  <c r="F155" i="2"/>
  <c r="E155" i="2"/>
  <c r="D155" i="2"/>
  <c r="H2360" i="2"/>
  <c r="G2360" i="2"/>
  <c r="F2360" i="2"/>
  <c r="E2360" i="2"/>
  <c r="D2360" i="2"/>
  <c r="H2359" i="2"/>
  <c r="G2359" i="2"/>
  <c r="F2359" i="2"/>
  <c r="E2359" i="2"/>
  <c r="D2359" i="2"/>
  <c r="H2299" i="2"/>
  <c r="G2299" i="2"/>
  <c r="F2299" i="2"/>
  <c r="E2299" i="2"/>
  <c r="D2299" i="2"/>
  <c r="H2962" i="2"/>
  <c r="G2962" i="2"/>
  <c r="F2962" i="2"/>
  <c r="E2962" i="2"/>
  <c r="D2962" i="2"/>
  <c r="H3784" i="2"/>
  <c r="G3784" i="2"/>
  <c r="F3784" i="2"/>
  <c r="E3784" i="2"/>
  <c r="D3784" i="2"/>
  <c r="H3417" i="2"/>
  <c r="G3417" i="2"/>
  <c r="F3417" i="2"/>
  <c r="E3417" i="2"/>
  <c r="D3417" i="2"/>
  <c r="H3328" i="2"/>
  <c r="G3328" i="2"/>
  <c r="F3328" i="2"/>
  <c r="E3328" i="2"/>
  <c r="D3328" i="2"/>
  <c r="H453" i="2"/>
  <c r="G453" i="2"/>
  <c r="F453" i="2"/>
  <c r="E453" i="2"/>
  <c r="D453" i="2"/>
  <c r="H452" i="2"/>
  <c r="G452" i="2"/>
  <c r="F452" i="2"/>
  <c r="E452" i="2"/>
  <c r="D452" i="2"/>
  <c r="H451" i="2"/>
  <c r="G451" i="2"/>
  <c r="F451" i="2"/>
  <c r="E451" i="2"/>
  <c r="D451" i="2"/>
  <c r="H2796" i="2"/>
  <c r="G2796" i="2"/>
  <c r="F2796" i="2"/>
  <c r="E2796" i="2"/>
  <c r="D2796" i="2"/>
  <c r="H2795" i="2"/>
  <c r="G2795" i="2"/>
  <c r="F2795" i="2"/>
  <c r="E2795" i="2"/>
  <c r="D2795" i="2"/>
  <c r="H2794" i="2"/>
  <c r="G2794" i="2"/>
  <c r="F2794" i="2"/>
  <c r="E2794" i="2"/>
  <c r="D2794" i="2"/>
  <c r="H2793" i="2"/>
  <c r="G2793" i="2"/>
  <c r="F2793" i="2"/>
  <c r="E2793" i="2"/>
  <c r="D2793" i="2"/>
  <c r="H2792" i="2"/>
  <c r="G2792" i="2"/>
  <c r="F2792" i="2"/>
  <c r="E2792" i="2"/>
  <c r="D2792" i="2"/>
  <c r="H2378" i="2"/>
  <c r="G2378" i="2"/>
  <c r="F2378" i="2"/>
  <c r="E2378" i="2"/>
  <c r="D2378" i="2"/>
  <c r="H2394" i="2"/>
  <c r="G2394" i="2"/>
  <c r="F2394" i="2"/>
  <c r="E2394" i="2"/>
  <c r="D2394" i="2"/>
  <c r="H2393" i="2"/>
  <c r="G2393" i="2"/>
  <c r="F2393" i="2"/>
  <c r="E2393" i="2"/>
  <c r="D2393" i="2"/>
  <c r="H2392" i="2"/>
  <c r="G2392" i="2"/>
  <c r="F2392" i="2"/>
  <c r="E2392" i="2"/>
  <c r="D2392" i="2"/>
  <c r="H1905" i="2"/>
  <c r="G1905" i="2"/>
  <c r="F1905" i="2"/>
  <c r="E1905" i="2"/>
  <c r="D1905" i="2"/>
  <c r="H2784" i="2"/>
  <c r="G2784" i="2"/>
  <c r="F2784" i="2"/>
  <c r="E2784" i="2"/>
  <c r="D2784" i="2"/>
  <c r="H2783" i="2"/>
  <c r="G2783" i="2"/>
  <c r="F2783" i="2"/>
  <c r="E2783" i="2"/>
  <c r="D2783" i="2"/>
  <c r="H2967" i="2"/>
  <c r="G2967" i="2"/>
  <c r="F2967" i="2"/>
  <c r="E2967" i="2"/>
  <c r="D2967" i="2"/>
  <c r="H3634" i="2"/>
  <c r="G3634" i="2"/>
  <c r="F3634" i="2"/>
  <c r="E3634" i="2"/>
  <c r="D3634" i="2"/>
  <c r="H3633" i="2"/>
  <c r="G3633" i="2"/>
  <c r="F3633" i="2"/>
  <c r="E3633" i="2"/>
  <c r="D3633" i="2"/>
  <c r="H3632" i="2"/>
  <c r="G3632" i="2"/>
  <c r="F3632" i="2"/>
  <c r="E3632" i="2"/>
  <c r="D3632" i="2"/>
  <c r="H3631" i="2"/>
  <c r="G3631" i="2"/>
  <c r="F3631" i="2"/>
  <c r="E3631" i="2"/>
  <c r="D3631" i="2"/>
  <c r="H2739" i="2"/>
  <c r="G2739" i="2"/>
  <c r="F2739" i="2"/>
  <c r="E2739" i="2"/>
  <c r="D2739" i="2"/>
  <c r="H2738" i="2"/>
  <c r="G2738" i="2"/>
  <c r="F2738" i="2"/>
  <c r="E2738" i="2"/>
  <c r="D2738" i="2"/>
  <c r="H658" i="2"/>
  <c r="G658" i="2"/>
  <c r="F658" i="2"/>
  <c r="E658" i="2"/>
  <c r="D658" i="2"/>
  <c r="H657" i="2"/>
  <c r="G657" i="2"/>
  <c r="F657" i="2"/>
  <c r="E657" i="2"/>
  <c r="D657" i="2"/>
  <c r="H227" i="2"/>
  <c r="G227" i="2"/>
  <c r="F227" i="2"/>
  <c r="E227" i="2"/>
  <c r="D227" i="2"/>
  <c r="H1189" i="2"/>
  <c r="G1189" i="2"/>
  <c r="F1189" i="2"/>
  <c r="E1189" i="2"/>
  <c r="D1189" i="2"/>
  <c r="H1417" i="2"/>
  <c r="G1417" i="2"/>
  <c r="F1417" i="2"/>
  <c r="E1417" i="2"/>
  <c r="D1417" i="2"/>
  <c r="H1416" i="2"/>
  <c r="G1416" i="2"/>
  <c r="F1416" i="2"/>
  <c r="E1416" i="2"/>
  <c r="D1416" i="2"/>
  <c r="H1415" i="2"/>
  <c r="G1415" i="2"/>
  <c r="F1415" i="2"/>
  <c r="E1415" i="2"/>
  <c r="D1415" i="2"/>
  <c r="H1414" i="2"/>
  <c r="G1414" i="2"/>
  <c r="F1414" i="2"/>
  <c r="E1414" i="2"/>
  <c r="D1414" i="2"/>
  <c r="H2552" i="2"/>
  <c r="G2552" i="2"/>
  <c r="F2552" i="2"/>
  <c r="E2552" i="2"/>
  <c r="D2552" i="2"/>
  <c r="H2551" i="2"/>
  <c r="G2551" i="2"/>
  <c r="F2551" i="2"/>
  <c r="E2551" i="2"/>
  <c r="D2551" i="2"/>
  <c r="H2550" i="2"/>
  <c r="G2550" i="2"/>
  <c r="F2550" i="2"/>
  <c r="E2550" i="2"/>
  <c r="D2550" i="2"/>
  <c r="H2436" i="2"/>
  <c r="G2436" i="2"/>
  <c r="F2436" i="2"/>
  <c r="E2436" i="2"/>
  <c r="D2436" i="2"/>
  <c r="H2919" i="2"/>
  <c r="G2919" i="2"/>
  <c r="F2919" i="2"/>
  <c r="E2919" i="2"/>
  <c r="D2919" i="2"/>
  <c r="H444" i="2"/>
  <c r="G444" i="2"/>
  <c r="F444" i="2"/>
  <c r="E444" i="2"/>
  <c r="D444" i="2"/>
  <c r="H443" i="2"/>
  <c r="G443" i="2"/>
  <c r="F443" i="2"/>
  <c r="E443" i="2"/>
  <c r="D443" i="2"/>
  <c r="H3275" i="2"/>
  <c r="G3275" i="2"/>
  <c r="F3275" i="2"/>
  <c r="E3275" i="2"/>
  <c r="D3275" i="2"/>
  <c r="H3274" i="2"/>
  <c r="G3274" i="2"/>
  <c r="F3274" i="2"/>
  <c r="E3274" i="2"/>
  <c r="D3274" i="2"/>
  <c r="H3273" i="2"/>
  <c r="G3273" i="2"/>
  <c r="F3273" i="2"/>
  <c r="E3273" i="2"/>
  <c r="D3273" i="2"/>
  <c r="H3272" i="2"/>
  <c r="G3272" i="2"/>
  <c r="F3272" i="2"/>
  <c r="E3272" i="2"/>
  <c r="D3272" i="2"/>
  <c r="H2954" i="2"/>
  <c r="G2954" i="2"/>
  <c r="F2954" i="2"/>
  <c r="E2954" i="2"/>
  <c r="D2954" i="2"/>
  <c r="H2953" i="2"/>
  <c r="G2953" i="2"/>
  <c r="F2953" i="2"/>
  <c r="E2953" i="2"/>
  <c r="D2953" i="2"/>
  <c r="H2952" i="2"/>
  <c r="G2952" i="2"/>
  <c r="F2952" i="2"/>
  <c r="E2952" i="2"/>
  <c r="D2952" i="2"/>
  <c r="H1072" i="2"/>
  <c r="G1072" i="2"/>
  <c r="F1072" i="2"/>
  <c r="E1072" i="2"/>
  <c r="D1072" i="2"/>
  <c r="H1071" i="2"/>
  <c r="G1071" i="2"/>
  <c r="F1071" i="2"/>
  <c r="E1071" i="2"/>
  <c r="D1071" i="2"/>
  <c r="H1182" i="2"/>
  <c r="G1182" i="2"/>
  <c r="F1182" i="2"/>
  <c r="E1182" i="2"/>
  <c r="D1182" i="2"/>
  <c r="H1118" i="2"/>
  <c r="G1118" i="2"/>
  <c r="F1118" i="2"/>
  <c r="E1118" i="2"/>
  <c r="D1118" i="2"/>
  <c r="H211" i="2"/>
  <c r="G211" i="2"/>
  <c r="F211" i="2"/>
  <c r="E211" i="2"/>
  <c r="D211" i="2"/>
  <c r="H210" i="2"/>
  <c r="G210" i="2"/>
  <c r="F210" i="2"/>
  <c r="E210" i="2"/>
  <c r="D210" i="2"/>
  <c r="H2389" i="2"/>
  <c r="G2389" i="2"/>
  <c r="F2389" i="2"/>
  <c r="E2389" i="2"/>
  <c r="D2389" i="2"/>
  <c r="H2388" i="2"/>
  <c r="G2388" i="2"/>
  <c r="F2388" i="2"/>
  <c r="E2388" i="2"/>
  <c r="D2388" i="2"/>
  <c r="H1935" i="2"/>
  <c r="G1935" i="2"/>
  <c r="F1935" i="2"/>
  <c r="E1935" i="2"/>
  <c r="D1935" i="2"/>
  <c r="H3116" i="2"/>
  <c r="G3116" i="2"/>
  <c r="F3116" i="2"/>
  <c r="E3116" i="2"/>
  <c r="D3116" i="2"/>
  <c r="H3115" i="2"/>
  <c r="G3115" i="2"/>
  <c r="F3115" i="2"/>
  <c r="E3115" i="2"/>
  <c r="D3115" i="2"/>
  <c r="H219" i="2"/>
  <c r="G219" i="2"/>
  <c r="F219" i="2"/>
  <c r="E219" i="2"/>
  <c r="D219" i="2"/>
  <c r="H218" i="2"/>
  <c r="G218" i="2"/>
  <c r="F218" i="2"/>
  <c r="E218" i="2"/>
  <c r="D218" i="2"/>
  <c r="H448" i="2"/>
  <c r="G448" i="2"/>
  <c r="F448" i="2"/>
  <c r="E448" i="2"/>
  <c r="D448" i="2"/>
  <c r="H479" i="2"/>
  <c r="G479" i="2"/>
  <c r="F479" i="2"/>
  <c r="E479" i="2"/>
  <c r="D479" i="2"/>
  <c r="H478" i="2"/>
  <c r="G478" i="2"/>
  <c r="F478" i="2"/>
  <c r="E478" i="2"/>
  <c r="D478" i="2"/>
  <c r="H1210" i="2"/>
  <c r="G1210" i="2"/>
  <c r="F1210" i="2"/>
  <c r="E1210" i="2"/>
  <c r="D1210" i="2"/>
  <c r="H1209" i="2"/>
  <c r="G1209" i="2"/>
  <c r="F1209" i="2"/>
  <c r="E1209" i="2"/>
  <c r="D1209" i="2"/>
  <c r="H1208" i="2"/>
  <c r="G1208" i="2"/>
  <c r="F1208" i="2"/>
  <c r="E1208" i="2"/>
  <c r="D1208" i="2"/>
  <c r="H1207" i="2"/>
  <c r="G1207" i="2"/>
  <c r="F1207" i="2"/>
  <c r="E1207" i="2"/>
  <c r="D1207" i="2"/>
  <c r="H2892" i="2"/>
  <c r="G2892" i="2"/>
  <c r="F2892" i="2"/>
  <c r="E2892" i="2"/>
  <c r="D2892" i="2"/>
  <c r="H2891" i="2"/>
  <c r="G2891" i="2"/>
  <c r="F2891" i="2"/>
  <c r="E2891" i="2"/>
  <c r="D2891" i="2"/>
  <c r="H310" i="2"/>
  <c r="G310" i="2"/>
  <c r="F310" i="2"/>
  <c r="E310" i="2"/>
  <c r="D310" i="2"/>
  <c r="H309" i="2"/>
  <c r="G309" i="2"/>
  <c r="F309" i="2"/>
  <c r="E309" i="2"/>
  <c r="D309" i="2"/>
  <c r="H308" i="2"/>
  <c r="G308" i="2"/>
  <c r="F308" i="2"/>
  <c r="E308" i="2"/>
  <c r="D308" i="2"/>
  <c r="H1211" i="2"/>
  <c r="G1211" i="2"/>
  <c r="F1211" i="2"/>
  <c r="E1211" i="2"/>
  <c r="D1211" i="2"/>
  <c r="H2770" i="2"/>
  <c r="G2770" i="2"/>
  <c r="F2770" i="2"/>
  <c r="E2770" i="2"/>
  <c r="D2770" i="2"/>
  <c r="H2276" i="2"/>
  <c r="G2276" i="2"/>
  <c r="F2276" i="2"/>
  <c r="E2276" i="2"/>
  <c r="D2276" i="2"/>
  <c r="H2275" i="2"/>
  <c r="G2275" i="2"/>
  <c r="F2275" i="2"/>
  <c r="E2275" i="2"/>
  <c r="D2275" i="2"/>
  <c r="H2274" i="2"/>
  <c r="G2274" i="2"/>
  <c r="F2274" i="2"/>
  <c r="E2274" i="2"/>
  <c r="D2274" i="2"/>
  <c r="H1165" i="2"/>
  <c r="G1165" i="2"/>
  <c r="F1165" i="2"/>
  <c r="E1165" i="2"/>
  <c r="D1165" i="2"/>
  <c r="H471" i="2"/>
  <c r="G471" i="2"/>
  <c r="F471" i="2"/>
  <c r="E471" i="2"/>
  <c r="D471" i="2"/>
  <c r="H470" i="2"/>
  <c r="G470" i="2"/>
  <c r="F470" i="2"/>
  <c r="E470" i="2"/>
  <c r="D470" i="2"/>
  <c r="H469" i="2"/>
  <c r="G469" i="2"/>
  <c r="F469" i="2"/>
  <c r="E469" i="2"/>
  <c r="D469" i="2"/>
  <c r="H468" i="2"/>
  <c r="G468" i="2"/>
  <c r="F468" i="2"/>
  <c r="E468" i="2"/>
  <c r="D468" i="2"/>
  <c r="H1167" i="2"/>
  <c r="G1167" i="2"/>
  <c r="F1167" i="2"/>
  <c r="E1167" i="2"/>
  <c r="D1167" i="2"/>
  <c r="H485" i="2"/>
  <c r="G485" i="2"/>
  <c r="F485" i="2"/>
  <c r="E485" i="2"/>
  <c r="D485" i="2"/>
  <c r="H2877" i="2"/>
  <c r="G2877" i="2"/>
  <c r="F2877" i="2"/>
  <c r="E2877" i="2"/>
  <c r="D2877" i="2"/>
  <c r="H315" i="2"/>
  <c r="G315" i="2"/>
  <c r="F315" i="2"/>
  <c r="E315" i="2"/>
  <c r="D315" i="2"/>
  <c r="H314" i="2"/>
  <c r="G314" i="2"/>
  <c r="F314" i="2"/>
  <c r="E314" i="2"/>
  <c r="D314" i="2"/>
  <c r="H313" i="2"/>
  <c r="G313" i="2"/>
  <c r="F313" i="2"/>
  <c r="E313" i="2"/>
  <c r="D313" i="2"/>
  <c r="H312" i="2"/>
  <c r="G312" i="2"/>
  <c r="F312" i="2"/>
  <c r="E312" i="2"/>
  <c r="D312" i="2"/>
  <c r="H1503" i="2"/>
  <c r="G1503" i="2"/>
  <c r="F1503" i="2"/>
  <c r="E1503" i="2"/>
  <c r="D1503" i="2"/>
  <c r="H1502" i="2"/>
  <c r="G1502" i="2"/>
  <c r="F1502" i="2"/>
  <c r="E1502" i="2"/>
  <c r="D1502" i="2"/>
  <c r="H1957" i="2"/>
  <c r="G1957" i="2"/>
  <c r="F1957" i="2"/>
  <c r="E1957" i="2"/>
  <c r="D1957" i="2"/>
  <c r="H928" i="2"/>
  <c r="G928" i="2"/>
  <c r="F928" i="2"/>
  <c r="E928" i="2"/>
  <c r="D928" i="2"/>
  <c r="H927" i="2"/>
  <c r="G927" i="2"/>
  <c r="F927" i="2"/>
  <c r="E927" i="2"/>
  <c r="D927" i="2"/>
  <c r="H926" i="2"/>
  <c r="G926" i="2"/>
  <c r="F926" i="2"/>
  <c r="E926" i="2"/>
  <c r="D926" i="2"/>
  <c r="H925" i="2"/>
  <c r="G925" i="2"/>
  <c r="F925" i="2"/>
  <c r="E925" i="2"/>
  <c r="D925" i="2"/>
  <c r="H924" i="2"/>
  <c r="G924" i="2"/>
  <c r="F924" i="2"/>
  <c r="E924" i="2"/>
  <c r="D924" i="2"/>
  <c r="H2951" i="2"/>
  <c r="G2951" i="2"/>
  <c r="F2951" i="2"/>
  <c r="E2951" i="2"/>
  <c r="D2951" i="2"/>
  <c r="H2886" i="2"/>
  <c r="G2886" i="2"/>
  <c r="F2886" i="2"/>
  <c r="E2886" i="2"/>
  <c r="D2886" i="2"/>
  <c r="H2885" i="2"/>
  <c r="G2885" i="2"/>
  <c r="F2885" i="2"/>
  <c r="E2885" i="2"/>
  <c r="D2885" i="2"/>
  <c r="H2884" i="2"/>
  <c r="G2884" i="2"/>
  <c r="F2884" i="2"/>
  <c r="E2884" i="2"/>
  <c r="D2884" i="2"/>
  <c r="H2883" i="2"/>
  <c r="G2883" i="2"/>
  <c r="F2883" i="2"/>
  <c r="E2883" i="2"/>
  <c r="D2883" i="2"/>
  <c r="H2882" i="2"/>
  <c r="G2882" i="2"/>
  <c r="F2882" i="2"/>
  <c r="E2882" i="2"/>
  <c r="D2882" i="2"/>
  <c r="H2881" i="2"/>
  <c r="G2881" i="2"/>
  <c r="F2881" i="2"/>
  <c r="E2881" i="2"/>
  <c r="D2881" i="2"/>
  <c r="H1122" i="2"/>
  <c r="G1122" i="2"/>
  <c r="F1122" i="2"/>
  <c r="E1122" i="2"/>
  <c r="D1122" i="2"/>
  <c r="H1121" i="2"/>
  <c r="G1121" i="2"/>
  <c r="F1121" i="2"/>
  <c r="E1121" i="2"/>
  <c r="D1121" i="2"/>
  <c r="H1120" i="2"/>
  <c r="G1120" i="2"/>
  <c r="F1120" i="2"/>
  <c r="E1120" i="2"/>
  <c r="D1120" i="2"/>
  <c r="H1119" i="2"/>
  <c r="G1119" i="2"/>
  <c r="F1119" i="2"/>
  <c r="E1119" i="2"/>
  <c r="D1119" i="2"/>
  <c r="H931" i="2"/>
  <c r="G931" i="2"/>
  <c r="F931" i="2"/>
  <c r="E931" i="2"/>
  <c r="D931" i="2"/>
  <c r="H3607" i="2"/>
  <c r="G3607" i="2"/>
  <c r="F3607" i="2"/>
  <c r="E3607" i="2"/>
  <c r="D3607" i="2"/>
  <c r="H3606" i="2"/>
  <c r="G3606" i="2"/>
  <c r="F3606" i="2"/>
  <c r="E3606" i="2"/>
  <c r="D3606" i="2"/>
  <c r="H3605" i="2"/>
  <c r="G3605" i="2"/>
  <c r="F3605" i="2"/>
  <c r="E3605" i="2"/>
  <c r="D3605" i="2"/>
  <c r="H3604" i="2"/>
  <c r="G3604" i="2"/>
  <c r="F3604" i="2"/>
  <c r="E3604" i="2"/>
  <c r="D3604" i="2"/>
  <c r="H3315" i="2"/>
  <c r="G3315" i="2"/>
  <c r="F3315" i="2"/>
  <c r="E3315" i="2"/>
  <c r="D3315" i="2"/>
  <c r="H3314" i="2"/>
  <c r="G3314" i="2"/>
  <c r="F3314" i="2"/>
  <c r="E3314" i="2"/>
  <c r="D3314" i="2"/>
  <c r="H3630" i="2"/>
  <c r="G3630" i="2"/>
  <c r="F3630" i="2"/>
  <c r="E3630" i="2"/>
  <c r="D3630" i="2"/>
  <c r="H3629" i="2"/>
  <c r="G3629" i="2"/>
  <c r="F3629" i="2"/>
  <c r="E3629" i="2"/>
  <c r="D3629" i="2"/>
  <c r="H1292" i="2"/>
  <c r="G1292" i="2"/>
  <c r="F1292" i="2"/>
  <c r="E1292" i="2"/>
  <c r="D1292" i="2"/>
  <c r="H1291" i="2"/>
  <c r="G1291" i="2"/>
  <c r="F1291" i="2"/>
  <c r="E1291" i="2"/>
  <c r="D1291" i="2"/>
  <c r="H1290" i="2"/>
  <c r="G1290" i="2"/>
  <c r="F1290" i="2"/>
  <c r="E1290" i="2"/>
  <c r="D1290" i="2"/>
  <c r="H1289" i="2"/>
  <c r="G1289" i="2"/>
  <c r="F1289" i="2"/>
  <c r="E1289" i="2"/>
  <c r="D1289" i="2"/>
  <c r="H3259" i="2"/>
  <c r="G3259" i="2"/>
  <c r="F3259" i="2"/>
  <c r="E3259" i="2"/>
  <c r="D3259" i="2"/>
  <c r="H3559" i="2"/>
  <c r="G3559" i="2"/>
  <c r="F3559" i="2"/>
  <c r="E3559" i="2"/>
  <c r="D3559" i="2"/>
  <c r="H3558" i="2"/>
  <c r="G3558" i="2"/>
  <c r="F3558" i="2"/>
  <c r="E3558" i="2"/>
  <c r="D3558" i="2"/>
  <c r="H3557" i="2"/>
  <c r="G3557" i="2"/>
  <c r="F3557" i="2"/>
  <c r="E3557" i="2"/>
  <c r="D3557" i="2"/>
  <c r="H3788" i="2"/>
  <c r="G3788" i="2"/>
  <c r="F3788" i="2"/>
  <c r="E3788" i="2"/>
  <c r="D3788" i="2"/>
  <c r="H1904" i="2"/>
  <c r="G1904" i="2"/>
  <c r="F1904" i="2"/>
  <c r="E1904" i="2"/>
  <c r="D1904" i="2"/>
  <c r="H2255" i="2"/>
  <c r="G2255" i="2"/>
  <c r="F2255" i="2"/>
  <c r="E2255" i="2"/>
  <c r="D2255" i="2"/>
  <c r="H2254" i="2"/>
  <c r="G2254" i="2"/>
  <c r="F2254" i="2"/>
  <c r="E2254" i="2"/>
  <c r="D2254" i="2"/>
  <c r="H2253" i="2"/>
  <c r="G2253" i="2"/>
  <c r="F2253" i="2"/>
  <c r="E2253" i="2"/>
  <c r="D2253" i="2"/>
  <c r="H2252" i="2"/>
  <c r="G2252" i="2"/>
  <c r="F2252" i="2"/>
  <c r="E2252" i="2"/>
  <c r="D2252" i="2"/>
  <c r="H2251" i="2"/>
  <c r="G2251" i="2"/>
  <c r="F2251" i="2"/>
  <c r="E2251" i="2"/>
  <c r="D2251" i="2"/>
  <c r="H2250" i="2"/>
  <c r="G2250" i="2"/>
  <c r="F2250" i="2"/>
  <c r="E2250" i="2"/>
  <c r="D2250" i="2"/>
  <c r="H2249" i="2"/>
  <c r="G2249" i="2"/>
  <c r="F2249" i="2"/>
  <c r="E2249" i="2"/>
  <c r="D2249" i="2"/>
  <c r="H2248" i="2"/>
  <c r="G2248" i="2"/>
  <c r="F2248" i="2"/>
  <c r="E2248" i="2"/>
  <c r="D2248" i="2"/>
  <c r="H1544" i="2"/>
  <c r="G1544" i="2"/>
  <c r="F1544" i="2"/>
  <c r="E1544" i="2"/>
  <c r="D1544" i="2"/>
  <c r="H1543" i="2"/>
  <c r="G1543" i="2"/>
  <c r="F1543" i="2"/>
  <c r="E1543" i="2"/>
  <c r="D1543" i="2"/>
  <c r="H1542" i="2"/>
  <c r="G1542" i="2"/>
  <c r="F1542" i="2"/>
  <c r="E1542" i="2"/>
  <c r="D1542" i="2"/>
  <c r="H1541" i="2"/>
  <c r="G1541" i="2"/>
  <c r="F1541" i="2"/>
  <c r="E1541" i="2"/>
  <c r="D1541" i="2"/>
  <c r="H445" i="2"/>
  <c r="G445" i="2"/>
  <c r="F445" i="2"/>
  <c r="E445" i="2"/>
  <c r="D445" i="2"/>
  <c r="H2665" i="2"/>
  <c r="G2665" i="2"/>
  <c r="F2665" i="2"/>
  <c r="E2665" i="2"/>
  <c r="D2665" i="2"/>
  <c r="H2664" i="2"/>
  <c r="G2664" i="2"/>
  <c r="F2664" i="2"/>
  <c r="E2664" i="2"/>
  <c r="D2664" i="2"/>
  <c r="H2663" i="2"/>
  <c r="G2663" i="2"/>
  <c r="F2663" i="2"/>
  <c r="E2663" i="2"/>
  <c r="D2663" i="2"/>
  <c r="H2662" i="2"/>
  <c r="G2662" i="2"/>
  <c r="F2662" i="2"/>
  <c r="E2662" i="2"/>
  <c r="D2662" i="2"/>
  <c r="H2661" i="2"/>
  <c r="G2661" i="2"/>
  <c r="F2661" i="2"/>
  <c r="E2661" i="2"/>
  <c r="D2661" i="2"/>
  <c r="H2660" i="2"/>
  <c r="G2660" i="2"/>
  <c r="F2660" i="2"/>
  <c r="E2660" i="2"/>
  <c r="D2660" i="2"/>
  <c r="H2659" i="2"/>
  <c r="G2659" i="2"/>
  <c r="F2659" i="2"/>
  <c r="E2659" i="2"/>
  <c r="D2659" i="2"/>
  <c r="H276" i="2"/>
  <c r="G276" i="2"/>
  <c r="F276" i="2"/>
  <c r="E276" i="2"/>
  <c r="D276" i="2"/>
  <c r="H390" i="2"/>
  <c r="G390" i="2"/>
  <c r="F390" i="2"/>
  <c r="E390" i="2"/>
  <c r="D390" i="2"/>
  <c r="H389" i="2"/>
  <c r="G389" i="2"/>
  <c r="F389" i="2"/>
  <c r="E389" i="2"/>
  <c r="D389" i="2"/>
  <c r="H1181" i="2"/>
  <c r="G1181" i="2"/>
  <c r="F1181" i="2"/>
  <c r="E1181" i="2"/>
  <c r="D1181" i="2"/>
  <c r="H1180" i="2"/>
  <c r="G1180" i="2"/>
  <c r="F1180" i="2"/>
  <c r="E1180" i="2"/>
  <c r="D1180" i="2"/>
  <c r="H2037" i="2"/>
  <c r="G2037" i="2"/>
  <c r="F2037" i="2"/>
  <c r="E2037" i="2"/>
  <c r="D2037" i="2"/>
  <c r="H2036" i="2"/>
  <c r="G2036" i="2"/>
  <c r="F2036" i="2"/>
  <c r="E2036" i="2"/>
  <c r="D2036" i="2"/>
  <c r="H2035" i="2"/>
  <c r="G2035" i="2"/>
  <c r="F2035" i="2"/>
  <c r="E2035" i="2"/>
  <c r="D2035" i="2"/>
  <c r="H2034" i="2"/>
  <c r="G2034" i="2"/>
  <c r="F2034" i="2"/>
  <c r="E2034" i="2"/>
  <c r="D2034" i="2"/>
  <c r="H2033" i="2"/>
  <c r="G2033" i="2"/>
  <c r="F2033" i="2"/>
  <c r="E2033" i="2"/>
  <c r="D2033" i="2"/>
  <c r="H2032" i="2"/>
  <c r="G2032" i="2"/>
  <c r="F2032" i="2"/>
  <c r="E2032" i="2"/>
  <c r="D2032" i="2"/>
  <c r="H3438" i="2"/>
  <c r="G3438" i="2"/>
  <c r="F3438" i="2"/>
  <c r="E3438" i="2"/>
  <c r="D3438" i="2"/>
  <c r="H3437" i="2"/>
  <c r="G3437" i="2"/>
  <c r="F3437" i="2"/>
  <c r="E3437" i="2"/>
  <c r="D3437" i="2"/>
  <c r="H3436" i="2"/>
  <c r="G3436" i="2"/>
  <c r="F3436" i="2"/>
  <c r="E3436" i="2"/>
  <c r="D3436" i="2"/>
  <c r="H3435" i="2"/>
  <c r="G3435" i="2"/>
  <c r="F3435" i="2"/>
  <c r="E3435" i="2"/>
  <c r="D3435" i="2"/>
  <c r="H3434" i="2"/>
  <c r="G3434" i="2"/>
  <c r="F3434" i="2"/>
  <c r="E3434" i="2"/>
  <c r="D3434" i="2"/>
  <c r="H355" i="2"/>
  <c r="G355" i="2"/>
  <c r="F355" i="2"/>
  <c r="E355" i="2"/>
  <c r="D355" i="2"/>
  <c r="H2597" i="2"/>
  <c r="G2597" i="2"/>
  <c r="F2597" i="2"/>
  <c r="E2597" i="2"/>
  <c r="D2597" i="2"/>
  <c r="H2596" i="2"/>
  <c r="G2596" i="2"/>
  <c r="F2596" i="2"/>
  <c r="E2596" i="2"/>
  <c r="D2596" i="2"/>
  <c r="H2595" i="2"/>
  <c r="G2595" i="2"/>
  <c r="F2595" i="2"/>
  <c r="E2595" i="2"/>
  <c r="D2595" i="2"/>
  <c r="H2594" i="2"/>
  <c r="G2594" i="2"/>
  <c r="F2594" i="2"/>
  <c r="E2594" i="2"/>
  <c r="D2594" i="2"/>
  <c r="H2508" i="2"/>
  <c r="G2508" i="2"/>
  <c r="F2508" i="2"/>
  <c r="E2508" i="2"/>
  <c r="D2508" i="2"/>
  <c r="H1117" i="2"/>
  <c r="G1117" i="2"/>
  <c r="F1117" i="2"/>
  <c r="E1117" i="2"/>
  <c r="D1117" i="2"/>
  <c r="H1116" i="2"/>
  <c r="G1116" i="2"/>
  <c r="F1116" i="2"/>
  <c r="E1116" i="2"/>
  <c r="D1116" i="2"/>
  <c r="H1115" i="2"/>
  <c r="G1115" i="2"/>
  <c r="F1115" i="2"/>
  <c r="E1115" i="2"/>
  <c r="D1115" i="2"/>
  <c r="H2876" i="2"/>
  <c r="G2876" i="2"/>
  <c r="F2876" i="2"/>
  <c r="E2876" i="2"/>
  <c r="D2876" i="2"/>
  <c r="H2875" i="2"/>
  <c r="G2875" i="2"/>
  <c r="F2875" i="2"/>
  <c r="E2875" i="2"/>
  <c r="D2875" i="2"/>
  <c r="H2874" i="2"/>
  <c r="G2874" i="2"/>
  <c r="F2874" i="2"/>
  <c r="E2874" i="2"/>
  <c r="D2874" i="2"/>
  <c r="H2873" i="2"/>
  <c r="G2873" i="2"/>
  <c r="F2873" i="2"/>
  <c r="E2873" i="2"/>
  <c r="D2873" i="2"/>
  <c r="H2872" i="2"/>
  <c r="G2872" i="2"/>
  <c r="F2872" i="2"/>
  <c r="E2872" i="2"/>
  <c r="D2872" i="2"/>
  <c r="H2871" i="2"/>
  <c r="G2871" i="2"/>
  <c r="F2871" i="2"/>
  <c r="E2871" i="2"/>
  <c r="D2871" i="2"/>
  <c r="H2870" i="2"/>
  <c r="G2870" i="2"/>
  <c r="F2870" i="2"/>
  <c r="E2870" i="2"/>
  <c r="D2870" i="2"/>
  <c r="H3251" i="2"/>
  <c r="G3251" i="2"/>
  <c r="F3251" i="2"/>
  <c r="E3251" i="2"/>
  <c r="D3251" i="2"/>
  <c r="H3250" i="2"/>
  <c r="G3250" i="2"/>
  <c r="F3250" i="2"/>
  <c r="E3250" i="2"/>
  <c r="D3250" i="2"/>
  <c r="H3249" i="2"/>
  <c r="G3249" i="2"/>
  <c r="F3249" i="2"/>
  <c r="E3249" i="2"/>
  <c r="D3249" i="2"/>
  <c r="H3248" i="2"/>
  <c r="G3248" i="2"/>
  <c r="F3248" i="2"/>
  <c r="E3248" i="2"/>
  <c r="D3248" i="2"/>
  <c r="H3247" i="2"/>
  <c r="G3247" i="2"/>
  <c r="F3247" i="2"/>
  <c r="E3247" i="2"/>
  <c r="D3247" i="2"/>
  <c r="H3246" i="2"/>
  <c r="G3246" i="2"/>
  <c r="F3246" i="2"/>
  <c r="E3246" i="2"/>
  <c r="D3246" i="2"/>
  <c r="H3245" i="2"/>
  <c r="G3245" i="2"/>
  <c r="F3245" i="2"/>
  <c r="E3245" i="2"/>
  <c r="D3245" i="2"/>
  <c r="H3244" i="2"/>
  <c r="G3244" i="2"/>
  <c r="F3244" i="2"/>
  <c r="E3244" i="2"/>
  <c r="D3244" i="2"/>
  <c r="H1482" i="2"/>
  <c r="G1482" i="2"/>
  <c r="F1482" i="2"/>
  <c r="E1482" i="2"/>
  <c r="D1482" i="2"/>
  <c r="H1481" i="2"/>
  <c r="G1481" i="2"/>
  <c r="F1481" i="2"/>
  <c r="E1481" i="2"/>
  <c r="D1481" i="2"/>
  <c r="H1480" i="2"/>
  <c r="G1480" i="2"/>
  <c r="F1480" i="2"/>
  <c r="E1480" i="2"/>
  <c r="D1480" i="2"/>
  <c r="H1479" i="2"/>
  <c r="G1479" i="2"/>
  <c r="F1479" i="2"/>
  <c r="E1479" i="2"/>
  <c r="D1479" i="2"/>
  <c r="H1000" i="2"/>
  <c r="G1000" i="2"/>
  <c r="F1000" i="2"/>
  <c r="E1000" i="2"/>
  <c r="D1000" i="2"/>
  <c r="H3131" i="2"/>
  <c r="G3131" i="2"/>
  <c r="F3131" i="2"/>
  <c r="E3131" i="2"/>
  <c r="D3131" i="2"/>
  <c r="H1202" i="2"/>
  <c r="G1202" i="2"/>
  <c r="F1202" i="2"/>
  <c r="E1202" i="2"/>
  <c r="D1202" i="2"/>
  <c r="H1201" i="2"/>
  <c r="G1201" i="2"/>
  <c r="F1201" i="2"/>
  <c r="E1201" i="2"/>
  <c r="D1201" i="2"/>
  <c r="H1200" i="2"/>
  <c r="G1200" i="2"/>
  <c r="F1200" i="2"/>
  <c r="E1200" i="2"/>
  <c r="D1200" i="2"/>
  <c r="H3812" i="2"/>
  <c r="G3812" i="2"/>
  <c r="F3812" i="2"/>
  <c r="E3812" i="2"/>
  <c r="D3812" i="2"/>
  <c r="H3811" i="2"/>
  <c r="G3811" i="2"/>
  <c r="F3811" i="2"/>
  <c r="E3811" i="2"/>
  <c r="D3811" i="2"/>
  <c r="H789" i="2"/>
  <c r="G789" i="2"/>
  <c r="F789" i="2"/>
  <c r="E789" i="2"/>
  <c r="D789" i="2"/>
  <c r="H788" i="2"/>
  <c r="G788" i="2"/>
  <c r="F788" i="2"/>
  <c r="E788" i="2"/>
  <c r="D788" i="2"/>
  <c r="H2965" i="2"/>
  <c r="G2965" i="2"/>
  <c r="F2965" i="2"/>
  <c r="E2965" i="2"/>
  <c r="D2965" i="2"/>
  <c r="H2964" i="2"/>
  <c r="G2964" i="2"/>
  <c r="F2964" i="2"/>
  <c r="E2964" i="2"/>
  <c r="D2964" i="2"/>
  <c r="H626" i="2"/>
  <c r="G626" i="2"/>
  <c r="F626" i="2"/>
  <c r="E626" i="2"/>
  <c r="D626" i="2"/>
  <c r="H625" i="2"/>
  <c r="G625" i="2"/>
  <c r="F625" i="2"/>
  <c r="E625" i="2"/>
  <c r="D625" i="2"/>
  <c r="H624" i="2"/>
  <c r="G624" i="2"/>
  <c r="F624" i="2"/>
  <c r="E624" i="2"/>
  <c r="D624" i="2"/>
  <c r="H623" i="2"/>
  <c r="G623" i="2"/>
  <c r="F623" i="2"/>
  <c r="E623" i="2"/>
  <c r="D623" i="2"/>
  <c r="H622" i="2"/>
  <c r="G622" i="2"/>
  <c r="F622" i="2"/>
  <c r="E622" i="2"/>
  <c r="D622" i="2"/>
  <c r="H621" i="2"/>
  <c r="G621" i="2"/>
  <c r="F621" i="2"/>
  <c r="E621" i="2"/>
  <c r="D621" i="2"/>
  <c r="H620" i="2"/>
  <c r="G620" i="2"/>
  <c r="F620" i="2"/>
  <c r="E620" i="2"/>
  <c r="D620" i="2"/>
  <c r="H619" i="2"/>
  <c r="G619" i="2"/>
  <c r="F619" i="2"/>
  <c r="E619" i="2"/>
  <c r="D619" i="2"/>
  <c r="H2776" i="2"/>
  <c r="G2776" i="2"/>
  <c r="F2776" i="2"/>
  <c r="E2776" i="2"/>
  <c r="D2776" i="2"/>
  <c r="H3609" i="2"/>
  <c r="G3609" i="2"/>
  <c r="F3609" i="2"/>
  <c r="E3609" i="2"/>
  <c r="D3609" i="2"/>
  <c r="H3608" i="2"/>
  <c r="G3608" i="2"/>
  <c r="F3608" i="2"/>
  <c r="E3608" i="2"/>
  <c r="D3608" i="2"/>
  <c r="H747" i="2"/>
  <c r="G747" i="2"/>
  <c r="F747" i="2"/>
  <c r="E747" i="2"/>
  <c r="D747" i="2"/>
  <c r="H746" i="2"/>
  <c r="G746" i="2"/>
  <c r="F746" i="2"/>
  <c r="E746" i="2"/>
  <c r="D746" i="2"/>
  <c r="H595" i="2"/>
  <c r="G595" i="2"/>
  <c r="F595" i="2"/>
  <c r="E595" i="2"/>
  <c r="D595" i="2"/>
  <c r="H594" i="2"/>
  <c r="G594" i="2"/>
  <c r="F594" i="2"/>
  <c r="E594" i="2"/>
  <c r="D594" i="2"/>
  <c r="H339" i="2"/>
  <c r="G339" i="2"/>
  <c r="F339" i="2"/>
  <c r="E339" i="2"/>
  <c r="D339" i="2"/>
  <c r="H888" i="2"/>
  <c r="G888" i="2"/>
  <c r="F888" i="2"/>
  <c r="E888" i="2"/>
  <c r="D888" i="2"/>
  <c r="H318" i="2"/>
  <c r="G318" i="2"/>
  <c r="F318" i="2"/>
  <c r="E318" i="2"/>
  <c r="D318" i="2"/>
  <c r="H317" i="2"/>
  <c r="G317" i="2"/>
  <c r="F317" i="2"/>
  <c r="E317" i="2"/>
  <c r="D317" i="2"/>
  <c r="H316" i="2"/>
  <c r="G316" i="2"/>
  <c r="F316" i="2"/>
  <c r="E316" i="2"/>
  <c r="D316" i="2"/>
  <c r="H709" i="2"/>
  <c r="G709" i="2"/>
  <c r="F709" i="2"/>
  <c r="E709" i="2"/>
  <c r="D709" i="2"/>
  <c r="H708" i="2"/>
  <c r="G708" i="2"/>
  <c r="F708" i="2"/>
  <c r="E708" i="2"/>
  <c r="D708" i="2"/>
  <c r="H707" i="2"/>
  <c r="G707" i="2"/>
  <c r="F707" i="2"/>
  <c r="E707" i="2"/>
  <c r="D707" i="2"/>
  <c r="H706" i="2"/>
  <c r="G706" i="2"/>
  <c r="F706" i="2"/>
  <c r="E706" i="2"/>
  <c r="D706" i="2"/>
  <c r="H705" i="2"/>
  <c r="G705" i="2"/>
  <c r="F705" i="2"/>
  <c r="E705" i="2"/>
  <c r="D705" i="2"/>
  <c r="H704" i="2"/>
  <c r="G704" i="2"/>
  <c r="F704" i="2"/>
  <c r="E704" i="2"/>
  <c r="D704" i="2"/>
  <c r="H410" i="2"/>
  <c r="G410" i="2"/>
  <c r="F410" i="2"/>
  <c r="E410" i="2"/>
  <c r="D410" i="2"/>
  <c r="H409" i="2"/>
  <c r="G409" i="2"/>
  <c r="F409" i="2"/>
  <c r="E409" i="2"/>
  <c r="D409" i="2"/>
  <c r="H408" i="2"/>
  <c r="G408" i="2"/>
  <c r="F408" i="2"/>
  <c r="E408" i="2"/>
  <c r="D408" i="2"/>
  <c r="H407" i="2"/>
  <c r="G407" i="2"/>
  <c r="F407" i="2"/>
  <c r="E407" i="2"/>
  <c r="D407" i="2"/>
  <c r="H406" i="2"/>
  <c r="G406" i="2"/>
  <c r="F406" i="2"/>
  <c r="E406" i="2"/>
  <c r="D406" i="2"/>
  <c r="H405" i="2"/>
  <c r="G405" i="2"/>
  <c r="F405" i="2"/>
  <c r="E405" i="2"/>
  <c r="D405" i="2"/>
  <c r="H404" i="2"/>
  <c r="G404" i="2"/>
  <c r="F404" i="2"/>
  <c r="E404" i="2"/>
  <c r="D404" i="2"/>
  <c r="H403" i="2"/>
  <c r="G403" i="2"/>
  <c r="F403" i="2"/>
  <c r="E403" i="2"/>
  <c r="D403" i="2"/>
  <c r="H402" i="2"/>
  <c r="G402" i="2"/>
  <c r="F402" i="2"/>
  <c r="E402" i="2"/>
  <c r="D402" i="2"/>
  <c r="H401" i="2"/>
  <c r="G401" i="2"/>
  <c r="F401" i="2"/>
  <c r="E401" i="2"/>
  <c r="D401" i="2"/>
  <c r="H2402" i="2"/>
  <c r="G2402" i="2"/>
  <c r="F2402" i="2"/>
  <c r="E2402" i="2"/>
  <c r="D2402" i="2"/>
  <c r="H2401" i="2"/>
  <c r="G2401" i="2"/>
  <c r="F2401" i="2"/>
  <c r="E2401" i="2"/>
  <c r="D2401" i="2"/>
  <c r="H2400" i="2"/>
  <c r="G2400" i="2"/>
  <c r="F2400" i="2"/>
  <c r="E2400" i="2"/>
  <c r="D2400" i="2"/>
  <c r="H2399" i="2"/>
  <c r="G2399" i="2"/>
  <c r="F2399" i="2"/>
  <c r="E2399" i="2"/>
  <c r="D2399" i="2"/>
  <c r="H2398" i="2"/>
  <c r="G2398" i="2"/>
  <c r="F2398" i="2"/>
  <c r="E2398" i="2"/>
  <c r="D2398" i="2"/>
  <c r="H2397" i="2"/>
  <c r="G2397" i="2"/>
  <c r="F2397" i="2"/>
  <c r="E2397" i="2"/>
  <c r="D2397" i="2"/>
  <c r="H2396" i="2"/>
  <c r="G2396" i="2"/>
  <c r="F2396" i="2"/>
  <c r="E2396" i="2"/>
  <c r="D2396" i="2"/>
  <c r="H3881" i="2"/>
  <c r="G3881" i="2"/>
  <c r="F3881" i="2"/>
  <c r="E3881" i="2"/>
  <c r="D3881" i="2"/>
  <c r="H3880" i="2"/>
  <c r="G3880" i="2"/>
  <c r="F3880" i="2"/>
  <c r="E3880" i="2"/>
  <c r="D3880" i="2"/>
  <c r="H3879" i="2"/>
  <c r="G3879" i="2"/>
  <c r="F3879" i="2"/>
  <c r="E3879" i="2"/>
  <c r="D3879" i="2"/>
  <c r="H3878" i="2"/>
  <c r="G3878" i="2"/>
  <c r="F3878" i="2"/>
  <c r="E3878" i="2"/>
  <c r="D3878" i="2"/>
  <c r="H3855" i="2"/>
  <c r="G3855" i="2"/>
  <c r="F3855" i="2"/>
  <c r="E3855" i="2"/>
  <c r="D3855" i="2"/>
  <c r="H3854" i="2"/>
  <c r="G3854" i="2"/>
  <c r="F3854" i="2"/>
  <c r="E3854" i="2"/>
  <c r="D3854" i="2"/>
  <c r="H3853" i="2"/>
  <c r="G3853" i="2"/>
  <c r="F3853" i="2"/>
  <c r="E3853" i="2"/>
  <c r="D3853" i="2"/>
  <c r="H3852" i="2"/>
  <c r="G3852" i="2"/>
  <c r="F3852" i="2"/>
  <c r="E3852" i="2"/>
  <c r="D3852" i="2"/>
  <c r="H3851" i="2"/>
  <c r="G3851" i="2"/>
  <c r="F3851" i="2"/>
  <c r="E3851" i="2"/>
  <c r="D3851" i="2"/>
  <c r="H3850" i="2"/>
  <c r="G3850" i="2"/>
  <c r="F3850" i="2"/>
  <c r="E3850" i="2"/>
  <c r="D3850" i="2"/>
  <c r="H3849" i="2"/>
  <c r="G3849" i="2"/>
  <c r="F3849" i="2"/>
  <c r="E3849" i="2"/>
  <c r="D3849" i="2"/>
  <c r="H3848" i="2"/>
  <c r="G3848" i="2"/>
  <c r="F3848" i="2"/>
  <c r="E3848" i="2"/>
  <c r="D3848" i="2"/>
  <c r="H3847" i="2"/>
  <c r="G3847" i="2"/>
  <c r="F3847" i="2"/>
  <c r="E3847" i="2"/>
  <c r="D3847" i="2"/>
  <c r="H3846" i="2"/>
  <c r="G3846" i="2"/>
  <c r="F3846" i="2"/>
  <c r="E3846" i="2"/>
  <c r="D3846" i="2"/>
  <c r="H3845" i="2"/>
  <c r="G3845" i="2"/>
  <c r="F3845" i="2"/>
  <c r="E3845" i="2"/>
  <c r="D3845" i="2"/>
  <c r="H3844" i="2"/>
  <c r="G3844" i="2"/>
  <c r="F3844" i="2"/>
  <c r="E3844" i="2"/>
  <c r="D3844" i="2"/>
  <c r="H3843" i="2"/>
  <c r="G3843" i="2"/>
  <c r="F3843" i="2"/>
  <c r="E3843" i="2"/>
  <c r="D3843" i="2"/>
  <c r="H3842" i="2"/>
  <c r="G3842" i="2"/>
  <c r="F3842" i="2"/>
  <c r="E3842" i="2"/>
  <c r="D3842" i="2"/>
  <c r="H2376" i="2"/>
  <c r="G2376" i="2"/>
  <c r="F2376" i="2"/>
  <c r="E2376" i="2"/>
  <c r="D2376" i="2"/>
  <c r="H2375" i="2"/>
  <c r="G2375" i="2"/>
  <c r="F2375" i="2"/>
  <c r="E2375" i="2"/>
  <c r="D2375" i="2"/>
  <c r="H2374" i="2"/>
  <c r="G2374" i="2"/>
  <c r="F2374" i="2"/>
  <c r="E2374" i="2"/>
  <c r="D2374" i="2"/>
  <c r="H2373" i="2"/>
  <c r="G2373" i="2"/>
  <c r="F2373" i="2"/>
  <c r="E2373" i="2"/>
  <c r="D2373" i="2"/>
  <c r="H2372" i="2"/>
  <c r="G2372" i="2"/>
  <c r="F2372" i="2"/>
  <c r="E2372" i="2"/>
  <c r="D2372" i="2"/>
  <c r="H2371" i="2"/>
  <c r="G2371" i="2"/>
  <c r="F2371" i="2"/>
  <c r="E2371" i="2"/>
  <c r="D2371" i="2"/>
  <c r="H2295" i="2"/>
  <c r="G2295" i="2"/>
  <c r="F2295" i="2"/>
  <c r="E2295" i="2"/>
  <c r="D2295" i="2"/>
  <c r="H2294" i="2"/>
  <c r="G2294" i="2"/>
  <c r="F2294" i="2"/>
  <c r="E2294" i="2"/>
  <c r="D2294" i="2"/>
  <c r="H2293" i="2"/>
  <c r="G2293" i="2"/>
  <c r="F2293" i="2"/>
  <c r="E2293" i="2"/>
  <c r="D2293" i="2"/>
  <c r="H2292" i="2"/>
  <c r="G2292" i="2"/>
  <c r="F2292" i="2"/>
  <c r="E2292" i="2"/>
  <c r="D2292" i="2"/>
  <c r="H2291" i="2"/>
  <c r="G2291" i="2"/>
  <c r="F2291" i="2"/>
  <c r="E2291" i="2"/>
  <c r="D2291" i="2"/>
  <c r="H2290" i="2"/>
  <c r="G2290" i="2"/>
  <c r="F2290" i="2"/>
  <c r="E2290" i="2"/>
  <c r="D2290" i="2"/>
  <c r="H2289" i="2"/>
  <c r="G2289" i="2"/>
  <c r="F2289" i="2"/>
  <c r="E2289" i="2"/>
  <c r="D2289" i="2"/>
  <c r="H2288" i="2"/>
  <c r="G2288" i="2"/>
  <c r="F2288" i="2"/>
  <c r="E2288" i="2"/>
  <c r="D2288" i="2"/>
  <c r="H2287" i="2"/>
  <c r="G2287" i="2"/>
  <c r="F2287" i="2"/>
  <c r="E2287" i="2"/>
  <c r="D2287" i="2"/>
  <c r="H2286" i="2"/>
  <c r="G2286" i="2"/>
  <c r="F2286" i="2"/>
  <c r="E2286" i="2"/>
  <c r="D2286" i="2"/>
  <c r="H2285" i="2"/>
  <c r="G2285" i="2"/>
  <c r="F2285" i="2"/>
  <c r="E2285" i="2"/>
  <c r="D2285" i="2"/>
  <c r="H2284" i="2"/>
  <c r="G2284" i="2"/>
  <c r="F2284" i="2"/>
  <c r="E2284" i="2"/>
  <c r="D2284" i="2"/>
  <c r="H2283" i="2"/>
  <c r="G2283" i="2"/>
  <c r="F2283" i="2"/>
  <c r="E2283" i="2"/>
  <c r="D2283" i="2"/>
  <c r="H2282" i="2"/>
  <c r="G2282" i="2"/>
  <c r="F2282" i="2"/>
  <c r="E2282" i="2"/>
  <c r="D2282" i="2"/>
  <c r="H2281" i="2"/>
  <c r="G2281" i="2"/>
  <c r="F2281" i="2"/>
  <c r="E2281" i="2"/>
  <c r="D2281" i="2"/>
  <c r="H2280" i="2"/>
  <c r="G2280" i="2"/>
  <c r="F2280" i="2"/>
  <c r="E2280" i="2"/>
  <c r="D2280" i="2"/>
  <c r="H2279" i="2"/>
  <c r="G2279" i="2"/>
  <c r="F2279" i="2"/>
  <c r="E2279" i="2"/>
  <c r="D2279" i="2"/>
  <c r="H2278" i="2"/>
  <c r="G2278" i="2"/>
  <c r="F2278" i="2"/>
  <c r="E2278" i="2"/>
  <c r="D2278" i="2"/>
  <c r="H2277" i="2"/>
  <c r="G2277" i="2"/>
  <c r="F2277" i="2"/>
  <c r="E2277" i="2"/>
  <c r="D2277" i="2"/>
  <c r="H400" i="2"/>
  <c r="G400" i="2"/>
  <c r="F400" i="2"/>
  <c r="E400" i="2"/>
  <c r="D400" i="2"/>
  <c r="H399" i="2"/>
  <c r="G399" i="2"/>
  <c r="F399" i="2"/>
  <c r="E399" i="2"/>
  <c r="D399" i="2"/>
  <c r="H398" i="2"/>
  <c r="G398" i="2"/>
  <c r="F398" i="2"/>
  <c r="E398" i="2"/>
  <c r="D398" i="2"/>
  <c r="H397" i="2"/>
  <c r="G397" i="2"/>
  <c r="F397" i="2"/>
  <c r="E397" i="2"/>
  <c r="D397" i="2"/>
  <c r="H396" i="2"/>
  <c r="G396" i="2"/>
  <c r="F396" i="2"/>
  <c r="E396" i="2"/>
  <c r="D396" i="2"/>
  <c r="H395" i="2"/>
  <c r="G395" i="2"/>
  <c r="F395" i="2"/>
  <c r="E395" i="2"/>
  <c r="D395" i="2"/>
  <c r="H394" i="2"/>
  <c r="G394" i="2"/>
  <c r="F394" i="2"/>
  <c r="E394" i="2"/>
  <c r="D394" i="2"/>
  <c r="H393" i="2"/>
  <c r="G393" i="2"/>
  <c r="F393" i="2"/>
  <c r="E393" i="2"/>
  <c r="D393" i="2"/>
  <c r="H392" i="2"/>
  <c r="G392" i="2"/>
  <c r="F392" i="2"/>
  <c r="E392" i="2"/>
  <c r="D392" i="2"/>
  <c r="H391" i="2"/>
  <c r="G391" i="2"/>
  <c r="F391" i="2"/>
  <c r="E391" i="2"/>
  <c r="D391" i="2"/>
  <c r="H435" i="2"/>
  <c r="G435" i="2"/>
  <c r="F435" i="2"/>
  <c r="E435" i="2"/>
  <c r="D435" i="2"/>
  <c r="H434" i="2"/>
  <c r="G434" i="2"/>
  <c r="F434" i="2"/>
  <c r="E434" i="2"/>
  <c r="D434" i="2"/>
  <c r="H433" i="2"/>
  <c r="G433" i="2"/>
  <c r="F433" i="2"/>
  <c r="E433" i="2"/>
  <c r="D433" i="2"/>
  <c r="H432" i="2"/>
  <c r="G432" i="2"/>
  <c r="F432" i="2"/>
  <c r="E432" i="2"/>
  <c r="D432" i="2"/>
  <c r="H431" i="2"/>
  <c r="G431" i="2"/>
  <c r="F431" i="2"/>
  <c r="E431" i="2"/>
  <c r="D431" i="2"/>
  <c r="H728" i="2"/>
  <c r="G728" i="2"/>
  <c r="F728" i="2"/>
  <c r="E728" i="2"/>
  <c r="D728" i="2"/>
  <c r="H727" i="2"/>
  <c r="G727" i="2"/>
  <c r="F727" i="2"/>
  <c r="E727" i="2"/>
  <c r="D727" i="2"/>
  <c r="H726" i="2"/>
  <c r="G726" i="2"/>
  <c r="F726" i="2"/>
  <c r="E726" i="2"/>
  <c r="D726" i="2"/>
  <c r="H725" i="2"/>
  <c r="G725" i="2"/>
  <c r="F725" i="2"/>
  <c r="E725" i="2"/>
  <c r="D725" i="2"/>
  <c r="H724" i="2"/>
  <c r="G724" i="2"/>
  <c r="F724" i="2"/>
  <c r="E724" i="2"/>
  <c r="D724" i="2"/>
  <c r="H723" i="2"/>
  <c r="G723" i="2"/>
  <c r="F723" i="2"/>
  <c r="E723" i="2"/>
  <c r="D723" i="2"/>
  <c r="H722" i="2"/>
  <c r="G722" i="2"/>
  <c r="F722" i="2"/>
  <c r="E722" i="2"/>
  <c r="D722" i="2"/>
  <c r="H721" i="2"/>
  <c r="G721" i="2"/>
  <c r="F721" i="2"/>
  <c r="E721" i="2"/>
  <c r="D721" i="2"/>
  <c r="H720" i="2"/>
  <c r="G720" i="2"/>
  <c r="F720" i="2"/>
  <c r="E720" i="2"/>
  <c r="D720" i="2"/>
  <c r="H719" i="2"/>
  <c r="G719" i="2"/>
  <c r="F719" i="2"/>
  <c r="E719" i="2"/>
  <c r="D719" i="2"/>
  <c r="H718" i="2"/>
  <c r="G718" i="2"/>
  <c r="F718" i="2"/>
  <c r="E718" i="2"/>
  <c r="D718" i="2"/>
  <c r="H717" i="2"/>
  <c r="G717" i="2"/>
  <c r="F717" i="2"/>
  <c r="E717" i="2"/>
  <c r="D717" i="2"/>
  <c r="H716" i="2"/>
  <c r="G716" i="2"/>
  <c r="F716" i="2"/>
  <c r="E716" i="2"/>
  <c r="D716" i="2"/>
  <c r="H715" i="2"/>
  <c r="G715" i="2"/>
  <c r="F715" i="2"/>
  <c r="E715" i="2"/>
  <c r="D715" i="2"/>
  <c r="H2157" i="2"/>
  <c r="G2157" i="2"/>
  <c r="F2157" i="2"/>
  <c r="E2157" i="2"/>
  <c r="D2157" i="2"/>
  <c r="H2156" i="2"/>
  <c r="G2156" i="2"/>
  <c r="F2156" i="2"/>
  <c r="E2156" i="2"/>
  <c r="D2156" i="2"/>
  <c r="H2155" i="2"/>
  <c r="G2155" i="2"/>
  <c r="F2155" i="2"/>
  <c r="E2155" i="2"/>
  <c r="D2155" i="2"/>
  <c r="H2154" i="2"/>
  <c r="G2154" i="2"/>
  <c r="F2154" i="2"/>
  <c r="E2154" i="2"/>
  <c r="D2154" i="2"/>
  <c r="H2153" i="2"/>
  <c r="G2153" i="2"/>
  <c r="F2153" i="2"/>
  <c r="E2153" i="2"/>
  <c r="D2153" i="2"/>
  <c r="H2152" i="2"/>
  <c r="G2152" i="2"/>
  <c r="F2152" i="2"/>
  <c r="E2152" i="2"/>
  <c r="D2152" i="2"/>
  <c r="H2151" i="2"/>
  <c r="G2151" i="2"/>
  <c r="F2151" i="2"/>
  <c r="E2151" i="2"/>
  <c r="D2151" i="2"/>
  <c r="H2150" i="2"/>
  <c r="G2150" i="2"/>
  <c r="F2150" i="2"/>
  <c r="E2150" i="2"/>
  <c r="D2150" i="2"/>
  <c r="H2149" i="2"/>
  <c r="G2149" i="2"/>
  <c r="F2149" i="2"/>
  <c r="E2149" i="2"/>
  <c r="D2149" i="2"/>
  <c r="H2148" i="2"/>
  <c r="G2148" i="2"/>
  <c r="F2148" i="2"/>
  <c r="E2148" i="2"/>
  <c r="D2148" i="2"/>
  <c r="H2147" i="2"/>
  <c r="G2147" i="2"/>
  <c r="F2147" i="2"/>
  <c r="E2147" i="2"/>
  <c r="D2147" i="2"/>
  <c r="H2146" i="2"/>
  <c r="G2146" i="2"/>
  <c r="F2146" i="2"/>
  <c r="E2146" i="2"/>
  <c r="D2146" i="2"/>
  <c r="H2145" i="2"/>
  <c r="G2145" i="2"/>
  <c r="F2145" i="2"/>
  <c r="E2145" i="2"/>
  <c r="D2145" i="2"/>
  <c r="H2144" i="2"/>
  <c r="G2144" i="2"/>
  <c r="F2144" i="2"/>
  <c r="E2144" i="2"/>
  <c r="D2144" i="2"/>
  <c r="H2143" i="2"/>
  <c r="G2143" i="2"/>
  <c r="F2143" i="2"/>
  <c r="E2143" i="2"/>
  <c r="D2143" i="2"/>
  <c r="H2142" i="2"/>
  <c r="G2142" i="2"/>
  <c r="F2142" i="2"/>
  <c r="E2142" i="2"/>
  <c r="D2142" i="2"/>
  <c r="H2141" i="2"/>
  <c r="G2141" i="2"/>
  <c r="F2141" i="2"/>
  <c r="E2141" i="2"/>
  <c r="D2141" i="2"/>
  <c r="H2140" i="2"/>
  <c r="G2140" i="2"/>
  <c r="F2140" i="2"/>
  <c r="E2140" i="2"/>
  <c r="D2140" i="2"/>
  <c r="H2139" i="2"/>
  <c r="G2139" i="2"/>
  <c r="F2139" i="2"/>
  <c r="E2139" i="2"/>
  <c r="D2139" i="2"/>
  <c r="H2138" i="2"/>
  <c r="G2138" i="2"/>
  <c r="F2138" i="2"/>
  <c r="E2138" i="2"/>
  <c r="D2138" i="2"/>
  <c r="H2137" i="2"/>
  <c r="G2137" i="2"/>
  <c r="F2137" i="2"/>
  <c r="E2137" i="2"/>
  <c r="D2137" i="2"/>
  <c r="H2136" i="2"/>
  <c r="G2136" i="2"/>
  <c r="F2136" i="2"/>
  <c r="E2136" i="2"/>
  <c r="D2136" i="2"/>
  <c r="H2135" i="2"/>
  <c r="G2135" i="2"/>
  <c r="F2135" i="2"/>
  <c r="E2135" i="2"/>
  <c r="D2135" i="2"/>
  <c r="H2134" i="2"/>
  <c r="G2134" i="2"/>
  <c r="F2134" i="2"/>
  <c r="E2134" i="2"/>
  <c r="D2134" i="2"/>
  <c r="H2133" i="2"/>
  <c r="G2133" i="2"/>
  <c r="F2133" i="2"/>
  <c r="E2133" i="2"/>
  <c r="D2133" i="2"/>
  <c r="H2132" i="2"/>
  <c r="G2132" i="2"/>
  <c r="F2132" i="2"/>
  <c r="E2132" i="2"/>
  <c r="D2132" i="2"/>
  <c r="H2131" i="2"/>
  <c r="G2131" i="2"/>
  <c r="F2131" i="2"/>
  <c r="E2131" i="2"/>
  <c r="D2131" i="2"/>
  <c r="H430" i="2"/>
  <c r="G430" i="2"/>
  <c r="F430" i="2"/>
  <c r="E430" i="2"/>
  <c r="D430" i="2"/>
  <c r="H429" i="2"/>
  <c r="G429" i="2"/>
  <c r="F429" i="2"/>
  <c r="E429" i="2"/>
  <c r="D429" i="2"/>
  <c r="H428" i="2"/>
  <c r="G428" i="2"/>
  <c r="F428" i="2"/>
  <c r="E428" i="2"/>
  <c r="D428" i="2"/>
  <c r="H427" i="2"/>
  <c r="G427" i="2"/>
  <c r="F427" i="2"/>
  <c r="E427" i="2"/>
  <c r="D427" i="2"/>
  <c r="H426" i="2"/>
  <c r="G426" i="2"/>
  <c r="F426" i="2"/>
  <c r="E426" i="2"/>
  <c r="D426" i="2"/>
  <c r="H425" i="2"/>
  <c r="G425" i="2"/>
  <c r="F425" i="2"/>
  <c r="E425" i="2"/>
  <c r="D425" i="2"/>
  <c r="H424" i="2"/>
  <c r="G424" i="2"/>
  <c r="F424" i="2"/>
  <c r="E424" i="2"/>
  <c r="D424" i="2"/>
  <c r="H423" i="2"/>
  <c r="G423" i="2"/>
  <c r="F423" i="2"/>
  <c r="E423" i="2"/>
  <c r="D423" i="2"/>
  <c r="H209" i="2"/>
  <c r="G209" i="2"/>
  <c r="F209" i="2"/>
  <c r="E209" i="2"/>
  <c r="D209" i="2"/>
  <c r="H208" i="2"/>
  <c r="G208" i="2"/>
  <c r="F208" i="2"/>
  <c r="E208" i="2"/>
  <c r="D208" i="2"/>
  <c r="H207" i="2"/>
  <c r="G207" i="2"/>
  <c r="F207" i="2"/>
  <c r="E207" i="2"/>
  <c r="D207" i="2"/>
  <c r="H206" i="2"/>
  <c r="G206" i="2"/>
  <c r="F206" i="2"/>
  <c r="E206" i="2"/>
  <c r="D206" i="2"/>
  <c r="H205" i="2"/>
  <c r="G205" i="2"/>
  <c r="F205" i="2"/>
  <c r="E205" i="2"/>
  <c r="D205" i="2"/>
  <c r="H204" i="2"/>
  <c r="G204" i="2"/>
  <c r="F204" i="2"/>
  <c r="E204" i="2"/>
  <c r="D204" i="2"/>
  <c r="H203" i="2"/>
  <c r="G203" i="2"/>
  <c r="F203" i="2"/>
  <c r="E203" i="2"/>
  <c r="D203" i="2"/>
  <c r="H202" i="2"/>
  <c r="G202" i="2"/>
  <c r="F202" i="2"/>
  <c r="E202" i="2"/>
  <c r="D202" i="2"/>
  <c r="H201" i="2"/>
  <c r="G201" i="2"/>
  <c r="F201" i="2"/>
  <c r="E201" i="2"/>
  <c r="D201" i="2"/>
  <c r="H200" i="2"/>
  <c r="G200" i="2"/>
  <c r="F200" i="2"/>
  <c r="E200" i="2"/>
  <c r="D200" i="2"/>
  <c r="H199" i="2"/>
  <c r="G199" i="2"/>
  <c r="F199" i="2"/>
  <c r="E199" i="2"/>
  <c r="D199" i="2"/>
  <c r="H198" i="2"/>
  <c r="G198" i="2"/>
  <c r="F198" i="2"/>
  <c r="E198" i="2"/>
  <c r="D198" i="2"/>
  <c r="H197" i="2"/>
  <c r="G197" i="2"/>
  <c r="F197" i="2"/>
  <c r="E197" i="2"/>
  <c r="D197" i="2"/>
  <c r="H1862" i="2"/>
  <c r="G1862" i="2"/>
  <c r="F1862" i="2"/>
  <c r="E1862" i="2"/>
  <c r="D1862" i="2"/>
  <c r="H1861" i="2"/>
  <c r="G1861" i="2"/>
  <c r="F1861" i="2"/>
  <c r="E1861" i="2"/>
  <c r="D1861" i="2"/>
  <c r="H1860" i="2"/>
  <c r="G1860" i="2"/>
  <c r="F1860" i="2"/>
  <c r="E1860" i="2"/>
  <c r="D1860" i="2"/>
  <c r="H1859" i="2"/>
  <c r="G1859" i="2"/>
  <c r="F1859" i="2"/>
  <c r="E1859" i="2"/>
  <c r="D1859" i="2"/>
  <c r="H1858" i="2"/>
  <c r="G1858" i="2"/>
  <c r="F1858" i="2"/>
  <c r="E1858" i="2"/>
  <c r="D1858" i="2"/>
  <c r="H1857" i="2"/>
  <c r="G1857" i="2"/>
  <c r="F1857" i="2"/>
  <c r="E1857" i="2"/>
  <c r="D1857" i="2"/>
  <c r="H1856" i="2"/>
  <c r="G1856" i="2"/>
  <c r="F1856" i="2"/>
  <c r="E1856" i="2"/>
  <c r="D1856" i="2"/>
  <c r="H1855" i="2"/>
  <c r="G1855" i="2"/>
  <c r="F1855" i="2"/>
  <c r="E1855" i="2"/>
  <c r="D1855" i="2"/>
  <c r="H1854" i="2"/>
  <c r="G1854" i="2"/>
  <c r="F1854" i="2"/>
  <c r="E1854" i="2"/>
  <c r="D1854" i="2"/>
  <c r="H1853" i="2"/>
  <c r="G1853" i="2"/>
  <c r="F1853" i="2"/>
  <c r="E1853" i="2"/>
  <c r="D1853" i="2"/>
  <c r="H1852" i="2"/>
  <c r="G1852" i="2"/>
  <c r="F1852" i="2"/>
  <c r="E1852" i="2"/>
  <c r="D1852" i="2"/>
  <c r="H1851" i="2"/>
  <c r="G1851" i="2"/>
  <c r="F1851" i="2"/>
  <c r="E1851" i="2"/>
  <c r="D1851" i="2"/>
  <c r="H1850" i="2"/>
  <c r="G1850" i="2"/>
  <c r="F1850" i="2"/>
  <c r="E1850" i="2"/>
  <c r="D1850" i="2"/>
  <c r="H1849" i="2"/>
  <c r="G1849" i="2"/>
  <c r="F1849" i="2"/>
  <c r="E1849" i="2"/>
  <c r="D1849" i="2"/>
  <c r="H1848" i="2"/>
  <c r="G1848" i="2"/>
  <c r="F1848" i="2"/>
  <c r="E1848" i="2"/>
  <c r="D1848" i="2"/>
  <c r="H1847" i="2"/>
  <c r="G1847" i="2"/>
  <c r="F1847" i="2"/>
  <c r="E1847" i="2"/>
  <c r="D1847" i="2"/>
  <c r="H1846" i="2"/>
  <c r="G1846" i="2"/>
  <c r="F1846" i="2"/>
  <c r="E1846" i="2"/>
  <c r="D1846" i="2"/>
  <c r="H1845" i="2"/>
  <c r="G1845" i="2"/>
  <c r="F1845" i="2"/>
  <c r="E1845" i="2"/>
  <c r="D1845" i="2"/>
  <c r="H1844" i="2"/>
  <c r="G1844" i="2"/>
  <c r="F1844" i="2"/>
  <c r="E1844" i="2"/>
  <c r="D1844" i="2"/>
  <c r="H1843" i="2"/>
  <c r="G1843" i="2"/>
  <c r="F1843" i="2"/>
  <c r="E1843" i="2"/>
  <c r="D1843" i="2"/>
  <c r="H3387" i="2"/>
  <c r="G3387" i="2"/>
  <c r="F3387" i="2"/>
  <c r="E3387" i="2"/>
  <c r="D3387" i="2"/>
  <c r="H3386" i="2"/>
  <c r="G3386" i="2"/>
  <c r="F3386" i="2"/>
  <c r="E3386" i="2"/>
  <c r="D3386" i="2"/>
  <c r="H2090" i="2"/>
  <c r="G2090" i="2"/>
  <c r="F2090" i="2"/>
  <c r="E2090" i="2"/>
  <c r="D2090" i="2"/>
  <c r="H2089" i="2"/>
  <c r="G2089" i="2"/>
  <c r="F2089" i="2"/>
  <c r="E2089" i="2"/>
  <c r="D2089" i="2"/>
  <c r="H2088" i="2"/>
  <c r="G2088" i="2"/>
  <c r="F2088" i="2"/>
  <c r="E2088" i="2"/>
  <c r="D2088" i="2"/>
  <c r="H2087" i="2"/>
  <c r="G2087" i="2"/>
  <c r="F2087" i="2"/>
  <c r="E2087" i="2"/>
  <c r="D2087" i="2"/>
  <c r="H2086" i="2"/>
  <c r="G2086" i="2"/>
  <c r="F2086" i="2"/>
  <c r="E2086" i="2"/>
  <c r="D2086" i="2"/>
  <c r="H2085" i="2"/>
  <c r="G2085" i="2"/>
  <c r="F2085" i="2"/>
  <c r="E2085" i="2"/>
  <c r="D2085" i="2"/>
  <c r="H2084" i="2"/>
  <c r="G2084" i="2"/>
  <c r="F2084" i="2"/>
  <c r="E2084" i="2"/>
  <c r="D2084" i="2"/>
  <c r="H2083" i="2"/>
  <c r="G2083" i="2"/>
  <c r="F2083" i="2"/>
  <c r="E2083" i="2"/>
  <c r="D2083" i="2"/>
  <c r="H2082" i="2"/>
  <c r="G2082" i="2"/>
  <c r="F2082" i="2"/>
  <c r="E2082" i="2"/>
  <c r="D2082" i="2"/>
  <c r="H2081" i="2"/>
  <c r="G2081" i="2"/>
  <c r="F2081" i="2"/>
  <c r="E2081" i="2"/>
  <c r="D2081" i="2"/>
  <c r="H2080" i="2"/>
  <c r="G2080" i="2"/>
  <c r="F2080" i="2"/>
  <c r="E2080" i="2"/>
  <c r="D2080" i="2"/>
  <c r="H2079" i="2"/>
  <c r="G2079" i="2"/>
  <c r="F2079" i="2"/>
  <c r="E2079" i="2"/>
  <c r="D2079" i="2"/>
  <c r="H2078" i="2"/>
  <c r="G2078" i="2"/>
  <c r="F2078" i="2"/>
  <c r="E2078" i="2"/>
  <c r="D2078" i="2"/>
  <c r="H2077" i="2"/>
  <c r="G2077" i="2"/>
  <c r="F2077" i="2"/>
  <c r="E2077" i="2"/>
  <c r="D2077" i="2"/>
  <c r="H2076" i="2"/>
  <c r="G2076" i="2"/>
  <c r="F2076" i="2"/>
  <c r="E2076" i="2"/>
  <c r="D2076" i="2"/>
  <c r="H2075" i="2"/>
  <c r="G2075" i="2"/>
  <c r="F2075" i="2"/>
  <c r="E2075" i="2"/>
  <c r="D2075" i="2"/>
  <c r="H2074" i="2"/>
  <c r="G2074" i="2"/>
  <c r="F2074" i="2"/>
  <c r="E2074" i="2"/>
  <c r="D2074" i="2"/>
  <c r="H2073" i="2"/>
  <c r="G2073" i="2"/>
  <c r="F2073" i="2"/>
  <c r="E2073" i="2"/>
  <c r="D2073" i="2"/>
  <c r="H2072" i="2"/>
  <c r="G2072" i="2"/>
  <c r="F2072" i="2"/>
  <c r="E2072" i="2"/>
  <c r="D2072" i="2"/>
  <c r="H2071" i="2"/>
  <c r="G2071" i="2"/>
  <c r="F2071" i="2"/>
  <c r="E2071" i="2"/>
  <c r="D2071" i="2"/>
  <c r="H2070" i="2"/>
  <c r="G2070" i="2"/>
  <c r="F2070" i="2"/>
  <c r="E2070" i="2"/>
  <c r="D2070" i="2"/>
  <c r="H2069" i="2"/>
  <c r="G2069" i="2"/>
  <c r="F2069" i="2"/>
  <c r="E2069" i="2"/>
  <c r="D2069" i="2"/>
  <c r="H2068" i="2"/>
  <c r="G2068" i="2"/>
  <c r="F2068" i="2"/>
  <c r="E2068" i="2"/>
  <c r="D2068" i="2"/>
  <c r="H2067" i="2"/>
  <c r="G2067" i="2"/>
  <c r="F2067" i="2"/>
  <c r="E2067" i="2"/>
  <c r="D2067" i="2"/>
  <c r="H686" i="2"/>
  <c r="G686" i="2"/>
  <c r="F686" i="2"/>
  <c r="E686" i="2"/>
  <c r="D686" i="2"/>
  <c r="H685" i="2"/>
  <c r="G685" i="2"/>
  <c r="F685" i="2"/>
  <c r="E685" i="2"/>
  <c r="D685" i="2"/>
  <c r="H647" i="2"/>
  <c r="G647" i="2"/>
  <c r="F647" i="2"/>
  <c r="E647" i="2"/>
  <c r="D647" i="2"/>
  <c r="H646" i="2"/>
  <c r="G646" i="2"/>
  <c r="F646" i="2"/>
  <c r="E646" i="2"/>
  <c r="D646" i="2"/>
  <c r="H645" i="2"/>
  <c r="G645" i="2"/>
  <c r="F645" i="2"/>
  <c r="E645" i="2"/>
  <c r="D645" i="2"/>
  <c r="H644" i="2"/>
  <c r="G644" i="2"/>
  <c r="F644" i="2"/>
  <c r="E644" i="2"/>
  <c r="D644" i="2"/>
  <c r="H643" i="2"/>
  <c r="G643" i="2"/>
  <c r="F643" i="2"/>
  <c r="E643" i="2"/>
  <c r="D643" i="2"/>
  <c r="H642" i="2"/>
  <c r="G642" i="2"/>
  <c r="F642" i="2"/>
  <c r="E642" i="2"/>
  <c r="D642" i="2"/>
  <c r="H641" i="2"/>
  <c r="G641" i="2"/>
  <c r="F641" i="2"/>
  <c r="E641" i="2"/>
  <c r="D641" i="2"/>
  <c r="H640" i="2"/>
  <c r="G640" i="2"/>
  <c r="F640" i="2"/>
  <c r="E640" i="2"/>
  <c r="D640" i="2"/>
  <c r="H639" i="2"/>
  <c r="G639" i="2"/>
  <c r="F639" i="2"/>
  <c r="E639" i="2"/>
  <c r="D639" i="2"/>
  <c r="H638" i="2"/>
  <c r="G638" i="2"/>
  <c r="F638" i="2"/>
  <c r="E638" i="2"/>
  <c r="D638" i="2"/>
  <c r="H637" i="2"/>
  <c r="G637" i="2"/>
  <c r="F637" i="2"/>
  <c r="E637" i="2"/>
  <c r="D637" i="2"/>
  <c r="H636" i="2"/>
  <c r="G636" i="2"/>
  <c r="F636" i="2"/>
  <c r="E636" i="2"/>
  <c r="D636" i="2"/>
  <c r="H635" i="2"/>
  <c r="G635" i="2"/>
  <c r="F635" i="2"/>
  <c r="E635" i="2"/>
  <c r="D635" i="2"/>
  <c r="H634" i="2"/>
  <c r="G634" i="2"/>
  <c r="F634" i="2"/>
  <c r="E634" i="2"/>
  <c r="D634" i="2"/>
  <c r="H633" i="2"/>
  <c r="G633" i="2"/>
  <c r="F633" i="2"/>
  <c r="E633" i="2"/>
  <c r="D633" i="2"/>
  <c r="H632" i="2"/>
  <c r="G632" i="2"/>
  <c r="F632" i="2"/>
  <c r="E632" i="2"/>
  <c r="D632" i="2"/>
  <c r="H74" i="2"/>
  <c r="G74" i="2"/>
  <c r="F74" i="2"/>
  <c r="E74" i="2"/>
  <c r="D74" i="2"/>
  <c r="H73" i="2"/>
  <c r="G73" i="2"/>
  <c r="F73" i="2"/>
  <c r="E73" i="2"/>
  <c r="D73" i="2"/>
  <c r="H72" i="2"/>
  <c r="G72" i="2"/>
  <c r="F72" i="2"/>
  <c r="E72" i="2"/>
  <c r="D72" i="2"/>
  <c r="H71" i="2"/>
  <c r="G71" i="2"/>
  <c r="F71" i="2"/>
  <c r="E71" i="2"/>
  <c r="D71" i="2"/>
  <c r="H70" i="2"/>
  <c r="G70" i="2"/>
  <c r="F70" i="2"/>
  <c r="E70" i="2"/>
  <c r="D70" i="2"/>
  <c r="H69" i="2"/>
  <c r="G69" i="2"/>
  <c r="F69" i="2"/>
  <c r="E69" i="2"/>
  <c r="D69" i="2"/>
  <c r="H68" i="2"/>
  <c r="G68" i="2"/>
  <c r="F68" i="2"/>
  <c r="E68" i="2"/>
  <c r="D68" i="2"/>
  <c r="H67" i="2"/>
  <c r="G67" i="2"/>
  <c r="F67" i="2"/>
  <c r="E67" i="2"/>
  <c r="D67" i="2"/>
  <c r="H1516" i="2"/>
  <c r="G1516" i="2"/>
  <c r="F1516" i="2"/>
  <c r="E1516" i="2"/>
  <c r="D1516" i="2"/>
  <c r="H1515" i="2"/>
  <c r="G1515" i="2"/>
  <c r="F1515" i="2"/>
  <c r="E1515" i="2"/>
  <c r="D1515" i="2"/>
  <c r="H1514" i="2"/>
  <c r="G1514" i="2"/>
  <c r="F1514" i="2"/>
  <c r="E1514" i="2"/>
  <c r="D1514" i="2"/>
  <c r="H1513" i="2"/>
  <c r="G1513" i="2"/>
  <c r="F1513" i="2"/>
  <c r="E1513" i="2"/>
  <c r="D1513" i="2"/>
  <c r="H1512" i="2"/>
  <c r="G1512" i="2"/>
  <c r="F1512" i="2"/>
  <c r="E1512" i="2"/>
  <c r="D1512" i="2"/>
  <c r="H1511" i="2"/>
  <c r="G1511" i="2"/>
  <c r="F1511" i="2"/>
  <c r="E1511" i="2"/>
  <c r="D1511" i="2"/>
  <c r="H1510" i="2"/>
  <c r="G1510" i="2"/>
  <c r="F1510" i="2"/>
  <c r="E1510" i="2"/>
  <c r="D1510" i="2"/>
  <c r="H1509" i="2"/>
  <c r="G1509" i="2"/>
  <c r="F1509" i="2"/>
  <c r="E1509" i="2"/>
  <c r="D1509" i="2"/>
  <c r="H1508" i="2"/>
  <c r="G1508" i="2"/>
  <c r="F1508" i="2"/>
  <c r="E1508" i="2"/>
  <c r="D1508" i="2"/>
  <c r="H876" i="2"/>
  <c r="G876" i="2"/>
  <c r="F876" i="2"/>
  <c r="E876" i="2"/>
  <c r="D876" i="2"/>
  <c r="H875" i="2"/>
  <c r="G875" i="2"/>
  <c r="F875" i="2"/>
  <c r="E875" i="2"/>
  <c r="D875" i="2"/>
  <c r="H874" i="2"/>
  <c r="G874" i="2"/>
  <c r="F874" i="2"/>
  <c r="E874" i="2"/>
  <c r="D874" i="2"/>
  <c r="H873" i="2"/>
  <c r="G873" i="2"/>
  <c r="F873" i="2"/>
  <c r="E873" i="2"/>
  <c r="D873" i="2"/>
  <c r="H872" i="2"/>
  <c r="G872" i="2"/>
  <c r="F872" i="2"/>
  <c r="E872" i="2"/>
  <c r="D872" i="2"/>
  <c r="H871" i="2"/>
  <c r="G871" i="2"/>
  <c r="F871" i="2"/>
  <c r="E871" i="2"/>
  <c r="D871" i="2"/>
  <c r="H870" i="2"/>
  <c r="G870" i="2"/>
  <c r="F870" i="2"/>
  <c r="E870" i="2"/>
  <c r="D870" i="2"/>
  <c r="H869" i="2"/>
  <c r="G869" i="2"/>
  <c r="F869" i="2"/>
  <c r="E869" i="2"/>
  <c r="D869" i="2"/>
  <c r="H868" i="2"/>
  <c r="G868" i="2"/>
  <c r="F868" i="2"/>
  <c r="E868" i="2"/>
  <c r="D868" i="2"/>
  <c r="H867" i="2"/>
  <c r="G867" i="2"/>
  <c r="F867" i="2"/>
  <c r="E867" i="2"/>
  <c r="D867" i="2"/>
  <c r="H866" i="2"/>
  <c r="G866" i="2"/>
  <c r="F866" i="2"/>
  <c r="E866" i="2"/>
  <c r="D866" i="2"/>
  <c r="H865" i="2"/>
  <c r="G865" i="2"/>
  <c r="F865" i="2"/>
  <c r="E865" i="2"/>
  <c r="D865" i="2"/>
  <c r="H864" i="2"/>
  <c r="G864" i="2"/>
  <c r="F864" i="2"/>
  <c r="E864" i="2"/>
  <c r="D864" i="2"/>
  <c r="H863" i="2"/>
  <c r="G863" i="2"/>
  <c r="F863" i="2"/>
  <c r="E863" i="2"/>
  <c r="D863" i="2"/>
  <c r="H862" i="2"/>
  <c r="G862" i="2"/>
  <c r="F862" i="2"/>
  <c r="E862" i="2"/>
  <c r="D862" i="2"/>
  <c r="H861" i="2"/>
  <c r="G861" i="2"/>
  <c r="F861" i="2"/>
  <c r="E861" i="2"/>
  <c r="D861" i="2"/>
  <c r="H860" i="2"/>
  <c r="G860" i="2"/>
  <c r="F860" i="2"/>
  <c r="E860" i="2"/>
  <c r="D860" i="2"/>
  <c r="H859" i="2"/>
  <c r="G859" i="2"/>
  <c r="F859" i="2"/>
  <c r="E859" i="2"/>
  <c r="D859" i="2"/>
  <c r="H2180" i="2"/>
  <c r="G2180" i="2"/>
  <c r="F2180" i="2"/>
  <c r="E2180" i="2"/>
  <c r="D2180" i="2"/>
  <c r="H1564" i="2"/>
  <c r="G1564" i="2"/>
  <c r="F1564" i="2"/>
  <c r="E1564" i="2"/>
  <c r="D1564" i="2"/>
  <c r="H1981" i="2"/>
  <c r="G1981" i="2"/>
  <c r="F1981" i="2"/>
  <c r="E1981" i="2"/>
  <c r="D1981" i="2"/>
  <c r="H1980" i="2"/>
  <c r="G1980" i="2"/>
  <c r="F1980" i="2"/>
  <c r="E1980" i="2"/>
  <c r="D1980" i="2"/>
  <c r="H1979" i="2"/>
  <c r="G1979" i="2"/>
  <c r="F1979" i="2"/>
  <c r="E1979" i="2"/>
  <c r="D1979" i="2"/>
  <c r="H1978" i="2"/>
  <c r="G1978" i="2"/>
  <c r="F1978" i="2"/>
  <c r="E1978" i="2"/>
  <c r="D1978" i="2"/>
  <c r="H1913" i="2"/>
  <c r="G1913" i="2"/>
  <c r="F1913" i="2"/>
  <c r="E1913" i="2"/>
  <c r="D1913" i="2"/>
  <c r="H2014" i="2"/>
  <c r="G2014" i="2"/>
  <c r="F2014" i="2"/>
  <c r="E2014" i="2"/>
  <c r="D2014" i="2"/>
  <c r="H2013" i="2"/>
  <c r="G2013" i="2"/>
  <c r="F2013" i="2"/>
  <c r="E2013" i="2"/>
  <c r="D2013" i="2"/>
  <c r="H2012" i="2"/>
  <c r="G2012" i="2"/>
  <c r="F2012" i="2"/>
  <c r="E2012" i="2"/>
  <c r="D2012" i="2"/>
  <c r="H2011" i="2"/>
  <c r="G2011" i="2"/>
  <c r="F2011" i="2"/>
  <c r="E2011" i="2"/>
  <c r="D2011" i="2"/>
  <c r="H2010" i="2"/>
  <c r="G2010" i="2"/>
  <c r="F2010" i="2"/>
  <c r="E2010" i="2"/>
  <c r="D2010" i="2"/>
  <c r="H2009" i="2"/>
  <c r="G2009" i="2"/>
  <c r="F2009" i="2"/>
  <c r="E2009" i="2"/>
  <c r="D2009" i="2"/>
  <c r="H2008" i="2"/>
  <c r="G2008" i="2"/>
  <c r="F2008" i="2"/>
  <c r="E2008" i="2"/>
  <c r="D2008" i="2"/>
  <c r="H2007" i="2"/>
  <c r="G2007" i="2"/>
  <c r="F2007" i="2"/>
  <c r="E2007" i="2"/>
  <c r="D2007" i="2"/>
  <c r="H2006" i="2"/>
  <c r="G2006" i="2"/>
  <c r="F2006" i="2"/>
  <c r="E2006" i="2"/>
  <c r="D2006" i="2"/>
  <c r="H2005" i="2"/>
  <c r="G2005" i="2"/>
  <c r="F2005" i="2"/>
  <c r="E2005" i="2"/>
  <c r="D2005" i="2"/>
  <c r="H2004" i="2"/>
  <c r="G2004" i="2"/>
  <c r="F2004" i="2"/>
  <c r="E2004" i="2"/>
  <c r="D2004" i="2"/>
  <c r="H2003" i="2"/>
  <c r="G2003" i="2"/>
  <c r="F2003" i="2"/>
  <c r="E2003" i="2"/>
  <c r="D2003" i="2"/>
  <c r="H2002" i="2"/>
  <c r="G2002" i="2"/>
  <c r="F2002" i="2"/>
  <c r="E2002" i="2"/>
  <c r="D2002" i="2"/>
  <c r="H2001" i="2"/>
  <c r="G2001" i="2"/>
  <c r="F2001" i="2"/>
  <c r="E2001" i="2"/>
  <c r="D2001" i="2"/>
  <c r="H2000" i="2"/>
  <c r="G2000" i="2"/>
  <c r="F2000" i="2"/>
  <c r="E2000" i="2"/>
  <c r="D2000" i="2"/>
  <c r="H2196" i="2"/>
  <c r="G2196" i="2"/>
  <c r="F2196" i="2"/>
  <c r="E2196" i="2"/>
  <c r="D2196" i="2"/>
  <c r="H2195" i="2"/>
  <c r="G2195" i="2"/>
  <c r="F2195" i="2"/>
  <c r="E2195" i="2"/>
  <c r="D2195" i="2"/>
  <c r="H3322" i="2"/>
  <c r="G3322" i="2"/>
  <c r="F3322" i="2"/>
  <c r="E3322" i="2"/>
  <c r="D3322" i="2"/>
  <c r="H3321" i="2"/>
  <c r="G3321" i="2"/>
  <c r="F3321" i="2"/>
  <c r="E3321" i="2"/>
  <c r="D3321" i="2"/>
  <c r="H3320" i="2"/>
  <c r="G3320" i="2"/>
  <c r="F3320" i="2"/>
  <c r="E3320" i="2"/>
  <c r="D3320" i="2"/>
  <c r="H3319" i="2"/>
  <c r="G3319" i="2"/>
  <c r="F3319" i="2"/>
  <c r="E3319" i="2"/>
  <c r="D3319" i="2"/>
  <c r="H3318" i="2"/>
  <c r="G3318" i="2"/>
  <c r="F3318" i="2"/>
  <c r="E3318" i="2"/>
  <c r="D3318" i="2"/>
  <c r="H1125" i="2"/>
  <c r="G1125" i="2"/>
  <c r="F1125" i="2"/>
  <c r="E1125" i="2"/>
  <c r="D1125" i="2"/>
  <c r="H1124" i="2"/>
  <c r="G1124" i="2"/>
  <c r="F1124" i="2"/>
  <c r="E1124" i="2"/>
  <c r="D1124" i="2"/>
  <c r="H1123" i="2"/>
  <c r="G1123" i="2"/>
  <c r="F1123" i="2"/>
  <c r="E1123" i="2"/>
  <c r="D1123" i="2"/>
  <c r="H2420" i="2"/>
  <c r="G2420" i="2"/>
  <c r="F2420" i="2"/>
  <c r="E2420" i="2"/>
  <c r="D2420" i="2"/>
  <c r="H2419" i="2"/>
  <c r="G2419" i="2"/>
  <c r="F2419" i="2"/>
  <c r="E2419" i="2"/>
  <c r="D2419" i="2"/>
  <c r="H2418" i="2"/>
  <c r="G2418" i="2"/>
  <c r="F2418" i="2"/>
  <c r="E2418" i="2"/>
  <c r="D2418" i="2"/>
  <c r="H2417" i="2"/>
  <c r="G2417" i="2"/>
  <c r="F2417" i="2"/>
  <c r="E2417" i="2"/>
  <c r="D2417" i="2"/>
  <c r="H2416" i="2"/>
  <c r="G2416" i="2"/>
  <c r="F2416" i="2"/>
  <c r="E2416" i="2"/>
  <c r="D2416" i="2"/>
  <c r="H2415" i="2"/>
  <c r="G2415" i="2"/>
  <c r="F2415" i="2"/>
  <c r="E2415" i="2"/>
  <c r="D2415" i="2"/>
  <c r="H2414" i="2"/>
  <c r="G2414" i="2"/>
  <c r="F2414" i="2"/>
  <c r="E2414" i="2"/>
  <c r="D2414" i="2"/>
  <c r="H2413" i="2"/>
  <c r="G2413" i="2"/>
  <c r="F2413" i="2"/>
  <c r="E2413" i="2"/>
  <c r="D2413" i="2"/>
  <c r="H2412" i="2"/>
  <c r="G2412" i="2"/>
  <c r="F2412" i="2"/>
  <c r="E2412" i="2"/>
  <c r="D2412" i="2"/>
  <c r="H2411" i="2"/>
  <c r="G2411" i="2"/>
  <c r="F2411" i="2"/>
  <c r="E2411" i="2"/>
  <c r="D2411" i="2"/>
  <c r="H2410" i="2"/>
  <c r="G2410" i="2"/>
  <c r="F2410" i="2"/>
  <c r="E2410" i="2"/>
  <c r="D2410" i="2"/>
  <c r="H2409" i="2"/>
  <c r="G2409" i="2"/>
  <c r="F2409" i="2"/>
  <c r="E2409" i="2"/>
  <c r="D2409" i="2"/>
  <c r="H2408" i="2"/>
  <c r="G2408" i="2"/>
  <c r="F2408" i="2"/>
  <c r="E2408" i="2"/>
  <c r="D2408" i="2"/>
  <c r="H2407" i="2"/>
  <c r="G2407" i="2"/>
  <c r="F2407" i="2"/>
  <c r="E2407" i="2"/>
  <c r="D2407" i="2"/>
  <c r="H2406" i="2"/>
  <c r="G2406" i="2"/>
  <c r="F2406" i="2"/>
  <c r="E2406" i="2"/>
  <c r="D2406" i="2"/>
  <c r="H2405" i="2"/>
  <c r="G2405" i="2"/>
  <c r="F2405" i="2"/>
  <c r="E2405" i="2"/>
  <c r="D2405" i="2"/>
  <c r="H2404" i="2"/>
  <c r="G2404" i="2"/>
  <c r="F2404" i="2"/>
  <c r="E2404" i="2"/>
  <c r="D2404" i="2"/>
  <c r="H272" i="2"/>
  <c r="G272" i="2"/>
  <c r="F272" i="2"/>
  <c r="E272" i="2"/>
  <c r="D272" i="2"/>
  <c r="H271" i="2"/>
  <c r="G271" i="2"/>
  <c r="F271" i="2"/>
  <c r="E271" i="2"/>
  <c r="D271" i="2"/>
  <c r="H270" i="2"/>
  <c r="G270" i="2"/>
  <c r="F270" i="2"/>
  <c r="E270" i="2"/>
  <c r="D270" i="2"/>
  <c r="H269" i="2"/>
  <c r="G269" i="2"/>
  <c r="F269" i="2"/>
  <c r="E269" i="2"/>
  <c r="D269" i="2"/>
  <c r="H268" i="2"/>
  <c r="G268" i="2"/>
  <c r="F268" i="2"/>
  <c r="E268" i="2"/>
  <c r="D268" i="2"/>
  <c r="H267" i="2"/>
  <c r="G267" i="2"/>
  <c r="F267" i="2"/>
  <c r="E267" i="2"/>
  <c r="D267" i="2"/>
  <c r="H266" i="2"/>
  <c r="G266" i="2"/>
  <c r="F266" i="2"/>
  <c r="E266" i="2"/>
  <c r="D266" i="2"/>
  <c r="H265" i="2"/>
  <c r="G265" i="2"/>
  <c r="F265" i="2"/>
  <c r="E265" i="2"/>
  <c r="D265" i="2"/>
  <c r="H264" i="2"/>
  <c r="G264" i="2"/>
  <c r="F264" i="2"/>
  <c r="E264" i="2"/>
  <c r="D264" i="2"/>
  <c r="H263" i="2"/>
  <c r="G263" i="2"/>
  <c r="F263" i="2"/>
  <c r="E263" i="2"/>
  <c r="D263" i="2"/>
  <c r="H262" i="2"/>
  <c r="G262" i="2"/>
  <c r="F262" i="2"/>
  <c r="E262" i="2"/>
  <c r="D262" i="2"/>
  <c r="H495" i="2"/>
  <c r="G495" i="2"/>
  <c r="F495" i="2"/>
  <c r="E495" i="2"/>
  <c r="D495" i="2"/>
  <c r="H494" i="2"/>
  <c r="G494" i="2"/>
  <c r="F494" i="2"/>
  <c r="E494" i="2"/>
  <c r="D494" i="2"/>
  <c r="H493" i="2"/>
  <c r="G493" i="2"/>
  <c r="F493" i="2"/>
  <c r="E493" i="2"/>
  <c r="D493" i="2"/>
  <c r="H1222" i="2"/>
  <c r="G1222" i="2"/>
  <c r="F1222" i="2"/>
  <c r="E1222" i="2"/>
  <c r="D1222" i="2"/>
  <c r="H1221" i="2"/>
  <c r="G1221" i="2"/>
  <c r="F1221" i="2"/>
  <c r="E1221" i="2"/>
  <c r="D1221" i="2"/>
  <c r="H1220" i="2"/>
  <c r="G1220" i="2"/>
  <c r="F1220" i="2"/>
  <c r="E1220" i="2"/>
  <c r="D1220" i="2"/>
  <c r="H1219" i="2"/>
  <c r="G1219" i="2"/>
  <c r="F1219" i="2"/>
  <c r="E1219" i="2"/>
  <c r="D1219" i="2"/>
  <c r="H1218" i="2"/>
  <c r="G1218" i="2"/>
  <c r="F1218" i="2"/>
  <c r="E1218" i="2"/>
  <c r="D1218" i="2"/>
  <c r="H2130" i="2"/>
  <c r="G2130" i="2"/>
  <c r="F2130" i="2"/>
  <c r="E2130" i="2"/>
  <c r="D2130" i="2"/>
  <c r="H2129" i="2"/>
  <c r="G2129" i="2"/>
  <c r="F2129" i="2"/>
  <c r="E2129" i="2"/>
  <c r="D2129" i="2"/>
  <c r="H2128" i="2"/>
  <c r="G2128" i="2"/>
  <c r="F2128" i="2"/>
  <c r="E2128" i="2"/>
  <c r="D2128" i="2"/>
  <c r="H2127" i="2"/>
  <c r="G2127" i="2"/>
  <c r="F2127" i="2"/>
  <c r="E2127" i="2"/>
  <c r="D2127" i="2"/>
  <c r="H2126" i="2"/>
  <c r="G2126" i="2"/>
  <c r="F2126" i="2"/>
  <c r="E2126" i="2"/>
  <c r="D2126" i="2"/>
  <c r="H2125" i="2"/>
  <c r="G2125" i="2"/>
  <c r="F2125" i="2"/>
  <c r="E2125" i="2"/>
  <c r="D2125" i="2"/>
  <c r="H2124" i="2"/>
  <c r="G2124" i="2"/>
  <c r="F2124" i="2"/>
  <c r="E2124" i="2"/>
  <c r="D2124" i="2"/>
  <c r="H2123" i="2"/>
  <c r="G2123" i="2"/>
  <c r="F2123" i="2"/>
  <c r="E2123" i="2"/>
  <c r="D2123" i="2"/>
  <c r="H2122" i="2"/>
  <c r="G2122" i="2"/>
  <c r="F2122" i="2"/>
  <c r="E2122" i="2"/>
  <c r="D2122" i="2"/>
  <c r="H1784" i="2"/>
  <c r="G1784" i="2"/>
  <c r="F1784" i="2"/>
  <c r="E1784" i="2"/>
  <c r="D1784" i="2"/>
  <c r="H2236" i="2"/>
  <c r="G2236" i="2"/>
  <c r="F2236" i="2"/>
  <c r="E2236" i="2"/>
  <c r="D2236" i="2"/>
  <c r="H2235" i="2"/>
  <c r="G2235" i="2"/>
  <c r="F2235" i="2"/>
  <c r="E2235" i="2"/>
  <c r="D2235" i="2"/>
  <c r="H2234" i="2"/>
  <c r="G2234" i="2"/>
  <c r="F2234" i="2"/>
  <c r="E2234" i="2"/>
  <c r="D2234" i="2"/>
  <c r="H2233" i="2"/>
  <c r="G2233" i="2"/>
  <c r="F2233" i="2"/>
  <c r="E2233" i="2"/>
  <c r="D2233" i="2"/>
  <c r="H2232" i="2"/>
  <c r="G2232" i="2"/>
  <c r="F2232" i="2"/>
  <c r="E2232" i="2"/>
  <c r="D2232" i="2"/>
  <c r="H2231" i="2"/>
  <c r="G2231" i="2"/>
  <c r="F2231" i="2"/>
  <c r="E2231" i="2"/>
  <c r="D2231" i="2"/>
  <c r="H2230" i="2"/>
  <c r="G2230" i="2"/>
  <c r="F2230" i="2"/>
  <c r="E2230" i="2"/>
  <c r="D2230" i="2"/>
  <c r="H2229" i="2"/>
  <c r="G2229" i="2"/>
  <c r="F2229" i="2"/>
  <c r="E2229" i="2"/>
  <c r="D2229" i="2"/>
  <c r="H2228" i="2"/>
  <c r="G2228" i="2"/>
  <c r="F2228" i="2"/>
  <c r="E2228" i="2"/>
  <c r="D2228" i="2"/>
  <c r="H2227" i="2"/>
  <c r="G2227" i="2"/>
  <c r="F2227" i="2"/>
  <c r="E2227" i="2"/>
  <c r="D2227" i="2"/>
  <c r="H3835" i="2"/>
  <c r="G3835" i="2"/>
  <c r="F3835" i="2"/>
  <c r="E3835" i="2"/>
  <c r="D3835" i="2"/>
  <c r="H3834" i="2"/>
  <c r="G3834" i="2"/>
  <c r="F3834" i="2"/>
  <c r="E3834" i="2"/>
  <c r="D3834" i="2"/>
  <c r="H3833" i="2"/>
  <c r="G3833" i="2"/>
  <c r="F3833" i="2"/>
  <c r="E3833" i="2"/>
  <c r="D3833" i="2"/>
  <c r="H3832" i="2"/>
  <c r="G3832" i="2"/>
  <c r="F3832" i="2"/>
  <c r="E3832" i="2"/>
  <c r="D3832" i="2"/>
  <c r="H661" i="2"/>
  <c r="G661" i="2"/>
  <c r="F661" i="2"/>
  <c r="E661" i="2"/>
  <c r="D661" i="2"/>
  <c r="H660" i="2"/>
  <c r="G660" i="2"/>
  <c r="F660" i="2"/>
  <c r="E660" i="2"/>
  <c r="D660" i="2"/>
  <c r="H2025" i="2"/>
  <c r="G2025" i="2"/>
  <c r="F2025" i="2"/>
  <c r="E2025" i="2"/>
  <c r="D2025" i="2"/>
  <c r="H1367" i="2"/>
  <c r="G1367" i="2"/>
  <c r="F1367" i="2"/>
  <c r="E1367" i="2"/>
  <c r="D1367" i="2"/>
  <c r="H1366" i="2"/>
  <c r="G1366" i="2"/>
  <c r="F1366" i="2"/>
  <c r="E1366" i="2"/>
  <c r="D1366" i="2"/>
  <c r="H1365" i="2"/>
  <c r="G1365" i="2"/>
  <c r="F1365" i="2"/>
  <c r="E1365" i="2"/>
  <c r="D1365" i="2"/>
  <c r="H1364" i="2"/>
  <c r="G1364" i="2"/>
  <c r="F1364" i="2"/>
  <c r="E1364" i="2"/>
  <c r="D1364" i="2"/>
  <c r="H504" i="2"/>
  <c r="G504" i="2"/>
  <c r="F504" i="2"/>
  <c r="E504" i="2"/>
  <c r="D504" i="2"/>
  <c r="H503" i="2"/>
  <c r="G503" i="2"/>
  <c r="F503" i="2"/>
  <c r="E503" i="2"/>
  <c r="D503" i="2"/>
  <c r="H820" i="2"/>
  <c r="G820" i="2"/>
  <c r="F820" i="2"/>
  <c r="E820" i="2"/>
  <c r="D820" i="2"/>
  <c r="H819" i="2"/>
  <c r="G819" i="2"/>
  <c r="F819" i="2"/>
  <c r="E819" i="2"/>
  <c r="D819" i="2"/>
  <c r="H818" i="2"/>
  <c r="G818" i="2"/>
  <c r="F818" i="2"/>
  <c r="E818" i="2"/>
  <c r="D818" i="2"/>
  <c r="H817" i="2"/>
  <c r="G817" i="2"/>
  <c r="F817" i="2"/>
  <c r="E817" i="2"/>
  <c r="D817" i="2"/>
  <c r="H816" i="2"/>
  <c r="G816" i="2"/>
  <c r="F816" i="2"/>
  <c r="E816" i="2"/>
  <c r="D816" i="2"/>
  <c r="H815" i="2"/>
  <c r="G815" i="2"/>
  <c r="F815" i="2"/>
  <c r="E815" i="2"/>
  <c r="D815" i="2"/>
  <c r="H2782" i="2"/>
  <c r="G2782" i="2"/>
  <c r="F2782" i="2"/>
  <c r="E2782" i="2"/>
  <c r="D2782" i="2"/>
  <c r="H2781" i="2"/>
  <c r="G2781" i="2"/>
  <c r="F2781" i="2"/>
  <c r="E2781" i="2"/>
  <c r="D2781" i="2"/>
  <c r="H1921" i="2"/>
  <c r="G1921" i="2"/>
  <c r="F1921" i="2"/>
  <c r="E1921" i="2"/>
  <c r="D1921" i="2"/>
  <c r="H1920" i="2"/>
  <c r="G1920" i="2"/>
  <c r="F1920" i="2"/>
  <c r="E1920" i="2"/>
  <c r="D1920" i="2"/>
  <c r="H1919" i="2"/>
  <c r="G1919" i="2"/>
  <c r="F1919" i="2"/>
  <c r="E1919" i="2"/>
  <c r="D1919" i="2"/>
  <c r="H1162" i="2"/>
  <c r="G1162" i="2"/>
  <c r="F1162" i="2"/>
  <c r="E1162" i="2"/>
  <c r="D1162" i="2"/>
  <c r="H581" i="2"/>
  <c r="G581" i="2"/>
  <c r="F581" i="2"/>
  <c r="E581" i="2"/>
  <c r="D581" i="2"/>
  <c r="H580" i="2"/>
  <c r="G580" i="2"/>
  <c r="F580" i="2"/>
  <c r="E580" i="2"/>
  <c r="D580" i="2"/>
  <c r="H579" i="2"/>
  <c r="G579" i="2"/>
  <c r="F579" i="2"/>
  <c r="E579" i="2"/>
  <c r="D579" i="2"/>
  <c r="H578" i="2"/>
  <c r="G578" i="2"/>
  <c r="F578" i="2"/>
  <c r="E578" i="2"/>
  <c r="D578" i="2"/>
  <c r="H530" i="2"/>
  <c r="G530" i="2"/>
  <c r="F530" i="2"/>
  <c r="E530" i="2"/>
  <c r="D530" i="2"/>
  <c r="H2924" i="2"/>
  <c r="G2924" i="2"/>
  <c r="F2924" i="2"/>
  <c r="E2924" i="2"/>
  <c r="D2924" i="2"/>
  <c r="H2923" i="2"/>
  <c r="G2923" i="2"/>
  <c r="F2923" i="2"/>
  <c r="E2923" i="2"/>
  <c r="D2923" i="2"/>
  <c r="H2922" i="2"/>
  <c r="G2922" i="2"/>
  <c r="F2922" i="2"/>
  <c r="E2922" i="2"/>
  <c r="D2922" i="2"/>
  <c r="H2613" i="2"/>
  <c r="G2613" i="2"/>
  <c r="F2613" i="2"/>
  <c r="E2613" i="2"/>
  <c r="D2613" i="2"/>
  <c r="H2612" i="2"/>
  <c r="G2612" i="2"/>
  <c r="F2612" i="2"/>
  <c r="E2612" i="2"/>
  <c r="D2612" i="2"/>
  <c r="H2611" i="2"/>
  <c r="G2611" i="2"/>
  <c r="F2611" i="2"/>
  <c r="E2611" i="2"/>
  <c r="D2611" i="2"/>
  <c r="H2610" i="2"/>
  <c r="G2610" i="2"/>
  <c r="F2610" i="2"/>
  <c r="E2610" i="2"/>
  <c r="D2610" i="2"/>
  <c r="H2609" i="2"/>
  <c r="G2609" i="2"/>
  <c r="F2609" i="2"/>
  <c r="E2609" i="2"/>
  <c r="D2609" i="2"/>
  <c r="H2608" i="2"/>
  <c r="G2608" i="2"/>
  <c r="F2608" i="2"/>
  <c r="E2608" i="2"/>
  <c r="D2608" i="2"/>
  <c r="H2607" i="2"/>
  <c r="G2607" i="2"/>
  <c r="F2607" i="2"/>
  <c r="E2607" i="2"/>
  <c r="D2607" i="2"/>
  <c r="H2606" i="2"/>
  <c r="G2606" i="2"/>
  <c r="F2606" i="2"/>
  <c r="E2606" i="2"/>
  <c r="D2606" i="2"/>
  <c r="H2605" i="2"/>
  <c r="G2605" i="2"/>
  <c r="F2605" i="2"/>
  <c r="E2605" i="2"/>
  <c r="D2605" i="2"/>
  <c r="H2604" i="2"/>
  <c r="G2604" i="2"/>
  <c r="F2604" i="2"/>
  <c r="E2604" i="2"/>
  <c r="D2604" i="2"/>
  <c r="H2603" i="2"/>
  <c r="G2603" i="2"/>
  <c r="F2603" i="2"/>
  <c r="E2603" i="2"/>
  <c r="D2603" i="2"/>
  <c r="H2602" i="2"/>
  <c r="G2602" i="2"/>
  <c r="F2602" i="2"/>
  <c r="E2602" i="2"/>
  <c r="D2602" i="2"/>
  <c r="H2601" i="2"/>
  <c r="G2601" i="2"/>
  <c r="F2601" i="2"/>
  <c r="E2601" i="2"/>
  <c r="D2601" i="2"/>
  <c r="H154" i="2"/>
  <c r="G154" i="2"/>
  <c r="F154" i="2"/>
  <c r="E154" i="2"/>
  <c r="D154" i="2"/>
  <c r="H153" i="2"/>
  <c r="G153" i="2"/>
  <c r="F153" i="2"/>
  <c r="E153" i="2"/>
  <c r="D153" i="2"/>
  <c r="H152" i="2"/>
  <c r="G152" i="2"/>
  <c r="F152" i="2"/>
  <c r="E152" i="2"/>
  <c r="D152" i="2"/>
  <c r="H151" i="2"/>
  <c r="G151" i="2"/>
  <c r="F151" i="2"/>
  <c r="E151" i="2"/>
  <c r="D151" i="2"/>
  <c r="H3136" i="2"/>
  <c r="G3136" i="2"/>
  <c r="F3136" i="2"/>
  <c r="E3136" i="2"/>
  <c r="D3136" i="2"/>
  <c r="H3135" i="2"/>
  <c r="G3135" i="2"/>
  <c r="F3135" i="2"/>
  <c r="E3135" i="2"/>
  <c r="D3135" i="2"/>
  <c r="H3134" i="2"/>
  <c r="G3134" i="2"/>
  <c r="F3134" i="2"/>
  <c r="E3134" i="2"/>
  <c r="D3134" i="2"/>
  <c r="H3758" i="2"/>
  <c r="G3758" i="2"/>
  <c r="F3758" i="2"/>
  <c r="E3758" i="2"/>
  <c r="D3758" i="2"/>
  <c r="H3757" i="2"/>
  <c r="G3757" i="2"/>
  <c r="F3757" i="2"/>
  <c r="E3757" i="2"/>
  <c r="D3757" i="2"/>
  <c r="H3756" i="2"/>
  <c r="G3756" i="2"/>
  <c r="F3756" i="2"/>
  <c r="E3756" i="2"/>
  <c r="D3756" i="2"/>
  <c r="H3755" i="2"/>
  <c r="G3755" i="2"/>
  <c r="F3755" i="2"/>
  <c r="E3755" i="2"/>
  <c r="D3755" i="2"/>
  <c r="H3754" i="2"/>
  <c r="G3754" i="2"/>
  <c r="F3754" i="2"/>
  <c r="E3754" i="2"/>
  <c r="D3754" i="2"/>
  <c r="H3197" i="2"/>
  <c r="G3197" i="2"/>
  <c r="F3197" i="2"/>
  <c r="E3197" i="2"/>
  <c r="D3197" i="2"/>
  <c r="H3196" i="2"/>
  <c r="G3196" i="2"/>
  <c r="F3196" i="2"/>
  <c r="E3196" i="2"/>
  <c r="D3196" i="2"/>
  <c r="H3861" i="2"/>
  <c r="G3861" i="2"/>
  <c r="F3861" i="2"/>
  <c r="E3861" i="2"/>
  <c r="D3861" i="2"/>
  <c r="H3763" i="2"/>
  <c r="G3763" i="2"/>
  <c r="F3763" i="2"/>
  <c r="E3763" i="2"/>
  <c r="D3763" i="2"/>
  <c r="H3762" i="2"/>
  <c r="G3762" i="2"/>
  <c r="F3762" i="2"/>
  <c r="E3762" i="2"/>
  <c r="D3762" i="2"/>
  <c r="H3761" i="2"/>
  <c r="G3761" i="2"/>
  <c r="F3761" i="2"/>
  <c r="E3761" i="2"/>
  <c r="D3761" i="2"/>
  <c r="H2208" i="2"/>
  <c r="G2208" i="2"/>
  <c r="F2208" i="2"/>
  <c r="E2208" i="2"/>
  <c r="D2208" i="2"/>
  <c r="H2207" i="2"/>
  <c r="G2207" i="2"/>
  <c r="F2207" i="2"/>
  <c r="E2207" i="2"/>
  <c r="D2207" i="2"/>
  <c r="H2206" i="2"/>
  <c r="G2206" i="2"/>
  <c r="F2206" i="2"/>
  <c r="E2206" i="2"/>
  <c r="D2206" i="2"/>
  <c r="H2205" i="2"/>
  <c r="G2205" i="2"/>
  <c r="F2205" i="2"/>
  <c r="E2205" i="2"/>
  <c r="D2205" i="2"/>
  <c r="H2204" i="2"/>
  <c r="G2204" i="2"/>
  <c r="F2204" i="2"/>
  <c r="E2204" i="2"/>
  <c r="D2204" i="2"/>
  <c r="H2203" i="2"/>
  <c r="G2203" i="2"/>
  <c r="F2203" i="2"/>
  <c r="E2203" i="2"/>
  <c r="D2203" i="2"/>
  <c r="H2202" i="2"/>
  <c r="G2202" i="2"/>
  <c r="F2202" i="2"/>
  <c r="E2202" i="2"/>
  <c r="D2202" i="2"/>
  <c r="H2201" i="2"/>
  <c r="G2201" i="2"/>
  <c r="F2201" i="2"/>
  <c r="E2201" i="2"/>
  <c r="D2201" i="2"/>
  <c r="H2200" i="2"/>
  <c r="G2200" i="2"/>
  <c r="F2200" i="2"/>
  <c r="E2200" i="2"/>
  <c r="D2200" i="2"/>
  <c r="H2199" i="2"/>
  <c r="G2199" i="2"/>
  <c r="F2199" i="2"/>
  <c r="E2199" i="2"/>
  <c r="D2199" i="2"/>
  <c r="H331" i="2"/>
  <c r="G331" i="2"/>
  <c r="F331" i="2"/>
  <c r="E331" i="2"/>
  <c r="D331" i="2"/>
  <c r="H1965" i="2"/>
  <c r="G1965" i="2"/>
  <c r="F1965" i="2"/>
  <c r="E1965" i="2"/>
  <c r="D1965" i="2"/>
  <c r="H1964" i="2"/>
  <c r="G1964" i="2"/>
  <c r="F1964" i="2"/>
  <c r="E1964" i="2"/>
  <c r="D1964" i="2"/>
  <c r="H3840" i="2"/>
  <c r="G3840" i="2"/>
  <c r="F3840" i="2"/>
  <c r="E3840" i="2"/>
  <c r="D3840" i="2"/>
  <c r="H3839" i="2"/>
  <c r="G3839" i="2"/>
  <c r="F3839" i="2"/>
  <c r="E3839" i="2"/>
  <c r="D3839" i="2"/>
  <c r="H243" i="2"/>
  <c r="G243" i="2"/>
  <c r="F243" i="2"/>
  <c r="E243" i="2"/>
  <c r="D243" i="2"/>
  <c r="H1955" i="2"/>
  <c r="G1955" i="2"/>
  <c r="F1955" i="2"/>
  <c r="E1955" i="2"/>
  <c r="D1955" i="2"/>
  <c r="H1954" i="2"/>
  <c r="G1954" i="2"/>
  <c r="F1954" i="2"/>
  <c r="E1954" i="2"/>
  <c r="D1954" i="2"/>
  <c r="H917" i="2"/>
  <c r="G917" i="2"/>
  <c r="F917" i="2"/>
  <c r="E917" i="2"/>
  <c r="D917" i="2"/>
  <c r="H916" i="2"/>
  <c r="G916" i="2"/>
  <c r="F916" i="2"/>
  <c r="E916" i="2"/>
  <c r="D916" i="2"/>
  <c r="H915" i="2"/>
  <c r="G915" i="2"/>
  <c r="F915" i="2"/>
  <c r="E915" i="2"/>
  <c r="D915" i="2"/>
  <c r="H914" i="2"/>
  <c r="G914" i="2"/>
  <c r="F914" i="2"/>
  <c r="E914" i="2"/>
  <c r="D914" i="2"/>
  <c r="H913" i="2"/>
  <c r="G913" i="2"/>
  <c r="F913" i="2"/>
  <c r="E913" i="2"/>
  <c r="D913" i="2"/>
  <c r="H912" i="2"/>
  <c r="G912" i="2"/>
  <c r="F912" i="2"/>
  <c r="E912" i="2"/>
  <c r="D912" i="2"/>
  <c r="H911" i="2"/>
  <c r="G911" i="2"/>
  <c r="F911" i="2"/>
  <c r="E911" i="2"/>
  <c r="D911" i="2"/>
  <c r="H3787" i="2"/>
  <c r="G3787" i="2"/>
  <c r="F3787" i="2"/>
  <c r="E3787" i="2"/>
  <c r="D3787" i="2"/>
  <c r="H3786" i="2"/>
  <c r="G3786" i="2"/>
  <c r="F3786" i="2"/>
  <c r="E3786" i="2"/>
  <c r="D3786" i="2"/>
  <c r="H2488" i="2"/>
  <c r="G2488" i="2"/>
  <c r="F2488" i="2"/>
  <c r="E2488" i="2"/>
  <c r="D2488" i="2"/>
  <c r="H1026" i="2"/>
  <c r="G1026" i="2"/>
  <c r="F1026" i="2"/>
  <c r="E1026" i="2"/>
  <c r="D1026" i="2"/>
  <c r="H1025" i="2"/>
  <c r="G1025" i="2"/>
  <c r="F1025" i="2"/>
  <c r="E1025" i="2"/>
  <c r="D1025" i="2"/>
  <c r="H1024" i="2"/>
  <c r="G1024" i="2"/>
  <c r="F1024" i="2"/>
  <c r="E1024" i="2"/>
  <c r="D1024" i="2"/>
  <c r="H1023" i="2"/>
  <c r="G1023" i="2"/>
  <c r="F1023" i="2"/>
  <c r="E1023" i="2"/>
  <c r="D1023" i="2"/>
  <c r="H3511" i="2"/>
  <c r="G3511" i="2"/>
  <c r="F3511" i="2"/>
  <c r="E3511" i="2"/>
  <c r="D3511" i="2"/>
  <c r="H507" i="2"/>
  <c r="G507" i="2"/>
  <c r="F507" i="2"/>
  <c r="E507" i="2"/>
  <c r="D507" i="2"/>
  <c r="H506" i="2"/>
  <c r="G506" i="2"/>
  <c r="F506" i="2"/>
  <c r="E506" i="2"/>
  <c r="D506" i="2"/>
  <c r="H505" i="2"/>
  <c r="G505" i="2"/>
  <c r="F505" i="2"/>
  <c r="E505" i="2"/>
  <c r="D505" i="2"/>
  <c r="H3828" i="2"/>
  <c r="G3828" i="2"/>
  <c r="F3828" i="2"/>
  <c r="E3828" i="2"/>
  <c r="D3828" i="2"/>
  <c r="H3827" i="2"/>
  <c r="G3827" i="2"/>
  <c r="F3827" i="2"/>
  <c r="E3827" i="2"/>
  <c r="D3827" i="2"/>
  <c r="H3795" i="2"/>
  <c r="G3795" i="2"/>
  <c r="F3795" i="2"/>
  <c r="E3795" i="2"/>
  <c r="D3795" i="2"/>
  <c r="H3685" i="2"/>
  <c r="G3685" i="2"/>
  <c r="F3685" i="2"/>
  <c r="E3685" i="2"/>
  <c r="D3685" i="2"/>
  <c r="H743" i="2"/>
  <c r="G743" i="2"/>
  <c r="F743" i="2"/>
  <c r="E743" i="2"/>
  <c r="D743" i="2"/>
  <c r="H2826" i="2"/>
  <c r="G2826" i="2"/>
  <c r="F2826" i="2"/>
  <c r="E2826" i="2"/>
  <c r="D2826" i="2"/>
  <c r="H2825" i="2"/>
  <c r="G2825" i="2"/>
  <c r="F2825" i="2"/>
  <c r="E2825" i="2"/>
  <c r="D2825" i="2"/>
  <c r="H2824" i="2"/>
  <c r="G2824" i="2"/>
  <c r="F2824" i="2"/>
  <c r="E2824" i="2"/>
  <c r="D2824" i="2"/>
  <c r="H1983" i="2"/>
  <c r="G1983" i="2"/>
  <c r="F1983" i="2"/>
  <c r="E1983" i="2"/>
  <c r="D1983" i="2"/>
  <c r="H3863" i="2"/>
  <c r="G3863" i="2"/>
  <c r="F3863" i="2"/>
  <c r="E3863" i="2"/>
  <c r="D3863" i="2"/>
  <c r="H3862" i="2"/>
  <c r="G3862" i="2"/>
  <c r="F3862" i="2"/>
  <c r="E3862" i="2"/>
  <c r="D3862" i="2"/>
  <c r="H3612" i="2"/>
  <c r="G3612" i="2"/>
  <c r="F3612" i="2"/>
  <c r="E3612" i="2"/>
  <c r="D3612" i="2"/>
  <c r="H3611" i="2"/>
  <c r="G3611" i="2"/>
  <c r="F3611" i="2"/>
  <c r="E3611" i="2"/>
  <c r="D3611" i="2"/>
  <c r="H3610" i="2"/>
  <c r="G3610" i="2"/>
  <c r="F3610" i="2"/>
  <c r="E3610" i="2"/>
  <c r="D3610" i="2"/>
  <c r="H1041" i="2"/>
  <c r="G1041" i="2"/>
  <c r="F1041" i="2"/>
  <c r="E1041" i="2"/>
  <c r="D1041" i="2"/>
  <c r="H1040" i="2"/>
  <c r="G1040" i="2"/>
  <c r="F1040" i="2"/>
  <c r="E1040" i="2"/>
  <c r="D1040" i="2"/>
  <c r="H3172" i="2"/>
  <c r="G3172" i="2"/>
  <c r="F3172" i="2"/>
  <c r="E3172" i="2"/>
  <c r="D3172" i="2"/>
  <c r="H3576" i="2"/>
  <c r="G3576" i="2"/>
  <c r="F3576" i="2"/>
  <c r="E3576" i="2"/>
  <c r="D3576" i="2"/>
  <c r="H630" i="2"/>
  <c r="G630" i="2"/>
  <c r="F630" i="2"/>
  <c r="E630" i="2"/>
  <c r="D630" i="2"/>
  <c r="H1598" i="2"/>
  <c r="G1598" i="2"/>
  <c r="F1598" i="2"/>
  <c r="E1598" i="2"/>
  <c r="D1598" i="2"/>
  <c r="H1597" i="2"/>
  <c r="G1597" i="2"/>
  <c r="F1597" i="2"/>
  <c r="E1597" i="2"/>
  <c r="D1597" i="2"/>
  <c r="H1596" i="2"/>
  <c r="G1596" i="2"/>
  <c r="F1596" i="2"/>
  <c r="E1596" i="2"/>
  <c r="D1596" i="2"/>
  <c r="H3301" i="2"/>
  <c r="G3301" i="2"/>
  <c r="F3301" i="2"/>
  <c r="E3301" i="2"/>
  <c r="D3301" i="2"/>
  <c r="H3300" i="2"/>
  <c r="G3300" i="2"/>
  <c r="F3300" i="2"/>
  <c r="E3300" i="2"/>
  <c r="D3300" i="2"/>
  <c r="H3299" i="2"/>
  <c r="G3299" i="2"/>
  <c r="F3299" i="2"/>
  <c r="E3299" i="2"/>
  <c r="D3299" i="2"/>
  <c r="H3298" i="2"/>
  <c r="G3298" i="2"/>
  <c r="F3298" i="2"/>
  <c r="E3298" i="2"/>
  <c r="D3298" i="2"/>
  <c r="H3297" i="2"/>
  <c r="G3297" i="2"/>
  <c r="F3297" i="2"/>
  <c r="E3297" i="2"/>
  <c r="D3297" i="2"/>
  <c r="H3296" i="2"/>
  <c r="G3296" i="2"/>
  <c r="F3296" i="2"/>
  <c r="E3296" i="2"/>
  <c r="D3296" i="2"/>
  <c r="H3295" i="2"/>
  <c r="G3295" i="2"/>
  <c r="F3295" i="2"/>
  <c r="E3295" i="2"/>
  <c r="D3295" i="2"/>
  <c r="H3294" i="2"/>
  <c r="G3294" i="2"/>
  <c r="F3294" i="2"/>
  <c r="E3294" i="2"/>
  <c r="D3294" i="2"/>
  <c r="H3293" i="2"/>
  <c r="G3293" i="2"/>
  <c r="F3293" i="2"/>
  <c r="E3293" i="2"/>
  <c r="D3293" i="2"/>
  <c r="H3292" i="2"/>
  <c r="G3292" i="2"/>
  <c r="F3292" i="2"/>
  <c r="E3292" i="2"/>
  <c r="D3292" i="2"/>
  <c r="H3291" i="2"/>
  <c r="G3291" i="2"/>
  <c r="F3291" i="2"/>
  <c r="E3291" i="2"/>
  <c r="D3291" i="2"/>
  <c r="H3290" i="2"/>
  <c r="G3290" i="2"/>
  <c r="F3290" i="2"/>
  <c r="E3290" i="2"/>
  <c r="D3290" i="2"/>
  <c r="H3289" i="2"/>
  <c r="G3289" i="2"/>
  <c r="F3289" i="2"/>
  <c r="E3289" i="2"/>
  <c r="D3289" i="2"/>
  <c r="H3056" i="2"/>
  <c r="G3056" i="2"/>
  <c r="F3056" i="2"/>
  <c r="E3056" i="2"/>
  <c r="D3056" i="2"/>
  <c r="H3055" i="2"/>
  <c r="G3055" i="2"/>
  <c r="F3055" i="2"/>
  <c r="E3055" i="2"/>
  <c r="D3055" i="2"/>
  <c r="H3054" i="2"/>
  <c r="G3054" i="2"/>
  <c r="F3054" i="2"/>
  <c r="E3054" i="2"/>
  <c r="D3054" i="2"/>
  <c r="H3053" i="2"/>
  <c r="G3053" i="2"/>
  <c r="F3053" i="2"/>
  <c r="E3053" i="2"/>
  <c r="D3053" i="2"/>
  <c r="H3052" i="2"/>
  <c r="G3052" i="2"/>
  <c r="F3052" i="2"/>
  <c r="E3052" i="2"/>
  <c r="D3052" i="2"/>
  <c r="H3051" i="2"/>
  <c r="G3051" i="2"/>
  <c r="F3051" i="2"/>
  <c r="E3051" i="2"/>
  <c r="D3051" i="2"/>
  <c r="H3050" i="2"/>
  <c r="G3050" i="2"/>
  <c r="F3050" i="2"/>
  <c r="E3050" i="2"/>
  <c r="D3050" i="2"/>
  <c r="H3049" i="2"/>
  <c r="G3049" i="2"/>
  <c r="F3049" i="2"/>
  <c r="E3049" i="2"/>
  <c r="D3049" i="2"/>
  <c r="H3048" i="2"/>
  <c r="G3048" i="2"/>
  <c r="F3048" i="2"/>
  <c r="E3048" i="2"/>
  <c r="D3048" i="2"/>
  <c r="H3047" i="2"/>
  <c r="G3047" i="2"/>
  <c r="F3047" i="2"/>
  <c r="E3047" i="2"/>
  <c r="D3047" i="2"/>
  <c r="H3046" i="2"/>
  <c r="G3046" i="2"/>
  <c r="F3046" i="2"/>
  <c r="E3046" i="2"/>
  <c r="D3046" i="2"/>
  <c r="H3045" i="2"/>
  <c r="G3045" i="2"/>
  <c r="F3045" i="2"/>
  <c r="E3045" i="2"/>
  <c r="D3045" i="2"/>
  <c r="H3044" i="2"/>
  <c r="G3044" i="2"/>
  <c r="F3044" i="2"/>
  <c r="E3044" i="2"/>
  <c r="D3044" i="2"/>
  <c r="H3043" i="2"/>
  <c r="G3043" i="2"/>
  <c r="F3043" i="2"/>
  <c r="E3043" i="2"/>
  <c r="D3043" i="2"/>
  <c r="H2851" i="2"/>
  <c r="G2851" i="2"/>
  <c r="F2851" i="2"/>
  <c r="E2851" i="2"/>
  <c r="D2851" i="2"/>
  <c r="H2850" i="2"/>
  <c r="G2850" i="2"/>
  <c r="F2850" i="2"/>
  <c r="E2850" i="2"/>
  <c r="D2850" i="2"/>
  <c r="H2849" i="2"/>
  <c r="G2849" i="2"/>
  <c r="F2849" i="2"/>
  <c r="E2849" i="2"/>
  <c r="D2849" i="2"/>
  <c r="H2848" i="2"/>
  <c r="G2848" i="2"/>
  <c r="F2848" i="2"/>
  <c r="E2848" i="2"/>
  <c r="D2848" i="2"/>
  <c r="H2847" i="2"/>
  <c r="G2847" i="2"/>
  <c r="F2847" i="2"/>
  <c r="E2847" i="2"/>
  <c r="D2847" i="2"/>
  <c r="H2846" i="2"/>
  <c r="G2846" i="2"/>
  <c r="F2846" i="2"/>
  <c r="E2846" i="2"/>
  <c r="D2846" i="2"/>
  <c r="H2845" i="2"/>
  <c r="G2845" i="2"/>
  <c r="F2845" i="2"/>
  <c r="E2845" i="2"/>
  <c r="D2845" i="2"/>
  <c r="H2844" i="2"/>
  <c r="G2844" i="2"/>
  <c r="F2844" i="2"/>
  <c r="E2844" i="2"/>
  <c r="D2844" i="2"/>
  <c r="H2843" i="2"/>
  <c r="G2843" i="2"/>
  <c r="F2843" i="2"/>
  <c r="E2843" i="2"/>
  <c r="D2843" i="2"/>
  <c r="H2842" i="2"/>
  <c r="G2842" i="2"/>
  <c r="F2842" i="2"/>
  <c r="E2842" i="2"/>
  <c r="D2842" i="2"/>
  <c r="H2841" i="2"/>
  <c r="G2841" i="2"/>
  <c r="F2841" i="2"/>
  <c r="E2841" i="2"/>
  <c r="D2841" i="2"/>
  <c r="H2840" i="2"/>
  <c r="G2840" i="2"/>
  <c r="F2840" i="2"/>
  <c r="E2840" i="2"/>
  <c r="D2840" i="2"/>
  <c r="H2839" i="2"/>
  <c r="G2839" i="2"/>
  <c r="F2839" i="2"/>
  <c r="E2839" i="2"/>
  <c r="D2839" i="2"/>
  <c r="H3450" i="2"/>
  <c r="G3450" i="2"/>
  <c r="F3450" i="2"/>
  <c r="E3450" i="2"/>
  <c r="D3450" i="2"/>
  <c r="H3670" i="2"/>
  <c r="G3670" i="2"/>
  <c r="F3670" i="2"/>
  <c r="E3670" i="2"/>
  <c r="D3670" i="2"/>
  <c r="H3669" i="2"/>
  <c r="G3669" i="2"/>
  <c r="F3669" i="2"/>
  <c r="E3669" i="2"/>
  <c r="D3669" i="2"/>
  <c r="H3668" i="2"/>
  <c r="G3668" i="2"/>
  <c r="F3668" i="2"/>
  <c r="E3668" i="2"/>
  <c r="D3668" i="2"/>
  <c r="H3667" i="2"/>
  <c r="G3667" i="2"/>
  <c r="F3667" i="2"/>
  <c r="E3667" i="2"/>
  <c r="D3667" i="2"/>
  <c r="H3666" i="2"/>
  <c r="G3666" i="2"/>
  <c r="F3666" i="2"/>
  <c r="E3666" i="2"/>
  <c r="D3666" i="2"/>
  <c r="H3665" i="2"/>
  <c r="G3665" i="2"/>
  <c r="F3665" i="2"/>
  <c r="E3665" i="2"/>
  <c r="D3665" i="2"/>
  <c r="H3664" i="2"/>
  <c r="G3664" i="2"/>
  <c r="F3664" i="2"/>
  <c r="E3664" i="2"/>
  <c r="D3664" i="2"/>
  <c r="H3663" i="2"/>
  <c r="G3663" i="2"/>
  <c r="F3663" i="2"/>
  <c r="E3663" i="2"/>
  <c r="D3663" i="2"/>
  <c r="H1195" i="2"/>
  <c r="G1195" i="2"/>
  <c r="F1195" i="2"/>
  <c r="E1195" i="2"/>
  <c r="D1195" i="2"/>
  <c r="H3575" i="2"/>
  <c r="G3575" i="2"/>
  <c r="F3575" i="2"/>
  <c r="E3575" i="2"/>
  <c r="D3575" i="2"/>
  <c r="H3574" i="2"/>
  <c r="G3574" i="2"/>
  <c r="F3574" i="2"/>
  <c r="E3574" i="2"/>
  <c r="D3574" i="2"/>
  <c r="H3573" i="2"/>
  <c r="G3573" i="2"/>
  <c r="F3573" i="2"/>
  <c r="E3573" i="2"/>
  <c r="D3573" i="2"/>
  <c r="H3572" i="2"/>
  <c r="G3572" i="2"/>
  <c r="F3572" i="2"/>
  <c r="E3572" i="2"/>
  <c r="D3572" i="2"/>
  <c r="H3571" i="2"/>
  <c r="G3571" i="2"/>
  <c r="F3571" i="2"/>
  <c r="E3571" i="2"/>
  <c r="D3571" i="2"/>
  <c r="H3570" i="2"/>
  <c r="G3570" i="2"/>
  <c r="F3570" i="2"/>
  <c r="E3570" i="2"/>
  <c r="D3570" i="2"/>
  <c r="H3569" i="2"/>
  <c r="G3569" i="2"/>
  <c r="F3569" i="2"/>
  <c r="E3569" i="2"/>
  <c r="D3569" i="2"/>
  <c r="H3568" i="2"/>
  <c r="G3568" i="2"/>
  <c r="F3568" i="2"/>
  <c r="E3568" i="2"/>
  <c r="D3568" i="2"/>
  <c r="H2749" i="2"/>
  <c r="G2749" i="2"/>
  <c r="F2749" i="2"/>
  <c r="E2749" i="2"/>
  <c r="D2749" i="2"/>
  <c r="H2748" i="2"/>
  <c r="G2748" i="2"/>
  <c r="F2748" i="2"/>
  <c r="E2748" i="2"/>
  <c r="D2748" i="2"/>
  <c r="H2747" i="2"/>
  <c r="G2747" i="2"/>
  <c r="F2747" i="2"/>
  <c r="E2747" i="2"/>
  <c r="D2747" i="2"/>
  <c r="H2746" i="2"/>
  <c r="G2746" i="2"/>
  <c r="F2746" i="2"/>
  <c r="E2746" i="2"/>
  <c r="D2746" i="2"/>
  <c r="H2745" i="2"/>
  <c r="G2745" i="2"/>
  <c r="F2745" i="2"/>
  <c r="E2745" i="2"/>
  <c r="D2745" i="2"/>
  <c r="H2744" i="2"/>
  <c r="G2744" i="2"/>
  <c r="F2744" i="2"/>
  <c r="E2744" i="2"/>
  <c r="D2744" i="2"/>
  <c r="H2743" i="2"/>
  <c r="G2743" i="2"/>
  <c r="F2743" i="2"/>
  <c r="E2743" i="2"/>
  <c r="D2743" i="2"/>
  <c r="H2742" i="2"/>
  <c r="G2742" i="2"/>
  <c r="F2742" i="2"/>
  <c r="E2742" i="2"/>
  <c r="D2742" i="2"/>
  <c r="H3484" i="2"/>
  <c r="G3484" i="2"/>
  <c r="F3484" i="2"/>
  <c r="E3484" i="2"/>
  <c r="D3484" i="2"/>
  <c r="H959" i="2"/>
  <c r="G959" i="2"/>
  <c r="F959" i="2"/>
  <c r="E959" i="2"/>
  <c r="D959" i="2"/>
  <c r="H1137" i="2"/>
  <c r="G1137" i="2"/>
  <c r="F1137" i="2"/>
  <c r="E1137" i="2"/>
  <c r="D1137" i="2"/>
  <c r="H1136" i="2"/>
  <c r="G1136" i="2"/>
  <c r="F1136" i="2"/>
  <c r="E1136" i="2"/>
  <c r="D1136" i="2"/>
  <c r="H79" i="2"/>
  <c r="G79" i="2"/>
  <c r="F79" i="2"/>
  <c r="E79" i="2"/>
  <c r="D79" i="2"/>
  <c r="H78" i="2"/>
  <c r="G78" i="2"/>
  <c r="F78" i="2"/>
  <c r="E78" i="2"/>
  <c r="D78" i="2"/>
  <c r="H77" i="2"/>
  <c r="G77" i="2"/>
  <c r="F77" i="2"/>
  <c r="E77" i="2"/>
  <c r="D77" i="2"/>
  <c r="H703" i="2"/>
  <c r="G703" i="2"/>
  <c r="F703" i="2"/>
  <c r="E703" i="2"/>
  <c r="D703" i="2"/>
  <c r="H702" i="2"/>
  <c r="G702" i="2"/>
  <c r="F702" i="2"/>
  <c r="E702" i="2"/>
  <c r="D702" i="2"/>
  <c r="H2190" i="2"/>
  <c r="G2190" i="2"/>
  <c r="F2190" i="2"/>
  <c r="E2190" i="2"/>
  <c r="D2190" i="2"/>
  <c r="H2189" i="2"/>
  <c r="G2189" i="2"/>
  <c r="F2189" i="2"/>
  <c r="E2189" i="2"/>
  <c r="D2189" i="2"/>
  <c r="H1272" i="2"/>
  <c r="G1272" i="2"/>
  <c r="F1272" i="2"/>
  <c r="E1272" i="2"/>
  <c r="D1272" i="2"/>
  <c r="H1271" i="2"/>
  <c r="G1271" i="2"/>
  <c r="F1271" i="2"/>
  <c r="E1271" i="2"/>
  <c r="D1271" i="2"/>
  <c r="H2947" i="2"/>
  <c r="G2947" i="2"/>
  <c r="F2947" i="2"/>
  <c r="E2947" i="2"/>
  <c r="D2947" i="2"/>
  <c r="H2946" i="2"/>
  <c r="G2946" i="2"/>
  <c r="F2946" i="2"/>
  <c r="E2946" i="2"/>
  <c r="D2946" i="2"/>
  <c r="H1111" i="2"/>
  <c r="G1111" i="2"/>
  <c r="F1111" i="2"/>
  <c r="E1111" i="2"/>
  <c r="D1111" i="2"/>
  <c r="H1110" i="2"/>
  <c r="G1110" i="2"/>
  <c r="F1110" i="2"/>
  <c r="E1110" i="2"/>
  <c r="D1110" i="2"/>
  <c r="H1109" i="2"/>
  <c r="G1109" i="2"/>
  <c r="F1109" i="2"/>
  <c r="E1109" i="2"/>
  <c r="D1109" i="2"/>
  <c r="H765" i="2"/>
  <c r="G765" i="2"/>
  <c r="F765" i="2"/>
  <c r="E765" i="2"/>
  <c r="D765" i="2"/>
  <c r="H764" i="2"/>
  <c r="G764" i="2"/>
  <c r="F764" i="2"/>
  <c r="E764" i="2"/>
  <c r="D764" i="2"/>
  <c r="H763" i="2"/>
  <c r="G763" i="2"/>
  <c r="F763" i="2"/>
  <c r="E763" i="2"/>
  <c r="D763" i="2"/>
  <c r="H742" i="2"/>
  <c r="G742" i="2"/>
  <c r="F742" i="2"/>
  <c r="E742" i="2"/>
  <c r="D742" i="2"/>
  <c r="H741" i="2"/>
  <c r="G741" i="2"/>
  <c r="F741" i="2"/>
  <c r="E741" i="2"/>
  <c r="D741" i="2"/>
  <c r="H740" i="2"/>
  <c r="G740" i="2"/>
  <c r="F740" i="2"/>
  <c r="E740" i="2"/>
  <c r="D740" i="2"/>
  <c r="H739" i="2"/>
  <c r="G739" i="2"/>
  <c r="F739" i="2"/>
  <c r="E739" i="2"/>
  <c r="D739" i="2"/>
  <c r="H738" i="2"/>
  <c r="G738" i="2"/>
  <c r="F738" i="2"/>
  <c r="E738" i="2"/>
  <c r="D738" i="2"/>
  <c r="H737" i="2"/>
  <c r="G737" i="2"/>
  <c r="F737" i="2"/>
  <c r="E737" i="2"/>
  <c r="D737" i="2"/>
  <c r="H736" i="2"/>
  <c r="G736" i="2"/>
  <c r="F736" i="2"/>
  <c r="E736" i="2"/>
  <c r="D736" i="2"/>
  <c r="H735" i="2"/>
  <c r="G735" i="2"/>
  <c r="F735" i="2"/>
  <c r="E735" i="2"/>
  <c r="D735" i="2"/>
  <c r="H734" i="2"/>
  <c r="G734" i="2"/>
  <c r="F734" i="2"/>
  <c r="E734" i="2"/>
  <c r="D734" i="2"/>
  <c r="H733" i="2"/>
  <c r="G733" i="2"/>
  <c r="F733" i="2"/>
  <c r="E733" i="2"/>
  <c r="D733" i="2"/>
  <c r="H384" i="2"/>
  <c r="G384" i="2"/>
  <c r="F384" i="2"/>
  <c r="E384" i="2"/>
  <c r="D384" i="2"/>
  <c r="H383" i="2"/>
  <c r="G383" i="2"/>
  <c r="F383" i="2"/>
  <c r="E383" i="2"/>
  <c r="D383" i="2"/>
  <c r="H382" i="2"/>
  <c r="G382" i="2"/>
  <c r="F382" i="2"/>
  <c r="E382" i="2"/>
  <c r="D382" i="2"/>
  <c r="H1231" i="2"/>
  <c r="G1231" i="2"/>
  <c r="F1231" i="2"/>
  <c r="E1231" i="2"/>
  <c r="D1231" i="2"/>
  <c r="H1230" i="2"/>
  <c r="G1230" i="2"/>
  <c r="F1230" i="2"/>
  <c r="E1230" i="2"/>
  <c r="D1230" i="2"/>
  <c r="H3223" i="2"/>
  <c r="G3223" i="2"/>
  <c r="F3223" i="2"/>
  <c r="E3223" i="2"/>
  <c r="D3223" i="2"/>
  <c r="H800" i="2"/>
  <c r="G800" i="2"/>
  <c r="F800" i="2"/>
  <c r="E800" i="2"/>
  <c r="D800" i="2"/>
  <c r="H3066" i="2"/>
  <c r="G3066" i="2"/>
  <c r="F3066" i="2"/>
  <c r="E3066" i="2"/>
  <c r="D3066" i="2"/>
  <c r="H3065" i="2"/>
  <c r="G3065" i="2"/>
  <c r="F3065" i="2"/>
  <c r="E3065" i="2"/>
  <c r="D3065" i="2"/>
  <c r="H3064" i="2"/>
  <c r="G3064" i="2"/>
  <c r="F3064" i="2"/>
  <c r="E3064" i="2"/>
  <c r="D3064" i="2"/>
  <c r="H3864" i="2"/>
  <c r="G3864" i="2"/>
  <c r="F3864" i="2"/>
  <c r="E3864" i="2"/>
  <c r="D3864" i="2"/>
  <c r="H1599" i="2"/>
  <c r="G1599" i="2"/>
  <c r="F1599" i="2"/>
  <c r="E1599" i="2"/>
  <c r="D1599" i="2"/>
  <c r="H631" i="2"/>
  <c r="G631" i="2"/>
  <c r="F631" i="2"/>
  <c r="E631" i="2"/>
  <c r="D631" i="2"/>
  <c r="H2679" i="2"/>
  <c r="G2679" i="2"/>
  <c r="F2679" i="2"/>
  <c r="E2679" i="2"/>
  <c r="D2679" i="2"/>
  <c r="H2986" i="2"/>
  <c r="G2986" i="2"/>
  <c r="F2986" i="2"/>
  <c r="E2986" i="2"/>
  <c r="D2986" i="2"/>
  <c r="H1593" i="2"/>
  <c r="G1593" i="2"/>
  <c r="F1593" i="2"/>
  <c r="E1593" i="2"/>
  <c r="D1593" i="2"/>
  <c r="H3785" i="2"/>
  <c r="G3785" i="2"/>
  <c r="F3785" i="2"/>
  <c r="E3785" i="2"/>
  <c r="D3785" i="2"/>
  <c r="H51" i="2"/>
  <c r="G51" i="2"/>
  <c r="F51" i="2"/>
  <c r="E51" i="2"/>
  <c r="D51" i="2"/>
  <c r="H50" i="2"/>
  <c r="G50" i="2"/>
  <c r="F50" i="2"/>
  <c r="E50" i="2"/>
  <c r="D50" i="2"/>
  <c r="H49" i="2"/>
  <c r="G49" i="2"/>
  <c r="F49" i="2"/>
  <c r="E49" i="2"/>
  <c r="D49" i="2"/>
  <c r="H48" i="2"/>
  <c r="G48" i="2"/>
  <c r="F48" i="2"/>
  <c r="E48" i="2"/>
  <c r="D48" i="2"/>
  <c r="H47" i="2"/>
  <c r="G47" i="2"/>
  <c r="F47" i="2"/>
  <c r="E47" i="2"/>
  <c r="D47" i="2"/>
  <c r="H2370" i="2"/>
  <c r="G2370" i="2"/>
  <c r="F2370" i="2"/>
  <c r="E2370" i="2"/>
  <c r="D2370" i="2"/>
  <c r="H2369" i="2"/>
  <c r="G2369" i="2"/>
  <c r="F2369" i="2"/>
  <c r="E2369" i="2"/>
  <c r="D2369" i="2"/>
  <c r="H2368" i="2"/>
  <c r="G2368" i="2"/>
  <c r="F2368" i="2"/>
  <c r="E2368" i="2"/>
  <c r="D2368" i="2"/>
  <c r="H1094" i="2"/>
  <c r="G1094" i="2"/>
  <c r="F1094" i="2"/>
  <c r="E1094" i="2"/>
  <c r="D1094" i="2"/>
  <c r="H2631" i="2"/>
  <c r="G2631" i="2"/>
  <c r="F2631" i="2"/>
  <c r="E2631" i="2"/>
  <c r="D2631" i="2"/>
  <c r="H2630" i="2"/>
  <c r="G2630" i="2"/>
  <c r="F2630" i="2"/>
  <c r="E2630" i="2"/>
  <c r="D2630" i="2"/>
  <c r="H3210" i="2"/>
  <c r="G3210" i="2"/>
  <c r="F3210" i="2"/>
  <c r="E3210" i="2"/>
  <c r="D3210" i="2"/>
  <c r="H3824" i="2"/>
  <c r="G3824" i="2"/>
  <c r="F3824" i="2"/>
  <c r="E3824" i="2"/>
  <c r="D3824" i="2"/>
  <c r="H3823" i="2"/>
  <c r="G3823" i="2"/>
  <c r="F3823" i="2"/>
  <c r="E3823" i="2"/>
  <c r="D3823" i="2"/>
  <c r="H3822" i="2"/>
  <c r="G3822" i="2"/>
  <c r="F3822" i="2"/>
  <c r="E3822" i="2"/>
  <c r="D3822" i="2"/>
  <c r="H2426" i="2"/>
  <c r="G2426" i="2"/>
  <c r="F2426" i="2"/>
  <c r="E2426" i="2"/>
  <c r="D2426" i="2"/>
  <c r="H2425" i="2"/>
  <c r="G2425" i="2"/>
  <c r="F2425" i="2"/>
  <c r="E2425" i="2"/>
  <c r="D2425" i="2"/>
  <c r="H2424" i="2"/>
  <c r="G2424" i="2"/>
  <c r="F2424" i="2"/>
  <c r="E2424" i="2"/>
  <c r="D2424" i="2"/>
  <c r="H2423" i="2"/>
  <c r="G2423" i="2"/>
  <c r="F2423" i="2"/>
  <c r="E2423" i="2"/>
  <c r="D2423" i="2"/>
  <c r="H2422" i="2"/>
  <c r="G2422" i="2"/>
  <c r="F2422" i="2"/>
  <c r="E2422" i="2"/>
  <c r="D2422" i="2"/>
  <c r="H2421" i="2"/>
  <c r="G2421" i="2"/>
  <c r="F2421" i="2"/>
  <c r="E2421" i="2"/>
  <c r="D2421" i="2"/>
  <c r="H1532" i="2"/>
  <c r="G1532" i="2"/>
  <c r="F1532" i="2"/>
  <c r="E1532" i="2"/>
  <c r="D1532" i="2"/>
  <c r="H1531" i="2"/>
  <c r="G1531" i="2"/>
  <c r="F1531" i="2"/>
  <c r="E1531" i="2"/>
  <c r="D1531" i="2"/>
  <c r="H1530" i="2"/>
  <c r="G1530" i="2"/>
  <c r="F1530" i="2"/>
  <c r="E1530" i="2"/>
  <c r="D1530" i="2"/>
  <c r="H1529" i="2"/>
  <c r="G1529" i="2"/>
  <c r="F1529" i="2"/>
  <c r="E1529" i="2"/>
  <c r="D1529" i="2"/>
  <c r="H1528" i="2"/>
  <c r="G1528" i="2"/>
  <c r="F1528" i="2"/>
  <c r="E1528" i="2"/>
  <c r="D1528" i="2"/>
  <c r="H2367" i="2"/>
  <c r="G2367" i="2"/>
  <c r="F2367" i="2"/>
  <c r="E2367" i="2"/>
  <c r="D2367" i="2"/>
  <c r="H2366" i="2"/>
  <c r="G2366" i="2"/>
  <c r="F2366" i="2"/>
  <c r="E2366" i="2"/>
  <c r="D2366" i="2"/>
  <c r="H1472" i="2"/>
  <c r="G1472" i="2"/>
  <c r="F1472" i="2"/>
  <c r="E1472" i="2"/>
  <c r="D1472" i="2"/>
  <c r="H23" i="2"/>
  <c r="G23" i="2"/>
  <c r="F23" i="2"/>
  <c r="E23" i="2"/>
  <c r="D23" i="2"/>
  <c r="H1539" i="2"/>
  <c r="G1539" i="2"/>
  <c r="F1539" i="2"/>
  <c r="E1539" i="2"/>
  <c r="D1539" i="2"/>
  <c r="H115" i="2"/>
  <c r="G115" i="2"/>
  <c r="F115" i="2"/>
  <c r="E115" i="2"/>
  <c r="D115" i="2"/>
  <c r="H114" i="2"/>
  <c r="G114" i="2"/>
  <c r="F114" i="2"/>
  <c r="E114" i="2"/>
  <c r="D114" i="2"/>
  <c r="H2272" i="2"/>
  <c r="G2272" i="2"/>
  <c r="F2272" i="2"/>
  <c r="E2272" i="2"/>
  <c r="D2272" i="2"/>
  <c r="H3313" i="2"/>
  <c r="G3313" i="2"/>
  <c r="F3313" i="2"/>
  <c r="E3313" i="2"/>
  <c r="D3313" i="2"/>
  <c r="H1141" i="2"/>
  <c r="G1141" i="2"/>
  <c r="F1141" i="2"/>
  <c r="E1141" i="2"/>
  <c r="D1141" i="2"/>
  <c r="H2175" i="2"/>
  <c r="G2175" i="2"/>
  <c r="F2175" i="2"/>
  <c r="E2175" i="2"/>
  <c r="D2175" i="2"/>
  <c r="H2174" i="2"/>
  <c r="G2174" i="2"/>
  <c r="F2174" i="2"/>
  <c r="E2174" i="2"/>
  <c r="D2174" i="2"/>
  <c r="H2173" i="2"/>
  <c r="G2173" i="2"/>
  <c r="F2173" i="2"/>
  <c r="E2173" i="2"/>
  <c r="D2173" i="2"/>
  <c r="H2172" i="2"/>
  <c r="G2172" i="2"/>
  <c r="F2172" i="2"/>
  <c r="E2172" i="2"/>
  <c r="D2172" i="2"/>
  <c r="H3327" i="2"/>
  <c r="G3327" i="2"/>
  <c r="F3327" i="2"/>
  <c r="E3327" i="2"/>
  <c r="D3327" i="2"/>
  <c r="H3326" i="2"/>
  <c r="G3326" i="2"/>
  <c r="F3326" i="2"/>
  <c r="E3326" i="2"/>
  <c r="D3326" i="2"/>
  <c r="H3325" i="2"/>
  <c r="G3325" i="2"/>
  <c r="F3325" i="2"/>
  <c r="E3325" i="2"/>
  <c r="D3325" i="2"/>
  <c r="H3324" i="2"/>
  <c r="G3324" i="2"/>
  <c r="F3324" i="2"/>
  <c r="E3324" i="2"/>
  <c r="D3324" i="2"/>
  <c r="H3323" i="2"/>
  <c r="G3323" i="2"/>
  <c r="F3323" i="2"/>
  <c r="E3323" i="2"/>
  <c r="D3323" i="2"/>
  <c r="H3867" i="2"/>
  <c r="G3867" i="2"/>
  <c r="F3867" i="2"/>
  <c r="E3867" i="2"/>
  <c r="D3867" i="2"/>
  <c r="H3866" i="2"/>
  <c r="G3866" i="2"/>
  <c r="F3866" i="2"/>
  <c r="E3866" i="2"/>
  <c r="D3866" i="2"/>
  <c r="H3865" i="2"/>
  <c r="G3865" i="2"/>
  <c r="F3865" i="2"/>
  <c r="E3865" i="2"/>
  <c r="D3865" i="2"/>
  <c r="H3454" i="2"/>
  <c r="G3454" i="2"/>
  <c r="F3454" i="2"/>
  <c r="E3454" i="2"/>
  <c r="D3454" i="2"/>
  <c r="H3807" i="2"/>
  <c r="G3807" i="2"/>
  <c r="F3807" i="2"/>
  <c r="E3807" i="2"/>
  <c r="D3807" i="2"/>
  <c r="H3806" i="2"/>
  <c r="G3806" i="2"/>
  <c r="F3806" i="2"/>
  <c r="E3806" i="2"/>
  <c r="D3806" i="2"/>
  <c r="H3365" i="2"/>
  <c r="G3365" i="2"/>
  <c r="F3365" i="2"/>
  <c r="E3365" i="2"/>
  <c r="D3365" i="2"/>
  <c r="H1188" i="2"/>
  <c r="G1188" i="2"/>
  <c r="F1188" i="2"/>
  <c r="E1188" i="2"/>
  <c r="D1188" i="2"/>
  <c r="H1187" i="2"/>
  <c r="G1187" i="2"/>
  <c r="F1187" i="2"/>
  <c r="E1187" i="2"/>
  <c r="D1187" i="2"/>
  <c r="H477" i="2"/>
  <c r="G477" i="2"/>
  <c r="F477" i="2"/>
  <c r="E477" i="2"/>
  <c r="D477" i="2"/>
  <c r="H476" i="2"/>
  <c r="G476" i="2"/>
  <c r="F476" i="2"/>
  <c r="E476" i="2"/>
  <c r="D476" i="2"/>
  <c r="H3868" i="2"/>
  <c r="G3868" i="2"/>
  <c r="F3868" i="2"/>
  <c r="E3868" i="2"/>
  <c r="D3868" i="2"/>
  <c r="H64" i="2"/>
  <c r="G64" i="2"/>
  <c r="F64" i="2"/>
  <c r="E64" i="2"/>
  <c r="D64" i="2"/>
  <c r="H17" i="2"/>
  <c r="G17" i="2"/>
  <c r="F17" i="2"/>
  <c r="E17" i="2"/>
  <c r="D17" i="2"/>
  <c r="H141" i="2"/>
  <c r="G141" i="2"/>
  <c r="F141" i="2"/>
  <c r="E141" i="2"/>
  <c r="D141" i="2"/>
  <c r="H140" i="2"/>
  <c r="G140" i="2"/>
  <c r="F140" i="2"/>
  <c r="E140" i="2"/>
  <c r="D140" i="2"/>
  <c r="H16" i="2"/>
  <c r="G16" i="2"/>
  <c r="F16" i="2"/>
  <c r="E16" i="2"/>
  <c r="D16" i="2"/>
  <c r="H15" i="2"/>
  <c r="G15" i="2"/>
  <c r="F15" i="2"/>
  <c r="E15" i="2"/>
  <c r="D15" i="2"/>
  <c r="H1829" i="2"/>
  <c r="G1829" i="2"/>
  <c r="F1829" i="2"/>
  <c r="E1829" i="2"/>
  <c r="D1829" i="2"/>
  <c r="H652" i="2"/>
  <c r="G652" i="2"/>
  <c r="F652" i="2"/>
  <c r="E652" i="2"/>
  <c r="D652" i="2"/>
  <c r="H650" i="2"/>
  <c r="G650" i="2"/>
  <c r="F650" i="2"/>
  <c r="E650" i="2"/>
  <c r="D650" i="2"/>
  <c r="H1355" i="2"/>
  <c r="G1355" i="2"/>
  <c r="F1355" i="2"/>
  <c r="E1355" i="2"/>
  <c r="D1355" i="2"/>
  <c r="H1535" i="2"/>
  <c r="G1535" i="2"/>
  <c r="F1535" i="2"/>
  <c r="E1535" i="2"/>
  <c r="D1535" i="2"/>
  <c r="H1534" i="2"/>
  <c r="G1534" i="2"/>
  <c r="F1534" i="2"/>
  <c r="E1534" i="2"/>
  <c r="D1534" i="2"/>
  <c r="H1533" i="2"/>
  <c r="G1533" i="2"/>
  <c r="F1533" i="2"/>
  <c r="E1533" i="2"/>
  <c r="D1533" i="2"/>
  <c r="H2365" i="2"/>
  <c r="G2365" i="2"/>
  <c r="F2365" i="2"/>
  <c r="E2365" i="2"/>
  <c r="D2365" i="2"/>
  <c r="H1453" i="2"/>
  <c r="G1453" i="2"/>
  <c r="F1453" i="2"/>
  <c r="E1453" i="2"/>
  <c r="D1453" i="2"/>
  <c r="H1452" i="2"/>
  <c r="G1452" i="2"/>
  <c r="F1452" i="2"/>
  <c r="E1452" i="2"/>
  <c r="D1452" i="2"/>
  <c r="H3094" i="2"/>
  <c r="G3094" i="2"/>
  <c r="F3094" i="2"/>
  <c r="E3094" i="2"/>
  <c r="D3094" i="2"/>
  <c r="H3461" i="2"/>
  <c r="G3461" i="2"/>
  <c r="F3461" i="2"/>
  <c r="E3461" i="2"/>
  <c r="D3461" i="2"/>
  <c r="H3460" i="2"/>
  <c r="G3460" i="2"/>
  <c r="F3460" i="2"/>
  <c r="E3460" i="2"/>
  <c r="D3460" i="2"/>
  <c r="H2536" i="2"/>
  <c r="G2536" i="2"/>
  <c r="F2536" i="2"/>
  <c r="E2536" i="2"/>
  <c r="D2536" i="2"/>
  <c r="H858" i="2"/>
  <c r="G858" i="2"/>
  <c r="F858" i="2"/>
  <c r="E858" i="2"/>
  <c r="D858" i="2"/>
  <c r="H1550" i="2"/>
  <c r="G1550" i="2"/>
  <c r="F1550" i="2"/>
  <c r="E1550" i="2"/>
  <c r="D1550" i="2"/>
  <c r="H18" i="2"/>
  <c r="G18" i="2"/>
  <c r="F18" i="2"/>
  <c r="E18" i="2"/>
  <c r="D18" i="2"/>
  <c r="H2501" i="2"/>
  <c r="G2501" i="2"/>
  <c r="F2501" i="2"/>
  <c r="E2501" i="2"/>
  <c r="D2501" i="2"/>
  <c r="H2500" i="2"/>
  <c r="G2500" i="2"/>
  <c r="F2500" i="2"/>
  <c r="E2500" i="2"/>
  <c r="D2500" i="2"/>
  <c r="H2462" i="2"/>
  <c r="G2462" i="2"/>
  <c r="F2462" i="2"/>
  <c r="E2462" i="2"/>
  <c r="D2462" i="2"/>
  <c r="H2461" i="2"/>
  <c r="G2461" i="2"/>
  <c r="F2461" i="2"/>
  <c r="E2461" i="2"/>
  <c r="D2461" i="2"/>
  <c r="H2460" i="2"/>
  <c r="G2460" i="2"/>
  <c r="F2460" i="2"/>
  <c r="E2460" i="2"/>
  <c r="D2460" i="2"/>
  <c r="H2459" i="2"/>
  <c r="G2459" i="2"/>
  <c r="F2459" i="2"/>
  <c r="E2459" i="2"/>
  <c r="D2459" i="2"/>
  <c r="H2458" i="2"/>
  <c r="G2458" i="2"/>
  <c r="F2458" i="2"/>
  <c r="E2458" i="2"/>
  <c r="D2458" i="2"/>
  <c r="H2457" i="2"/>
  <c r="G2457" i="2"/>
  <c r="F2457" i="2"/>
  <c r="E2457" i="2"/>
  <c r="D2457" i="2"/>
  <c r="H2456" i="2"/>
  <c r="G2456" i="2"/>
  <c r="F2456" i="2"/>
  <c r="E2456" i="2"/>
  <c r="D2456" i="2"/>
  <c r="H2455" i="2"/>
  <c r="G2455" i="2"/>
  <c r="F2455" i="2"/>
  <c r="E2455" i="2"/>
  <c r="D2455" i="2"/>
  <c r="H2454" i="2"/>
  <c r="G2454" i="2"/>
  <c r="F2454" i="2"/>
  <c r="E2454" i="2"/>
  <c r="D2454" i="2"/>
  <c r="H2800" i="2"/>
  <c r="G2800" i="2"/>
  <c r="F2800" i="2"/>
  <c r="E2800" i="2"/>
  <c r="D2800" i="2"/>
  <c r="H2799" i="2"/>
  <c r="G2799" i="2"/>
  <c r="F2799" i="2"/>
  <c r="E2799" i="2"/>
  <c r="D2799" i="2"/>
  <c r="H2798" i="2"/>
  <c r="G2798" i="2"/>
  <c r="F2798" i="2"/>
  <c r="E2798" i="2"/>
  <c r="D2798" i="2"/>
  <c r="H2797" i="2"/>
  <c r="G2797" i="2"/>
  <c r="F2797" i="2"/>
  <c r="E2797" i="2"/>
  <c r="D2797" i="2"/>
  <c r="H3453" i="2"/>
  <c r="G3453" i="2"/>
  <c r="F3453" i="2"/>
  <c r="E3453" i="2"/>
  <c r="D3453" i="2"/>
  <c r="H3452" i="2"/>
  <c r="G3452" i="2"/>
  <c r="F3452" i="2"/>
  <c r="E3452" i="2"/>
  <c r="D3452" i="2"/>
  <c r="H3451" i="2"/>
  <c r="G3451" i="2"/>
  <c r="F3451" i="2"/>
  <c r="E3451" i="2"/>
  <c r="D3451" i="2"/>
  <c r="H655" i="2"/>
  <c r="G655" i="2"/>
  <c r="F655" i="2"/>
  <c r="E655" i="2"/>
  <c r="D655" i="2"/>
  <c r="H654" i="2"/>
  <c r="G654" i="2"/>
  <c r="F654" i="2"/>
  <c r="E654" i="2"/>
  <c r="D654" i="2"/>
  <c r="H653" i="2"/>
  <c r="G653" i="2"/>
  <c r="F653" i="2"/>
  <c r="E653" i="2"/>
  <c r="D653" i="2"/>
  <c r="H2856" i="2"/>
  <c r="G2856" i="2"/>
  <c r="F2856" i="2"/>
  <c r="E2856" i="2"/>
  <c r="D2856" i="2"/>
  <c r="H3122" i="2"/>
  <c r="G3122" i="2"/>
  <c r="F3122" i="2"/>
  <c r="E3122" i="2"/>
  <c r="D3122" i="2"/>
  <c r="H3600" i="2"/>
  <c r="G3600" i="2"/>
  <c r="F3600" i="2"/>
  <c r="E3600" i="2"/>
  <c r="D3600" i="2"/>
  <c r="H2477" i="2"/>
  <c r="G2477" i="2"/>
  <c r="F2477" i="2"/>
  <c r="E2477" i="2"/>
  <c r="D2477" i="2"/>
  <c r="H2476" i="2"/>
  <c r="G2476" i="2"/>
  <c r="F2476" i="2"/>
  <c r="E2476" i="2"/>
  <c r="D2476" i="2"/>
  <c r="H3089" i="2"/>
  <c r="G3089" i="2"/>
  <c r="F3089" i="2"/>
  <c r="E3089" i="2"/>
  <c r="D3089" i="2"/>
  <c r="H3088" i="2"/>
  <c r="G3088" i="2"/>
  <c r="F3088" i="2"/>
  <c r="E3088" i="2"/>
  <c r="D3088" i="2"/>
  <c r="H3087" i="2"/>
  <c r="G3087" i="2"/>
  <c r="F3087" i="2"/>
  <c r="E3087" i="2"/>
  <c r="D3087" i="2"/>
  <c r="H3086" i="2"/>
  <c r="G3086" i="2"/>
  <c r="F3086" i="2"/>
  <c r="E3086" i="2"/>
  <c r="D3086" i="2"/>
  <c r="H3539" i="2"/>
  <c r="G3539" i="2"/>
  <c r="F3539" i="2"/>
  <c r="E3539" i="2"/>
  <c r="D3539" i="2"/>
  <c r="H1371" i="2"/>
  <c r="G1371" i="2"/>
  <c r="F1371" i="2"/>
  <c r="E1371" i="2"/>
  <c r="D1371" i="2"/>
  <c r="H1777" i="2"/>
  <c r="G1777" i="2"/>
  <c r="F1777" i="2"/>
  <c r="E1777" i="2"/>
  <c r="D1777" i="2"/>
  <c r="H273" i="2"/>
  <c r="G273" i="2"/>
  <c r="F273" i="2"/>
  <c r="E273" i="2"/>
  <c r="D273" i="2"/>
  <c r="H684" i="2"/>
  <c r="G684" i="2"/>
  <c r="F684" i="2"/>
  <c r="E684" i="2"/>
  <c r="D684" i="2"/>
  <c r="H683" i="2"/>
  <c r="G683" i="2"/>
  <c r="F683" i="2"/>
  <c r="E683" i="2"/>
  <c r="D683" i="2"/>
  <c r="H682" i="2"/>
  <c r="G682" i="2"/>
  <c r="F682" i="2"/>
  <c r="E682" i="2"/>
  <c r="D682" i="2"/>
  <c r="H681" i="2"/>
  <c r="G681" i="2"/>
  <c r="F681" i="2"/>
  <c r="E681" i="2"/>
  <c r="D681" i="2"/>
  <c r="H680" i="2"/>
  <c r="G680" i="2"/>
  <c r="F680" i="2"/>
  <c r="E680" i="2"/>
  <c r="D680" i="2"/>
  <c r="H679" i="2"/>
  <c r="G679" i="2"/>
  <c r="F679" i="2"/>
  <c r="E679" i="2"/>
  <c r="D679" i="2"/>
  <c r="H1100" i="2"/>
  <c r="G1100" i="2"/>
  <c r="F1100" i="2"/>
  <c r="E1100" i="2"/>
  <c r="D1100" i="2"/>
  <c r="H1099" i="2"/>
  <c r="G1099" i="2"/>
  <c r="F1099" i="2"/>
  <c r="E1099" i="2"/>
  <c r="D1099" i="2"/>
  <c r="H1966" i="2"/>
  <c r="G1966" i="2"/>
  <c r="F1966" i="2"/>
  <c r="E1966" i="2"/>
  <c r="D1966" i="2"/>
  <c r="H1943" i="2"/>
  <c r="G1943" i="2"/>
  <c r="F1943" i="2"/>
  <c r="E1943" i="2"/>
  <c r="D1943" i="2"/>
  <c r="H1942" i="2"/>
  <c r="G1942" i="2"/>
  <c r="F1942" i="2"/>
  <c r="E1942" i="2"/>
  <c r="D1942" i="2"/>
  <c r="H1941" i="2"/>
  <c r="G1941" i="2"/>
  <c r="F1941" i="2"/>
  <c r="E1941" i="2"/>
  <c r="D1941" i="2"/>
  <c r="H21" i="2"/>
  <c r="G21" i="2"/>
  <c r="F21" i="2"/>
  <c r="E21" i="2"/>
  <c r="D21" i="2"/>
  <c r="H649" i="2"/>
  <c r="G649" i="2"/>
  <c r="F649" i="2"/>
  <c r="E649" i="2"/>
  <c r="D649" i="2"/>
  <c r="H1127" i="2"/>
  <c r="G1127" i="2"/>
  <c r="F1127" i="2"/>
  <c r="E1127" i="2"/>
  <c r="D1127" i="2"/>
  <c r="H1750" i="2"/>
  <c r="G1750" i="2"/>
  <c r="F1750" i="2"/>
  <c r="E1750" i="2"/>
  <c r="D1750" i="2"/>
  <c r="H1749" i="2"/>
  <c r="G1749" i="2"/>
  <c r="F1749" i="2"/>
  <c r="E1749" i="2"/>
  <c r="D1749" i="2"/>
  <c r="H1748" i="2"/>
  <c r="G1748" i="2"/>
  <c r="F1748" i="2"/>
  <c r="E1748" i="2"/>
  <c r="D1748" i="2"/>
  <c r="H2939" i="2"/>
  <c r="G2939" i="2"/>
  <c r="F2939" i="2"/>
  <c r="E2939" i="2"/>
  <c r="D2939" i="2"/>
  <c r="H2506" i="2"/>
  <c r="G2506" i="2"/>
  <c r="F2506" i="2"/>
  <c r="E2506" i="2"/>
  <c r="D2506" i="2"/>
  <c r="H3552" i="2"/>
  <c r="G3552" i="2"/>
  <c r="F3552" i="2"/>
  <c r="E3552" i="2"/>
  <c r="D3552" i="2"/>
  <c r="H648" i="2"/>
  <c r="G648" i="2"/>
  <c r="F648" i="2"/>
  <c r="E648" i="2"/>
  <c r="D648" i="2"/>
  <c r="H1814" i="2"/>
  <c r="G1814" i="2"/>
  <c r="F1814" i="2"/>
  <c r="E1814" i="2"/>
  <c r="D1814" i="2"/>
  <c r="H1813" i="2"/>
  <c r="G1813" i="2"/>
  <c r="F1813" i="2"/>
  <c r="E1813" i="2"/>
  <c r="D1813" i="2"/>
  <c r="H1812" i="2"/>
  <c r="G1812" i="2"/>
  <c r="F1812" i="2"/>
  <c r="E1812" i="2"/>
  <c r="D1812" i="2"/>
  <c r="H1811" i="2"/>
  <c r="G1811" i="2"/>
  <c r="F1811" i="2"/>
  <c r="E1811" i="2"/>
  <c r="D1811" i="2"/>
  <c r="H1810" i="2"/>
  <c r="G1810" i="2"/>
  <c r="F1810" i="2"/>
  <c r="E1810" i="2"/>
  <c r="D1810" i="2"/>
  <c r="H3553" i="2"/>
  <c r="G3553" i="2"/>
  <c r="F3553" i="2"/>
  <c r="E3553" i="2"/>
  <c r="D3553" i="2"/>
  <c r="H3092" i="2"/>
  <c r="G3092" i="2"/>
  <c r="F3092" i="2"/>
  <c r="E3092" i="2"/>
  <c r="D3092" i="2"/>
  <c r="H9" i="2"/>
  <c r="G9" i="2"/>
  <c r="F9" i="2"/>
  <c r="E9" i="2"/>
  <c r="D9" i="2"/>
  <c r="H770" i="2"/>
  <c r="G770" i="2"/>
  <c r="F770" i="2"/>
  <c r="E770" i="2"/>
  <c r="D770" i="2"/>
  <c r="H769" i="2"/>
  <c r="G769" i="2"/>
  <c r="F769" i="2"/>
  <c r="E769" i="2"/>
  <c r="D769" i="2"/>
  <c r="H768" i="2"/>
  <c r="G768" i="2"/>
  <c r="F768" i="2"/>
  <c r="E768" i="2"/>
  <c r="D768" i="2"/>
  <c r="H767" i="2"/>
  <c r="G767" i="2"/>
  <c r="F767" i="2"/>
  <c r="E767" i="2"/>
  <c r="D767" i="2"/>
  <c r="H766" i="2"/>
  <c r="G766" i="2"/>
  <c r="F766" i="2"/>
  <c r="E766" i="2"/>
  <c r="D766" i="2"/>
  <c r="H1067" i="2"/>
  <c r="G1067" i="2"/>
  <c r="F1067" i="2"/>
  <c r="E1067" i="2"/>
  <c r="D1067" i="2"/>
  <c r="H3132" i="2"/>
  <c r="G3132" i="2"/>
  <c r="F3132" i="2"/>
  <c r="E3132" i="2"/>
  <c r="D3132" i="2"/>
  <c r="H2267" i="2"/>
  <c r="G2267" i="2"/>
  <c r="F2267" i="2"/>
  <c r="E2267" i="2"/>
  <c r="D2267" i="2"/>
  <c r="H2266" i="2"/>
  <c r="G2266" i="2"/>
  <c r="F2266" i="2"/>
  <c r="E2266" i="2"/>
  <c r="D2266" i="2"/>
  <c r="H2265" i="2"/>
  <c r="G2265" i="2"/>
  <c r="F2265" i="2"/>
  <c r="E2265" i="2"/>
  <c r="D2265" i="2"/>
  <c r="H2264" i="2"/>
  <c r="G2264" i="2"/>
  <c r="F2264" i="2"/>
  <c r="E2264" i="2"/>
  <c r="D2264" i="2"/>
  <c r="H2263" i="2"/>
  <c r="G2263" i="2"/>
  <c r="F2263" i="2"/>
  <c r="E2263" i="2"/>
  <c r="D2263" i="2"/>
  <c r="H3621" i="2"/>
  <c r="G3621" i="2"/>
  <c r="F3621" i="2"/>
  <c r="E3621" i="2"/>
  <c r="D3621" i="2"/>
  <c r="H3671" i="2"/>
  <c r="G3671" i="2"/>
  <c r="F3671" i="2"/>
  <c r="E3671" i="2"/>
  <c r="D3671" i="2"/>
  <c r="H3836" i="2"/>
  <c r="G3836" i="2"/>
  <c r="F3836" i="2"/>
  <c r="E3836" i="2"/>
  <c r="D3836" i="2"/>
  <c r="H300" i="2"/>
  <c r="G300" i="2"/>
  <c r="F300" i="2"/>
  <c r="E300" i="2"/>
  <c r="D300" i="2"/>
  <c r="H299" i="2"/>
  <c r="G299" i="2"/>
  <c r="F299" i="2"/>
  <c r="E299" i="2"/>
  <c r="D299" i="2"/>
  <c r="H1361" i="2"/>
  <c r="G1361" i="2"/>
  <c r="F1361" i="2"/>
  <c r="E1361" i="2"/>
  <c r="D1361" i="2"/>
  <c r="H1360" i="2"/>
  <c r="G1360" i="2"/>
  <c r="F1360" i="2"/>
  <c r="E1360" i="2"/>
  <c r="D1360" i="2"/>
  <c r="H1359" i="2"/>
  <c r="G1359" i="2"/>
  <c r="F1359" i="2"/>
  <c r="E1359" i="2"/>
  <c r="D1359" i="2"/>
  <c r="H372" i="2"/>
  <c r="G372" i="2"/>
  <c r="F372" i="2"/>
  <c r="E372" i="2"/>
  <c r="D372" i="2"/>
  <c r="H1969" i="2"/>
  <c r="G1969" i="2"/>
  <c r="F1969" i="2"/>
  <c r="E1969" i="2"/>
  <c r="D1969" i="2"/>
  <c r="H75" i="2"/>
  <c r="G75" i="2"/>
  <c r="F75" i="2"/>
  <c r="E75" i="2"/>
  <c r="D75" i="2"/>
  <c r="H1079" i="2"/>
  <c r="G1079" i="2"/>
  <c r="F1079" i="2"/>
  <c r="E1079" i="2"/>
  <c r="D1079" i="2"/>
  <c r="H1078" i="2"/>
  <c r="G1078" i="2"/>
  <c r="F1078" i="2"/>
  <c r="E1078" i="2"/>
  <c r="D1078" i="2"/>
  <c r="H1460" i="2"/>
  <c r="G1460" i="2"/>
  <c r="F1460" i="2"/>
  <c r="E1460" i="2"/>
  <c r="D1460" i="2"/>
  <c r="H3753" i="2"/>
  <c r="G3753" i="2"/>
  <c r="F3753" i="2"/>
  <c r="E3753" i="2"/>
  <c r="D3753" i="2"/>
  <c r="H3752" i="2"/>
  <c r="G3752" i="2"/>
  <c r="F3752" i="2"/>
  <c r="E3752" i="2"/>
  <c r="D3752" i="2"/>
  <c r="H3751" i="2"/>
  <c r="G3751" i="2"/>
  <c r="F3751" i="2"/>
  <c r="E3751" i="2"/>
  <c r="D3751" i="2"/>
  <c r="H3750" i="2"/>
  <c r="G3750" i="2"/>
  <c r="F3750" i="2"/>
  <c r="E3750" i="2"/>
  <c r="D3750" i="2"/>
  <c r="H3749" i="2"/>
  <c r="G3749" i="2"/>
  <c r="F3749" i="2"/>
  <c r="E3749" i="2"/>
  <c r="D3749" i="2"/>
  <c r="H3748" i="2"/>
  <c r="G3748" i="2"/>
  <c r="F3748" i="2"/>
  <c r="E3748" i="2"/>
  <c r="D3748" i="2"/>
  <c r="H1487" i="2"/>
  <c r="G1487" i="2"/>
  <c r="F1487" i="2"/>
  <c r="E1487" i="2"/>
  <c r="D1487" i="2"/>
  <c r="H1486" i="2"/>
  <c r="G1486" i="2"/>
  <c r="F1486" i="2"/>
  <c r="E1486" i="2"/>
  <c r="D1486" i="2"/>
  <c r="H1485" i="2"/>
  <c r="G1485" i="2"/>
  <c r="F1485" i="2"/>
  <c r="E1485" i="2"/>
  <c r="D1485" i="2"/>
  <c r="H1484" i="2"/>
  <c r="G1484" i="2"/>
  <c r="F1484" i="2"/>
  <c r="E1484" i="2"/>
  <c r="D1484" i="2"/>
  <c r="H1483" i="2"/>
  <c r="G1483" i="2"/>
  <c r="F1483" i="2"/>
  <c r="E1483" i="2"/>
  <c r="D1483" i="2"/>
  <c r="H3424" i="2"/>
  <c r="G3424" i="2"/>
  <c r="F3424" i="2"/>
  <c r="E3424" i="2"/>
  <c r="D3424" i="2"/>
  <c r="H3423" i="2"/>
  <c r="G3423" i="2"/>
  <c r="F3423" i="2"/>
  <c r="E3423" i="2"/>
  <c r="D3423" i="2"/>
  <c r="H3422" i="2"/>
  <c r="G3422" i="2"/>
  <c r="F3422" i="2"/>
  <c r="E3422" i="2"/>
  <c r="D3422" i="2"/>
  <c r="H3421" i="2"/>
  <c r="G3421" i="2"/>
  <c r="F3421" i="2"/>
  <c r="E3421" i="2"/>
  <c r="D3421" i="2"/>
  <c r="H3420" i="2"/>
  <c r="G3420" i="2"/>
  <c r="F3420" i="2"/>
  <c r="E3420" i="2"/>
  <c r="D3420" i="2"/>
  <c r="H3419" i="2"/>
  <c r="G3419" i="2"/>
  <c r="F3419" i="2"/>
  <c r="E3419" i="2"/>
  <c r="D3419" i="2"/>
  <c r="H3418" i="2"/>
  <c r="G3418" i="2"/>
  <c r="F3418" i="2"/>
  <c r="E3418" i="2"/>
  <c r="D3418" i="2"/>
  <c r="H367" i="2"/>
  <c r="G367" i="2"/>
  <c r="F367" i="2"/>
  <c r="E367" i="2"/>
  <c r="D367" i="2"/>
  <c r="H2720" i="2"/>
  <c r="G2720" i="2"/>
  <c r="F2720" i="2"/>
  <c r="E2720" i="2"/>
  <c r="D2720" i="2"/>
  <c r="H2719" i="2"/>
  <c r="G2719" i="2"/>
  <c r="F2719" i="2"/>
  <c r="E2719" i="2"/>
  <c r="D2719" i="2"/>
  <c r="H2718" i="2"/>
  <c r="G2718" i="2"/>
  <c r="F2718" i="2"/>
  <c r="E2718" i="2"/>
  <c r="D2718" i="2"/>
  <c r="H297" i="2"/>
  <c r="G297" i="2"/>
  <c r="F297" i="2"/>
  <c r="E297" i="2"/>
  <c r="D297" i="2"/>
  <c r="H190" i="2"/>
  <c r="G190" i="2"/>
  <c r="F190" i="2"/>
  <c r="E190" i="2"/>
  <c r="D190" i="2"/>
  <c r="H2188" i="2"/>
  <c r="G2188" i="2"/>
  <c r="F2188" i="2"/>
  <c r="E2188" i="2"/>
  <c r="D2188" i="2"/>
  <c r="H357" i="2"/>
  <c r="G357" i="2"/>
  <c r="F357" i="2"/>
  <c r="E357" i="2"/>
  <c r="D357" i="2"/>
  <c r="H356" i="2"/>
  <c r="G356" i="2"/>
  <c r="F356" i="2"/>
  <c r="E356" i="2"/>
  <c r="D356" i="2"/>
  <c r="H1005" i="2"/>
  <c r="G1005" i="2"/>
  <c r="F1005" i="2"/>
  <c r="E1005" i="2"/>
  <c r="D1005" i="2"/>
  <c r="H1004" i="2"/>
  <c r="G1004" i="2"/>
  <c r="F1004" i="2"/>
  <c r="E1004" i="2"/>
  <c r="D1004" i="2"/>
  <c r="H2066" i="2"/>
  <c r="G2066" i="2"/>
  <c r="F2066" i="2"/>
  <c r="E2066" i="2"/>
  <c r="D2066" i="2"/>
  <c r="H2065" i="2"/>
  <c r="G2065" i="2"/>
  <c r="F2065" i="2"/>
  <c r="E2065" i="2"/>
  <c r="D2065" i="2"/>
  <c r="H2064" i="2"/>
  <c r="G2064" i="2"/>
  <c r="F2064" i="2"/>
  <c r="E2064" i="2"/>
  <c r="D2064" i="2"/>
  <c r="H3385" i="2"/>
  <c r="G3385" i="2"/>
  <c r="F3385" i="2"/>
  <c r="E3385" i="2"/>
  <c r="D3385" i="2"/>
  <c r="H3384" i="2"/>
  <c r="G3384" i="2"/>
  <c r="F3384" i="2"/>
  <c r="E3384" i="2"/>
  <c r="D3384" i="2"/>
  <c r="H3383" i="2"/>
  <c r="G3383" i="2"/>
  <c r="F3383" i="2"/>
  <c r="E3383" i="2"/>
  <c r="D3383" i="2"/>
  <c r="H3382" i="2"/>
  <c r="G3382" i="2"/>
  <c r="F3382" i="2"/>
  <c r="E3382" i="2"/>
  <c r="D3382" i="2"/>
  <c r="H3381" i="2"/>
  <c r="G3381" i="2"/>
  <c r="F3381" i="2"/>
  <c r="E3381" i="2"/>
  <c r="D3381" i="2"/>
  <c r="H3380" i="2"/>
  <c r="G3380" i="2"/>
  <c r="F3380" i="2"/>
  <c r="E3380" i="2"/>
  <c r="D3380" i="2"/>
  <c r="H3379" i="2"/>
  <c r="G3379" i="2"/>
  <c r="F3379" i="2"/>
  <c r="E3379" i="2"/>
  <c r="D3379" i="2"/>
  <c r="H3378" i="2"/>
  <c r="G3378" i="2"/>
  <c r="F3378" i="2"/>
  <c r="E3378" i="2"/>
  <c r="D3378" i="2"/>
  <c r="H1153" i="2"/>
  <c r="G1153" i="2"/>
  <c r="F1153" i="2"/>
  <c r="E1153" i="2"/>
  <c r="D1153" i="2"/>
  <c r="H556" i="2"/>
  <c r="G556" i="2"/>
  <c r="F556" i="2"/>
  <c r="E556" i="2"/>
  <c r="D556" i="2"/>
  <c r="H555" i="2"/>
  <c r="G555" i="2"/>
  <c r="F555" i="2"/>
  <c r="E555" i="2"/>
  <c r="D555" i="2"/>
  <c r="H554" i="2"/>
  <c r="G554" i="2"/>
  <c r="F554" i="2"/>
  <c r="E554" i="2"/>
  <c r="D554" i="2"/>
  <c r="H553" i="2"/>
  <c r="G553" i="2"/>
  <c r="F553" i="2"/>
  <c r="E553" i="2"/>
  <c r="D553" i="2"/>
  <c r="H552" i="2"/>
  <c r="G552" i="2"/>
  <c r="F552" i="2"/>
  <c r="E552" i="2"/>
  <c r="D552" i="2"/>
  <c r="H551" i="2"/>
  <c r="G551" i="2"/>
  <c r="F551" i="2"/>
  <c r="E551" i="2"/>
  <c r="D551" i="2"/>
  <c r="H1248" i="2"/>
  <c r="G1248" i="2"/>
  <c r="F1248" i="2"/>
  <c r="E1248" i="2"/>
  <c r="D1248" i="2"/>
  <c r="H1247" i="2"/>
  <c r="G1247" i="2"/>
  <c r="F1247" i="2"/>
  <c r="E1247" i="2"/>
  <c r="D1247" i="2"/>
  <c r="H1246" i="2"/>
  <c r="G1246" i="2"/>
  <c r="F1246" i="2"/>
  <c r="E1246" i="2"/>
  <c r="D1246" i="2"/>
  <c r="H1245" i="2"/>
  <c r="G1245" i="2"/>
  <c r="F1245" i="2"/>
  <c r="E1245" i="2"/>
  <c r="D1245" i="2"/>
  <c r="H1244" i="2"/>
  <c r="G1244" i="2"/>
  <c r="F1244" i="2"/>
  <c r="E1244" i="2"/>
  <c r="D1244" i="2"/>
  <c r="H1243" i="2"/>
  <c r="G1243" i="2"/>
  <c r="F1243" i="2"/>
  <c r="E1243" i="2"/>
  <c r="D1243" i="2"/>
  <c r="H1242" i="2"/>
  <c r="G1242" i="2"/>
  <c r="F1242" i="2"/>
  <c r="E1242" i="2"/>
  <c r="D1242" i="2"/>
  <c r="H1241" i="2"/>
  <c r="G1241" i="2"/>
  <c r="F1241" i="2"/>
  <c r="E1241" i="2"/>
  <c r="D1241" i="2"/>
  <c r="H1240" i="2"/>
  <c r="G1240" i="2"/>
  <c r="F1240" i="2"/>
  <c r="E1240" i="2"/>
  <c r="D1240" i="2"/>
  <c r="H1239" i="2"/>
  <c r="G1239" i="2"/>
  <c r="F1239" i="2"/>
  <c r="E1239" i="2"/>
  <c r="D1239" i="2"/>
  <c r="H1238" i="2"/>
  <c r="G1238" i="2"/>
  <c r="F1238" i="2"/>
  <c r="E1238" i="2"/>
  <c r="D1238" i="2"/>
  <c r="H1237" i="2"/>
  <c r="G1237" i="2"/>
  <c r="F1237" i="2"/>
  <c r="E1237" i="2"/>
  <c r="D1237" i="2"/>
  <c r="H1236" i="2"/>
  <c r="G1236" i="2"/>
  <c r="F1236" i="2"/>
  <c r="E1236" i="2"/>
  <c r="D1236" i="2"/>
  <c r="H1235" i="2"/>
  <c r="G1235" i="2"/>
  <c r="F1235" i="2"/>
  <c r="E1235" i="2"/>
  <c r="D1235" i="2"/>
  <c r="H1234" i="2"/>
  <c r="G1234" i="2"/>
  <c r="F1234" i="2"/>
  <c r="E1234" i="2"/>
  <c r="D1234" i="2"/>
  <c r="H1233" i="2"/>
  <c r="G1233" i="2"/>
  <c r="F1233" i="2"/>
  <c r="E1233" i="2"/>
  <c r="D1233" i="2"/>
  <c r="H651" i="2"/>
  <c r="G651" i="2"/>
  <c r="F651" i="2"/>
  <c r="E651" i="2"/>
  <c r="D651" i="2"/>
  <c r="H3258" i="2"/>
  <c r="G3258" i="2"/>
  <c r="F3258" i="2"/>
  <c r="E3258" i="2"/>
  <c r="D3258" i="2"/>
  <c r="H124" i="2"/>
  <c r="G124" i="2"/>
  <c r="F124" i="2"/>
  <c r="E124" i="2"/>
  <c r="D124" i="2"/>
  <c r="H2775" i="2"/>
  <c r="G2775" i="2"/>
  <c r="F2775" i="2"/>
  <c r="E2775" i="2"/>
  <c r="D2775" i="2"/>
  <c r="H2271" i="2"/>
  <c r="G2271" i="2"/>
  <c r="F2271" i="2"/>
  <c r="E2271" i="2"/>
  <c r="D2271" i="2"/>
  <c r="H1827" i="2"/>
  <c r="G1827" i="2"/>
  <c r="F1827" i="2"/>
  <c r="E1827" i="2"/>
  <c r="D1827" i="2"/>
  <c r="H1826" i="2"/>
  <c r="G1826" i="2"/>
  <c r="F1826" i="2"/>
  <c r="E1826" i="2"/>
  <c r="D1826" i="2"/>
  <c r="H1825" i="2"/>
  <c r="G1825" i="2"/>
  <c r="F1825" i="2"/>
  <c r="E1825" i="2"/>
  <c r="D1825" i="2"/>
  <c r="H834" i="2"/>
  <c r="G834" i="2"/>
  <c r="F834" i="2"/>
  <c r="E834" i="2"/>
  <c r="D834" i="2"/>
  <c r="H833" i="2"/>
  <c r="G833" i="2"/>
  <c r="F833" i="2"/>
  <c r="E833" i="2"/>
  <c r="D833" i="2"/>
  <c r="H832" i="2"/>
  <c r="G832" i="2"/>
  <c r="F832" i="2"/>
  <c r="E832" i="2"/>
  <c r="D832" i="2"/>
  <c r="H831" i="2"/>
  <c r="G831" i="2"/>
  <c r="F831" i="2"/>
  <c r="E831" i="2"/>
  <c r="D831" i="2"/>
  <c r="H3500" i="2"/>
  <c r="G3500" i="2"/>
  <c r="F3500" i="2"/>
  <c r="E3500" i="2"/>
  <c r="D3500" i="2"/>
  <c r="H1095" i="2"/>
  <c r="G1095" i="2"/>
  <c r="F1095" i="2"/>
  <c r="E1095" i="2"/>
  <c r="D1095" i="2"/>
  <c r="H3556" i="2"/>
  <c r="G3556" i="2"/>
  <c r="F3556" i="2"/>
  <c r="E3556" i="2"/>
  <c r="D3556" i="2"/>
  <c r="H3555" i="2"/>
  <c r="G3555" i="2"/>
  <c r="F3555" i="2"/>
  <c r="E3555" i="2"/>
  <c r="D3555" i="2"/>
  <c r="H41" i="2"/>
  <c r="G41" i="2"/>
  <c r="F41" i="2"/>
  <c r="E41" i="2"/>
  <c r="D41" i="2"/>
  <c r="H40" i="2"/>
  <c r="G40" i="2"/>
  <c r="F40" i="2"/>
  <c r="E40" i="2"/>
  <c r="D40" i="2"/>
  <c r="H3060" i="2"/>
  <c r="G3060" i="2"/>
  <c r="F3060" i="2"/>
  <c r="E3060" i="2"/>
  <c r="D3060" i="2"/>
  <c r="H3059" i="2"/>
  <c r="G3059" i="2"/>
  <c r="F3059" i="2"/>
  <c r="E3059" i="2"/>
  <c r="D3059" i="2"/>
  <c r="H3058" i="2"/>
  <c r="G3058" i="2"/>
  <c r="F3058" i="2"/>
  <c r="E3058" i="2"/>
  <c r="D3058" i="2"/>
  <c r="H3057" i="2"/>
  <c r="G3057" i="2"/>
  <c r="F3057" i="2"/>
  <c r="E3057" i="2"/>
  <c r="D3057" i="2"/>
  <c r="H1488" i="2"/>
  <c r="G1488" i="2"/>
  <c r="F1488" i="2"/>
  <c r="E1488" i="2"/>
  <c r="D1488" i="2"/>
  <c r="H1270" i="2"/>
  <c r="G1270" i="2"/>
  <c r="F1270" i="2"/>
  <c r="E1270" i="2"/>
  <c r="D1270" i="2"/>
  <c r="H1269" i="2"/>
  <c r="G1269" i="2"/>
  <c r="F1269" i="2"/>
  <c r="E1269" i="2"/>
  <c r="D1269" i="2"/>
  <c r="H3549" i="2"/>
  <c r="G3549" i="2"/>
  <c r="F3549" i="2"/>
  <c r="E3549" i="2"/>
  <c r="D3549" i="2"/>
  <c r="H590" i="2"/>
  <c r="G590" i="2"/>
  <c r="F590" i="2"/>
  <c r="E590" i="2"/>
  <c r="D590" i="2"/>
  <c r="H196" i="2"/>
  <c r="G196" i="2"/>
  <c r="F196" i="2"/>
  <c r="E196" i="2"/>
  <c r="D196" i="2"/>
  <c r="H195" i="2"/>
  <c r="G195" i="2"/>
  <c r="F195" i="2"/>
  <c r="E195" i="2"/>
  <c r="D195" i="2"/>
  <c r="H1546" i="2"/>
  <c r="G1546" i="2"/>
  <c r="F1546" i="2"/>
  <c r="E1546" i="2"/>
  <c r="D1546" i="2"/>
  <c r="H629" i="2"/>
  <c r="G629" i="2"/>
  <c r="F629" i="2"/>
  <c r="E629" i="2"/>
  <c r="D629" i="2"/>
  <c r="H628" i="2"/>
  <c r="G628" i="2"/>
  <c r="F628" i="2"/>
  <c r="E628" i="2"/>
  <c r="D628" i="2"/>
  <c r="H627" i="2"/>
  <c r="G627" i="2"/>
  <c r="F627" i="2"/>
  <c r="E627" i="2"/>
  <c r="D627" i="2"/>
  <c r="H3222" i="2"/>
  <c r="G3222" i="2"/>
  <c r="F3222" i="2"/>
  <c r="E3222" i="2"/>
  <c r="D3222" i="2"/>
  <c r="H3221" i="2"/>
  <c r="G3221" i="2"/>
  <c r="F3221" i="2"/>
  <c r="E3221" i="2"/>
  <c r="D3221" i="2"/>
  <c r="H3220" i="2"/>
  <c r="G3220" i="2"/>
  <c r="F3220" i="2"/>
  <c r="E3220" i="2"/>
  <c r="D3220" i="2"/>
  <c r="H3219" i="2"/>
  <c r="G3219" i="2"/>
  <c r="F3219" i="2"/>
  <c r="E3219" i="2"/>
  <c r="D3219" i="2"/>
  <c r="H415" i="2"/>
  <c r="G415" i="2"/>
  <c r="F415" i="2"/>
  <c r="E415" i="2"/>
  <c r="D415" i="2"/>
  <c r="H3142" i="2"/>
  <c r="G3142" i="2"/>
  <c r="F3142" i="2"/>
  <c r="E3142" i="2"/>
  <c r="D3142" i="2"/>
  <c r="H3141" i="2"/>
  <c r="G3141" i="2"/>
  <c r="F3141" i="2"/>
  <c r="E3141" i="2"/>
  <c r="D3141" i="2"/>
  <c r="H228" i="2"/>
  <c r="G228" i="2"/>
  <c r="F228" i="2"/>
  <c r="E228" i="2"/>
  <c r="D228" i="2"/>
  <c r="H3218" i="2"/>
  <c r="G3218" i="2"/>
  <c r="F3218" i="2"/>
  <c r="E3218" i="2"/>
  <c r="D3218" i="2"/>
  <c r="H3217" i="2"/>
  <c r="G3217" i="2"/>
  <c r="F3217" i="2"/>
  <c r="E3217" i="2"/>
  <c r="D3217" i="2"/>
  <c r="H3216" i="2"/>
  <c r="G3216" i="2"/>
  <c r="F3216" i="2"/>
  <c r="E3216" i="2"/>
  <c r="D3216" i="2"/>
  <c r="H2737" i="2"/>
  <c r="G2737" i="2"/>
  <c r="F2737" i="2"/>
  <c r="E2737" i="2"/>
  <c r="D2737" i="2"/>
  <c r="H2736" i="2"/>
  <c r="G2736" i="2"/>
  <c r="F2736" i="2"/>
  <c r="E2736" i="2"/>
  <c r="D2736" i="2"/>
  <c r="H2735" i="2"/>
  <c r="G2735" i="2"/>
  <c r="F2735" i="2"/>
  <c r="E2735" i="2"/>
  <c r="D2735" i="2"/>
  <c r="H2734" i="2"/>
  <c r="G2734" i="2"/>
  <c r="F2734" i="2"/>
  <c r="E2734" i="2"/>
  <c r="D2734" i="2"/>
  <c r="H158" i="2"/>
  <c r="G158" i="2"/>
  <c r="F158" i="2"/>
  <c r="E158" i="2"/>
  <c r="D158" i="2"/>
  <c r="H3603" i="2"/>
  <c r="G3603" i="2"/>
  <c r="F3603" i="2"/>
  <c r="E3603" i="2"/>
  <c r="D3603" i="2"/>
  <c r="H668" i="2"/>
  <c r="G668" i="2"/>
  <c r="F668" i="2"/>
  <c r="E668" i="2"/>
  <c r="D668" i="2"/>
  <c r="H667" i="2"/>
  <c r="G667" i="2"/>
  <c r="F667" i="2"/>
  <c r="E667" i="2"/>
  <c r="D667" i="2"/>
  <c r="H666" i="2"/>
  <c r="G666" i="2"/>
  <c r="F666" i="2"/>
  <c r="E666" i="2"/>
  <c r="D666" i="2"/>
  <c r="H665" i="2"/>
  <c r="G665" i="2"/>
  <c r="F665" i="2"/>
  <c r="E665" i="2"/>
  <c r="D665" i="2"/>
  <c r="H664" i="2"/>
  <c r="G664" i="2"/>
  <c r="F664" i="2"/>
  <c r="E664" i="2"/>
  <c r="D664" i="2"/>
  <c r="H1902" i="2"/>
  <c r="G1902" i="2"/>
  <c r="F1902" i="2"/>
  <c r="E1902" i="2"/>
  <c r="D1902" i="2"/>
  <c r="H1901" i="2"/>
  <c r="G1901" i="2"/>
  <c r="F1901" i="2"/>
  <c r="E1901" i="2"/>
  <c r="D1901" i="2"/>
  <c r="H1229" i="2"/>
  <c r="G1229" i="2"/>
  <c r="F1229" i="2"/>
  <c r="E1229" i="2"/>
  <c r="D1229" i="2"/>
  <c r="H1228" i="2"/>
  <c r="G1228" i="2"/>
  <c r="F1228" i="2"/>
  <c r="E1228" i="2"/>
  <c r="D1228" i="2"/>
  <c r="H2900" i="2"/>
  <c r="G2900" i="2"/>
  <c r="F2900" i="2"/>
  <c r="E2900" i="2"/>
  <c r="D2900" i="2"/>
  <c r="H2899" i="2"/>
  <c r="G2899" i="2"/>
  <c r="F2899" i="2"/>
  <c r="E2899" i="2"/>
  <c r="D2899" i="2"/>
  <c r="H2898" i="2"/>
  <c r="G2898" i="2"/>
  <c r="F2898" i="2"/>
  <c r="E2898" i="2"/>
  <c r="D2898" i="2"/>
  <c r="H3333" i="2"/>
  <c r="G3333" i="2"/>
  <c r="F3333" i="2"/>
  <c r="E3333" i="2"/>
  <c r="D3333" i="2"/>
  <c r="H2247" i="2"/>
  <c r="G2247" i="2"/>
  <c r="F2247" i="2"/>
  <c r="E2247" i="2"/>
  <c r="D2247" i="2"/>
  <c r="H1970" i="2"/>
  <c r="G1970" i="2"/>
  <c r="F1970" i="2"/>
  <c r="E1970" i="2"/>
  <c r="D1970" i="2"/>
  <c r="H2160" i="2"/>
  <c r="G2160" i="2"/>
  <c r="F2160" i="2"/>
  <c r="E2160" i="2"/>
  <c r="D2160" i="2"/>
  <c r="H3103" i="2"/>
  <c r="G3103" i="2"/>
  <c r="F3103" i="2"/>
  <c r="E3103" i="2"/>
  <c r="D3103" i="2"/>
  <c r="H2061" i="2"/>
  <c r="G2061" i="2"/>
  <c r="F2061" i="2"/>
  <c r="E2061" i="2"/>
  <c r="D2061" i="2"/>
  <c r="H2060" i="2"/>
  <c r="G2060" i="2"/>
  <c r="F2060" i="2"/>
  <c r="E2060" i="2"/>
  <c r="D2060" i="2"/>
  <c r="H2059" i="2"/>
  <c r="G2059" i="2"/>
  <c r="F2059" i="2"/>
  <c r="E2059" i="2"/>
  <c r="D2059" i="2"/>
  <c r="H2058" i="2"/>
  <c r="G2058" i="2"/>
  <c r="F2058" i="2"/>
  <c r="E2058" i="2"/>
  <c r="D2058" i="2"/>
  <c r="H2057" i="2"/>
  <c r="G2057" i="2"/>
  <c r="F2057" i="2"/>
  <c r="E2057" i="2"/>
  <c r="D2057" i="2"/>
  <c r="H467" i="2"/>
  <c r="G467" i="2"/>
  <c r="F467" i="2"/>
  <c r="E467" i="2"/>
  <c r="D467" i="2"/>
  <c r="H466" i="2"/>
  <c r="G466" i="2"/>
  <c r="F466" i="2"/>
  <c r="E466" i="2"/>
  <c r="D466" i="2"/>
  <c r="H465" i="2"/>
  <c r="G465" i="2"/>
  <c r="F465" i="2"/>
  <c r="E465" i="2"/>
  <c r="D465" i="2"/>
  <c r="H464" i="2"/>
  <c r="G464" i="2"/>
  <c r="F464" i="2"/>
  <c r="E464" i="2"/>
  <c r="D464" i="2"/>
  <c r="H463" i="2"/>
  <c r="G463" i="2"/>
  <c r="F463" i="2"/>
  <c r="E463" i="2"/>
  <c r="D463" i="2"/>
  <c r="H3369" i="2"/>
  <c r="G3369" i="2"/>
  <c r="F3369" i="2"/>
  <c r="E3369" i="2"/>
  <c r="D3369" i="2"/>
  <c r="H3368" i="2"/>
  <c r="G3368" i="2"/>
  <c r="F3368" i="2"/>
  <c r="E3368" i="2"/>
  <c r="D3368" i="2"/>
  <c r="H3367" i="2"/>
  <c r="G3367" i="2"/>
  <c r="F3367" i="2"/>
  <c r="E3367" i="2"/>
  <c r="D3367" i="2"/>
  <c r="H534" i="2"/>
  <c r="G534" i="2"/>
  <c r="F534" i="2"/>
  <c r="E534" i="2"/>
  <c r="D534" i="2"/>
  <c r="H533" i="2"/>
  <c r="G533" i="2"/>
  <c r="F533" i="2"/>
  <c r="E533" i="2"/>
  <c r="D533" i="2"/>
  <c r="H532" i="2"/>
  <c r="G532" i="2"/>
  <c r="F532" i="2"/>
  <c r="E532" i="2"/>
  <c r="D532" i="2"/>
  <c r="H2499" i="2"/>
  <c r="G2499" i="2"/>
  <c r="F2499" i="2"/>
  <c r="E2499" i="2"/>
  <c r="D2499" i="2"/>
  <c r="H2498" i="2"/>
  <c r="G2498" i="2"/>
  <c r="F2498" i="2"/>
  <c r="E2498" i="2"/>
  <c r="D2498" i="2"/>
  <c r="H2497" i="2"/>
  <c r="G2497" i="2"/>
  <c r="F2497" i="2"/>
  <c r="E2497" i="2"/>
  <c r="D2497" i="2"/>
  <c r="H2496" i="2"/>
  <c r="G2496" i="2"/>
  <c r="F2496" i="2"/>
  <c r="E2496" i="2"/>
  <c r="D2496" i="2"/>
  <c r="H3548" i="2"/>
  <c r="G3548" i="2"/>
  <c r="F3548" i="2"/>
  <c r="E3548" i="2"/>
  <c r="D3548" i="2"/>
  <c r="H3547" i="2"/>
  <c r="G3547" i="2"/>
  <c r="F3547" i="2"/>
  <c r="E3547" i="2"/>
  <c r="D3547" i="2"/>
  <c r="H3546" i="2"/>
  <c r="G3546" i="2"/>
  <c r="F3546" i="2"/>
  <c r="E3546" i="2"/>
  <c r="D3546" i="2"/>
  <c r="H3545" i="2"/>
  <c r="G3545" i="2"/>
  <c r="F3545" i="2"/>
  <c r="E3545" i="2"/>
  <c r="D3545" i="2"/>
  <c r="H3544" i="2"/>
  <c r="G3544" i="2"/>
  <c r="F3544" i="2"/>
  <c r="E3544" i="2"/>
  <c r="D3544" i="2"/>
  <c r="H1194" i="2"/>
  <c r="G1194" i="2"/>
  <c r="F1194" i="2"/>
  <c r="E1194" i="2"/>
  <c r="D1194" i="2"/>
  <c r="H1193" i="2"/>
  <c r="G1193" i="2"/>
  <c r="F1193" i="2"/>
  <c r="E1193" i="2"/>
  <c r="D1193" i="2"/>
  <c r="H2697" i="2"/>
  <c r="G2697" i="2"/>
  <c r="F2697" i="2"/>
  <c r="E2697" i="2"/>
  <c r="D2697" i="2"/>
  <c r="H2696" i="2"/>
  <c r="G2696" i="2"/>
  <c r="F2696" i="2"/>
  <c r="E2696" i="2"/>
  <c r="D2696" i="2"/>
  <c r="H2695" i="2"/>
  <c r="G2695" i="2"/>
  <c r="F2695" i="2"/>
  <c r="E2695" i="2"/>
  <c r="D2695" i="2"/>
  <c r="H2694" i="2"/>
  <c r="G2694" i="2"/>
  <c r="F2694" i="2"/>
  <c r="E2694" i="2"/>
  <c r="D2694" i="2"/>
  <c r="H2693" i="2"/>
  <c r="G2693" i="2"/>
  <c r="F2693" i="2"/>
  <c r="E2693" i="2"/>
  <c r="D2693" i="2"/>
  <c r="H2692" i="2"/>
  <c r="G2692" i="2"/>
  <c r="F2692" i="2"/>
  <c r="E2692" i="2"/>
  <c r="D2692" i="2"/>
  <c r="H2691" i="2"/>
  <c r="G2691" i="2"/>
  <c r="F2691" i="2"/>
  <c r="E2691" i="2"/>
  <c r="D2691" i="2"/>
  <c r="H123" i="2"/>
  <c r="G123" i="2"/>
  <c r="F123" i="2"/>
  <c r="E123" i="2"/>
  <c r="D123" i="2"/>
  <c r="H2480" i="2"/>
  <c r="G2480" i="2"/>
  <c r="F2480" i="2"/>
  <c r="E2480" i="2"/>
  <c r="D2480" i="2"/>
  <c r="H2957" i="2"/>
  <c r="G2957" i="2"/>
  <c r="F2957" i="2"/>
  <c r="E2957" i="2"/>
  <c r="D2957" i="2"/>
  <c r="H2956" i="2"/>
  <c r="G2956" i="2"/>
  <c r="F2956" i="2"/>
  <c r="E2956" i="2"/>
  <c r="D2956" i="2"/>
  <c r="H2955" i="2"/>
  <c r="G2955" i="2"/>
  <c r="F2955" i="2"/>
  <c r="E2955" i="2"/>
  <c r="D2955" i="2"/>
  <c r="H656" i="2"/>
  <c r="G656" i="2"/>
  <c r="F656" i="2"/>
  <c r="E656" i="2"/>
  <c r="D656" i="2"/>
  <c r="H3488" i="2"/>
  <c r="G3488" i="2"/>
  <c r="F3488" i="2"/>
  <c r="E3488" i="2"/>
  <c r="D3488" i="2"/>
  <c r="H359" i="2"/>
  <c r="G359" i="2"/>
  <c r="F359" i="2"/>
  <c r="E359" i="2"/>
  <c r="D359" i="2"/>
  <c r="H358" i="2"/>
  <c r="G358" i="2"/>
  <c r="F358" i="2"/>
  <c r="E358" i="2"/>
  <c r="D358" i="2"/>
  <c r="H799" i="2"/>
  <c r="G799" i="2"/>
  <c r="F799" i="2"/>
  <c r="E799" i="2"/>
  <c r="D799" i="2"/>
  <c r="H798" i="2"/>
  <c r="G798" i="2"/>
  <c r="F798" i="2"/>
  <c r="E798" i="2"/>
  <c r="D798" i="2"/>
  <c r="H1867" i="2"/>
  <c r="G1867" i="2"/>
  <c r="F1867" i="2"/>
  <c r="E1867" i="2"/>
  <c r="D1867" i="2"/>
  <c r="H771" i="2"/>
  <c r="G771" i="2"/>
  <c r="F771" i="2"/>
  <c r="E771" i="2"/>
  <c r="D771" i="2"/>
  <c r="H176" i="2"/>
  <c r="G176" i="2"/>
  <c r="F176" i="2"/>
  <c r="E176" i="2"/>
  <c r="D176" i="2"/>
  <c r="H175" i="2"/>
  <c r="G175" i="2"/>
  <c r="F175" i="2"/>
  <c r="E175" i="2"/>
  <c r="D175" i="2"/>
  <c r="H174" i="2"/>
  <c r="G174" i="2"/>
  <c r="F174" i="2"/>
  <c r="E174" i="2"/>
  <c r="D174" i="2"/>
  <c r="H3504" i="2"/>
  <c r="G3504" i="2"/>
  <c r="F3504" i="2"/>
  <c r="E3504" i="2"/>
  <c r="D3504" i="2"/>
  <c r="H3503" i="2"/>
  <c r="G3503" i="2"/>
  <c r="F3503" i="2"/>
  <c r="E3503" i="2"/>
  <c r="D3503" i="2"/>
  <c r="H3112" i="2"/>
  <c r="G3112" i="2"/>
  <c r="F3112" i="2"/>
  <c r="E3112" i="2"/>
  <c r="D3112" i="2"/>
  <c r="H2099" i="2"/>
  <c r="G2099" i="2"/>
  <c r="F2099" i="2"/>
  <c r="E2099" i="2"/>
  <c r="D2099" i="2"/>
  <c r="H2437" i="2"/>
  <c r="G2437" i="2"/>
  <c r="F2437" i="2"/>
  <c r="E2437" i="2"/>
  <c r="D2437" i="2"/>
  <c r="H1893" i="2"/>
  <c r="G1893" i="2"/>
  <c r="F1893" i="2"/>
  <c r="E1893" i="2"/>
  <c r="D1893" i="2"/>
  <c r="H3695" i="2"/>
  <c r="G3695" i="2"/>
  <c r="F3695" i="2"/>
  <c r="E3695" i="2"/>
  <c r="D3695" i="2"/>
  <c r="H3694" i="2"/>
  <c r="G3694" i="2"/>
  <c r="F3694" i="2"/>
  <c r="E3694" i="2"/>
  <c r="D3694" i="2"/>
  <c r="H3348" i="2"/>
  <c r="G3348" i="2"/>
  <c r="F3348" i="2"/>
  <c r="E3348" i="2"/>
  <c r="D3348" i="2"/>
  <c r="H3347" i="2"/>
  <c r="G3347" i="2"/>
  <c r="F3347" i="2"/>
  <c r="E3347" i="2"/>
  <c r="D3347" i="2"/>
  <c r="H1815" i="2"/>
  <c r="G1815" i="2"/>
  <c r="F1815" i="2"/>
  <c r="E1815" i="2"/>
  <c r="D1815" i="2"/>
  <c r="H307" i="2"/>
  <c r="G307" i="2"/>
  <c r="F307" i="2"/>
  <c r="E307" i="2"/>
  <c r="D307" i="2"/>
  <c r="H142" i="2"/>
  <c r="G142" i="2"/>
  <c r="F142" i="2"/>
  <c r="E142" i="2"/>
  <c r="D142" i="2"/>
  <c r="H1828" i="2"/>
  <c r="G1828" i="2"/>
  <c r="F1828" i="2"/>
  <c r="E1828" i="2"/>
  <c r="D1828" i="2"/>
  <c r="H3234" i="2"/>
  <c r="G3234" i="2"/>
  <c r="F3234" i="2"/>
  <c r="E3234" i="2"/>
  <c r="D3234" i="2"/>
  <c r="H1793" i="2"/>
  <c r="G1793" i="2"/>
  <c r="F1793" i="2"/>
  <c r="E1793" i="2"/>
  <c r="D1793" i="2"/>
  <c r="H1785" i="2"/>
  <c r="G1785" i="2"/>
  <c r="F1785" i="2"/>
  <c r="E1785" i="2"/>
  <c r="D1785" i="2"/>
  <c r="H3316" i="2"/>
  <c r="G3316" i="2"/>
  <c r="F3316" i="2"/>
  <c r="E3316" i="2"/>
  <c r="D3316" i="2"/>
  <c r="H164" i="2"/>
  <c r="G164" i="2"/>
  <c r="F164" i="2"/>
  <c r="E164" i="2"/>
  <c r="D164" i="2"/>
  <c r="H1436" i="2"/>
  <c r="G1436" i="2"/>
  <c r="F1436" i="2"/>
  <c r="E1436" i="2"/>
  <c r="D1436" i="2"/>
  <c r="H1435" i="2"/>
  <c r="G1435" i="2"/>
  <c r="F1435" i="2"/>
  <c r="E1435" i="2"/>
  <c r="D1435" i="2"/>
  <c r="H3230" i="2"/>
  <c r="G3230" i="2"/>
  <c r="F3230" i="2"/>
  <c r="E3230" i="2"/>
  <c r="D3230" i="2"/>
  <c r="H3229" i="2"/>
  <c r="G3229" i="2"/>
  <c r="F3229" i="2"/>
  <c r="E3229" i="2"/>
  <c r="D3229" i="2"/>
  <c r="H3228" i="2"/>
  <c r="G3228" i="2"/>
  <c r="F3228" i="2"/>
  <c r="E3228" i="2"/>
  <c r="D3228" i="2"/>
  <c r="H3227" i="2"/>
  <c r="G3227" i="2"/>
  <c r="F3227" i="2"/>
  <c r="E3227" i="2"/>
  <c r="D3227" i="2"/>
  <c r="H825" i="2"/>
  <c r="G825" i="2"/>
  <c r="F825" i="2"/>
  <c r="E825" i="2"/>
  <c r="D825" i="2"/>
  <c r="H2502" i="2"/>
  <c r="G2502" i="2"/>
  <c r="F2502" i="2"/>
  <c r="E2502" i="2"/>
  <c r="D2502" i="2"/>
  <c r="H1527" i="2"/>
  <c r="G1527" i="2"/>
  <c r="F1527" i="2"/>
  <c r="E1527" i="2"/>
  <c r="D1527" i="2"/>
  <c r="H1526" i="2"/>
  <c r="G1526" i="2"/>
  <c r="F1526" i="2"/>
  <c r="E1526" i="2"/>
  <c r="D1526" i="2"/>
  <c r="H1525" i="2"/>
  <c r="G1525" i="2"/>
  <c r="F1525" i="2"/>
  <c r="E1525" i="2"/>
  <c r="D1525" i="2"/>
  <c r="H1086" i="2"/>
  <c r="G1086" i="2"/>
  <c r="F1086" i="2"/>
  <c r="E1086" i="2"/>
  <c r="D1086" i="2"/>
  <c r="H1085" i="2"/>
  <c r="G1085" i="2"/>
  <c r="F1085" i="2"/>
  <c r="E1085" i="2"/>
  <c r="D1085" i="2"/>
  <c r="H2755" i="2"/>
  <c r="G2755" i="2"/>
  <c r="F2755" i="2"/>
  <c r="E2755" i="2"/>
  <c r="D2755" i="2"/>
  <c r="H2754" i="2"/>
  <c r="G2754" i="2"/>
  <c r="F2754" i="2"/>
  <c r="E2754" i="2"/>
  <c r="D2754" i="2"/>
  <c r="H1268" i="2"/>
  <c r="G1268" i="2"/>
  <c r="F1268" i="2"/>
  <c r="E1268" i="2"/>
  <c r="D1268" i="2"/>
  <c r="H1809" i="2"/>
  <c r="G1809" i="2"/>
  <c r="F1809" i="2"/>
  <c r="E1809" i="2"/>
  <c r="D1809" i="2"/>
  <c r="H1808" i="2"/>
  <c r="G1808" i="2"/>
  <c r="F1808" i="2"/>
  <c r="E1808" i="2"/>
  <c r="D1808" i="2"/>
  <c r="H1807" i="2"/>
  <c r="G1807" i="2"/>
  <c r="F1807" i="2"/>
  <c r="E1807" i="2"/>
  <c r="D1807" i="2"/>
  <c r="H1806" i="2"/>
  <c r="G1806" i="2"/>
  <c r="F1806" i="2"/>
  <c r="E1806" i="2"/>
  <c r="D1806" i="2"/>
  <c r="H1805" i="2"/>
  <c r="G1805" i="2"/>
  <c r="F1805" i="2"/>
  <c r="E1805" i="2"/>
  <c r="D1805" i="2"/>
  <c r="H3401" i="2"/>
  <c r="G3401" i="2"/>
  <c r="F3401" i="2"/>
  <c r="E3401" i="2"/>
  <c r="D3401" i="2"/>
  <c r="H3400" i="2"/>
  <c r="G3400" i="2"/>
  <c r="F3400" i="2"/>
  <c r="E3400" i="2"/>
  <c r="D3400" i="2"/>
  <c r="H3399" i="2"/>
  <c r="G3399" i="2"/>
  <c r="F3399" i="2"/>
  <c r="E3399" i="2"/>
  <c r="D3399" i="2"/>
  <c r="H3398" i="2"/>
  <c r="G3398" i="2"/>
  <c r="F3398" i="2"/>
  <c r="E3398" i="2"/>
  <c r="D3398" i="2"/>
  <c r="H3397" i="2"/>
  <c r="G3397" i="2"/>
  <c r="F3397" i="2"/>
  <c r="E3397" i="2"/>
  <c r="D3397" i="2"/>
  <c r="H2159" i="2"/>
  <c r="G2159" i="2"/>
  <c r="F2159" i="2"/>
  <c r="E2159" i="2"/>
  <c r="D2159" i="2"/>
  <c r="H701" i="2"/>
  <c r="G701" i="2"/>
  <c r="F701" i="2"/>
  <c r="E701" i="2"/>
  <c r="D701" i="2"/>
  <c r="H306" i="2"/>
  <c r="G306" i="2"/>
  <c r="F306" i="2"/>
  <c r="E306" i="2"/>
  <c r="D306" i="2"/>
  <c r="H305" i="2"/>
  <c r="G305" i="2"/>
  <c r="F305" i="2"/>
  <c r="E305" i="2"/>
  <c r="D305" i="2"/>
  <c r="H304" i="2"/>
  <c r="G304" i="2"/>
  <c r="F304" i="2"/>
  <c r="E304" i="2"/>
  <c r="D304" i="2"/>
  <c r="H303" i="2"/>
  <c r="G303" i="2"/>
  <c r="F303" i="2"/>
  <c r="E303" i="2"/>
  <c r="D303" i="2"/>
  <c r="H1064" i="2"/>
  <c r="G1064" i="2"/>
  <c r="F1064" i="2"/>
  <c r="E1064" i="2"/>
  <c r="D1064" i="2"/>
  <c r="H992" i="2"/>
  <c r="G992" i="2"/>
  <c r="F992" i="2"/>
  <c r="E992" i="2"/>
  <c r="D992" i="2"/>
  <c r="H2869" i="2"/>
  <c r="G2869" i="2"/>
  <c r="F2869" i="2"/>
  <c r="E2869" i="2"/>
  <c r="D2869" i="2"/>
  <c r="H1114" i="2"/>
  <c r="G1114" i="2"/>
  <c r="F1114" i="2"/>
  <c r="E1114" i="2"/>
  <c r="D1114" i="2"/>
  <c r="H2377" i="2"/>
  <c r="G2377" i="2"/>
  <c r="F2377" i="2"/>
  <c r="E2377" i="2"/>
  <c r="D2377" i="2"/>
  <c r="H2332" i="2"/>
  <c r="G2332" i="2"/>
  <c r="F2332" i="2"/>
  <c r="E2332" i="2"/>
  <c r="D2332" i="2"/>
  <c r="H1740" i="2"/>
  <c r="G1740" i="2"/>
  <c r="F1740" i="2"/>
  <c r="E1740" i="2"/>
  <c r="D1740" i="2"/>
  <c r="H39" i="2"/>
  <c r="G39" i="2"/>
  <c r="F39" i="2"/>
  <c r="E39" i="2"/>
  <c r="D39" i="2"/>
  <c r="H613" i="2"/>
  <c r="G613" i="2"/>
  <c r="F613" i="2"/>
  <c r="E613" i="2"/>
  <c r="D613" i="2"/>
  <c r="H447" i="2"/>
  <c r="G447" i="2"/>
  <c r="F447" i="2"/>
  <c r="E447" i="2"/>
  <c r="D447" i="2"/>
  <c r="H446" i="2"/>
  <c r="G446" i="2"/>
  <c r="F446" i="2"/>
  <c r="E446" i="2"/>
  <c r="D446" i="2"/>
  <c r="H327" i="2"/>
  <c r="G327" i="2"/>
  <c r="F327" i="2"/>
  <c r="E327" i="2"/>
  <c r="D327" i="2"/>
  <c r="H326" i="2"/>
  <c r="G326" i="2"/>
  <c r="F326" i="2"/>
  <c r="E326" i="2"/>
  <c r="D326" i="2"/>
  <c r="H325" i="2"/>
  <c r="G325" i="2"/>
  <c r="F325" i="2"/>
  <c r="E325" i="2"/>
  <c r="D325" i="2"/>
  <c r="H540" i="2"/>
  <c r="G540" i="2"/>
  <c r="F540" i="2"/>
  <c r="E540" i="2"/>
  <c r="D540" i="2"/>
  <c r="H539" i="2"/>
  <c r="G539" i="2"/>
  <c r="F539" i="2"/>
  <c r="E539" i="2"/>
  <c r="D539" i="2"/>
  <c r="H538" i="2"/>
  <c r="G538" i="2"/>
  <c r="F538" i="2"/>
  <c r="E538" i="2"/>
  <c r="D538" i="2"/>
  <c r="H537" i="2"/>
  <c r="G537" i="2"/>
  <c r="F537" i="2"/>
  <c r="E537" i="2"/>
  <c r="D537" i="2"/>
  <c r="H3654" i="2"/>
  <c r="G3654" i="2"/>
  <c r="F3654" i="2"/>
  <c r="E3654" i="2"/>
  <c r="D3654" i="2"/>
  <c r="H3653" i="2"/>
  <c r="G3653" i="2"/>
  <c r="F3653" i="2"/>
  <c r="E3653" i="2"/>
  <c r="D3653" i="2"/>
  <c r="H3652" i="2"/>
  <c r="G3652" i="2"/>
  <c r="F3652" i="2"/>
  <c r="E3652" i="2"/>
  <c r="D3652" i="2"/>
  <c r="H3567" i="2"/>
  <c r="G3567" i="2"/>
  <c r="F3567" i="2"/>
  <c r="E3567" i="2"/>
  <c r="D3567" i="2"/>
  <c r="H3628" i="2"/>
  <c r="G3628" i="2"/>
  <c r="F3628" i="2"/>
  <c r="E3628" i="2"/>
  <c r="D3628" i="2"/>
  <c r="H3100" i="2"/>
  <c r="G3100" i="2"/>
  <c r="F3100" i="2"/>
  <c r="E3100" i="2"/>
  <c r="D3100" i="2"/>
  <c r="H3099" i="2"/>
  <c r="G3099" i="2"/>
  <c r="F3099" i="2"/>
  <c r="E3099" i="2"/>
  <c r="D3099" i="2"/>
  <c r="H3098" i="2"/>
  <c r="G3098" i="2"/>
  <c r="F3098" i="2"/>
  <c r="E3098" i="2"/>
  <c r="D3098" i="2"/>
  <c r="H1774" i="2"/>
  <c r="G1774" i="2"/>
  <c r="F1774" i="2"/>
  <c r="E1774" i="2"/>
  <c r="D1774" i="2"/>
  <c r="H1267" i="2"/>
  <c r="G1267" i="2"/>
  <c r="F1267" i="2"/>
  <c r="E1267" i="2"/>
  <c r="D1267" i="2"/>
  <c r="H2118" i="2"/>
  <c r="G2118" i="2"/>
  <c r="F2118" i="2"/>
  <c r="E2118" i="2"/>
  <c r="D2118" i="2"/>
  <c r="H1759" i="2"/>
  <c r="G1759" i="2"/>
  <c r="F1759" i="2"/>
  <c r="E1759" i="2"/>
  <c r="D1759" i="2"/>
  <c r="H1758" i="2"/>
  <c r="G1758" i="2"/>
  <c r="F1758" i="2"/>
  <c r="E1758" i="2"/>
  <c r="D1758" i="2"/>
  <c r="H1757" i="2"/>
  <c r="G1757" i="2"/>
  <c r="F1757" i="2"/>
  <c r="E1757" i="2"/>
  <c r="D1757" i="2"/>
  <c r="H1756" i="2"/>
  <c r="G1756" i="2"/>
  <c r="F1756" i="2"/>
  <c r="E1756" i="2"/>
  <c r="D1756" i="2"/>
  <c r="H1755" i="2"/>
  <c r="G1755" i="2"/>
  <c r="F1755" i="2"/>
  <c r="E1755" i="2"/>
  <c r="D1755" i="2"/>
  <c r="H1754" i="2"/>
  <c r="G1754" i="2"/>
  <c r="F1754" i="2"/>
  <c r="E1754" i="2"/>
  <c r="D1754" i="2"/>
  <c r="H1753" i="2"/>
  <c r="G1753" i="2"/>
  <c r="F1753" i="2"/>
  <c r="E1753" i="2"/>
  <c r="D1753" i="2"/>
  <c r="H1752" i="2"/>
  <c r="G1752" i="2"/>
  <c r="F1752" i="2"/>
  <c r="E1752" i="2"/>
  <c r="D1752" i="2"/>
  <c r="H1751" i="2"/>
  <c r="G1751" i="2"/>
  <c r="F1751" i="2"/>
  <c r="E1751" i="2"/>
  <c r="D1751" i="2"/>
  <c r="H1864" i="2"/>
  <c r="G1864" i="2"/>
  <c r="F1864" i="2"/>
  <c r="E1864" i="2"/>
  <c r="D1864" i="2"/>
  <c r="H1863" i="2"/>
  <c r="G1863" i="2"/>
  <c r="F1863" i="2"/>
  <c r="E1863" i="2"/>
  <c r="D1863" i="2"/>
  <c r="H1865" i="2"/>
  <c r="G1865" i="2"/>
  <c r="F1865" i="2"/>
  <c r="E1865" i="2"/>
  <c r="D1865" i="2"/>
  <c r="H14" i="2"/>
  <c r="G14" i="2"/>
  <c r="F14" i="2"/>
  <c r="E14" i="2"/>
  <c r="D14" i="2"/>
  <c r="H1874" i="2"/>
  <c r="G1874" i="2"/>
  <c r="F1874" i="2"/>
  <c r="E1874" i="2"/>
  <c r="D1874" i="2"/>
  <c r="H1873" i="2"/>
  <c r="G1873" i="2"/>
  <c r="F1873" i="2"/>
  <c r="E1873" i="2"/>
  <c r="D1873" i="2"/>
  <c r="H903" i="2"/>
  <c r="G903" i="2"/>
  <c r="F903" i="2"/>
  <c r="E903" i="2"/>
  <c r="D903" i="2"/>
  <c r="H902" i="2"/>
  <c r="G902" i="2"/>
  <c r="F902" i="2"/>
  <c r="E902" i="2"/>
  <c r="D902" i="2"/>
  <c r="H901" i="2"/>
  <c r="G901" i="2"/>
  <c r="F901" i="2"/>
  <c r="E901" i="2"/>
  <c r="D901" i="2"/>
  <c r="H1130" i="2"/>
  <c r="G1130" i="2"/>
  <c r="F1130" i="2"/>
  <c r="E1130" i="2"/>
  <c r="D1130" i="2"/>
  <c r="H1129" i="2"/>
  <c r="G1129" i="2"/>
  <c r="F1129" i="2"/>
  <c r="E1129" i="2"/>
  <c r="D1129" i="2"/>
  <c r="H1128" i="2"/>
  <c r="G1128" i="2"/>
  <c r="F1128" i="2"/>
  <c r="E1128" i="2"/>
  <c r="D1128" i="2"/>
  <c r="H1252" i="2"/>
  <c r="G1252" i="2"/>
  <c r="F1252" i="2"/>
  <c r="E1252" i="2"/>
  <c r="D1252" i="2"/>
  <c r="H1251" i="2"/>
  <c r="G1251" i="2"/>
  <c r="F1251" i="2"/>
  <c r="E1251" i="2"/>
  <c r="D1251" i="2"/>
  <c r="H143" i="2"/>
  <c r="G143" i="2"/>
  <c r="F143" i="2"/>
  <c r="E143" i="2"/>
  <c r="D143" i="2"/>
  <c r="H3709" i="2"/>
  <c r="G3709" i="2"/>
  <c r="F3709" i="2"/>
  <c r="E3709" i="2"/>
  <c r="D3709" i="2"/>
  <c r="H3708" i="2"/>
  <c r="G3708" i="2"/>
  <c r="F3708" i="2"/>
  <c r="E3708" i="2"/>
  <c r="D3708" i="2"/>
  <c r="H3707" i="2"/>
  <c r="G3707" i="2"/>
  <c r="F3707" i="2"/>
  <c r="E3707" i="2"/>
  <c r="D3707" i="2"/>
  <c r="H3239" i="2"/>
  <c r="G3239" i="2"/>
  <c r="F3239" i="2"/>
  <c r="E3239" i="2"/>
  <c r="D3239" i="2"/>
  <c r="H930" i="2"/>
  <c r="G930" i="2"/>
  <c r="F930" i="2"/>
  <c r="E930" i="2"/>
  <c r="D930" i="2"/>
  <c r="H929" i="2"/>
  <c r="G929" i="2"/>
  <c r="F929" i="2"/>
  <c r="E929" i="2"/>
  <c r="D929" i="2"/>
  <c r="H1143" i="2"/>
  <c r="G1143" i="2"/>
  <c r="F1143" i="2"/>
  <c r="E1143" i="2"/>
  <c r="D1143" i="2"/>
  <c r="H277" i="2"/>
  <c r="G277" i="2"/>
  <c r="F277" i="2"/>
  <c r="E277" i="2"/>
  <c r="D277" i="2"/>
  <c r="H2943" i="2"/>
  <c r="G2943" i="2"/>
  <c r="F2943" i="2"/>
  <c r="E2943" i="2"/>
  <c r="D2943" i="2"/>
  <c r="H2942" i="2"/>
  <c r="G2942" i="2"/>
  <c r="F2942" i="2"/>
  <c r="E2942" i="2"/>
  <c r="D2942" i="2"/>
  <c r="H2941" i="2"/>
  <c r="G2941" i="2"/>
  <c r="F2941" i="2"/>
  <c r="E2941" i="2"/>
  <c r="D2941" i="2"/>
  <c r="H2940" i="2"/>
  <c r="G2940" i="2"/>
  <c r="F2940" i="2"/>
  <c r="E2940" i="2"/>
  <c r="D2940" i="2"/>
  <c r="H1521" i="2"/>
  <c r="G1521" i="2"/>
  <c r="F1521" i="2"/>
  <c r="E1521" i="2"/>
  <c r="D1521" i="2"/>
  <c r="H1520" i="2"/>
  <c r="G1520" i="2"/>
  <c r="F1520" i="2"/>
  <c r="E1520" i="2"/>
  <c r="D1520" i="2"/>
  <c r="H1519" i="2"/>
  <c r="G1519" i="2"/>
  <c r="F1519" i="2"/>
  <c r="E1519" i="2"/>
  <c r="D1519" i="2"/>
  <c r="H1786" i="2"/>
  <c r="G1786" i="2"/>
  <c r="F1786" i="2"/>
  <c r="E1786" i="2"/>
  <c r="D1786" i="2"/>
  <c r="H691" i="2"/>
  <c r="G691" i="2"/>
  <c r="F691" i="2"/>
  <c r="E691" i="2"/>
  <c r="D691" i="2"/>
  <c r="H690" i="2"/>
  <c r="G690" i="2"/>
  <c r="F690" i="2"/>
  <c r="E690" i="2"/>
  <c r="D690" i="2"/>
  <c r="H689" i="2"/>
  <c r="G689" i="2"/>
  <c r="F689" i="2"/>
  <c r="E689" i="2"/>
  <c r="D689" i="2"/>
  <c r="H688" i="2"/>
  <c r="G688" i="2"/>
  <c r="F688" i="2"/>
  <c r="E688" i="2"/>
  <c r="D688" i="2"/>
  <c r="H687" i="2"/>
  <c r="G687" i="2"/>
  <c r="F687" i="2"/>
  <c r="E687" i="2"/>
  <c r="D687" i="2"/>
  <c r="H2585" i="2"/>
  <c r="G2585" i="2"/>
  <c r="F2585" i="2"/>
  <c r="E2585" i="2"/>
  <c r="D2585" i="2"/>
  <c r="H2584" i="2"/>
  <c r="G2584" i="2"/>
  <c r="F2584" i="2"/>
  <c r="E2584" i="2"/>
  <c r="D2584" i="2"/>
  <c r="H2593" i="2"/>
  <c r="G2593" i="2"/>
  <c r="F2593" i="2"/>
  <c r="E2593" i="2"/>
  <c r="D2593" i="2"/>
  <c r="H2592" i="2"/>
  <c r="G2592" i="2"/>
  <c r="F2592" i="2"/>
  <c r="E2592" i="2"/>
  <c r="D2592" i="2"/>
  <c r="H3413" i="2"/>
  <c r="G3413" i="2"/>
  <c r="F3413" i="2"/>
  <c r="E3413" i="2"/>
  <c r="D3413" i="2"/>
  <c r="H835" i="2"/>
  <c r="G835" i="2"/>
  <c r="F835" i="2"/>
  <c r="E835" i="2"/>
  <c r="D835" i="2"/>
  <c r="H3643" i="2"/>
  <c r="G3643" i="2"/>
  <c r="F3643" i="2"/>
  <c r="E3643" i="2"/>
  <c r="D3643" i="2"/>
  <c r="H2334" i="2"/>
  <c r="G2334" i="2"/>
  <c r="F2334" i="2"/>
  <c r="E2334" i="2"/>
  <c r="D2334" i="2"/>
  <c r="H2333" i="2"/>
  <c r="G2333" i="2"/>
  <c r="F2333" i="2"/>
  <c r="E2333" i="2"/>
  <c r="D2333" i="2"/>
  <c r="H137" i="2"/>
  <c r="G137" i="2"/>
  <c r="F137" i="2"/>
  <c r="E137" i="2"/>
  <c r="D137" i="2"/>
  <c r="H136" i="2"/>
  <c r="G136" i="2"/>
  <c r="F136" i="2"/>
  <c r="E136" i="2"/>
  <c r="D136" i="2"/>
  <c r="H1232" i="2"/>
  <c r="G1232" i="2"/>
  <c r="F1232" i="2"/>
  <c r="E1232" i="2"/>
  <c r="D1232" i="2"/>
  <c r="H6" i="2"/>
  <c r="G6" i="2"/>
  <c r="F6" i="2"/>
  <c r="E6" i="2"/>
  <c r="D6" i="2"/>
  <c r="H1183" i="2"/>
  <c r="G1183" i="2"/>
  <c r="F1183" i="2"/>
  <c r="E1183" i="2"/>
  <c r="D1183" i="2"/>
  <c r="H1266" i="2"/>
  <c r="G1266" i="2"/>
  <c r="F1266" i="2"/>
  <c r="E1266" i="2"/>
  <c r="D1266" i="2"/>
  <c r="H3826" i="2"/>
  <c r="G3826" i="2"/>
  <c r="F3826" i="2"/>
  <c r="E3826" i="2"/>
  <c r="D3826" i="2"/>
  <c r="H3825" i="2"/>
  <c r="G3825" i="2"/>
  <c r="F3825" i="2"/>
  <c r="E3825" i="2"/>
  <c r="D3825" i="2"/>
  <c r="H2530" i="2"/>
  <c r="G2530" i="2"/>
  <c r="F2530" i="2"/>
  <c r="E2530" i="2"/>
  <c r="D2530" i="2"/>
  <c r="H2529" i="2"/>
  <c r="G2529" i="2"/>
  <c r="F2529" i="2"/>
  <c r="E2529" i="2"/>
  <c r="D2529" i="2"/>
  <c r="H2528" i="2"/>
  <c r="G2528" i="2"/>
  <c r="F2528" i="2"/>
  <c r="E2528" i="2"/>
  <c r="D2528" i="2"/>
  <c r="H2527" i="2"/>
  <c r="G2527" i="2"/>
  <c r="F2527" i="2"/>
  <c r="E2527" i="2"/>
  <c r="D2527" i="2"/>
  <c r="H2526" i="2"/>
  <c r="G2526" i="2"/>
  <c r="F2526" i="2"/>
  <c r="E2526" i="2"/>
  <c r="D2526" i="2"/>
  <c r="H2525" i="2"/>
  <c r="G2525" i="2"/>
  <c r="F2525" i="2"/>
  <c r="E2525" i="2"/>
  <c r="D2525" i="2"/>
  <c r="H2524" i="2"/>
  <c r="G2524" i="2"/>
  <c r="F2524" i="2"/>
  <c r="E2524" i="2"/>
  <c r="D2524" i="2"/>
  <c r="H2523" i="2"/>
  <c r="G2523" i="2"/>
  <c r="F2523" i="2"/>
  <c r="E2523" i="2"/>
  <c r="D2523" i="2"/>
  <c r="H2522" i="2"/>
  <c r="G2522" i="2"/>
  <c r="F2522" i="2"/>
  <c r="E2522" i="2"/>
  <c r="D2522" i="2"/>
  <c r="H2521" i="2"/>
  <c r="G2521" i="2"/>
  <c r="F2521" i="2"/>
  <c r="E2521" i="2"/>
  <c r="D2521" i="2"/>
  <c r="H2520" i="2"/>
  <c r="G2520" i="2"/>
  <c r="F2520" i="2"/>
  <c r="E2520" i="2"/>
  <c r="D2520" i="2"/>
  <c r="H2519" i="2"/>
  <c r="G2519" i="2"/>
  <c r="F2519" i="2"/>
  <c r="E2519" i="2"/>
  <c r="D2519" i="2"/>
  <c r="H2518" i="2"/>
  <c r="G2518" i="2"/>
  <c r="F2518" i="2"/>
  <c r="E2518" i="2"/>
  <c r="D2518" i="2"/>
  <c r="H2517" i="2"/>
  <c r="G2517" i="2"/>
  <c r="F2517" i="2"/>
  <c r="E2517" i="2"/>
  <c r="D2517" i="2"/>
  <c r="H571" i="2"/>
  <c r="G571" i="2"/>
  <c r="F571" i="2"/>
  <c r="E571" i="2"/>
  <c r="D571" i="2"/>
  <c r="H570" i="2"/>
  <c r="G570" i="2"/>
  <c r="F570" i="2"/>
  <c r="E570" i="2"/>
  <c r="D570" i="2"/>
  <c r="H569" i="2"/>
  <c r="G569" i="2"/>
  <c r="F569" i="2"/>
  <c r="E569" i="2"/>
  <c r="D569" i="2"/>
  <c r="H1052" i="2"/>
  <c r="G1052" i="2"/>
  <c r="F1052" i="2"/>
  <c r="E1052" i="2"/>
  <c r="D1052" i="2"/>
  <c r="H1051" i="2"/>
  <c r="G1051" i="2"/>
  <c r="F1051" i="2"/>
  <c r="E1051" i="2"/>
  <c r="D1051" i="2"/>
  <c r="H1050" i="2"/>
  <c r="G1050" i="2"/>
  <c r="F1050" i="2"/>
  <c r="E1050" i="2"/>
  <c r="D1050" i="2"/>
  <c r="H1049" i="2"/>
  <c r="G1049" i="2"/>
  <c r="F1049" i="2"/>
  <c r="E1049" i="2"/>
  <c r="D1049" i="2"/>
  <c r="H1048" i="2"/>
  <c r="G1048" i="2"/>
  <c r="F1048" i="2"/>
  <c r="E1048" i="2"/>
  <c r="D1048" i="2"/>
  <c r="H1047" i="2"/>
  <c r="G1047" i="2"/>
  <c r="F1047" i="2"/>
  <c r="E1047" i="2"/>
  <c r="D1047" i="2"/>
  <c r="H1046" i="2"/>
  <c r="G1046" i="2"/>
  <c r="F1046" i="2"/>
  <c r="E1046" i="2"/>
  <c r="D1046" i="2"/>
  <c r="H1045" i="2"/>
  <c r="G1045" i="2"/>
  <c r="F1045" i="2"/>
  <c r="E1045" i="2"/>
  <c r="D1045" i="2"/>
  <c r="H1044" i="2"/>
  <c r="G1044" i="2"/>
  <c r="F1044" i="2"/>
  <c r="E1044" i="2"/>
  <c r="D1044" i="2"/>
  <c r="H1043" i="2"/>
  <c r="G1043" i="2"/>
  <c r="F1043" i="2"/>
  <c r="E1043" i="2"/>
  <c r="D1043" i="2"/>
  <c r="H1042" i="2"/>
  <c r="G1042" i="2"/>
  <c r="F1042" i="2"/>
  <c r="E1042" i="2"/>
  <c r="D1042" i="2"/>
  <c r="H2328" i="2"/>
  <c r="G2328" i="2"/>
  <c r="F2328" i="2"/>
  <c r="E2328" i="2"/>
  <c r="D2328" i="2"/>
  <c r="H2327" i="2"/>
  <c r="G2327" i="2"/>
  <c r="F2327" i="2"/>
  <c r="E2327" i="2"/>
  <c r="D2327" i="2"/>
  <c r="H2326" i="2"/>
  <c r="G2326" i="2"/>
  <c r="F2326" i="2"/>
  <c r="E2326" i="2"/>
  <c r="D2326" i="2"/>
  <c r="H475" i="2"/>
  <c r="G475" i="2"/>
  <c r="F475" i="2"/>
  <c r="E475" i="2"/>
  <c r="D475" i="2"/>
  <c r="H474" i="2"/>
  <c r="G474" i="2"/>
  <c r="F474" i="2"/>
  <c r="E474" i="2"/>
  <c r="D474" i="2"/>
  <c r="H473" i="2"/>
  <c r="G473" i="2"/>
  <c r="F473" i="2"/>
  <c r="E473" i="2"/>
  <c r="D473" i="2"/>
  <c r="H3877" i="2"/>
  <c r="G3877" i="2"/>
  <c r="F3877" i="2"/>
  <c r="E3877" i="2"/>
  <c r="D3877" i="2"/>
  <c r="H3876" i="2"/>
  <c r="G3876" i="2"/>
  <c r="F3876" i="2"/>
  <c r="E3876" i="2"/>
  <c r="D3876" i="2"/>
  <c r="H3875" i="2"/>
  <c r="G3875" i="2"/>
  <c r="F3875" i="2"/>
  <c r="E3875" i="2"/>
  <c r="D3875" i="2"/>
  <c r="H3874" i="2"/>
  <c r="G3874" i="2"/>
  <c r="F3874" i="2"/>
  <c r="E3874" i="2"/>
  <c r="D3874" i="2"/>
  <c r="H3873" i="2"/>
  <c r="G3873" i="2"/>
  <c r="F3873" i="2"/>
  <c r="E3873" i="2"/>
  <c r="D3873" i="2"/>
  <c r="H3872" i="2"/>
  <c r="G3872" i="2"/>
  <c r="F3872" i="2"/>
  <c r="E3872" i="2"/>
  <c r="D3872" i="2"/>
  <c r="H3586" i="2"/>
  <c r="G3586" i="2"/>
  <c r="F3586" i="2"/>
  <c r="E3586" i="2"/>
  <c r="D3586" i="2"/>
  <c r="H3585" i="2"/>
  <c r="G3585" i="2"/>
  <c r="F3585" i="2"/>
  <c r="E3585" i="2"/>
  <c r="D3585" i="2"/>
  <c r="H3584" i="2"/>
  <c r="G3584" i="2"/>
  <c r="F3584" i="2"/>
  <c r="E3584" i="2"/>
  <c r="D3584" i="2"/>
  <c r="H3583" i="2"/>
  <c r="G3583" i="2"/>
  <c r="F3583" i="2"/>
  <c r="E3583" i="2"/>
  <c r="D3583" i="2"/>
  <c r="H3582" i="2"/>
  <c r="G3582" i="2"/>
  <c r="F3582" i="2"/>
  <c r="E3582" i="2"/>
  <c r="D3582" i="2"/>
  <c r="H3581" i="2"/>
  <c r="G3581" i="2"/>
  <c r="F3581" i="2"/>
  <c r="E3581" i="2"/>
  <c r="D3581" i="2"/>
  <c r="H3580" i="2"/>
  <c r="G3580" i="2"/>
  <c r="F3580" i="2"/>
  <c r="E3580" i="2"/>
  <c r="D3580" i="2"/>
  <c r="H3579" i="2"/>
  <c r="G3579" i="2"/>
  <c r="F3579" i="2"/>
  <c r="E3579" i="2"/>
  <c r="D3579" i="2"/>
  <c r="H3578" i="2"/>
  <c r="G3578" i="2"/>
  <c r="F3578" i="2"/>
  <c r="E3578" i="2"/>
  <c r="D3578" i="2"/>
  <c r="H1199" i="2"/>
  <c r="G1199" i="2"/>
  <c r="F1199" i="2"/>
  <c r="E1199" i="2"/>
  <c r="D1199" i="2"/>
  <c r="H1425" i="2"/>
  <c r="G1425" i="2"/>
  <c r="F1425" i="2"/>
  <c r="E1425" i="2"/>
  <c r="D1425" i="2"/>
  <c r="H2890" i="2"/>
  <c r="G2890" i="2"/>
  <c r="F2890" i="2"/>
  <c r="E2890" i="2"/>
  <c r="D2890" i="2"/>
  <c r="H2889" i="2"/>
  <c r="G2889" i="2"/>
  <c r="F2889" i="2"/>
  <c r="E2889" i="2"/>
  <c r="D2889" i="2"/>
  <c r="H2741" i="2"/>
  <c r="G2741" i="2"/>
  <c r="F2741" i="2"/>
  <c r="E2741" i="2"/>
  <c r="D2741" i="2"/>
  <c r="H2740" i="2"/>
  <c r="G2740" i="2"/>
  <c r="F2740" i="2"/>
  <c r="E2740" i="2"/>
  <c r="D2740" i="2"/>
  <c r="H352" i="2"/>
  <c r="G352" i="2"/>
  <c r="F352" i="2"/>
  <c r="E352" i="2"/>
  <c r="D352" i="2"/>
  <c r="H550" i="2"/>
  <c r="G550" i="2"/>
  <c r="F550" i="2"/>
  <c r="E550" i="2"/>
  <c r="D550" i="2"/>
  <c r="H549" i="2"/>
  <c r="G549" i="2"/>
  <c r="F549" i="2"/>
  <c r="E549" i="2"/>
  <c r="D549" i="2"/>
  <c r="H548" i="2"/>
  <c r="G548" i="2"/>
  <c r="F548" i="2"/>
  <c r="E548" i="2"/>
  <c r="D548" i="2"/>
  <c r="H547" i="2"/>
  <c r="G547" i="2"/>
  <c r="F547" i="2"/>
  <c r="E547" i="2"/>
  <c r="D547" i="2"/>
  <c r="H3309" i="2"/>
  <c r="G3309" i="2"/>
  <c r="F3309" i="2"/>
  <c r="E3309" i="2"/>
  <c r="D3309" i="2"/>
  <c r="H3308" i="2"/>
  <c r="G3308" i="2"/>
  <c r="F3308" i="2"/>
  <c r="E3308" i="2"/>
  <c r="D3308" i="2"/>
  <c r="H3841" i="2"/>
  <c r="G3841" i="2"/>
  <c r="F3841" i="2"/>
  <c r="E3841" i="2"/>
  <c r="D3841" i="2"/>
  <c r="H3554" i="2"/>
  <c r="G3554" i="2"/>
  <c r="F3554" i="2"/>
  <c r="E3554" i="2"/>
  <c r="D3554" i="2"/>
  <c r="H3212" i="2"/>
  <c r="G3212" i="2"/>
  <c r="F3212" i="2"/>
  <c r="E3212" i="2"/>
  <c r="D3212" i="2"/>
  <c r="H3211" i="2"/>
  <c r="G3211" i="2"/>
  <c r="F3211" i="2"/>
  <c r="E3211" i="2"/>
  <c r="D3211" i="2"/>
  <c r="H1135" i="2"/>
  <c r="G1135" i="2"/>
  <c r="F1135" i="2"/>
  <c r="E1135" i="2"/>
  <c r="D1135" i="2"/>
  <c r="H3156" i="2"/>
  <c r="G3156" i="2"/>
  <c r="F3156" i="2"/>
  <c r="E3156" i="2"/>
  <c r="D3156" i="2"/>
  <c r="H2731" i="2"/>
  <c r="G2731" i="2"/>
  <c r="F2731" i="2"/>
  <c r="E2731" i="2"/>
  <c r="D2731" i="2"/>
  <c r="H2730" i="2"/>
  <c r="G2730" i="2"/>
  <c r="F2730" i="2"/>
  <c r="E2730" i="2"/>
  <c r="D2730" i="2"/>
  <c r="H2028" i="2"/>
  <c r="G2028" i="2"/>
  <c r="F2028" i="2"/>
  <c r="E2028" i="2"/>
  <c r="D2028" i="2"/>
  <c r="H2027" i="2"/>
  <c r="G2027" i="2"/>
  <c r="F2027" i="2"/>
  <c r="E2027" i="2"/>
  <c r="D2027" i="2"/>
  <c r="H366" i="2"/>
  <c r="G366" i="2"/>
  <c r="F366" i="2"/>
  <c r="E366" i="2"/>
  <c r="D366" i="2"/>
  <c r="H3613" i="2"/>
  <c r="G3613" i="2"/>
  <c r="F3613" i="2"/>
  <c r="E3613" i="2"/>
  <c r="D3613" i="2"/>
  <c r="H3577" i="2"/>
  <c r="G3577" i="2"/>
  <c r="F3577" i="2"/>
  <c r="E3577" i="2"/>
  <c r="D3577" i="2"/>
  <c r="H2024" i="2"/>
  <c r="G2024" i="2"/>
  <c r="F2024" i="2"/>
  <c r="E2024" i="2"/>
  <c r="D2024" i="2"/>
  <c r="H2023" i="2"/>
  <c r="G2023" i="2"/>
  <c r="F2023" i="2"/>
  <c r="E2023" i="2"/>
  <c r="D2023" i="2"/>
  <c r="H2022" i="2"/>
  <c r="G2022" i="2"/>
  <c r="F2022" i="2"/>
  <c r="E2022" i="2"/>
  <c r="D2022" i="2"/>
  <c r="H2021" i="2"/>
  <c r="G2021" i="2"/>
  <c r="F2021" i="2"/>
  <c r="E2021" i="2"/>
  <c r="D2021" i="2"/>
  <c r="H2020" i="2"/>
  <c r="G2020" i="2"/>
  <c r="F2020" i="2"/>
  <c r="E2020" i="2"/>
  <c r="D2020" i="2"/>
  <c r="H2019" i="2"/>
  <c r="G2019" i="2"/>
  <c r="F2019" i="2"/>
  <c r="E2019" i="2"/>
  <c r="D2019" i="2"/>
  <c r="H891" i="2"/>
  <c r="G891" i="2"/>
  <c r="F891" i="2"/>
  <c r="E891" i="2"/>
  <c r="D891" i="2"/>
  <c r="H3597" i="2"/>
  <c r="G3597" i="2"/>
  <c r="F3597" i="2"/>
  <c r="E3597" i="2"/>
  <c r="D3597" i="2"/>
  <c r="H3623" i="2"/>
  <c r="G3623" i="2"/>
  <c r="F3623" i="2"/>
  <c r="E3623" i="2"/>
  <c r="D3623" i="2"/>
  <c r="H3622" i="2"/>
  <c r="G3622" i="2"/>
  <c r="F3622" i="2"/>
  <c r="E3622" i="2"/>
  <c r="D3622" i="2"/>
  <c r="H2961" i="2"/>
  <c r="G2961" i="2"/>
  <c r="F2961" i="2"/>
  <c r="E2961" i="2"/>
  <c r="D2961" i="2"/>
  <c r="H3760" i="2"/>
  <c r="G3760" i="2"/>
  <c r="F3760" i="2"/>
  <c r="E3760" i="2"/>
  <c r="D3760" i="2"/>
  <c r="H3759" i="2"/>
  <c r="G3759" i="2"/>
  <c r="F3759" i="2"/>
  <c r="E3759" i="2"/>
  <c r="D3759" i="2"/>
  <c r="H2465" i="2"/>
  <c r="G2465" i="2"/>
  <c r="F2465" i="2"/>
  <c r="E2465" i="2"/>
  <c r="D2465" i="2"/>
  <c r="H2464" i="2"/>
  <c r="G2464" i="2"/>
  <c r="F2464" i="2"/>
  <c r="E2464" i="2"/>
  <c r="D2464" i="2"/>
  <c r="H2463" i="2"/>
  <c r="G2463" i="2"/>
  <c r="F2463" i="2"/>
  <c r="E2463" i="2"/>
  <c r="D2463" i="2"/>
  <c r="H1747" i="2"/>
  <c r="G1747" i="2"/>
  <c r="F1747" i="2"/>
  <c r="E1747" i="2"/>
  <c r="D1747" i="2"/>
  <c r="H1746" i="2"/>
  <c r="G1746" i="2"/>
  <c r="F1746" i="2"/>
  <c r="E1746" i="2"/>
  <c r="D1746" i="2"/>
  <c r="H1745" i="2"/>
  <c r="G1745" i="2"/>
  <c r="F1745" i="2"/>
  <c r="E1745" i="2"/>
  <c r="D1745" i="2"/>
  <c r="H1744" i="2"/>
  <c r="G1744" i="2"/>
  <c r="F1744" i="2"/>
  <c r="E1744" i="2"/>
  <c r="D1744" i="2"/>
  <c r="H1743" i="2"/>
  <c r="G1743" i="2"/>
  <c r="F1743" i="2"/>
  <c r="E1743" i="2"/>
  <c r="D1743" i="2"/>
  <c r="H3729" i="2"/>
  <c r="G3729" i="2"/>
  <c r="F3729" i="2"/>
  <c r="E3729" i="2"/>
  <c r="D3729" i="2"/>
  <c r="H3728" i="2"/>
  <c r="G3728" i="2"/>
  <c r="F3728" i="2"/>
  <c r="E3728" i="2"/>
  <c r="D3728" i="2"/>
  <c r="H3727" i="2"/>
  <c r="G3727" i="2"/>
  <c r="F3727" i="2"/>
  <c r="E3727" i="2"/>
  <c r="D3727" i="2"/>
  <c r="H3726" i="2"/>
  <c r="G3726" i="2"/>
  <c r="F3726" i="2"/>
  <c r="E3726" i="2"/>
  <c r="D3726" i="2"/>
  <c r="H3725" i="2"/>
  <c r="G3725" i="2"/>
  <c r="F3725" i="2"/>
  <c r="E3725" i="2"/>
  <c r="D3725" i="2"/>
  <c r="H3724" i="2"/>
  <c r="G3724" i="2"/>
  <c r="F3724" i="2"/>
  <c r="E3724" i="2"/>
  <c r="D3724" i="2"/>
  <c r="H3723" i="2"/>
  <c r="G3723" i="2"/>
  <c r="F3723" i="2"/>
  <c r="E3723" i="2"/>
  <c r="D3723" i="2"/>
  <c r="H3722" i="2"/>
  <c r="G3722" i="2"/>
  <c r="F3722" i="2"/>
  <c r="E3722" i="2"/>
  <c r="D3722" i="2"/>
  <c r="H3721" i="2"/>
  <c r="G3721" i="2"/>
  <c r="F3721" i="2"/>
  <c r="E3721" i="2"/>
  <c r="D3721" i="2"/>
  <c r="H3720" i="2"/>
  <c r="G3720" i="2"/>
  <c r="F3720" i="2"/>
  <c r="E3720" i="2"/>
  <c r="D3720" i="2"/>
  <c r="H3719" i="2"/>
  <c r="G3719" i="2"/>
  <c r="F3719" i="2"/>
  <c r="E3719" i="2"/>
  <c r="D3719" i="2"/>
  <c r="H3718" i="2"/>
  <c r="G3718" i="2"/>
  <c r="F3718" i="2"/>
  <c r="E3718" i="2"/>
  <c r="D3718" i="2"/>
  <c r="H3717" i="2"/>
  <c r="G3717" i="2"/>
  <c r="F3717" i="2"/>
  <c r="E3717" i="2"/>
  <c r="D3717" i="2"/>
  <c r="H3716" i="2"/>
  <c r="G3716" i="2"/>
  <c r="F3716" i="2"/>
  <c r="E3716" i="2"/>
  <c r="D3716" i="2"/>
  <c r="H3486" i="2"/>
  <c r="G3486" i="2"/>
  <c r="F3486" i="2"/>
  <c r="E3486" i="2"/>
  <c r="D3486" i="2"/>
  <c r="H3485" i="2"/>
  <c r="G3485" i="2"/>
  <c r="F3485" i="2"/>
  <c r="E3485" i="2"/>
  <c r="D3485" i="2"/>
  <c r="H3449" i="2"/>
  <c r="G3449" i="2"/>
  <c r="F3449" i="2"/>
  <c r="E3449" i="2"/>
  <c r="D3449" i="2"/>
  <c r="H3448" i="2"/>
  <c r="G3448" i="2"/>
  <c r="F3448" i="2"/>
  <c r="E3448" i="2"/>
  <c r="D3448" i="2"/>
  <c r="H3447" i="2"/>
  <c r="G3447" i="2"/>
  <c r="F3447" i="2"/>
  <c r="E3447" i="2"/>
  <c r="D3447" i="2"/>
  <c r="H3271" i="2"/>
  <c r="G3271" i="2"/>
  <c r="F3271" i="2"/>
  <c r="E3271" i="2"/>
  <c r="D3271" i="2"/>
  <c r="H3270" i="2"/>
  <c r="G3270" i="2"/>
  <c r="F3270" i="2"/>
  <c r="E3270" i="2"/>
  <c r="D3270" i="2"/>
  <c r="H3269" i="2"/>
  <c r="G3269" i="2"/>
  <c r="F3269" i="2"/>
  <c r="E3269" i="2"/>
  <c r="D3269" i="2"/>
  <c r="H3268" i="2"/>
  <c r="G3268" i="2"/>
  <c r="F3268" i="2"/>
  <c r="E3268" i="2"/>
  <c r="D3268" i="2"/>
  <c r="H3267" i="2"/>
  <c r="G3267" i="2"/>
  <c r="F3267" i="2"/>
  <c r="E3267" i="2"/>
  <c r="D3267" i="2"/>
  <c r="H3266" i="2"/>
  <c r="G3266" i="2"/>
  <c r="F3266" i="2"/>
  <c r="E3266" i="2"/>
  <c r="D3266" i="2"/>
  <c r="H3265" i="2"/>
  <c r="G3265" i="2"/>
  <c r="F3265" i="2"/>
  <c r="E3265" i="2"/>
  <c r="D3265" i="2"/>
  <c r="H3264" i="2"/>
  <c r="G3264" i="2"/>
  <c r="F3264" i="2"/>
  <c r="E3264" i="2"/>
  <c r="D3264" i="2"/>
  <c r="H3192" i="2"/>
  <c r="G3192" i="2"/>
  <c r="F3192" i="2"/>
  <c r="E3192" i="2"/>
  <c r="D3192" i="2"/>
  <c r="H2158" i="2"/>
  <c r="G2158" i="2"/>
  <c r="F2158" i="2"/>
  <c r="E2158" i="2"/>
  <c r="D2158" i="2"/>
  <c r="H2030" i="2"/>
  <c r="G2030" i="2"/>
  <c r="F2030" i="2"/>
  <c r="E2030" i="2"/>
  <c r="D2030" i="2"/>
  <c r="H2029" i="2"/>
  <c r="G2029" i="2"/>
  <c r="F2029" i="2"/>
  <c r="E2029" i="2"/>
  <c r="D2029" i="2"/>
  <c r="H2026" i="2"/>
  <c r="G2026" i="2"/>
  <c r="F2026" i="2"/>
  <c r="E2026" i="2"/>
  <c r="D2026" i="2"/>
  <c r="H1956" i="2"/>
  <c r="G1956" i="2"/>
  <c r="F1956" i="2"/>
  <c r="E1956" i="2"/>
  <c r="D1956" i="2"/>
  <c r="H1918" i="2"/>
  <c r="G1918" i="2"/>
  <c r="F1918" i="2"/>
  <c r="E1918" i="2"/>
  <c r="D1918" i="2"/>
  <c r="H1708" i="2"/>
  <c r="G1708" i="2"/>
  <c r="F1708" i="2"/>
  <c r="E1708" i="2"/>
  <c r="D1708" i="2"/>
  <c r="H1707" i="2"/>
  <c r="G1707" i="2"/>
  <c r="F1707" i="2"/>
  <c r="E1707" i="2"/>
  <c r="D1707" i="2"/>
  <c r="H1706" i="2"/>
  <c r="G1706" i="2"/>
  <c r="F1706" i="2"/>
  <c r="E1706" i="2"/>
  <c r="D1706" i="2"/>
  <c r="H1705" i="2"/>
  <c r="G1705" i="2"/>
  <c r="F1705" i="2"/>
  <c r="E1705" i="2"/>
  <c r="D1705" i="2"/>
  <c r="H1704" i="2"/>
  <c r="G1704" i="2"/>
  <c r="F1704" i="2"/>
  <c r="E1704" i="2"/>
  <c r="D1704" i="2"/>
  <c r="H1686" i="2"/>
  <c r="G1686" i="2"/>
  <c r="F1686" i="2"/>
  <c r="E1686" i="2"/>
  <c r="D1686" i="2"/>
  <c r="H1685" i="2"/>
  <c r="G1685" i="2"/>
  <c r="F1685" i="2"/>
  <c r="E1685" i="2"/>
  <c r="D1685" i="2"/>
  <c r="H1684" i="2"/>
  <c r="G1684" i="2"/>
  <c r="F1684" i="2"/>
  <c r="E1684" i="2"/>
  <c r="D1684" i="2"/>
  <c r="H1589" i="2"/>
  <c r="G1589" i="2"/>
  <c r="F1589" i="2"/>
  <c r="E1589" i="2"/>
  <c r="D1589" i="2"/>
  <c r="H1588" i="2"/>
  <c r="G1588" i="2"/>
  <c r="F1588" i="2"/>
  <c r="E1588" i="2"/>
  <c r="D1588" i="2"/>
  <c r="H1587" i="2"/>
  <c r="G1587" i="2"/>
  <c r="F1587" i="2"/>
  <c r="E1587" i="2"/>
  <c r="D1587" i="2"/>
  <c r="H1581" i="2"/>
  <c r="G1581" i="2"/>
  <c r="F1581" i="2"/>
  <c r="E1581" i="2"/>
  <c r="D1581" i="2"/>
  <c r="H1580" i="2"/>
  <c r="G1580" i="2"/>
  <c r="F1580" i="2"/>
  <c r="E1580" i="2"/>
  <c r="D1580" i="2"/>
  <c r="H1579" i="2"/>
  <c r="G1579" i="2"/>
  <c r="F1579" i="2"/>
  <c r="E1579" i="2"/>
  <c r="D1579" i="2"/>
  <c r="H1578" i="2"/>
  <c r="G1578" i="2"/>
  <c r="F1578" i="2"/>
  <c r="E1578" i="2"/>
  <c r="D1578" i="2"/>
  <c r="H1577" i="2"/>
  <c r="G1577" i="2"/>
  <c r="F1577" i="2"/>
  <c r="E1577" i="2"/>
  <c r="D1577" i="2"/>
  <c r="H1576" i="2"/>
  <c r="G1576" i="2"/>
  <c r="F1576" i="2"/>
  <c r="E1576" i="2"/>
  <c r="D1576" i="2"/>
  <c r="H1538" i="2"/>
  <c r="G1538" i="2"/>
  <c r="F1538" i="2"/>
  <c r="E1538" i="2"/>
  <c r="D1538" i="2"/>
  <c r="H1499" i="2"/>
  <c r="G1499" i="2"/>
  <c r="F1499" i="2"/>
  <c r="E1499" i="2"/>
  <c r="D1499" i="2"/>
  <c r="H1498" i="2"/>
  <c r="G1498" i="2"/>
  <c r="F1498" i="2"/>
  <c r="E1498" i="2"/>
  <c r="D1498" i="2"/>
  <c r="H1497" i="2"/>
  <c r="G1497" i="2"/>
  <c r="F1497" i="2"/>
  <c r="E1497" i="2"/>
  <c r="D1497" i="2"/>
  <c r="H1496" i="2"/>
  <c r="G1496" i="2"/>
  <c r="F1496" i="2"/>
  <c r="E1496" i="2"/>
  <c r="D1496" i="2"/>
  <c r="H1495" i="2"/>
  <c r="G1495" i="2"/>
  <c r="F1495" i="2"/>
  <c r="E1495" i="2"/>
  <c r="D1495" i="2"/>
  <c r="H1494" i="2"/>
  <c r="G1494" i="2"/>
  <c r="F1494" i="2"/>
  <c r="E1494" i="2"/>
  <c r="D1494" i="2"/>
  <c r="H1493" i="2"/>
  <c r="G1493" i="2"/>
  <c r="F1493" i="2"/>
  <c r="E1493" i="2"/>
  <c r="D1493" i="2"/>
  <c r="H1490" i="2"/>
  <c r="G1490" i="2"/>
  <c r="F1490" i="2"/>
  <c r="E1490" i="2"/>
  <c r="D1490" i="2"/>
  <c r="H1489" i="2"/>
  <c r="G1489" i="2"/>
  <c r="F1489" i="2"/>
  <c r="E1489" i="2"/>
  <c r="D1489" i="2"/>
  <c r="H1471" i="2"/>
  <c r="G1471" i="2"/>
  <c r="F1471" i="2"/>
  <c r="E1471" i="2"/>
  <c r="D1471" i="2"/>
  <c r="H1470" i="2"/>
  <c r="G1470" i="2"/>
  <c r="F1470" i="2"/>
  <c r="E1470" i="2"/>
  <c r="D1470" i="2"/>
  <c r="H1469" i="2"/>
  <c r="G1469" i="2"/>
  <c r="F1469" i="2"/>
  <c r="E1469" i="2"/>
  <c r="D1469" i="2"/>
  <c r="H1138" i="2"/>
  <c r="G1138" i="2"/>
  <c r="F1138" i="2"/>
  <c r="E1138" i="2"/>
  <c r="D1138" i="2"/>
  <c r="H1134" i="2"/>
  <c r="G1134" i="2"/>
  <c r="F1134" i="2"/>
  <c r="E1134" i="2"/>
  <c r="D1134" i="2"/>
  <c r="H1133" i="2"/>
  <c r="G1133" i="2"/>
  <c r="F1133" i="2"/>
  <c r="E1133" i="2"/>
  <c r="D1133" i="2"/>
  <c r="H1077" i="2"/>
  <c r="G1077" i="2"/>
  <c r="F1077" i="2"/>
  <c r="E1077" i="2"/>
  <c r="D1077" i="2"/>
  <c r="H886" i="2"/>
  <c r="G886" i="2"/>
  <c r="F886" i="2"/>
  <c r="E886" i="2"/>
  <c r="D886" i="2"/>
  <c r="H879" i="2"/>
  <c r="G879" i="2"/>
  <c r="F879" i="2"/>
  <c r="E879" i="2"/>
  <c r="D879" i="2"/>
  <c r="H878" i="2"/>
  <c r="G878" i="2"/>
  <c r="F878" i="2"/>
  <c r="E878" i="2"/>
  <c r="D878" i="2"/>
  <c r="H877" i="2"/>
  <c r="G877" i="2"/>
  <c r="F877" i="2"/>
  <c r="E877" i="2"/>
  <c r="D877" i="2"/>
  <c r="H750" i="2"/>
  <c r="G750" i="2"/>
  <c r="F750" i="2"/>
  <c r="E750" i="2"/>
  <c r="D750" i="2"/>
  <c r="H749" i="2"/>
  <c r="G749" i="2"/>
  <c r="F749" i="2"/>
  <c r="E749" i="2"/>
  <c r="D749" i="2"/>
  <c r="H748" i="2"/>
  <c r="G748" i="2"/>
  <c r="F748" i="2"/>
  <c r="E748" i="2"/>
  <c r="D748" i="2"/>
  <c r="H608" i="2"/>
  <c r="G608" i="2"/>
  <c r="F608" i="2"/>
  <c r="E608" i="2"/>
  <c r="D608" i="2"/>
  <c r="H607" i="2"/>
  <c r="G607" i="2"/>
  <c r="F607" i="2"/>
  <c r="E607" i="2"/>
  <c r="D607" i="2"/>
  <c r="H514" i="2"/>
  <c r="G514" i="2"/>
  <c r="F514" i="2"/>
  <c r="E514" i="2"/>
  <c r="D514" i="2"/>
  <c r="H513" i="2"/>
  <c r="G513" i="2"/>
  <c r="F513" i="2"/>
  <c r="E513" i="2"/>
  <c r="D513" i="2"/>
  <c r="H512" i="2"/>
  <c r="G512" i="2"/>
  <c r="F512" i="2"/>
  <c r="E512" i="2"/>
  <c r="D512" i="2"/>
  <c r="H511" i="2"/>
  <c r="G511" i="2"/>
  <c r="F511" i="2"/>
  <c r="E511" i="2"/>
  <c r="D511" i="2"/>
  <c r="H510" i="2"/>
  <c r="G510" i="2"/>
  <c r="F510" i="2"/>
  <c r="E510" i="2"/>
  <c r="D510" i="2"/>
  <c r="H509" i="2"/>
  <c r="G509" i="2"/>
  <c r="F509" i="2"/>
  <c r="E509" i="2"/>
  <c r="D509" i="2"/>
  <c r="H508" i="2"/>
  <c r="G508" i="2"/>
  <c r="F508" i="2"/>
  <c r="E508" i="2"/>
  <c r="D508" i="2"/>
  <c r="H120" i="2"/>
  <c r="G120" i="2"/>
  <c r="F120" i="2"/>
  <c r="E120" i="2"/>
  <c r="D120" i="2"/>
  <c r="H119" i="2"/>
  <c r="G119" i="2"/>
  <c r="F119" i="2"/>
  <c r="E119" i="2"/>
  <c r="D119" i="2"/>
  <c r="H118" i="2"/>
  <c r="G118" i="2"/>
  <c r="F118" i="2"/>
  <c r="E118" i="2"/>
  <c r="D118" i="2"/>
  <c r="H117" i="2"/>
  <c r="G117" i="2"/>
  <c r="F117" i="2"/>
  <c r="E117" i="2"/>
  <c r="D117" i="2"/>
  <c r="H113" i="2"/>
  <c r="G113" i="2"/>
  <c r="F113" i="2"/>
  <c r="E113" i="2"/>
  <c r="D113" i="2"/>
  <c r="H112" i="2"/>
  <c r="G112" i="2"/>
  <c r="F112" i="2"/>
  <c r="E112" i="2"/>
  <c r="D112" i="2"/>
  <c r="H212" i="2"/>
  <c r="G212" i="2"/>
  <c r="F212" i="2"/>
  <c r="E212" i="2"/>
  <c r="D212" i="2"/>
  <c r="H3821" i="2"/>
  <c r="G3821" i="2"/>
  <c r="F3821" i="2"/>
  <c r="E3821" i="2"/>
  <c r="D3821" i="2"/>
  <c r="H3820" i="2"/>
  <c r="G3820" i="2"/>
  <c r="F3820" i="2"/>
  <c r="E3820" i="2"/>
  <c r="D3820" i="2"/>
  <c r="H1039" i="2"/>
  <c r="G1039" i="2"/>
  <c r="F1039" i="2"/>
  <c r="E1039" i="2"/>
  <c r="D1039" i="2"/>
  <c r="H1038" i="2"/>
  <c r="G1038" i="2"/>
  <c r="F1038" i="2"/>
  <c r="E1038" i="2"/>
  <c r="D1038" i="2"/>
  <c r="H3257" i="2"/>
  <c r="G3257" i="2"/>
  <c r="F3257" i="2"/>
  <c r="E3257" i="2"/>
  <c r="D3257" i="2"/>
  <c r="H3256" i="2"/>
  <c r="G3256" i="2"/>
  <c r="F3256" i="2"/>
  <c r="E3256" i="2"/>
  <c r="D3256" i="2"/>
  <c r="H3097" i="2"/>
  <c r="G3097" i="2"/>
  <c r="F3097" i="2"/>
  <c r="E3097" i="2"/>
  <c r="D3097" i="2"/>
  <c r="H557" i="2"/>
  <c r="G557" i="2"/>
  <c r="F557" i="2"/>
  <c r="E557" i="2"/>
  <c r="D557" i="2"/>
  <c r="H2834" i="2"/>
  <c r="G2834" i="2"/>
  <c r="F2834" i="2"/>
  <c r="E2834" i="2"/>
  <c r="D2834" i="2"/>
  <c r="H2833" i="2"/>
  <c r="G2833" i="2"/>
  <c r="F2833" i="2"/>
  <c r="E2833" i="2"/>
  <c r="D2833" i="2"/>
  <c r="H1392" i="2"/>
  <c r="G1392" i="2"/>
  <c r="F1392" i="2"/>
  <c r="E1392" i="2"/>
  <c r="D1392" i="2"/>
  <c r="H1132" i="2"/>
  <c r="G1132" i="2"/>
  <c r="F1132" i="2"/>
  <c r="E1132" i="2"/>
  <c r="D1132" i="2"/>
  <c r="H1131" i="2"/>
  <c r="G1131" i="2"/>
  <c r="F1131" i="2"/>
  <c r="E1131" i="2"/>
  <c r="D1131" i="2"/>
  <c r="H2888" i="2"/>
  <c r="G2888" i="2"/>
  <c r="F2888" i="2"/>
  <c r="E2888" i="2"/>
  <c r="D2888" i="2"/>
  <c r="H2887" i="2"/>
  <c r="G2887" i="2"/>
  <c r="F2887" i="2"/>
  <c r="E2887" i="2"/>
  <c r="D2887" i="2"/>
  <c r="H1265" i="2"/>
  <c r="G1265" i="2"/>
  <c r="F1265" i="2"/>
  <c r="E1265" i="2"/>
  <c r="D1265" i="2"/>
  <c r="H1264" i="2"/>
  <c r="G1264" i="2"/>
  <c r="F1264" i="2"/>
  <c r="E1264" i="2"/>
  <c r="D1264" i="2"/>
  <c r="H1263" i="2"/>
  <c r="G1263" i="2"/>
  <c r="F1263" i="2"/>
  <c r="E1263" i="2"/>
  <c r="D1263" i="2"/>
  <c r="H1262" i="2"/>
  <c r="G1262" i="2"/>
  <c r="F1262" i="2"/>
  <c r="E1262" i="2"/>
  <c r="D1262" i="2"/>
  <c r="H1261" i="2"/>
  <c r="G1261" i="2"/>
  <c r="F1261" i="2"/>
  <c r="E1261" i="2"/>
  <c r="D1261" i="2"/>
  <c r="H1022" i="2"/>
  <c r="G1022" i="2"/>
  <c r="F1022" i="2"/>
  <c r="E1022" i="2"/>
  <c r="D1022" i="2"/>
  <c r="H1021" i="2"/>
  <c r="G1021" i="2"/>
  <c r="F1021" i="2"/>
  <c r="E1021" i="2"/>
  <c r="D1021" i="2"/>
  <c r="H1020" i="2"/>
  <c r="G1020" i="2"/>
  <c r="F1020" i="2"/>
  <c r="E1020" i="2"/>
  <c r="D1020" i="2"/>
  <c r="H1019" i="2"/>
  <c r="G1019" i="2"/>
  <c r="F1019" i="2"/>
  <c r="E1019" i="2"/>
  <c r="D1019" i="2"/>
  <c r="H1018" i="2"/>
  <c r="G1018" i="2"/>
  <c r="F1018" i="2"/>
  <c r="E1018" i="2"/>
  <c r="D1018" i="2"/>
  <c r="H1017" i="2"/>
  <c r="G1017" i="2"/>
  <c r="F1017" i="2"/>
  <c r="E1017" i="2"/>
  <c r="D1017" i="2"/>
  <c r="H1016" i="2"/>
  <c r="G1016" i="2"/>
  <c r="F1016" i="2"/>
  <c r="E1016" i="2"/>
  <c r="D1016" i="2"/>
  <c r="H1015" i="2"/>
  <c r="G1015" i="2"/>
  <c r="F1015" i="2"/>
  <c r="E1015" i="2"/>
  <c r="D1015" i="2"/>
  <c r="H1014" i="2"/>
  <c r="G1014" i="2"/>
  <c r="F1014" i="2"/>
  <c r="E1014" i="2"/>
  <c r="D1014" i="2"/>
  <c r="H1013" i="2"/>
  <c r="G1013" i="2"/>
  <c r="F1013" i="2"/>
  <c r="E1013" i="2"/>
  <c r="D1013" i="2"/>
  <c r="H1012" i="2"/>
  <c r="G1012" i="2"/>
  <c r="F1012" i="2"/>
  <c r="E1012" i="2"/>
  <c r="D1012" i="2"/>
  <c r="H3510" i="2"/>
  <c r="G3510" i="2"/>
  <c r="F3510" i="2"/>
  <c r="E3510" i="2"/>
  <c r="D3510" i="2"/>
  <c r="H3509" i="2"/>
  <c r="G3509" i="2"/>
  <c r="F3509" i="2"/>
  <c r="E3509" i="2"/>
  <c r="D3509" i="2"/>
  <c r="H3377" i="2"/>
  <c r="G3377" i="2"/>
  <c r="F3377" i="2"/>
  <c r="E3377" i="2"/>
  <c r="D3377" i="2"/>
  <c r="H3376" i="2"/>
  <c r="G3376" i="2"/>
  <c r="F3376" i="2"/>
  <c r="E3376" i="2"/>
  <c r="D3376" i="2"/>
  <c r="H3375" i="2"/>
  <c r="G3375" i="2"/>
  <c r="F3375" i="2"/>
  <c r="E3375" i="2"/>
  <c r="D3375" i="2"/>
  <c r="H3374" i="2"/>
  <c r="G3374" i="2"/>
  <c r="F3374" i="2"/>
  <c r="E3374" i="2"/>
  <c r="D3374" i="2"/>
  <c r="H3373" i="2"/>
  <c r="G3373" i="2"/>
  <c r="F3373" i="2"/>
  <c r="E3373" i="2"/>
  <c r="D3373" i="2"/>
  <c r="H3372" i="2"/>
  <c r="G3372" i="2"/>
  <c r="F3372" i="2"/>
  <c r="E3372" i="2"/>
  <c r="D3372" i="2"/>
  <c r="H3371" i="2"/>
  <c r="G3371" i="2"/>
  <c r="F3371" i="2"/>
  <c r="E3371" i="2"/>
  <c r="D3371" i="2"/>
  <c r="H3370" i="2"/>
  <c r="G3370" i="2"/>
  <c r="F3370" i="2"/>
  <c r="E3370" i="2"/>
  <c r="D3370" i="2"/>
  <c r="H2381" i="2"/>
  <c r="G2381" i="2"/>
  <c r="F2381" i="2"/>
  <c r="E2381" i="2"/>
  <c r="D2381" i="2"/>
  <c r="H3238" i="2"/>
  <c r="G3238" i="2"/>
  <c r="F3238" i="2"/>
  <c r="E3238" i="2"/>
  <c r="D3238" i="2"/>
  <c r="H3237" i="2"/>
  <c r="G3237" i="2"/>
  <c r="F3237" i="2"/>
  <c r="E3237" i="2"/>
  <c r="D3237" i="2"/>
  <c r="H3208" i="2"/>
  <c r="G3208" i="2"/>
  <c r="F3208" i="2"/>
  <c r="E3208" i="2"/>
  <c r="D3208" i="2"/>
  <c r="H3207" i="2"/>
  <c r="G3207" i="2"/>
  <c r="F3207" i="2"/>
  <c r="E3207" i="2"/>
  <c r="D3207" i="2"/>
  <c r="H3206" i="2"/>
  <c r="G3206" i="2"/>
  <c r="F3206" i="2"/>
  <c r="E3206" i="2"/>
  <c r="D3206" i="2"/>
  <c r="H3205" i="2"/>
  <c r="G3205" i="2"/>
  <c r="F3205" i="2"/>
  <c r="E3205" i="2"/>
  <c r="D3205" i="2"/>
  <c r="H3204" i="2"/>
  <c r="G3204" i="2"/>
  <c r="F3204" i="2"/>
  <c r="E3204" i="2"/>
  <c r="D3204" i="2"/>
  <c r="H3203" i="2"/>
  <c r="G3203" i="2"/>
  <c r="F3203" i="2"/>
  <c r="E3203" i="2"/>
  <c r="D3203" i="2"/>
  <c r="H1186" i="2"/>
  <c r="G1186" i="2"/>
  <c r="F1186" i="2"/>
  <c r="E1186" i="2"/>
  <c r="D1186" i="2"/>
  <c r="H1185" i="2"/>
  <c r="G1185" i="2"/>
  <c r="F1185" i="2"/>
  <c r="E1185" i="2"/>
  <c r="D1185" i="2"/>
  <c r="H1184" i="2"/>
  <c r="G1184" i="2"/>
  <c r="F1184" i="2"/>
  <c r="E1184" i="2"/>
  <c r="D1184" i="2"/>
  <c r="H1273" i="2"/>
  <c r="G1273" i="2"/>
  <c r="F1273" i="2"/>
  <c r="E1273" i="2"/>
  <c r="D1273" i="2"/>
  <c r="H3028" i="2"/>
  <c r="G3028" i="2"/>
  <c r="F3028" i="2"/>
  <c r="E3028" i="2"/>
  <c r="D3028" i="2"/>
  <c r="H3027" i="2"/>
  <c r="G3027" i="2"/>
  <c r="F3027" i="2"/>
  <c r="E3027" i="2"/>
  <c r="D3027" i="2"/>
  <c r="H3026" i="2"/>
  <c r="G3026" i="2"/>
  <c r="F3026" i="2"/>
  <c r="E3026" i="2"/>
  <c r="D3026" i="2"/>
  <c r="H3025" i="2"/>
  <c r="G3025" i="2"/>
  <c r="F3025" i="2"/>
  <c r="E3025" i="2"/>
  <c r="D3025" i="2"/>
  <c r="H3024" i="2"/>
  <c r="G3024" i="2"/>
  <c r="F3024" i="2"/>
  <c r="E3024" i="2"/>
  <c r="D3024" i="2"/>
  <c r="H2789" i="2"/>
  <c r="G2789" i="2"/>
  <c r="F2789" i="2"/>
  <c r="E2789" i="2"/>
  <c r="D2789" i="2"/>
  <c r="H2788" i="2"/>
  <c r="G2788" i="2"/>
  <c r="F2788" i="2"/>
  <c r="E2788" i="2"/>
  <c r="D2788" i="2"/>
  <c r="H2787" i="2"/>
  <c r="G2787" i="2"/>
  <c r="F2787" i="2"/>
  <c r="E2787" i="2"/>
  <c r="D2787" i="2"/>
  <c r="H2786" i="2"/>
  <c r="G2786" i="2"/>
  <c r="F2786" i="2"/>
  <c r="E2786" i="2"/>
  <c r="D2786" i="2"/>
  <c r="H2785" i="2"/>
  <c r="G2785" i="2"/>
  <c r="F2785" i="2"/>
  <c r="E2785" i="2"/>
  <c r="D2785" i="2"/>
  <c r="H500" i="2"/>
  <c r="G500" i="2"/>
  <c r="F500" i="2"/>
  <c r="E500" i="2"/>
  <c r="D500" i="2"/>
  <c r="H499" i="2"/>
  <c r="G499" i="2"/>
  <c r="F499" i="2"/>
  <c r="E499" i="2"/>
  <c r="D499" i="2"/>
  <c r="H498" i="2"/>
  <c r="G498" i="2"/>
  <c r="F498" i="2"/>
  <c r="E498" i="2"/>
  <c r="D498" i="2"/>
  <c r="H497" i="2"/>
  <c r="G497" i="2"/>
  <c r="F497" i="2"/>
  <c r="E497" i="2"/>
  <c r="D497" i="2"/>
  <c r="H496" i="2"/>
  <c r="G496" i="2"/>
  <c r="F496" i="2"/>
  <c r="E496" i="2"/>
  <c r="D496" i="2"/>
  <c r="H1352" i="2"/>
  <c r="G1352" i="2"/>
  <c r="F1352" i="2"/>
  <c r="E1352" i="2"/>
  <c r="D1352" i="2"/>
  <c r="H1351" i="2"/>
  <c r="G1351" i="2"/>
  <c r="F1351" i="2"/>
  <c r="E1351" i="2"/>
  <c r="D1351" i="2"/>
  <c r="H1350" i="2"/>
  <c r="G1350" i="2"/>
  <c r="F1350" i="2"/>
  <c r="E1350" i="2"/>
  <c r="D1350" i="2"/>
  <c r="H1349" i="2"/>
  <c r="G1349" i="2"/>
  <c r="F1349" i="2"/>
  <c r="E1349" i="2"/>
  <c r="D1349" i="2"/>
  <c r="H1661" i="2"/>
  <c r="G1661" i="2"/>
  <c r="F1661" i="2"/>
  <c r="E1661" i="2"/>
  <c r="D1661" i="2"/>
  <c r="H1660" i="2"/>
  <c r="G1660" i="2"/>
  <c r="F1660" i="2"/>
  <c r="E1660" i="2"/>
  <c r="D1660" i="2"/>
  <c r="H1659" i="2"/>
  <c r="G1659" i="2"/>
  <c r="F1659" i="2"/>
  <c r="E1659" i="2"/>
  <c r="D1659" i="2"/>
  <c r="H1658" i="2"/>
  <c r="G1658" i="2"/>
  <c r="F1658" i="2"/>
  <c r="E1658" i="2"/>
  <c r="D1658" i="2"/>
  <c r="H1657" i="2"/>
  <c r="G1657" i="2"/>
  <c r="F1657" i="2"/>
  <c r="E1657" i="2"/>
  <c r="D1657" i="2"/>
  <c r="H678" i="2"/>
  <c r="G678" i="2"/>
  <c r="F678" i="2"/>
  <c r="E678" i="2"/>
  <c r="D678" i="2"/>
  <c r="H677" i="2"/>
  <c r="G677" i="2"/>
  <c r="F677" i="2"/>
  <c r="E677" i="2"/>
  <c r="D677" i="2"/>
  <c r="H676" i="2"/>
  <c r="G676" i="2"/>
  <c r="F676" i="2"/>
  <c r="E676" i="2"/>
  <c r="D676" i="2"/>
  <c r="H675" i="2"/>
  <c r="G675" i="2"/>
  <c r="F675" i="2"/>
  <c r="E675" i="2"/>
  <c r="D675" i="2"/>
  <c r="H577" i="2"/>
  <c r="G577" i="2"/>
  <c r="F577" i="2"/>
  <c r="E577" i="2"/>
  <c r="D577" i="2"/>
  <c r="H576" i="2"/>
  <c r="G576" i="2"/>
  <c r="F576" i="2"/>
  <c r="E576" i="2"/>
  <c r="D576" i="2"/>
  <c r="H575" i="2"/>
  <c r="G575" i="2"/>
  <c r="F575" i="2"/>
  <c r="E575" i="2"/>
  <c r="D575" i="2"/>
  <c r="H574" i="2"/>
  <c r="G574" i="2"/>
  <c r="F574" i="2"/>
  <c r="E574" i="2"/>
  <c r="D574" i="2"/>
  <c r="H573" i="2"/>
  <c r="G573" i="2"/>
  <c r="F573" i="2"/>
  <c r="E573" i="2"/>
  <c r="D573" i="2"/>
  <c r="H572" i="2"/>
  <c r="G572" i="2"/>
  <c r="F572" i="2"/>
  <c r="E572" i="2"/>
  <c r="D572" i="2"/>
  <c r="H1321" i="2"/>
  <c r="G1321" i="2"/>
  <c r="F1321" i="2"/>
  <c r="E1321" i="2"/>
  <c r="D1321" i="2"/>
  <c r="H1320" i="2"/>
  <c r="G1320" i="2"/>
  <c r="F1320" i="2"/>
  <c r="E1320" i="2"/>
  <c r="D1320" i="2"/>
  <c r="H1319" i="2"/>
  <c r="G1319" i="2"/>
  <c r="F1319" i="2"/>
  <c r="E1319" i="2"/>
  <c r="D1319" i="2"/>
  <c r="H1318" i="2"/>
  <c r="G1318" i="2"/>
  <c r="F1318" i="2"/>
  <c r="E1318" i="2"/>
  <c r="D1318" i="2"/>
  <c r="H1317" i="2"/>
  <c r="G1317" i="2"/>
  <c r="F1317" i="2"/>
  <c r="E1317" i="2"/>
  <c r="D1317" i="2"/>
  <c r="H116" i="2"/>
  <c r="G116" i="2"/>
  <c r="F116" i="2"/>
  <c r="E116" i="2"/>
  <c r="D116" i="2"/>
  <c r="H2298" i="2"/>
  <c r="G2298" i="2"/>
  <c r="F2298" i="2"/>
  <c r="E2298" i="2"/>
  <c r="D2298" i="2"/>
  <c r="H2297" i="2"/>
  <c r="G2297" i="2"/>
  <c r="F2297" i="2"/>
  <c r="E2297" i="2"/>
  <c r="D2297" i="2"/>
  <c r="H2296" i="2"/>
  <c r="G2296" i="2"/>
  <c r="F2296" i="2"/>
  <c r="E2296" i="2"/>
  <c r="D2296" i="2"/>
  <c r="H3433" i="2"/>
  <c r="G3433" i="2"/>
  <c r="F3433" i="2"/>
  <c r="E3433" i="2"/>
  <c r="D3433" i="2"/>
  <c r="H999" i="2"/>
  <c r="G999" i="2"/>
  <c r="F999" i="2"/>
  <c r="E999" i="2"/>
  <c r="D999" i="2"/>
  <c r="H998" i="2"/>
  <c r="G998" i="2"/>
  <c r="F998" i="2"/>
  <c r="E998" i="2"/>
  <c r="D998" i="2"/>
  <c r="H997" i="2"/>
  <c r="G997" i="2"/>
  <c r="F997" i="2"/>
  <c r="E997" i="2"/>
  <c r="D997" i="2"/>
  <c r="H996" i="2"/>
  <c r="G996" i="2"/>
  <c r="F996" i="2"/>
  <c r="E996" i="2"/>
  <c r="D996" i="2"/>
  <c r="H995" i="2"/>
  <c r="G995" i="2"/>
  <c r="F995" i="2"/>
  <c r="E995" i="2"/>
  <c r="D995" i="2"/>
  <c r="H994" i="2"/>
  <c r="G994" i="2"/>
  <c r="F994" i="2"/>
  <c r="E994" i="2"/>
  <c r="D994" i="2"/>
  <c r="H744" i="2"/>
  <c r="G744" i="2"/>
  <c r="F744" i="2"/>
  <c r="E744" i="2"/>
  <c r="D744" i="2"/>
  <c r="H517" i="2"/>
  <c r="G517" i="2"/>
  <c r="F517" i="2"/>
  <c r="E517" i="2"/>
  <c r="D517" i="2"/>
  <c r="H516" i="2"/>
  <c r="G516" i="2"/>
  <c r="F516" i="2"/>
  <c r="E516" i="2"/>
  <c r="D516" i="2"/>
  <c r="H1781" i="2"/>
  <c r="G1781" i="2"/>
  <c r="F1781" i="2"/>
  <c r="E1781" i="2"/>
  <c r="D1781" i="2"/>
  <c r="H1780" i="2"/>
  <c r="G1780" i="2"/>
  <c r="F1780" i="2"/>
  <c r="E1780" i="2"/>
  <c r="D1780" i="2"/>
  <c r="H565" i="2"/>
  <c r="G565" i="2"/>
  <c r="F565" i="2"/>
  <c r="E565" i="2"/>
  <c r="D565" i="2"/>
  <c r="H564" i="2"/>
  <c r="G564" i="2"/>
  <c r="F564" i="2"/>
  <c r="E564" i="2"/>
  <c r="D564" i="2"/>
  <c r="H563" i="2"/>
  <c r="G563" i="2"/>
  <c r="F563" i="2"/>
  <c r="E563" i="2"/>
  <c r="D563" i="2"/>
  <c r="H3764" i="2"/>
  <c r="G3764" i="2"/>
  <c r="F3764" i="2"/>
  <c r="E3764" i="2"/>
  <c r="D3764" i="2"/>
  <c r="H2347" i="2"/>
  <c r="G2347" i="2"/>
  <c r="F2347" i="2"/>
  <c r="E2347" i="2"/>
  <c r="D2347" i="2"/>
  <c r="H2346" i="2"/>
  <c r="G2346" i="2"/>
  <c r="F2346" i="2"/>
  <c r="E2346" i="2"/>
  <c r="D2346" i="2"/>
  <c r="H2345" i="2"/>
  <c r="G2345" i="2"/>
  <c r="F2345" i="2"/>
  <c r="E2345" i="2"/>
  <c r="D2345" i="2"/>
  <c r="H2344" i="2"/>
  <c r="G2344" i="2"/>
  <c r="F2344" i="2"/>
  <c r="E2344" i="2"/>
  <c r="D2344" i="2"/>
  <c r="H3602" i="2"/>
  <c r="G3602" i="2"/>
  <c r="F3602" i="2"/>
  <c r="E3602" i="2"/>
  <c r="D3602" i="2"/>
  <c r="H3601" i="2"/>
  <c r="G3601" i="2"/>
  <c r="F3601" i="2"/>
  <c r="E3601" i="2"/>
  <c r="D3601" i="2"/>
  <c r="H2827" i="2"/>
  <c r="G2827" i="2"/>
  <c r="F2827" i="2"/>
  <c r="E2827" i="2"/>
  <c r="D2827" i="2"/>
  <c r="H3202" i="2"/>
  <c r="G3202" i="2"/>
  <c r="F3202" i="2"/>
  <c r="E3202" i="2"/>
  <c r="D3202" i="2"/>
  <c r="H298" i="2"/>
  <c r="G298" i="2"/>
  <c r="F298" i="2"/>
  <c r="E298" i="2"/>
  <c r="D298" i="2"/>
  <c r="H3446" i="2"/>
  <c r="G3446" i="2"/>
  <c r="F3446" i="2"/>
  <c r="E3446" i="2"/>
  <c r="D3446" i="2"/>
  <c r="H3445" i="2"/>
  <c r="G3445" i="2"/>
  <c r="F3445" i="2"/>
  <c r="E3445" i="2"/>
  <c r="D3445" i="2"/>
  <c r="H3444" i="2"/>
  <c r="G3444" i="2"/>
  <c r="F3444" i="2"/>
  <c r="E3444" i="2"/>
  <c r="D3444" i="2"/>
  <c r="H3443" i="2"/>
  <c r="G3443" i="2"/>
  <c r="F3443" i="2"/>
  <c r="E3443" i="2"/>
  <c r="D3443" i="2"/>
  <c r="H3442" i="2"/>
  <c r="G3442" i="2"/>
  <c r="F3442" i="2"/>
  <c r="E3442" i="2"/>
  <c r="D3442" i="2"/>
  <c r="H3441" i="2"/>
  <c r="G3441" i="2"/>
  <c r="F3441" i="2"/>
  <c r="E3441" i="2"/>
  <c r="D3441" i="2"/>
  <c r="H3440" i="2"/>
  <c r="G3440" i="2"/>
  <c r="F3440" i="2"/>
  <c r="E3440" i="2"/>
  <c r="D3440" i="2"/>
  <c r="H3439" i="2"/>
  <c r="G3439" i="2"/>
  <c r="F3439" i="2"/>
  <c r="E3439" i="2"/>
  <c r="D3439" i="2"/>
  <c r="H2105" i="2"/>
  <c r="G2105" i="2"/>
  <c r="F2105" i="2"/>
  <c r="E2105" i="2"/>
  <c r="D2105" i="2"/>
  <c r="H2104" i="2"/>
  <c r="G2104" i="2"/>
  <c r="F2104" i="2"/>
  <c r="E2104" i="2"/>
  <c r="D2104" i="2"/>
  <c r="H2103" i="2"/>
  <c r="G2103" i="2"/>
  <c r="F2103" i="2"/>
  <c r="E2103" i="2"/>
  <c r="D2103" i="2"/>
  <c r="H1032" i="2"/>
  <c r="G1032" i="2"/>
  <c r="F1032" i="2"/>
  <c r="E1032" i="2"/>
  <c r="D1032" i="2"/>
  <c r="H1031" i="2"/>
  <c r="G1031" i="2"/>
  <c r="F1031" i="2"/>
  <c r="E1031" i="2"/>
  <c r="D1031" i="2"/>
  <c r="H1030" i="2"/>
  <c r="G1030" i="2"/>
  <c r="F1030" i="2"/>
  <c r="E1030" i="2"/>
  <c r="D1030" i="2"/>
  <c r="H1029" i="2"/>
  <c r="G1029" i="2"/>
  <c r="F1029" i="2"/>
  <c r="E1029" i="2"/>
  <c r="D1029" i="2"/>
  <c r="H1028" i="2"/>
  <c r="G1028" i="2"/>
  <c r="F1028" i="2"/>
  <c r="E1028" i="2"/>
  <c r="D1028" i="2"/>
  <c r="H1027" i="2"/>
  <c r="G1027" i="2"/>
  <c r="F1027" i="2"/>
  <c r="E1027" i="2"/>
  <c r="D1027" i="2"/>
  <c r="H3884" i="2"/>
  <c r="G3884" i="2"/>
  <c r="F3884" i="2"/>
  <c r="E3884" i="2"/>
  <c r="D3884" i="2"/>
  <c r="H3883" i="2"/>
  <c r="G3883" i="2"/>
  <c r="F3883" i="2"/>
  <c r="E3883" i="2"/>
  <c r="D3883" i="2"/>
  <c r="H3882" i="2"/>
  <c r="G3882" i="2"/>
  <c r="F3882" i="2"/>
  <c r="E3882" i="2"/>
  <c r="D3882" i="2"/>
  <c r="H1631" i="2"/>
  <c r="G1631" i="2"/>
  <c r="F1631" i="2"/>
  <c r="E1631" i="2"/>
  <c r="D1631" i="2"/>
  <c r="H1630" i="2"/>
  <c r="G1630" i="2"/>
  <c r="F1630" i="2"/>
  <c r="E1630" i="2"/>
  <c r="D1630" i="2"/>
  <c r="H1629" i="2"/>
  <c r="G1629" i="2"/>
  <c r="F1629" i="2"/>
  <c r="E1629" i="2"/>
  <c r="D1629" i="2"/>
  <c r="H1628" i="2"/>
  <c r="G1628" i="2"/>
  <c r="F1628" i="2"/>
  <c r="E1628" i="2"/>
  <c r="D1628" i="2"/>
  <c r="H1627" i="2"/>
  <c r="G1627" i="2"/>
  <c r="F1627" i="2"/>
  <c r="E1627" i="2"/>
  <c r="D1627" i="2"/>
  <c r="H1626" i="2"/>
  <c r="G1626" i="2"/>
  <c r="F1626" i="2"/>
  <c r="E1626" i="2"/>
  <c r="D1626" i="2"/>
  <c r="H1625" i="2"/>
  <c r="G1625" i="2"/>
  <c r="F1625" i="2"/>
  <c r="E1625" i="2"/>
  <c r="D1625" i="2"/>
  <c r="H1624" i="2"/>
  <c r="G1624" i="2"/>
  <c r="F1624" i="2"/>
  <c r="E1624" i="2"/>
  <c r="D1624" i="2"/>
  <c r="H1623" i="2"/>
  <c r="G1623" i="2"/>
  <c r="F1623" i="2"/>
  <c r="E1623" i="2"/>
  <c r="D1623" i="2"/>
  <c r="H1622" i="2"/>
  <c r="G1622" i="2"/>
  <c r="F1622" i="2"/>
  <c r="E1622" i="2"/>
  <c r="D1622" i="2"/>
  <c r="H1621" i="2"/>
  <c r="G1621" i="2"/>
  <c r="F1621" i="2"/>
  <c r="E1621" i="2"/>
  <c r="D1621" i="2"/>
  <c r="H1620" i="2"/>
  <c r="G1620" i="2"/>
  <c r="F1620" i="2"/>
  <c r="E1620" i="2"/>
  <c r="D1620" i="2"/>
  <c r="H3713" i="2"/>
  <c r="G3713" i="2"/>
  <c r="F3713" i="2"/>
  <c r="E3713" i="2"/>
  <c r="D3713" i="2"/>
  <c r="H3712" i="2"/>
  <c r="G3712" i="2"/>
  <c r="F3712" i="2"/>
  <c r="E3712" i="2"/>
  <c r="D3712" i="2"/>
  <c r="H3711" i="2"/>
  <c r="G3711" i="2"/>
  <c r="F3711" i="2"/>
  <c r="E3711" i="2"/>
  <c r="D3711" i="2"/>
  <c r="H3710" i="2"/>
  <c r="G3710" i="2"/>
  <c r="F3710" i="2"/>
  <c r="E3710" i="2"/>
  <c r="D3710" i="2"/>
  <c r="H24" i="2"/>
  <c r="G24" i="2"/>
  <c r="F24" i="2"/>
  <c r="E24" i="2"/>
  <c r="D24" i="2"/>
  <c r="H2" i="2"/>
  <c r="G2" i="2"/>
  <c r="F2" i="2"/>
  <c r="E2" i="2"/>
  <c r="D2" i="2"/>
  <c r="H3773" i="2"/>
  <c r="G3773" i="2"/>
  <c r="F3773" i="2"/>
  <c r="E3773" i="2"/>
  <c r="D3773" i="2"/>
  <c r="H3772" i="2"/>
  <c r="G3772" i="2"/>
  <c r="F3772" i="2"/>
  <c r="E3772" i="2"/>
  <c r="D3772" i="2"/>
  <c r="H1063" i="2"/>
  <c r="G1063" i="2"/>
  <c r="F1063" i="2"/>
  <c r="E1063" i="2"/>
  <c r="D1063" i="2"/>
  <c r="H1062" i="2"/>
  <c r="G1062" i="2"/>
  <c r="F1062" i="2"/>
  <c r="E1062" i="2"/>
  <c r="D1062" i="2"/>
  <c r="H1061" i="2"/>
  <c r="G1061" i="2"/>
  <c r="F1061" i="2"/>
  <c r="E1061" i="2"/>
  <c r="D1061" i="2"/>
  <c r="H1060" i="2"/>
  <c r="G1060" i="2"/>
  <c r="F1060" i="2"/>
  <c r="E1060" i="2"/>
  <c r="D1060" i="2"/>
  <c r="H1059" i="2"/>
  <c r="G1059" i="2"/>
  <c r="F1059" i="2"/>
  <c r="E1059" i="2"/>
  <c r="D1059" i="2"/>
  <c r="H1058" i="2"/>
  <c r="G1058" i="2"/>
  <c r="F1058" i="2"/>
  <c r="E1058" i="2"/>
  <c r="D1058" i="2"/>
  <c r="H1057" i="2"/>
  <c r="G1057" i="2"/>
  <c r="F1057" i="2"/>
  <c r="E1057" i="2"/>
  <c r="D1057" i="2"/>
  <c r="H1056" i="2"/>
  <c r="G1056" i="2"/>
  <c r="F1056" i="2"/>
  <c r="E1056" i="2"/>
  <c r="D1056" i="2"/>
  <c r="H2121" i="2"/>
  <c r="G2121" i="2"/>
  <c r="F2121" i="2"/>
  <c r="E2121" i="2"/>
  <c r="D2121" i="2"/>
  <c r="H2120" i="2"/>
  <c r="G2120" i="2"/>
  <c r="F2120" i="2"/>
  <c r="E2120" i="2"/>
  <c r="D2120" i="2"/>
  <c r="H2119" i="2"/>
  <c r="G2119" i="2"/>
  <c r="F2119" i="2"/>
  <c r="E2119" i="2"/>
  <c r="D2119" i="2"/>
  <c r="H3516" i="2"/>
  <c r="G3516" i="2"/>
  <c r="F3516" i="2"/>
  <c r="E3516" i="2"/>
  <c r="D3516" i="2"/>
  <c r="H2977" i="2"/>
  <c r="G2977" i="2"/>
  <c r="F2977" i="2"/>
  <c r="E2977" i="2"/>
  <c r="D2977" i="2"/>
  <c r="H2976" i="2"/>
  <c r="G2976" i="2"/>
  <c r="F2976" i="2"/>
  <c r="E2976" i="2"/>
  <c r="D2976" i="2"/>
  <c r="H2975" i="2"/>
  <c r="G2975" i="2"/>
  <c r="F2975" i="2"/>
  <c r="E2975" i="2"/>
  <c r="D2975" i="2"/>
  <c r="H2974" i="2"/>
  <c r="G2974" i="2"/>
  <c r="F2974" i="2"/>
  <c r="E2974" i="2"/>
  <c r="D2974" i="2"/>
  <c r="H958" i="2"/>
  <c r="G958" i="2"/>
  <c r="F958" i="2"/>
  <c r="E958" i="2"/>
  <c r="D958" i="2"/>
  <c r="H3396" i="2"/>
  <c r="G3396" i="2"/>
  <c r="F3396" i="2"/>
  <c r="E3396" i="2"/>
  <c r="D3396" i="2"/>
  <c r="H1198" i="2"/>
  <c r="G1198" i="2"/>
  <c r="F1198" i="2"/>
  <c r="E1198" i="2"/>
  <c r="D1198" i="2"/>
  <c r="H1197" i="2"/>
  <c r="G1197" i="2"/>
  <c r="F1197" i="2"/>
  <c r="E1197" i="2"/>
  <c r="D1197" i="2"/>
  <c r="H1196" i="2"/>
  <c r="G1196" i="2"/>
  <c r="F1196" i="2"/>
  <c r="E1196" i="2"/>
  <c r="D1196" i="2"/>
  <c r="H3133" i="2"/>
  <c r="G3133" i="2"/>
  <c r="F3133" i="2"/>
  <c r="E3133" i="2"/>
  <c r="D3133" i="2"/>
  <c r="H311" i="2"/>
  <c r="G311" i="2"/>
  <c r="F311" i="2"/>
  <c r="E311" i="2"/>
  <c r="D311" i="2"/>
  <c r="H3067" i="2"/>
  <c r="G3067" i="2"/>
  <c r="F3067" i="2"/>
  <c r="E3067" i="2"/>
  <c r="D3067" i="2"/>
  <c r="H3343" i="2"/>
  <c r="G3343" i="2"/>
  <c r="F3343" i="2"/>
  <c r="E3343" i="2"/>
  <c r="D3343" i="2"/>
  <c r="H3342" i="2"/>
  <c r="G3342" i="2"/>
  <c r="F3342" i="2"/>
  <c r="E3342" i="2"/>
  <c r="D3342" i="2"/>
  <c r="H3341" i="2"/>
  <c r="G3341" i="2"/>
  <c r="F3341" i="2"/>
  <c r="E3341" i="2"/>
  <c r="D3341" i="2"/>
  <c r="H3340" i="2"/>
  <c r="G3340" i="2"/>
  <c r="F3340" i="2"/>
  <c r="E3340" i="2"/>
  <c r="D3340" i="2"/>
  <c r="H3339" i="2"/>
  <c r="G3339" i="2"/>
  <c r="F3339" i="2"/>
  <c r="E3339" i="2"/>
  <c r="D3339" i="2"/>
  <c r="H1968" i="2"/>
  <c r="G1968" i="2"/>
  <c r="F1968" i="2"/>
  <c r="E1968" i="2"/>
  <c r="D1968" i="2"/>
  <c r="H1967" i="2"/>
  <c r="G1967" i="2"/>
  <c r="F1967" i="2"/>
  <c r="E1967" i="2"/>
  <c r="D1967" i="2"/>
  <c r="H3771" i="2"/>
  <c r="G3771" i="2"/>
  <c r="F3771" i="2"/>
  <c r="E3771" i="2"/>
  <c r="D3771" i="2"/>
  <c r="H3770" i="2"/>
  <c r="G3770" i="2"/>
  <c r="F3770" i="2"/>
  <c r="E3770" i="2"/>
  <c r="D3770" i="2"/>
  <c r="H3769" i="2"/>
  <c r="G3769" i="2"/>
  <c r="F3769" i="2"/>
  <c r="E3769" i="2"/>
  <c r="D3769" i="2"/>
  <c r="H3768" i="2"/>
  <c r="G3768" i="2"/>
  <c r="F3768" i="2"/>
  <c r="E3768" i="2"/>
  <c r="D3768" i="2"/>
  <c r="H3767" i="2"/>
  <c r="G3767" i="2"/>
  <c r="F3767" i="2"/>
  <c r="E3767" i="2"/>
  <c r="D3767" i="2"/>
  <c r="H3766" i="2"/>
  <c r="G3766" i="2"/>
  <c r="F3766" i="2"/>
  <c r="E3766" i="2"/>
  <c r="D3766" i="2"/>
  <c r="H3765" i="2"/>
  <c r="G3765" i="2"/>
  <c r="F3765" i="2"/>
  <c r="E3765" i="2"/>
  <c r="D3765" i="2"/>
  <c r="H1126" i="2"/>
  <c r="G1126" i="2"/>
  <c r="F1126" i="2"/>
  <c r="E1126" i="2"/>
  <c r="D1126" i="2"/>
  <c r="H3813" i="2"/>
  <c r="G3813" i="2"/>
  <c r="F3813" i="2"/>
  <c r="E3813" i="2"/>
  <c r="D3813" i="2"/>
  <c r="H3673" i="2"/>
  <c r="G3673" i="2"/>
  <c r="F3673" i="2"/>
  <c r="E3673" i="2"/>
  <c r="D3673" i="2"/>
  <c r="H3672" i="2"/>
  <c r="G3672" i="2"/>
  <c r="F3672" i="2"/>
  <c r="E3672" i="2"/>
  <c r="D3672" i="2"/>
  <c r="H3533" i="2"/>
  <c r="G3533" i="2"/>
  <c r="F3533" i="2"/>
  <c r="E3533" i="2"/>
  <c r="D3533" i="2"/>
  <c r="H568" i="2"/>
  <c r="G568" i="2"/>
  <c r="F568" i="2"/>
  <c r="E568" i="2"/>
  <c r="D568" i="2"/>
  <c r="H756" i="2"/>
  <c r="G756" i="2"/>
  <c r="F756" i="2"/>
  <c r="E756" i="2"/>
  <c r="D756" i="2"/>
  <c r="H755" i="2"/>
  <c r="G755" i="2"/>
  <c r="F755" i="2"/>
  <c r="E755" i="2"/>
  <c r="D755" i="2"/>
  <c r="H2162" i="2"/>
  <c r="G2162" i="2"/>
  <c r="F2162" i="2"/>
  <c r="E2162" i="2"/>
  <c r="D2162" i="2"/>
  <c r="H2161" i="2"/>
  <c r="G2161" i="2"/>
  <c r="F2161" i="2"/>
  <c r="E2161" i="2"/>
  <c r="D2161" i="2"/>
  <c r="H3512" i="2"/>
  <c r="G3512" i="2"/>
  <c r="F3512" i="2"/>
  <c r="E3512" i="2"/>
  <c r="D3512" i="2"/>
  <c r="H1098" i="2"/>
  <c r="G1098" i="2"/>
  <c r="F1098" i="2"/>
  <c r="E1098" i="2"/>
  <c r="D1098" i="2"/>
  <c r="H1097" i="2"/>
  <c r="G1097" i="2"/>
  <c r="F1097" i="2"/>
  <c r="E1097" i="2"/>
  <c r="D1097" i="2"/>
  <c r="H1096" i="2"/>
  <c r="G1096" i="2"/>
  <c r="F1096" i="2"/>
  <c r="E1096" i="2"/>
  <c r="D1096" i="2"/>
  <c r="H371" i="2"/>
  <c r="G371" i="2"/>
  <c r="F371" i="2"/>
  <c r="E371" i="2"/>
  <c r="D371" i="2"/>
  <c r="H370" i="2"/>
  <c r="G370" i="2"/>
  <c r="F370" i="2"/>
  <c r="E370" i="2"/>
  <c r="D370" i="2"/>
  <c r="H857" i="2"/>
  <c r="G857" i="2"/>
  <c r="F857" i="2"/>
  <c r="E857" i="2"/>
  <c r="D857" i="2"/>
  <c r="H856" i="2"/>
  <c r="G856" i="2"/>
  <c r="F856" i="2"/>
  <c r="E856" i="2"/>
  <c r="D856" i="2"/>
  <c r="H855" i="2"/>
  <c r="G855" i="2"/>
  <c r="F855" i="2"/>
  <c r="E855" i="2"/>
  <c r="D855" i="2"/>
  <c r="H2750" i="2"/>
  <c r="G2750" i="2"/>
  <c r="F2750" i="2"/>
  <c r="E2750" i="2"/>
  <c r="D2750" i="2"/>
  <c r="H2304" i="2"/>
  <c r="G2304" i="2"/>
  <c r="F2304" i="2"/>
  <c r="E2304" i="2"/>
  <c r="D2304" i="2"/>
  <c r="H2303" i="2"/>
  <c r="G2303" i="2"/>
  <c r="F2303" i="2"/>
  <c r="E2303" i="2"/>
  <c r="D2303" i="2"/>
  <c r="H2302" i="2"/>
  <c r="G2302" i="2"/>
  <c r="F2302" i="2"/>
  <c r="E2302" i="2"/>
  <c r="D2302" i="2"/>
  <c r="H2723" i="2"/>
  <c r="G2723" i="2"/>
  <c r="F2723" i="2"/>
  <c r="E2723" i="2"/>
  <c r="D2723" i="2"/>
  <c r="H2722" i="2"/>
  <c r="G2722" i="2"/>
  <c r="F2722" i="2"/>
  <c r="E2722" i="2"/>
  <c r="D2722" i="2"/>
  <c r="H2721" i="2"/>
  <c r="G2721" i="2"/>
  <c r="F2721" i="2"/>
  <c r="E2721" i="2"/>
  <c r="D2721" i="2"/>
  <c r="H3389" i="2"/>
  <c r="G3389" i="2"/>
  <c r="F3389" i="2"/>
  <c r="E3389" i="2"/>
  <c r="D3389" i="2"/>
  <c r="H3388" i="2"/>
  <c r="G3388" i="2"/>
  <c r="F3388" i="2"/>
  <c r="E3388" i="2"/>
  <c r="D3388" i="2"/>
  <c r="H2667" i="2"/>
  <c r="G2667" i="2"/>
  <c r="F2667" i="2"/>
  <c r="E2667" i="2"/>
  <c r="D2667" i="2"/>
  <c r="H2666" i="2"/>
  <c r="G2666" i="2"/>
  <c r="F2666" i="2"/>
  <c r="E2666" i="2"/>
  <c r="D2666" i="2"/>
  <c r="H754" i="2"/>
  <c r="G754" i="2"/>
  <c r="F754" i="2"/>
  <c r="E754" i="2"/>
  <c r="D754" i="2"/>
  <c r="H753" i="2"/>
  <c r="G753" i="2"/>
  <c r="F753" i="2"/>
  <c r="E753" i="2"/>
  <c r="D753" i="2"/>
  <c r="H752" i="2"/>
  <c r="G752" i="2"/>
  <c r="F752" i="2"/>
  <c r="E752" i="2"/>
  <c r="D752" i="2"/>
  <c r="H1910" i="2"/>
  <c r="G1910" i="2"/>
  <c r="F1910" i="2"/>
  <c r="E1910" i="2"/>
  <c r="D1910" i="2"/>
  <c r="H1909" i="2"/>
  <c r="G1909" i="2"/>
  <c r="F1909" i="2"/>
  <c r="E1909" i="2"/>
  <c r="D1909" i="2"/>
  <c r="H1908" i="2"/>
  <c r="G1908" i="2"/>
  <c r="F1908" i="2"/>
  <c r="E1908" i="2"/>
  <c r="D1908" i="2"/>
  <c r="H1907" i="2"/>
  <c r="G1907" i="2"/>
  <c r="F1907" i="2"/>
  <c r="E1907" i="2"/>
  <c r="D1907" i="2"/>
  <c r="H351" i="2"/>
  <c r="G351" i="2"/>
  <c r="F351" i="2"/>
  <c r="E351" i="2"/>
  <c r="D351" i="2"/>
  <c r="H350" i="2"/>
  <c r="G350" i="2"/>
  <c r="F350" i="2"/>
  <c r="E350" i="2"/>
  <c r="D350" i="2"/>
  <c r="H349" i="2"/>
  <c r="G349" i="2"/>
  <c r="F349" i="2"/>
  <c r="E349" i="2"/>
  <c r="D349" i="2"/>
  <c r="H3004" i="2"/>
  <c r="G3004" i="2"/>
  <c r="F3004" i="2"/>
  <c r="E3004" i="2"/>
  <c r="D3004" i="2"/>
  <c r="H3003" i="2"/>
  <c r="G3003" i="2"/>
  <c r="F3003" i="2"/>
  <c r="E3003" i="2"/>
  <c r="D3003" i="2"/>
  <c r="H3332" i="2"/>
  <c r="G3332" i="2"/>
  <c r="F3332" i="2"/>
  <c r="E3332" i="2"/>
  <c r="D3332" i="2"/>
  <c r="H3331" i="2"/>
  <c r="G3331" i="2"/>
  <c r="F3331" i="2"/>
  <c r="E3331" i="2"/>
  <c r="D3331" i="2"/>
  <c r="H440" i="2"/>
  <c r="G440" i="2"/>
  <c r="F440" i="2"/>
  <c r="E440" i="2"/>
  <c r="D440" i="2"/>
  <c r="H2445" i="2"/>
  <c r="G2445" i="2"/>
  <c r="F2445" i="2"/>
  <c r="E2445" i="2"/>
  <c r="D2445" i="2"/>
  <c r="H2444" i="2"/>
  <c r="G2444" i="2"/>
  <c r="F2444" i="2"/>
  <c r="E2444" i="2"/>
  <c r="D2444" i="2"/>
  <c r="H86" i="2"/>
  <c r="G86" i="2"/>
  <c r="F86" i="2"/>
  <c r="E86" i="2"/>
  <c r="D86" i="2"/>
  <c r="H2854" i="2"/>
  <c r="G2854" i="2"/>
  <c r="F2854" i="2"/>
  <c r="E2854" i="2"/>
  <c r="D2854" i="2"/>
  <c r="H2191" i="2"/>
  <c r="G2191" i="2"/>
  <c r="F2191" i="2"/>
  <c r="E2191" i="2"/>
  <c r="D2191" i="2"/>
  <c r="H1433" i="2"/>
  <c r="G1433" i="2"/>
  <c r="F1433" i="2"/>
  <c r="E1433" i="2"/>
  <c r="D1433" i="2"/>
  <c r="H1432" i="2"/>
  <c r="G1432" i="2"/>
  <c r="F1432" i="2"/>
  <c r="E1432" i="2"/>
  <c r="D1432" i="2"/>
  <c r="H1206" i="2"/>
  <c r="G1206" i="2"/>
  <c r="F1206" i="2"/>
  <c r="E1206" i="2"/>
  <c r="D1206" i="2"/>
  <c r="H1205" i="2"/>
  <c r="G1205" i="2"/>
  <c r="F1205" i="2"/>
  <c r="E1205" i="2"/>
  <c r="D1205" i="2"/>
  <c r="H2504" i="2"/>
  <c r="G2504" i="2"/>
  <c r="F2504" i="2"/>
  <c r="E2504" i="2"/>
  <c r="D2504" i="2"/>
  <c r="H2503" i="2"/>
  <c r="G2503" i="2"/>
  <c r="F2503" i="2"/>
  <c r="E2503" i="2"/>
  <c r="D2503" i="2"/>
  <c r="H3534" i="2"/>
  <c r="G3534" i="2"/>
  <c r="F3534" i="2"/>
  <c r="E3534" i="2"/>
  <c r="D3534" i="2"/>
  <c r="H1192" i="2"/>
  <c r="G1192" i="2"/>
  <c r="F1192" i="2"/>
  <c r="E1192" i="2"/>
  <c r="D1192" i="2"/>
  <c r="H1191" i="2"/>
  <c r="G1191" i="2"/>
  <c r="F1191" i="2"/>
  <c r="E1191" i="2"/>
  <c r="D1191" i="2"/>
  <c r="H1190" i="2"/>
  <c r="G1190" i="2"/>
  <c r="F1190" i="2"/>
  <c r="E1190" i="2"/>
  <c r="D1190" i="2"/>
  <c r="H3563" i="2"/>
  <c r="G3563" i="2"/>
  <c r="F3563" i="2"/>
  <c r="E3563" i="2"/>
  <c r="D3563" i="2"/>
  <c r="H3562" i="2"/>
  <c r="G3562" i="2"/>
  <c r="F3562" i="2"/>
  <c r="E3562" i="2"/>
  <c r="D3562" i="2"/>
  <c r="H3432" i="2"/>
  <c r="G3432" i="2"/>
  <c r="F3432" i="2"/>
  <c r="E3432" i="2"/>
  <c r="D3432" i="2"/>
  <c r="H1592" i="2"/>
  <c r="G1592" i="2"/>
  <c r="F1592" i="2"/>
  <c r="E1592" i="2"/>
  <c r="D1592" i="2"/>
  <c r="H1591" i="2"/>
  <c r="G1591" i="2"/>
  <c r="F1591" i="2"/>
  <c r="E1591" i="2"/>
  <c r="D1591" i="2"/>
  <c r="H1590" i="2"/>
  <c r="G1590" i="2"/>
  <c r="F1590" i="2"/>
  <c r="E1590" i="2"/>
  <c r="D1590" i="2"/>
  <c r="H3684" i="2"/>
  <c r="G3684" i="2"/>
  <c r="F3684" i="2"/>
  <c r="E3684" i="2"/>
  <c r="D3684" i="2"/>
  <c r="H2262" i="2"/>
  <c r="G2262" i="2"/>
  <c r="F2262" i="2"/>
  <c r="E2262" i="2"/>
  <c r="D2262" i="2"/>
  <c r="H2261" i="2"/>
  <c r="G2261" i="2"/>
  <c r="F2261" i="2"/>
  <c r="E2261" i="2"/>
  <c r="D2261" i="2"/>
  <c r="H2968" i="2"/>
  <c r="G2968" i="2"/>
  <c r="F2968" i="2"/>
  <c r="E2968" i="2"/>
  <c r="D2968" i="2"/>
  <c r="H3801" i="2"/>
  <c r="G3801" i="2"/>
  <c r="F3801" i="2"/>
  <c r="E3801" i="2"/>
  <c r="D3801" i="2"/>
  <c r="H3800" i="2"/>
  <c r="G3800" i="2"/>
  <c r="F3800" i="2"/>
  <c r="E3800" i="2"/>
  <c r="D3800" i="2"/>
  <c r="H3199" i="2"/>
  <c r="G3199" i="2"/>
  <c r="F3199" i="2"/>
  <c r="E3199" i="2"/>
  <c r="D3199" i="2"/>
  <c r="H3198" i="2"/>
  <c r="G3198" i="2"/>
  <c r="F3198" i="2"/>
  <c r="E3198" i="2"/>
  <c r="D3198" i="2"/>
  <c r="H2531" i="2"/>
  <c r="G2531" i="2"/>
  <c r="F2531" i="2"/>
  <c r="E2531" i="2"/>
  <c r="D2531" i="2"/>
  <c r="H3561" i="2"/>
  <c r="G3561" i="2"/>
  <c r="F3561" i="2"/>
  <c r="E3561" i="2"/>
  <c r="D3561" i="2"/>
  <c r="H98" i="2"/>
  <c r="G98" i="2"/>
  <c r="F98" i="2"/>
  <c r="E98" i="2"/>
  <c r="D98" i="2"/>
  <c r="H2301" i="2"/>
  <c r="G2301" i="2"/>
  <c r="F2301" i="2"/>
  <c r="E2301" i="2"/>
  <c r="D2301" i="2"/>
  <c r="H2708" i="2"/>
  <c r="G2708" i="2"/>
  <c r="F2708" i="2"/>
  <c r="E2708" i="2"/>
  <c r="D2708" i="2"/>
  <c r="H3152" i="2"/>
  <c r="G3152" i="2"/>
  <c r="F3152" i="2"/>
  <c r="E3152" i="2"/>
  <c r="D3152" i="2"/>
  <c r="H3517" i="2"/>
  <c r="G3517" i="2"/>
  <c r="F3517" i="2"/>
  <c r="E3517" i="2"/>
  <c r="D3517" i="2"/>
  <c r="H2163" i="2"/>
  <c r="G2163" i="2"/>
  <c r="F2163" i="2"/>
  <c r="E2163" i="2"/>
  <c r="D2163" i="2"/>
  <c r="H591" i="2"/>
  <c r="G591" i="2"/>
  <c r="F591" i="2"/>
  <c r="E591" i="2"/>
  <c r="D591" i="2"/>
  <c r="H2859" i="2"/>
  <c r="G2859" i="2"/>
  <c r="F2859" i="2"/>
  <c r="E2859" i="2"/>
  <c r="D2859" i="2"/>
  <c r="H2858" i="2"/>
  <c r="G2858" i="2"/>
  <c r="F2858" i="2"/>
  <c r="E2858" i="2"/>
  <c r="D2858" i="2"/>
  <c r="H3194" i="2"/>
  <c r="G3194" i="2"/>
  <c r="F3194" i="2"/>
  <c r="E3194" i="2"/>
  <c r="D3194" i="2"/>
  <c r="H3193" i="2"/>
  <c r="G3193" i="2"/>
  <c r="F3193" i="2"/>
  <c r="E3193" i="2"/>
  <c r="D3193" i="2"/>
  <c r="H730" i="2"/>
  <c r="G730" i="2"/>
  <c r="F730" i="2"/>
  <c r="E730" i="2"/>
  <c r="D730" i="2"/>
  <c r="H663" i="2"/>
  <c r="G663" i="2"/>
  <c r="F663" i="2"/>
  <c r="E663" i="2"/>
  <c r="D663" i="2"/>
  <c r="H662" i="2"/>
  <c r="G662" i="2"/>
  <c r="F662" i="2"/>
  <c r="E662" i="2"/>
  <c r="D662" i="2"/>
  <c r="H2244" i="2"/>
  <c r="G2244" i="2"/>
  <c r="F2244" i="2"/>
  <c r="E2244" i="2"/>
  <c r="D2244" i="2"/>
  <c r="H2098" i="2"/>
  <c r="G2098" i="2"/>
  <c r="F2098" i="2"/>
  <c r="E2098" i="2"/>
  <c r="D2098" i="2"/>
  <c r="H2097" i="2"/>
  <c r="G2097" i="2"/>
  <c r="F2097" i="2"/>
  <c r="E2097" i="2"/>
  <c r="D2097" i="2"/>
  <c r="H1953" i="2"/>
  <c r="G1953" i="2"/>
  <c r="F1953" i="2"/>
  <c r="E1953" i="2"/>
  <c r="D1953" i="2"/>
  <c r="H1952" i="2"/>
  <c r="G1952" i="2"/>
  <c r="F1952" i="2"/>
  <c r="E1952" i="2"/>
  <c r="D1952" i="2"/>
  <c r="H1951" i="2"/>
  <c r="G1951" i="2"/>
  <c r="F1951" i="2"/>
  <c r="E1951" i="2"/>
  <c r="D1951" i="2"/>
  <c r="H1950" i="2"/>
  <c r="G1950" i="2"/>
  <c r="F1950" i="2"/>
  <c r="E1950" i="2"/>
  <c r="D1950" i="2"/>
  <c r="H1949" i="2"/>
  <c r="G1949" i="2"/>
  <c r="F1949" i="2"/>
  <c r="E1949" i="2"/>
  <c r="D1949" i="2"/>
  <c r="H3147" i="2"/>
  <c r="G3147" i="2"/>
  <c r="F3147" i="2"/>
  <c r="E3147" i="2"/>
  <c r="D3147" i="2"/>
  <c r="H3146" i="2"/>
  <c r="G3146" i="2"/>
  <c r="F3146" i="2"/>
  <c r="E3146" i="2"/>
  <c r="D3146" i="2"/>
  <c r="H3145" i="2"/>
  <c r="G3145" i="2"/>
  <c r="F3145" i="2"/>
  <c r="E3145" i="2"/>
  <c r="D3145" i="2"/>
  <c r="H3201" i="2"/>
  <c r="G3201" i="2"/>
  <c r="F3201" i="2"/>
  <c r="E3201" i="2"/>
  <c r="D3201" i="2"/>
  <c r="H3200" i="2"/>
  <c r="G3200" i="2"/>
  <c r="F3200" i="2"/>
  <c r="E3200" i="2"/>
  <c r="D3200" i="2"/>
  <c r="H3195" i="2"/>
  <c r="G3195" i="2"/>
  <c r="F3195" i="2"/>
  <c r="E3195" i="2"/>
  <c r="D3195" i="2"/>
  <c r="H3177" i="2"/>
  <c r="G3177" i="2"/>
  <c r="F3177" i="2"/>
  <c r="E3177" i="2"/>
  <c r="D3177" i="2"/>
  <c r="H385" i="2"/>
  <c r="G385" i="2"/>
  <c r="F385" i="2"/>
  <c r="E385" i="2"/>
  <c r="D385" i="2"/>
  <c r="H1547" i="2"/>
  <c r="G1547" i="2"/>
  <c r="F1547" i="2"/>
  <c r="E1547" i="2"/>
  <c r="D1547" i="2"/>
  <c r="H778" i="2"/>
  <c r="G778" i="2"/>
  <c r="F778" i="2"/>
  <c r="E778" i="2"/>
  <c r="D778" i="2"/>
  <c r="H777" i="2"/>
  <c r="G777" i="2"/>
  <c r="F777" i="2"/>
  <c r="E777" i="2"/>
  <c r="D777" i="2"/>
  <c r="H776" i="2"/>
  <c r="G776" i="2"/>
  <c r="F776" i="2"/>
  <c r="E776" i="2"/>
  <c r="D776" i="2"/>
  <c r="H775" i="2"/>
  <c r="G775" i="2"/>
  <c r="F775" i="2"/>
  <c r="E775" i="2"/>
  <c r="D775" i="2"/>
  <c r="H774" i="2"/>
  <c r="G774" i="2"/>
  <c r="F774" i="2"/>
  <c r="E774" i="2"/>
  <c r="D774" i="2"/>
  <c r="H773" i="2"/>
  <c r="G773" i="2"/>
  <c r="F773" i="2"/>
  <c r="E773" i="2"/>
  <c r="D773" i="2"/>
  <c r="H772" i="2"/>
  <c r="G772" i="2"/>
  <c r="F772" i="2"/>
  <c r="E772" i="2"/>
  <c r="D772" i="2"/>
  <c r="H3231" i="2"/>
  <c r="G3231" i="2"/>
  <c r="F3231" i="2"/>
  <c r="E3231" i="2"/>
  <c r="D3231" i="2"/>
  <c r="H2031" i="2"/>
  <c r="G2031" i="2"/>
  <c r="F2031" i="2"/>
  <c r="E2031" i="2"/>
  <c r="D2031" i="2"/>
  <c r="H2387" i="2"/>
  <c r="G2387" i="2"/>
  <c r="F2387" i="2"/>
  <c r="E2387" i="2"/>
  <c r="D2387" i="2"/>
  <c r="H2386" i="2"/>
  <c r="G2386" i="2"/>
  <c r="F2386" i="2"/>
  <c r="E2386" i="2"/>
  <c r="D2386" i="2"/>
  <c r="H2385" i="2"/>
  <c r="G2385" i="2"/>
  <c r="F2385" i="2"/>
  <c r="E2385" i="2"/>
  <c r="D2385" i="2"/>
  <c r="H2384" i="2"/>
  <c r="G2384" i="2"/>
  <c r="F2384" i="2"/>
  <c r="E2384" i="2"/>
  <c r="D2384" i="2"/>
  <c r="H3317" i="2"/>
  <c r="G3317" i="2"/>
  <c r="F3317" i="2"/>
  <c r="E3317" i="2"/>
  <c r="D3317" i="2"/>
  <c r="H2717" i="2"/>
  <c r="G2717" i="2"/>
  <c r="F2717" i="2"/>
  <c r="E2717" i="2"/>
  <c r="D2717" i="2"/>
  <c r="H3414" i="2"/>
  <c r="G3414" i="2"/>
  <c r="F3414" i="2"/>
  <c r="E3414" i="2"/>
  <c r="D3414" i="2"/>
  <c r="H2963" i="2"/>
  <c r="G2963" i="2"/>
  <c r="F2963" i="2"/>
  <c r="E2963" i="2"/>
  <c r="D2963" i="2"/>
  <c r="H567" i="2"/>
  <c r="G567" i="2"/>
  <c r="F567" i="2"/>
  <c r="E567" i="2"/>
  <c r="D567" i="2"/>
  <c r="H566" i="2"/>
  <c r="G566" i="2"/>
  <c r="F566" i="2"/>
  <c r="E566" i="2"/>
  <c r="D566" i="2"/>
  <c r="H1076" i="2"/>
  <c r="G1076" i="2"/>
  <c r="F1076" i="2"/>
  <c r="E1076" i="2"/>
  <c r="D1076" i="2"/>
  <c r="H226" i="2"/>
  <c r="G226" i="2"/>
  <c r="F226" i="2"/>
  <c r="E226" i="2"/>
  <c r="D226" i="2"/>
  <c r="H225" i="2"/>
  <c r="G225" i="2"/>
  <c r="F225" i="2"/>
  <c r="E225" i="2"/>
  <c r="D225" i="2"/>
  <c r="H224" i="2"/>
  <c r="G224" i="2"/>
  <c r="F224" i="2"/>
  <c r="E224" i="2"/>
  <c r="D224" i="2"/>
  <c r="H2823" i="2"/>
  <c r="G2823" i="2"/>
  <c r="F2823" i="2"/>
  <c r="E2823" i="2"/>
  <c r="D2823" i="2"/>
  <c r="H712" i="2"/>
  <c r="G712" i="2"/>
  <c r="F712" i="2"/>
  <c r="E712" i="2"/>
  <c r="D712" i="2"/>
  <c r="H3151" i="2"/>
  <c r="G3151" i="2"/>
  <c r="F3151" i="2"/>
  <c r="E3151" i="2"/>
  <c r="D3151" i="2"/>
  <c r="H3150" i="2"/>
  <c r="G3150" i="2"/>
  <c r="F3150" i="2"/>
  <c r="E3150" i="2"/>
  <c r="D3150" i="2"/>
  <c r="H3149" i="2"/>
  <c r="G3149" i="2"/>
  <c r="F3149" i="2"/>
  <c r="E3149" i="2"/>
  <c r="D3149" i="2"/>
  <c r="H3148" i="2"/>
  <c r="G3148" i="2"/>
  <c r="F3148" i="2"/>
  <c r="E3148" i="2"/>
  <c r="D3148" i="2"/>
  <c r="H223" i="2"/>
  <c r="G223" i="2"/>
  <c r="F223" i="2"/>
  <c r="E223" i="2"/>
  <c r="D223" i="2"/>
  <c r="H222" i="2"/>
  <c r="G222" i="2"/>
  <c r="F222" i="2"/>
  <c r="E222" i="2"/>
  <c r="D222" i="2"/>
  <c r="H221" i="2"/>
  <c r="G221" i="2"/>
  <c r="F221" i="2"/>
  <c r="E221" i="2"/>
  <c r="D221" i="2"/>
  <c r="H220" i="2"/>
  <c r="G220" i="2"/>
  <c r="F220" i="2"/>
  <c r="E220" i="2"/>
  <c r="D220" i="2"/>
  <c r="H3886" i="2"/>
  <c r="G3886" i="2"/>
  <c r="F3886" i="2"/>
  <c r="E3886" i="2"/>
  <c r="D3886" i="2"/>
  <c r="H981" i="2"/>
  <c r="G981" i="2"/>
  <c r="F981" i="2"/>
  <c r="E981" i="2"/>
  <c r="D981" i="2"/>
  <c r="H700" i="2"/>
  <c r="G700" i="2"/>
  <c r="F700" i="2"/>
  <c r="E700" i="2"/>
  <c r="D700" i="2"/>
  <c r="H3536" i="2"/>
  <c r="G3536" i="2"/>
  <c r="F3536" i="2"/>
  <c r="E3536" i="2"/>
  <c r="D3536" i="2"/>
  <c r="H3535" i="2"/>
  <c r="G3535" i="2"/>
  <c r="F3535" i="2"/>
  <c r="E3535" i="2"/>
  <c r="D3535" i="2"/>
  <c r="H166" i="2"/>
  <c r="G166" i="2"/>
  <c r="F166" i="2"/>
  <c r="E166" i="2"/>
  <c r="D166" i="2"/>
  <c r="H165" i="2"/>
  <c r="G165" i="2"/>
  <c r="F165" i="2"/>
  <c r="E165" i="2"/>
  <c r="D165" i="2"/>
  <c r="H989" i="2"/>
  <c r="G989" i="2"/>
  <c r="F989" i="2"/>
  <c r="E989" i="2"/>
  <c r="D989" i="2"/>
  <c r="H964" i="2"/>
  <c r="G964" i="2"/>
  <c r="F964" i="2"/>
  <c r="E964" i="2"/>
  <c r="D964" i="2"/>
  <c r="H963" i="2"/>
  <c r="G963" i="2"/>
  <c r="F963" i="2"/>
  <c r="E963" i="2"/>
  <c r="D963" i="2"/>
  <c r="H962" i="2"/>
  <c r="G962" i="2"/>
  <c r="F962" i="2"/>
  <c r="E962" i="2"/>
  <c r="D962" i="2"/>
  <c r="H961" i="2"/>
  <c r="G961" i="2"/>
  <c r="F961" i="2"/>
  <c r="E961" i="2"/>
  <c r="D961" i="2"/>
  <c r="H2790" i="2"/>
  <c r="G2790" i="2"/>
  <c r="F2790" i="2"/>
  <c r="E2790" i="2"/>
  <c r="D2790" i="2"/>
  <c r="H2237" i="2"/>
  <c r="G2237" i="2"/>
  <c r="F2237" i="2"/>
  <c r="E2237" i="2"/>
  <c r="D2237" i="2"/>
  <c r="H1982" i="2"/>
  <c r="G1982" i="2"/>
  <c r="F1982" i="2"/>
  <c r="E1982" i="2"/>
  <c r="D1982" i="2"/>
  <c r="H2382" i="2"/>
  <c r="G2382" i="2"/>
  <c r="F2382" i="2"/>
  <c r="E2382" i="2"/>
  <c r="D2382" i="2"/>
  <c r="H275" i="2"/>
  <c r="G275" i="2"/>
  <c r="F275" i="2"/>
  <c r="E275" i="2"/>
  <c r="D275" i="2"/>
  <c r="H274" i="2"/>
  <c r="G274" i="2"/>
  <c r="F274" i="2"/>
  <c r="E274" i="2"/>
  <c r="D274" i="2"/>
  <c r="H341" i="2"/>
  <c r="G341" i="2"/>
  <c r="F341" i="2"/>
  <c r="E341" i="2"/>
  <c r="D341" i="2"/>
  <c r="H340" i="2"/>
  <c r="G340" i="2"/>
  <c r="F340" i="2"/>
  <c r="E340" i="2"/>
  <c r="D340" i="2"/>
  <c r="H180" i="2"/>
  <c r="G180" i="2"/>
  <c r="F180" i="2"/>
  <c r="E180" i="2"/>
  <c r="D180" i="2"/>
  <c r="H179" i="2"/>
  <c r="G179" i="2"/>
  <c r="F179" i="2"/>
  <c r="E179" i="2"/>
  <c r="D179" i="2"/>
  <c r="H178" i="2"/>
  <c r="G178" i="2"/>
  <c r="F178" i="2"/>
  <c r="E178" i="2"/>
  <c r="D178" i="2"/>
  <c r="H177" i="2"/>
  <c r="G177" i="2"/>
  <c r="F177" i="2"/>
  <c r="E177" i="2"/>
  <c r="D177" i="2"/>
  <c r="H334" i="2"/>
  <c r="G334" i="2"/>
  <c r="F334" i="2"/>
  <c r="E334" i="2"/>
  <c r="D334" i="2"/>
  <c r="H333" i="2"/>
  <c r="G333" i="2"/>
  <c r="F333" i="2"/>
  <c r="E333" i="2"/>
  <c r="D333" i="2"/>
  <c r="H332" i="2"/>
  <c r="G332" i="2"/>
  <c r="F332" i="2"/>
  <c r="E332" i="2"/>
  <c r="D332" i="2"/>
  <c r="H1297" i="2"/>
  <c r="G1297" i="2"/>
  <c r="F1297" i="2"/>
  <c r="E1297" i="2"/>
  <c r="D1297" i="2"/>
  <c r="H1104" i="2"/>
  <c r="G1104" i="2"/>
  <c r="F1104" i="2"/>
  <c r="E1104" i="2"/>
  <c r="D1104" i="2"/>
  <c r="H1103" i="2"/>
  <c r="G1103" i="2"/>
  <c r="F1103" i="2"/>
  <c r="E1103" i="2"/>
  <c r="D1103" i="2"/>
  <c r="H3430" i="2"/>
  <c r="G3430" i="2"/>
  <c r="F3430" i="2"/>
  <c r="E3430" i="2"/>
  <c r="D3430" i="2"/>
  <c r="H3429" i="2"/>
  <c r="G3429" i="2"/>
  <c r="F3429" i="2"/>
  <c r="E3429" i="2"/>
  <c r="D3429" i="2"/>
  <c r="H3428" i="2"/>
  <c r="G3428" i="2"/>
  <c r="F3428" i="2"/>
  <c r="E3428" i="2"/>
  <c r="D3428" i="2"/>
  <c r="H3427" i="2"/>
  <c r="G3427" i="2"/>
  <c r="F3427" i="2"/>
  <c r="E3427" i="2"/>
  <c r="D3427" i="2"/>
  <c r="H3426" i="2"/>
  <c r="G3426" i="2"/>
  <c r="F3426" i="2"/>
  <c r="E3426" i="2"/>
  <c r="D3426" i="2"/>
  <c r="H3425" i="2"/>
  <c r="G3425" i="2"/>
  <c r="F3425" i="2"/>
  <c r="E3425" i="2"/>
  <c r="D3425" i="2"/>
  <c r="H1940" i="2"/>
  <c r="G1940" i="2"/>
  <c r="F1940" i="2"/>
  <c r="E1940" i="2"/>
  <c r="D1940" i="2"/>
  <c r="H1939" i="2"/>
  <c r="G1939" i="2"/>
  <c r="F1939" i="2"/>
  <c r="E1939" i="2"/>
  <c r="D1939" i="2"/>
  <c r="H2880" i="2"/>
  <c r="G2880" i="2"/>
  <c r="F2880" i="2"/>
  <c r="E2880" i="2"/>
  <c r="D2880" i="2"/>
  <c r="H2879" i="2"/>
  <c r="G2879" i="2"/>
  <c r="F2879" i="2"/>
  <c r="E2879" i="2"/>
  <c r="D2879" i="2"/>
  <c r="H2878" i="2"/>
  <c r="G2878" i="2"/>
  <c r="F2878" i="2"/>
  <c r="E2878" i="2"/>
  <c r="D2878" i="2"/>
  <c r="H939" i="2"/>
  <c r="G939" i="2"/>
  <c r="F939" i="2"/>
  <c r="E939" i="2"/>
  <c r="D939" i="2"/>
  <c r="H458" i="2"/>
  <c r="G458" i="2"/>
  <c r="F458" i="2"/>
  <c r="E458" i="2"/>
  <c r="D458" i="2"/>
  <c r="H457" i="2"/>
  <c r="G457" i="2"/>
  <c r="F457" i="2"/>
  <c r="E457" i="2"/>
  <c r="D457" i="2"/>
  <c r="H456" i="2"/>
  <c r="G456" i="2"/>
  <c r="F456" i="2"/>
  <c r="E456" i="2"/>
  <c r="D456" i="2"/>
  <c r="H1217" i="2"/>
  <c r="G1217" i="2"/>
  <c r="F1217" i="2"/>
  <c r="E1217" i="2"/>
  <c r="D1217" i="2"/>
  <c r="H1216" i="2"/>
  <c r="G1216" i="2"/>
  <c r="F1216" i="2"/>
  <c r="E1216" i="2"/>
  <c r="D1216" i="2"/>
  <c r="H2868" i="2"/>
  <c r="G2868" i="2"/>
  <c r="F2868" i="2"/>
  <c r="E2868" i="2"/>
  <c r="D2868" i="2"/>
  <c r="H2867" i="2"/>
  <c r="G2867" i="2"/>
  <c r="F2867" i="2"/>
  <c r="E2867" i="2"/>
  <c r="D2867" i="2"/>
  <c r="H2866" i="2"/>
  <c r="G2866" i="2"/>
  <c r="F2866" i="2"/>
  <c r="E2866" i="2"/>
  <c r="D2866" i="2"/>
  <c r="H2865" i="2"/>
  <c r="G2865" i="2"/>
  <c r="F2865" i="2"/>
  <c r="E2865" i="2"/>
  <c r="D2865" i="2"/>
  <c r="H2864" i="2"/>
  <c r="G2864" i="2"/>
  <c r="F2864" i="2"/>
  <c r="E2864" i="2"/>
  <c r="D2864" i="2"/>
  <c r="H2863" i="2"/>
  <c r="G2863" i="2"/>
  <c r="F2863" i="2"/>
  <c r="E2863" i="2"/>
  <c r="D2863" i="2"/>
  <c r="H1346" i="2"/>
  <c r="G1346" i="2"/>
  <c r="F1346" i="2"/>
  <c r="E1346" i="2"/>
  <c r="D1346" i="2"/>
  <c r="H1345" i="2"/>
  <c r="G1345" i="2"/>
  <c r="F1345" i="2"/>
  <c r="E1345" i="2"/>
  <c r="D1345" i="2"/>
  <c r="H1344" i="2"/>
  <c r="G1344" i="2"/>
  <c r="F1344" i="2"/>
  <c r="E1344" i="2"/>
  <c r="D1344" i="2"/>
  <c r="H1343" i="2"/>
  <c r="G1343" i="2"/>
  <c r="F1343" i="2"/>
  <c r="E1343" i="2"/>
  <c r="D1343" i="2"/>
  <c r="H1342" i="2"/>
  <c r="G1342" i="2"/>
  <c r="F1342" i="2"/>
  <c r="E1342" i="2"/>
  <c r="D1342" i="2"/>
  <c r="H714" i="2"/>
  <c r="G714" i="2"/>
  <c r="F714" i="2"/>
  <c r="E714" i="2"/>
  <c r="D714" i="2"/>
  <c r="H713" i="2"/>
  <c r="G713" i="2"/>
  <c r="F713" i="2"/>
  <c r="E713" i="2"/>
  <c r="D713" i="2"/>
  <c r="H449" i="2"/>
  <c r="G449" i="2"/>
  <c r="F449" i="2"/>
  <c r="E449" i="2"/>
  <c r="D449" i="2"/>
  <c r="H1997" i="2"/>
  <c r="G1997" i="2"/>
  <c r="F1997" i="2"/>
  <c r="E1997" i="2"/>
  <c r="D1997" i="2"/>
  <c r="H1996" i="2"/>
  <c r="G1996" i="2"/>
  <c r="F1996" i="2"/>
  <c r="E1996" i="2"/>
  <c r="D1996" i="2"/>
  <c r="H1995" i="2"/>
  <c r="G1995" i="2"/>
  <c r="F1995" i="2"/>
  <c r="E1995" i="2"/>
  <c r="D1995" i="2"/>
  <c r="H1994" i="2"/>
  <c r="G1994" i="2"/>
  <c r="F1994" i="2"/>
  <c r="E1994" i="2"/>
  <c r="D1994" i="2"/>
  <c r="H1993" i="2"/>
  <c r="G1993" i="2"/>
  <c r="F1993" i="2"/>
  <c r="E1993" i="2"/>
  <c r="D1993" i="2"/>
  <c r="H589" i="2"/>
  <c r="G589" i="2"/>
  <c r="F589" i="2"/>
  <c r="E589" i="2"/>
  <c r="D589" i="2"/>
  <c r="H588" i="2"/>
  <c r="G588" i="2"/>
  <c r="F588" i="2"/>
  <c r="E588" i="2"/>
  <c r="D588" i="2"/>
  <c r="H587" i="2"/>
  <c r="G587" i="2"/>
  <c r="F587" i="2"/>
  <c r="E587" i="2"/>
  <c r="D587" i="2"/>
  <c r="H586" i="2"/>
  <c r="G586" i="2"/>
  <c r="F586" i="2"/>
  <c r="E586" i="2"/>
  <c r="D586" i="2"/>
  <c r="H585" i="2"/>
  <c r="G585" i="2"/>
  <c r="F585" i="2"/>
  <c r="E585" i="2"/>
  <c r="D585" i="2"/>
  <c r="H584" i="2"/>
  <c r="G584" i="2"/>
  <c r="F584" i="2"/>
  <c r="E584" i="2"/>
  <c r="D584" i="2"/>
  <c r="H2197" i="2"/>
  <c r="G2197" i="2"/>
  <c r="F2197" i="2"/>
  <c r="E2197" i="2"/>
  <c r="D2197" i="2"/>
  <c r="H2187" i="2"/>
  <c r="G2187" i="2"/>
  <c r="F2187" i="2"/>
  <c r="E2187" i="2"/>
  <c r="D2187" i="2"/>
  <c r="H2186" i="2"/>
  <c r="G2186" i="2"/>
  <c r="F2186" i="2"/>
  <c r="E2186" i="2"/>
  <c r="D2186" i="2"/>
  <c r="H2185" i="2"/>
  <c r="G2185" i="2"/>
  <c r="F2185" i="2"/>
  <c r="E2185" i="2"/>
  <c r="D2185" i="2"/>
  <c r="H3243" i="2"/>
  <c r="G3243" i="2"/>
  <c r="F3243" i="2"/>
  <c r="E3243" i="2"/>
  <c r="D3243" i="2"/>
  <c r="H3242" i="2"/>
  <c r="G3242" i="2"/>
  <c r="F3242" i="2"/>
  <c r="E3242" i="2"/>
  <c r="D3242" i="2"/>
  <c r="H2829" i="2"/>
  <c r="G2829" i="2"/>
  <c r="F2829" i="2"/>
  <c r="E2829" i="2"/>
  <c r="D2829" i="2"/>
  <c r="H2828" i="2"/>
  <c r="G2828" i="2"/>
  <c r="F2828" i="2"/>
  <c r="E2828" i="2"/>
  <c r="D2828" i="2"/>
  <c r="H3130" i="2"/>
  <c r="G3130" i="2"/>
  <c r="F3130" i="2"/>
  <c r="E3130" i="2"/>
  <c r="D3130" i="2"/>
  <c r="H1451" i="2"/>
  <c r="G1451" i="2"/>
  <c r="F1451" i="2"/>
  <c r="E1451" i="2"/>
  <c r="D1451" i="2"/>
  <c r="H1450" i="2"/>
  <c r="G1450" i="2"/>
  <c r="F1450" i="2"/>
  <c r="E1450" i="2"/>
  <c r="D1450" i="2"/>
  <c r="H1449" i="2"/>
  <c r="G1449" i="2"/>
  <c r="F1449" i="2"/>
  <c r="E1449" i="2"/>
  <c r="D1449" i="2"/>
  <c r="H3412" i="2"/>
  <c r="G3412" i="2"/>
  <c r="F3412" i="2"/>
  <c r="E3412" i="2"/>
  <c r="D3412" i="2"/>
  <c r="H2198" i="2"/>
  <c r="G2198" i="2"/>
  <c r="F2198" i="2"/>
  <c r="E2198" i="2"/>
  <c r="D2198" i="2"/>
  <c r="H1916" i="2"/>
  <c r="G1916" i="2"/>
  <c r="F1916" i="2"/>
  <c r="E1916" i="2"/>
  <c r="D1916" i="2"/>
  <c r="H1915" i="2"/>
  <c r="G1915" i="2"/>
  <c r="F1915" i="2"/>
  <c r="E1915" i="2"/>
  <c r="D1915" i="2"/>
  <c r="H1914" i="2"/>
  <c r="G1914" i="2"/>
  <c r="F1914" i="2"/>
  <c r="E1914" i="2"/>
  <c r="D1914" i="2"/>
  <c r="H3595" i="2"/>
  <c r="G3595" i="2"/>
  <c r="F3595" i="2"/>
  <c r="E3595" i="2"/>
  <c r="D3595" i="2"/>
  <c r="H3805" i="2"/>
  <c r="G3805" i="2"/>
  <c r="F3805" i="2"/>
  <c r="E3805" i="2"/>
  <c r="D3805" i="2"/>
  <c r="H3804" i="2"/>
  <c r="G3804" i="2"/>
  <c r="F3804" i="2"/>
  <c r="E3804" i="2"/>
  <c r="D3804" i="2"/>
  <c r="H3803" i="2"/>
  <c r="G3803" i="2"/>
  <c r="F3803" i="2"/>
  <c r="E3803" i="2"/>
  <c r="D3803" i="2"/>
  <c r="H3837" i="2"/>
  <c r="G3837" i="2"/>
  <c r="F3837" i="2"/>
  <c r="E3837" i="2"/>
  <c r="D3837" i="2"/>
  <c r="H2558" i="2"/>
  <c r="G2558" i="2"/>
  <c r="F2558" i="2"/>
  <c r="E2558" i="2"/>
  <c r="D2558" i="2"/>
  <c r="H2557" i="2"/>
  <c r="G2557" i="2"/>
  <c r="F2557" i="2"/>
  <c r="E2557" i="2"/>
  <c r="D2557" i="2"/>
  <c r="H2556" i="2"/>
  <c r="G2556" i="2"/>
  <c r="F2556" i="2"/>
  <c r="E2556" i="2"/>
  <c r="D2556" i="2"/>
  <c r="H2555" i="2"/>
  <c r="G2555" i="2"/>
  <c r="F2555" i="2"/>
  <c r="E2555" i="2"/>
  <c r="D2555" i="2"/>
  <c r="H2554" i="2"/>
  <c r="G2554" i="2"/>
  <c r="F2554" i="2"/>
  <c r="E2554" i="2"/>
  <c r="D2554" i="2"/>
  <c r="H2553" i="2"/>
  <c r="G2553" i="2"/>
  <c r="F2553" i="2"/>
  <c r="E2553" i="2"/>
  <c r="D2553" i="2"/>
  <c r="H529" i="2"/>
  <c r="G529" i="2"/>
  <c r="F529" i="2"/>
  <c r="E529" i="2"/>
  <c r="D529" i="2"/>
  <c r="H3566" i="2"/>
  <c r="G3566" i="2"/>
  <c r="F3566" i="2"/>
  <c r="E3566" i="2"/>
  <c r="D3566" i="2"/>
  <c r="H472" i="2"/>
  <c r="G472" i="2"/>
  <c r="F472" i="2"/>
  <c r="E472" i="2"/>
  <c r="D472" i="2"/>
  <c r="H2482" i="2"/>
  <c r="G2482" i="2"/>
  <c r="F2482" i="2"/>
  <c r="E2482" i="2"/>
  <c r="D2482" i="2"/>
  <c r="H2481" i="2"/>
  <c r="G2481" i="2"/>
  <c r="F2481" i="2"/>
  <c r="E2481" i="2"/>
  <c r="D2481" i="2"/>
  <c r="H583" i="2"/>
  <c r="G583" i="2"/>
  <c r="F583" i="2"/>
  <c r="E583" i="2"/>
  <c r="D583" i="2"/>
  <c r="H2194" i="2"/>
  <c r="G2194" i="2"/>
  <c r="F2194" i="2"/>
  <c r="E2194" i="2"/>
  <c r="D2194" i="2"/>
  <c r="H2193" i="2"/>
  <c r="G2193" i="2"/>
  <c r="F2193" i="2"/>
  <c r="E2193" i="2"/>
  <c r="D2193" i="2"/>
  <c r="H2192" i="2"/>
  <c r="G2192" i="2"/>
  <c r="F2192" i="2"/>
  <c r="E2192" i="2"/>
  <c r="D2192" i="2"/>
  <c r="H1948" i="2"/>
  <c r="G1948" i="2"/>
  <c r="F1948" i="2"/>
  <c r="E1948" i="2"/>
  <c r="D1948" i="2"/>
  <c r="H1947" i="2"/>
  <c r="G1947" i="2"/>
  <c r="F1947" i="2"/>
  <c r="E1947" i="2"/>
  <c r="D1947" i="2"/>
  <c r="H1946" i="2"/>
  <c r="G1946" i="2"/>
  <c r="F1946" i="2"/>
  <c r="E1946" i="2"/>
  <c r="D1946" i="2"/>
  <c r="H1945" i="2"/>
  <c r="G1945" i="2"/>
  <c r="F1945" i="2"/>
  <c r="E1945" i="2"/>
  <c r="D1945" i="2"/>
  <c r="H1944" i="2"/>
  <c r="G1944" i="2"/>
  <c r="F1944" i="2"/>
  <c r="E1944" i="2"/>
  <c r="D1944" i="2"/>
  <c r="H462" i="2"/>
  <c r="G462" i="2"/>
  <c r="F462" i="2"/>
  <c r="E462" i="2"/>
  <c r="D462" i="2"/>
  <c r="H461" i="2"/>
  <c r="G461" i="2"/>
  <c r="F461" i="2"/>
  <c r="E461" i="2"/>
  <c r="D461" i="2"/>
  <c r="H3802" i="2"/>
  <c r="G3802" i="2"/>
  <c r="F3802" i="2"/>
  <c r="E3802" i="2"/>
  <c r="D3802" i="2"/>
  <c r="H2681" i="2"/>
  <c r="G2681" i="2"/>
  <c r="F2681" i="2"/>
  <c r="E2681" i="2"/>
  <c r="D2681" i="2"/>
  <c r="H2680" i="2"/>
  <c r="G2680" i="2"/>
  <c r="F2680" i="2"/>
  <c r="E2680" i="2"/>
  <c r="D2680" i="2"/>
  <c r="H1282" i="2"/>
  <c r="G1282" i="2"/>
  <c r="F1282" i="2"/>
  <c r="E1282" i="2"/>
  <c r="D1282" i="2"/>
  <c r="H1281" i="2"/>
  <c r="G1281" i="2"/>
  <c r="F1281" i="2"/>
  <c r="E1281" i="2"/>
  <c r="D1281" i="2"/>
  <c r="H2453" i="2"/>
  <c r="G2453" i="2"/>
  <c r="F2453" i="2"/>
  <c r="E2453" i="2"/>
  <c r="D2453" i="2"/>
  <c r="H2452" i="2"/>
  <c r="G2452" i="2"/>
  <c r="F2452" i="2"/>
  <c r="E2452" i="2"/>
  <c r="D2452" i="2"/>
  <c r="H2451" i="2"/>
  <c r="G2451" i="2"/>
  <c r="F2451" i="2"/>
  <c r="E2451" i="2"/>
  <c r="D2451" i="2"/>
  <c r="H1985" i="2"/>
  <c r="G1985" i="2"/>
  <c r="F1985" i="2"/>
  <c r="E1985" i="2"/>
  <c r="D1985" i="2"/>
  <c r="H1984" i="2"/>
  <c r="G1984" i="2"/>
  <c r="F1984" i="2"/>
  <c r="E1984" i="2"/>
  <c r="D1984" i="2"/>
  <c r="H2567" i="2"/>
  <c r="G2567" i="2"/>
  <c r="F2567" i="2"/>
  <c r="E2567" i="2"/>
  <c r="D2567" i="2"/>
  <c r="H2566" i="2"/>
  <c r="G2566" i="2"/>
  <c r="F2566" i="2"/>
  <c r="E2566" i="2"/>
  <c r="D2566" i="2"/>
  <c r="H1034" i="2"/>
  <c r="G1034" i="2"/>
  <c r="F1034" i="2"/>
  <c r="E1034" i="2"/>
  <c r="D1034" i="2"/>
  <c r="H1033" i="2"/>
  <c r="G1033" i="2"/>
  <c r="F1033" i="2"/>
  <c r="E1033" i="2"/>
  <c r="D1033" i="2"/>
  <c r="H923" i="2"/>
  <c r="G923" i="2"/>
  <c r="F923" i="2"/>
  <c r="E923" i="2"/>
  <c r="D923" i="2"/>
  <c r="H922" i="2"/>
  <c r="G922" i="2"/>
  <c r="F922" i="2"/>
  <c r="E922" i="2"/>
  <c r="D922" i="2"/>
  <c r="H921" i="2"/>
  <c r="G921" i="2"/>
  <c r="F921" i="2"/>
  <c r="E921" i="2"/>
  <c r="D921" i="2"/>
  <c r="H920" i="2"/>
  <c r="G920" i="2"/>
  <c r="F920" i="2"/>
  <c r="E920" i="2"/>
  <c r="D920" i="2"/>
  <c r="H1424" i="2"/>
  <c r="G1424" i="2"/>
  <c r="F1424" i="2"/>
  <c r="E1424" i="2"/>
  <c r="D1424" i="2"/>
  <c r="H486" i="2"/>
  <c r="G486" i="2"/>
  <c r="F486" i="2"/>
  <c r="E486" i="2"/>
  <c r="D486" i="2"/>
  <c r="H135" i="2"/>
  <c r="G135" i="2"/>
  <c r="F135" i="2"/>
  <c r="E135" i="2"/>
  <c r="D135" i="2"/>
  <c r="H134" i="2"/>
  <c r="G134" i="2"/>
  <c r="F134" i="2"/>
  <c r="E134" i="2"/>
  <c r="D134" i="2"/>
  <c r="H1379" i="2"/>
  <c r="G1379" i="2"/>
  <c r="F1379" i="2"/>
  <c r="E1379" i="2"/>
  <c r="D1379" i="2"/>
  <c r="H1378" i="2"/>
  <c r="G1378" i="2"/>
  <c r="F1378" i="2"/>
  <c r="E1378" i="2"/>
  <c r="D1378" i="2"/>
  <c r="H3241" i="2"/>
  <c r="G3241" i="2"/>
  <c r="F3241" i="2"/>
  <c r="E3241" i="2"/>
  <c r="D3241" i="2"/>
  <c r="H3240" i="2"/>
  <c r="G3240" i="2"/>
  <c r="F3240" i="2"/>
  <c r="E3240" i="2"/>
  <c r="D3240" i="2"/>
  <c r="H1760" i="2"/>
  <c r="G1760" i="2"/>
  <c r="F1760" i="2"/>
  <c r="E1760" i="2"/>
  <c r="D1760" i="2"/>
  <c r="H1731" i="2"/>
  <c r="G1731" i="2"/>
  <c r="F1731" i="2"/>
  <c r="E1731" i="2"/>
  <c r="D1731" i="2"/>
  <c r="H1150" i="2"/>
  <c r="G1150" i="2"/>
  <c r="F1150" i="2"/>
  <c r="E1150" i="2"/>
  <c r="D1150" i="2"/>
  <c r="H1149" i="2"/>
  <c r="G1149" i="2"/>
  <c r="F1149" i="2"/>
  <c r="E1149" i="2"/>
  <c r="D1149" i="2"/>
  <c r="H1148" i="2"/>
  <c r="G1148" i="2"/>
  <c r="F1148" i="2"/>
  <c r="E1148" i="2"/>
  <c r="D1148" i="2"/>
  <c r="H1156" i="2"/>
  <c r="G1156" i="2"/>
  <c r="F1156" i="2"/>
  <c r="E1156" i="2"/>
  <c r="D1156" i="2"/>
  <c r="H1155" i="2"/>
  <c r="G1155" i="2"/>
  <c r="F1155" i="2"/>
  <c r="E1155" i="2"/>
  <c r="D1155" i="2"/>
  <c r="H3860" i="2"/>
  <c r="G3860" i="2"/>
  <c r="F3860" i="2"/>
  <c r="E3860" i="2"/>
  <c r="D3860" i="2"/>
  <c r="H3859" i="2"/>
  <c r="G3859" i="2"/>
  <c r="F3859" i="2"/>
  <c r="E3859" i="2"/>
  <c r="D3859" i="2"/>
  <c r="H3858" i="2"/>
  <c r="G3858" i="2"/>
  <c r="F3858" i="2"/>
  <c r="E3858" i="2"/>
  <c r="D3858" i="2"/>
  <c r="H3857" i="2"/>
  <c r="G3857" i="2"/>
  <c r="F3857" i="2"/>
  <c r="E3857" i="2"/>
  <c r="D3857" i="2"/>
  <c r="H3856" i="2"/>
  <c r="G3856" i="2"/>
  <c r="F3856" i="2"/>
  <c r="E3856" i="2"/>
  <c r="D3856" i="2"/>
  <c r="H2323" i="2"/>
  <c r="G2323" i="2"/>
  <c r="F2323" i="2"/>
  <c r="E2323" i="2"/>
  <c r="D2323" i="2"/>
  <c r="H2322" i="2"/>
  <c r="G2322" i="2"/>
  <c r="F2322" i="2"/>
  <c r="E2322" i="2"/>
  <c r="D2322" i="2"/>
  <c r="H2321" i="2"/>
  <c r="G2321" i="2"/>
  <c r="F2321" i="2"/>
  <c r="E2321" i="2"/>
  <c r="D2321" i="2"/>
  <c r="H2320" i="2"/>
  <c r="G2320" i="2"/>
  <c r="F2320" i="2"/>
  <c r="E2320" i="2"/>
  <c r="D2320" i="2"/>
  <c r="H2319" i="2"/>
  <c r="G2319" i="2"/>
  <c r="F2319" i="2"/>
  <c r="E2319" i="2"/>
  <c r="D2319" i="2"/>
  <c r="H2318" i="2"/>
  <c r="G2318" i="2"/>
  <c r="F2318" i="2"/>
  <c r="E2318" i="2"/>
  <c r="D2318" i="2"/>
  <c r="H2317" i="2"/>
  <c r="G2317" i="2"/>
  <c r="F2317" i="2"/>
  <c r="E2317" i="2"/>
  <c r="D2317" i="2"/>
  <c r="H2316" i="2"/>
  <c r="G2316" i="2"/>
  <c r="F2316" i="2"/>
  <c r="E2316" i="2"/>
  <c r="D2316" i="2"/>
  <c r="H2315" i="2"/>
  <c r="G2315" i="2"/>
  <c r="F2315" i="2"/>
  <c r="E2315" i="2"/>
  <c r="D2315" i="2"/>
  <c r="H2314" i="2"/>
  <c r="G2314" i="2"/>
  <c r="F2314" i="2"/>
  <c r="E2314" i="2"/>
  <c r="D2314" i="2"/>
  <c r="H2313" i="2"/>
  <c r="G2313" i="2"/>
  <c r="F2313" i="2"/>
  <c r="E2313" i="2"/>
  <c r="D2313" i="2"/>
  <c r="H2312" i="2"/>
  <c r="G2312" i="2"/>
  <c r="F2312" i="2"/>
  <c r="E2312" i="2"/>
  <c r="D2312" i="2"/>
  <c r="H192" i="2"/>
  <c r="G192" i="2"/>
  <c r="F192" i="2"/>
  <c r="E192" i="2"/>
  <c r="D192" i="2"/>
  <c r="H191" i="2"/>
  <c r="G191" i="2"/>
  <c r="F191" i="2"/>
  <c r="E191" i="2"/>
  <c r="D191" i="2"/>
  <c r="H536" i="2"/>
  <c r="G536" i="2"/>
  <c r="F536" i="2"/>
  <c r="E536" i="2"/>
  <c r="D536" i="2"/>
  <c r="H1934" i="2"/>
  <c r="G1934" i="2"/>
  <c r="F1934" i="2"/>
  <c r="E1934" i="2"/>
  <c r="D1934" i="2"/>
  <c r="H1933" i="2"/>
  <c r="G1933" i="2"/>
  <c r="F1933" i="2"/>
  <c r="E1933" i="2"/>
  <c r="D1933" i="2"/>
  <c r="H1932" i="2"/>
  <c r="G1932" i="2"/>
  <c r="F1932" i="2"/>
  <c r="E1932" i="2"/>
  <c r="D1932" i="2"/>
  <c r="H1931" i="2"/>
  <c r="G1931" i="2"/>
  <c r="F1931" i="2"/>
  <c r="E1931" i="2"/>
  <c r="D1931" i="2"/>
  <c r="H1930" i="2"/>
  <c r="G1930" i="2"/>
  <c r="F1930" i="2"/>
  <c r="E1930" i="2"/>
  <c r="D1930" i="2"/>
  <c r="H1929" i="2"/>
  <c r="G1929" i="2"/>
  <c r="F1929" i="2"/>
  <c r="E1929" i="2"/>
  <c r="D1929" i="2"/>
  <c r="H1928" i="2"/>
  <c r="G1928" i="2"/>
  <c r="F1928" i="2"/>
  <c r="E1928" i="2"/>
  <c r="D1928" i="2"/>
  <c r="H1927" i="2"/>
  <c r="G1927" i="2"/>
  <c r="F1927" i="2"/>
  <c r="E1927" i="2"/>
  <c r="D1927" i="2"/>
  <c r="H1926" i="2"/>
  <c r="G1926" i="2"/>
  <c r="F1926" i="2"/>
  <c r="E1926" i="2"/>
  <c r="D1926" i="2"/>
  <c r="H1925" i="2"/>
  <c r="G1925" i="2"/>
  <c r="F1925" i="2"/>
  <c r="E1925" i="2"/>
  <c r="D1925" i="2"/>
  <c r="H1924" i="2"/>
  <c r="G1924" i="2"/>
  <c r="F1924" i="2"/>
  <c r="E1924" i="2"/>
  <c r="D1924" i="2"/>
  <c r="H1923" i="2"/>
  <c r="G1923" i="2"/>
  <c r="F1923" i="2"/>
  <c r="E1923" i="2"/>
  <c r="D1923" i="2"/>
  <c r="H1922" i="2"/>
  <c r="G1922" i="2"/>
  <c r="F1922" i="2"/>
  <c r="E1922" i="2"/>
  <c r="D1922" i="2"/>
  <c r="H2560" i="2"/>
  <c r="G2560" i="2"/>
  <c r="F2560" i="2"/>
  <c r="E2560" i="2"/>
  <c r="D2560" i="2"/>
  <c r="H57" i="2"/>
  <c r="G57" i="2"/>
  <c r="F57" i="2"/>
  <c r="E57" i="2"/>
  <c r="D57" i="2"/>
  <c r="H56" i="2"/>
  <c r="G56" i="2"/>
  <c r="F56" i="2"/>
  <c r="E56" i="2"/>
  <c r="D56" i="2"/>
  <c r="H55" i="2"/>
  <c r="G55" i="2"/>
  <c r="F55" i="2"/>
  <c r="E55" i="2"/>
  <c r="D55" i="2"/>
  <c r="H1372" i="2"/>
  <c r="G1372" i="2"/>
  <c r="F1372" i="2"/>
  <c r="E1372" i="2"/>
  <c r="D1372" i="2"/>
  <c r="H1999" i="2"/>
  <c r="G1999" i="2"/>
  <c r="F1999" i="2"/>
  <c r="E1999" i="2"/>
  <c r="D1999" i="2"/>
  <c r="H1998" i="2"/>
  <c r="G1998" i="2"/>
  <c r="F1998" i="2"/>
  <c r="E1998" i="2"/>
  <c r="D1998" i="2"/>
  <c r="H1870" i="2"/>
  <c r="G1870" i="2"/>
  <c r="F1870" i="2"/>
  <c r="E1870" i="2"/>
  <c r="D1870" i="2"/>
  <c r="H1869" i="2"/>
  <c r="G1869" i="2"/>
  <c r="F1869" i="2"/>
  <c r="E1869" i="2"/>
  <c r="D1869" i="2"/>
  <c r="H2657" i="2"/>
  <c r="G2657" i="2"/>
  <c r="F2657" i="2"/>
  <c r="E2657" i="2"/>
  <c r="D2657" i="2"/>
  <c r="H2450" i="2"/>
  <c r="G2450" i="2"/>
  <c r="F2450" i="2"/>
  <c r="E2450" i="2"/>
  <c r="D2450" i="2"/>
  <c r="H2449" i="2"/>
  <c r="G2449" i="2"/>
  <c r="F2449" i="2"/>
  <c r="E2449" i="2"/>
  <c r="D2449" i="2"/>
  <c r="H670" i="2"/>
  <c r="G670" i="2"/>
  <c r="F670" i="2"/>
  <c r="E670" i="2"/>
  <c r="D670" i="2"/>
  <c r="H669" i="2"/>
  <c r="G669" i="2"/>
  <c r="F669" i="2"/>
  <c r="E669" i="2"/>
  <c r="D669" i="2"/>
  <c r="H3831" i="2"/>
  <c r="G3831" i="2"/>
  <c r="F3831" i="2"/>
  <c r="E3831" i="2"/>
  <c r="D3831" i="2"/>
  <c r="H3830" i="2"/>
  <c r="G3830" i="2"/>
  <c r="F3830" i="2"/>
  <c r="E3830" i="2"/>
  <c r="D3830" i="2"/>
  <c r="H3829" i="2"/>
  <c r="G3829" i="2"/>
  <c r="F3829" i="2"/>
  <c r="E3829" i="2"/>
  <c r="D3829" i="2"/>
  <c r="H898" i="2"/>
  <c r="G898" i="2"/>
  <c r="F898" i="2"/>
  <c r="E898" i="2"/>
  <c r="D898" i="2"/>
  <c r="H897" i="2"/>
  <c r="G897" i="2"/>
  <c r="F897" i="2"/>
  <c r="E897" i="2"/>
  <c r="D897" i="2"/>
  <c r="H896" i="2"/>
  <c r="G896" i="2"/>
  <c r="F896" i="2"/>
  <c r="E896" i="2"/>
  <c r="D896" i="2"/>
  <c r="H895" i="2"/>
  <c r="G895" i="2"/>
  <c r="F895" i="2"/>
  <c r="E895" i="2"/>
  <c r="D895" i="2"/>
  <c r="H894" i="2"/>
  <c r="G894" i="2"/>
  <c r="F894" i="2"/>
  <c r="E894" i="2"/>
  <c r="D894" i="2"/>
  <c r="H893" i="2"/>
  <c r="G893" i="2"/>
  <c r="F893" i="2"/>
  <c r="E893" i="2"/>
  <c r="D893" i="2"/>
  <c r="H1601" i="2"/>
  <c r="G1601" i="2"/>
  <c r="F1601" i="2"/>
  <c r="E1601" i="2"/>
  <c r="D1601" i="2"/>
  <c r="H1600" i="2"/>
  <c r="G1600" i="2"/>
  <c r="F1600" i="2"/>
  <c r="E1600" i="2"/>
  <c r="D1600" i="2"/>
  <c r="H2049" i="2"/>
  <c r="G2049" i="2"/>
  <c r="F2049" i="2"/>
  <c r="E2049" i="2"/>
  <c r="D2049" i="2"/>
  <c r="H2048" i="2"/>
  <c r="G2048" i="2"/>
  <c r="F2048" i="2"/>
  <c r="E2048" i="2"/>
  <c r="D2048" i="2"/>
  <c r="H2047" i="2"/>
  <c r="G2047" i="2"/>
  <c r="F2047" i="2"/>
  <c r="E2047" i="2"/>
  <c r="D2047" i="2"/>
  <c r="H2046" i="2"/>
  <c r="G2046" i="2"/>
  <c r="F2046" i="2"/>
  <c r="E2046" i="2"/>
  <c r="D2046" i="2"/>
  <c r="H2045" i="2"/>
  <c r="G2045" i="2"/>
  <c r="F2045" i="2"/>
  <c r="E2045" i="2"/>
  <c r="D2045" i="2"/>
  <c r="H2044" i="2"/>
  <c r="G2044" i="2"/>
  <c r="F2044" i="2"/>
  <c r="E2044" i="2"/>
  <c r="D2044" i="2"/>
  <c r="H2043" i="2"/>
  <c r="G2043" i="2"/>
  <c r="F2043" i="2"/>
  <c r="E2043" i="2"/>
  <c r="D2043" i="2"/>
  <c r="H2042" i="2"/>
  <c r="G2042" i="2"/>
  <c r="F2042" i="2"/>
  <c r="E2042" i="2"/>
  <c r="D2042" i="2"/>
  <c r="H3140" i="2"/>
  <c r="G3140" i="2"/>
  <c r="F3140" i="2"/>
  <c r="E3140" i="2"/>
  <c r="D3140" i="2"/>
  <c r="H3139" i="2"/>
  <c r="G3139" i="2"/>
  <c r="F3139" i="2"/>
  <c r="E3139" i="2"/>
  <c r="D3139" i="2"/>
  <c r="H3138" i="2"/>
  <c r="G3138" i="2"/>
  <c r="F3138" i="2"/>
  <c r="E3138" i="2"/>
  <c r="D3138" i="2"/>
  <c r="H3137" i="2"/>
  <c r="G3137" i="2"/>
  <c r="F3137" i="2"/>
  <c r="E3137" i="2"/>
  <c r="D3137" i="2"/>
  <c r="H943" i="2"/>
  <c r="G943" i="2"/>
  <c r="F943" i="2"/>
  <c r="E943" i="2"/>
  <c r="D943" i="2"/>
  <c r="H942" i="2"/>
  <c r="G942" i="2"/>
  <c r="F942" i="2"/>
  <c r="E942" i="2"/>
  <c r="D942" i="2"/>
  <c r="H941" i="2"/>
  <c r="G941" i="2"/>
  <c r="F941" i="2"/>
  <c r="E941" i="2"/>
  <c r="D941" i="2"/>
  <c r="H940" i="2"/>
  <c r="G940" i="2"/>
  <c r="F940" i="2"/>
  <c r="E940" i="2"/>
  <c r="D940" i="2"/>
  <c r="H1215" i="2"/>
  <c r="G1215" i="2"/>
  <c r="F1215" i="2"/>
  <c r="E1215" i="2"/>
  <c r="D1215" i="2"/>
  <c r="H1214" i="2"/>
  <c r="G1214" i="2"/>
  <c r="F1214" i="2"/>
  <c r="E1214" i="2"/>
  <c r="D1214" i="2"/>
  <c r="H1213" i="2"/>
  <c r="G1213" i="2"/>
  <c r="F1213" i="2"/>
  <c r="E1213" i="2"/>
  <c r="D1213" i="2"/>
  <c r="H1212" i="2"/>
  <c r="G1212" i="2"/>
  <c r="F1212" i="2"/>
  <c r="E1212" i="2"/>
  <c r="D1212" i="2"/>
  <c r="H1204" i="2"/>
  <c r="G1204" i="2"/>
  <c r="F1204" i="2"/>
  <c r="E1204" i="2"/>
  <c r="D1204" i="2"/>
  <c r="H1203" i="2"/>
  <c r="G1203" i="2"/>
  <c r="F1203" i="2"/>
  <c r="E1203" i="2"/>
  <c r="D1203" i="2"/>
  <c r="H2773" i="2"/>
  <c r="G2773" i="2"/>
  <c r="F2773" i="2"/>
  <c r="E2773" i="2"/>
  <c r="D2773" i="2"/>
  <c r="H711" i="2"/>
  <c r="G711" i="2"/>
  <c r="F711" i="2"/>
  <c r="E711" i="2"/>
  <c r="D711" i="2"/>
  <c r="H710" i="2"/>
  <c r="G710" i="2"/>
  <c r="F710" i="2"/>
  <c r="E710" i="2"/>
  <c r="D710" i="2"/>
  <c r="H759" i="2"/>
  <c r="G759" i="2"/>
  <c r="F759" i="2"/>
  <c r="E759" i="2"/>
  <c r="D759" i="2"/>
  <c r="H758" i="2"/>
  <c r="G758" i="2"/>
  <c r="F758" i="2"/>
  <c r="E758" i="2"/>
  <c r="D758" i="2"/>
  <c r="H2364" i="2"/>
  <c r="G2364" i="2"/>
  <c r="F2364" i="2"/>
  <c r="E2364" i="2"/>
  <c r="D2364" i="2"/>
  <c r="H2363" i="2"/>
  <c r="G2363" i="2"/>
  <c r="F2363" i="2"/>
  <c r="E2363" i="2"/>
  <c r="D2363" i="2"/>
  <c r="H2362" i="2"/>
  <c r="G2362" i="2"/>
  <c r="F2362" i="2"/>
  <c r="E2362" i="2"/>
  <c r="D2362" i="2"/>
  <c r="H2361" i="2"/>
  <c r="G2361" i="2"/>
  <c r="F2361" i="2"/>
  <c r="E2361" i="2"/>
  <c r="D2361" i="2"/>
  <c r="H1712" i="2"/>
  <c r="G1712" i="2"/>
  <c r="F1712" i="2"/>
  <c r="E1712" i="2"/>
  <c r="D1712" i="2"/>
  <c r="H1711" i="2"/>
  <c r="G1711" i="2"/>
  <c r="F1711" i="2"/>
  <c r="E1711" i="2"/>
  <c r="D1711" i="2"/>
  <c r="H1710" i="2"/>
  <c r="G1710" i="2"/>
  <c r="F1710" i="2"/>
  <c r="E1710" i="2"/>
  <c r="D1710" i="2"/>
  <c r="H1709" i="2"/>
  <c r="G1709" i="2"/>
  <c r="F1709" i="2"/>
  <c r="E1709" i="2"/>
  <c r="D1709" i="2"/>
  <c r="H2260" i="2"/>
  <c r="G2260" i="2"/>
  <c r="F2260" i="2"/>
  <c r="E2260" i="2"/>
  <c r="D2260" i="2"/>
  <c r="H2259" i="2"/>
  <c r="G2259" i="2"/>
  <c r="F2259" i="2"/>
  <c r="E2259" i="2"/>
  <c r="D2259" i="2"/>
  <c r="H938" i="2"/>
  <c r="G938" i="2"/>
  <c r="F938" i="2"/>
  <c r="E938" i="2"/>
  <c r="D938" i="2"/>
  <c r="H937" i="2"/>
  <c r="G937" i="2"/>
  <c r="F937" i="2"/>
  <c r="E937" i="2"/>
  <c r="D937" i="2"/>
  <c r="H936" i="2"/>
  <c r="G936" i="2"/>
  <c r="F936" i="2"/>
  <c r="E936" i="2"/>
  <c r="D936" i="2"/>
  <c r="H935" i="2"/>
  <c r="G935" i="2"/>
  <c r="F935" i="2"/>
  <c r="E935" i="2"/>
  <c r="D935" i="2"/>
  <c r="H934" i="2"/>
  <c r="G934" i="2"/>
  <c r="F934" i="2"/>
  <c r="E934" i="2"/>
  <c r="D934" i="2"/>
  <c r="H933" i="2"/>
  <c r="G933" i="2"/>
  <c r="F933" i="2"/>
  <c r="E933" i="2"/>
  <c r="D933" i="2"/>
  <c r="H932" i="2"/>
  <c r="G932" i="2"/>
  <c r="F932" i="2"/>
  <c r="E932" i="2"/>
  <c r="D932" i="2"/>
  <c r="H2395" i="2"/>
  <c r="G2395" i="2"/>
  <c r="F2395" i="2"/>
  <c r="E2395" i="2"/>
  <c r="D2395" i="2"/>
  <c r="H2571" i="2"/>
  <c r="G2571" i="2"/>
  <c r="F2571" i="2"/>
  <c r="E2571" i="2"/>
  <c r="D2571" i="2"/>
  <c r="H2570" i="2"/>
  <c r="G2570" i="2"/>
  <c r="F2570" i="2"/>
  <c r="E2570" i="2"/>
  <c r="D2570" i="2"/>
  <c r="H2569" i="2"/>
  <c r="G2569" i="2"/>
  <c r="F2569" i="2"/>
  <c r="E2569" i="2"/>
  <c r="D2569" i="2"/>
  <c r="H2568" i="2"/>
  <c r="G2568" i="2"/>
  <c r="F2568" i="2"/>
  <c r="E2568" i="2"/>
  <c r="D2568" i="2"/>
  <c r="H2978" i="2"/>
  <c r="G2978" i="2"/>
  <c r="F2978" i="2"/>
  <c r="E2978" i="2"/>
  <c r="D2978" i="2"/>
  <c r="H1462" i="2"/>
  <c r="G1462" i="2"/>
  <c r="F1462" i="2"/>
  <c r="E1462" i="2"/>
  <c r="D1462" i="2"/>
  <c r="H1461" i="2"/>
  <c r="G1461" i="2"/>
  <c r="F1461" i="2"/>
  <c r="E1461" i="2"/>
  <c r="D1461" i="2"/>
  <c r="H979" i="2"/>
  <c r="G979" i="2"/>
  <c r="F979" i="2"/>
  <c r="E979" i="2"/>
  <c r="D979" i="2"/>
  <c r="H978" i="2"/>
  <c r="G978" i="2"/>
  <c r="F978" i="2"/>
  <c r="E978" i="2"/>
  <c r="D978" i="2"/>
  <c r="H659" i="2"/>
  <c r="G659" i="2"/>
  <c r="F659" i="2"/>
  <c r="E659" i="2"/>
  <c r="D659" i="2"/>
  <c r="H278" i="2"/>
  <c r="G278" i="2"/>
  <c r="F278" i="2"/>
  <c r="E278" i="2"/>
  <c r="D278" i="2"/>
  <c r="H76" i="2"/>
  <c r="G76" i="2"/>
  <c r="F76" i="2"/>
  <c r="E76" i="2"/>
  <c r="D76" i="2"/>
  <c r="H2475" i="2"/>
  <c r="G2475" i="2"/>
  <c r="F2475" i="2"/>
  <c r="E2475" i="2"/>
  <c r="D2475" i="2"/>
  <c r="H2474" i="2"/>
  <c r="G2474" i="2"/>
  <c r="F2474" i="2"/>
  <c r="E2474" i="2"/>
  <c r="D2474" i="2"/>
  <c r="H2473" i="2"/>
  <c r="G2473" i="2"/>
  <c r="F2473" i="2"/>
  <c r="E2473" i="2"/>
  <c r="D2473" i="2"/>
  <c r="H2472" i="2"/>
  <c r="G2472" i="2"/>
  <c r="F2472" i="2"/>
  <c r="E2472" i="2"/>
  <c r="D2472" i="2"/>
  <c r="H2471" i="2"/>
  <c r="G2471" i="2"/>
  <c r="F2471" i="2"/>
  <c r="E2471" i="2"/>
  <c r="D2471" i="2"/>
  <c r="H2470" i="2"/>
  <c r="G2470" i="2"/>
  <c r="F2470" i="2"/>
  <c r="E2470" i="2"/>
  <c r="D2470" i="2"/>
  <c r="H2469" i="2"/>
  <c r="G2469" i="2"/>
  <c r="F2469" i="2"/>
  <c r="E2469" i="2"/>
  <c r="D2469" i="2"/>
  <c r="H2468" i="2"/>
  <c r="G2468" i="2"/>
  <c r="F2468" i="2"/>
  <c r="E2468" i="2"/>
  <c r="D2468" i="2"/>
  <c r="H2514" i="2"/>
  <c r="G2514" i="2"/>
  <c r="F2514" i="2"/>
  <c r="E2514" i="2"/>
  <c r="D2514" i="2"/>
  <c r="H2513" i="2"/>
  <c r="G2513" i="2"/>
  <c r="F2513" i="2"/>
  <c r="E2513" i="2"/>
  <c r="D2513" i="2"/>
  <c r="H2512" i="2"/>
  <c r="G2512" i="2"/>
  <c r="F2512" i="2"/>
  <c r="E2512" i="2"/>
  <c r="D2512" i="2"/>
  <c r="H2511" i="2"/>
  <c r="G2511" i="2"/>
  <c r="F2511" i="2"/>
  <c r="E2511" i="2"/>
  <c r="D2511" i="2"/>
  <c r="H2510" i="2"/>
  <c r="G2510" i="2"/>
  <c r="F2510" i="2"/>
  <c r="E2510" i="2"/>
  <c r="D2510" i="2"/>
  <c r="H2509" i="2"/>
  <c r="G2509" i="2"/>
  <c r="F2509" i="2"/>
  <c r="E2509" i="2"/>
  <c r="D2509" i="2"/>
  <c r="H322" i="2"/>
  <c r="G322" i="2"/>
  <c r="F322" i="2"/>
  <c r="E322" i="2"/>
  <c r="D322" i="2"/>
  <c r="H321" i="2"/>
  <c r="G321" i="2"/>
  <c r="F321" i="2"/>
  <c r="E321" i="2"/>
  <c r="D321" i="2"/>
  <c r="H320" i="2"/>
  <c r="G320" i="2"/>
  <c r="F320" i="2"/>
  <c r="E320" i="2"/>
  <c r="D320" i="2"/>
  <c r="H319" i="2"/>
  <c r="G319" i="2"/>
  <c r="F319" i="2"/>
  <c r="E319" i="2"/>
  <c r="D319" i="2"/>
  <c r="H5" i="2"/>
  <c r="G5" i="2"/>
  <c r="F5" i="2"/>
  <c r="E5" i="2"/>
  <c r="D5" i="2"/>
  <c r="H4" i="2"/>
  <c r="G4" i="2"/>
  <c r="F4" i="2"/>
  <c r="E4" i="2"/>
  <c r="D4" i="2"/>
  <c r="H3" i="2"/>
  <c r="G3" i="2"/>
  <c r="F3" i="2"/>
  <c r="E3" i="2"/>
  <c r="D3" i="2"/>
  <c r="H2549" i="2"/>
  <c r="G2549" i="2"/>
  <c r="F2549" i="2"/>
  <c r="E2549" i="2"/>
  <c r="D2549" i="2"/>
  <c r="H2548" i="2"/>
  <c r="G2548" i="2"/>
  <c r="F2548" i="2"/>
  <c r="E2548" i="2"/>
  <c r="D2548" i="2"/>
  <c r="H2547" i="2"/>
  <c r="G2547" i="2"/>
  <c r="F2547" i="2"/>
  <c r="E2547" i="2"/>
  <c r="D2547" i="2"/>
  <c r="H2546" i="2"/>
  <c r="G2546" i="2"/>
  <c r="F2546" i="2"/>
  <c r="E2546" i="2"/>
  <c r="D2546" i="2"/>
  <c r="H2545" i="2"/>
  <c r="G2545" i="2"/>
  <c r="F2545" i="2"/>
  <c r="E2545" i="2"/>
  <c r="D2545" i="2"/>
  <c r="H2544" i="2"/>
  <c r="G2544" i="2"/>
  <c r="F2544" i="2"/>
  <c r="E2544" i="2"/>
  <c r="D2544" i="2"/>
  <c r="H2543" i="2"/>
  <c r="G2543" i="2"/>
  <c r="F2543" i="2"/>
  <c r="E2543" i="2"/>
  <c r="D2543" i="2"/>
  <c r="H2542" i="2"/>
  <c r="G2542" i="2"/>
  <c r="F2542" i="2"/>
  <c r="E2542" i="2"/>
  <c r="D2542" i="2"/>
  <c r="H2541" i="2"/>
  <c r="G2541" i="2"/>
  <c r="F2541" i="2"/>
  <c r="E2541" i="2"/>
  <c r="D2541" i="2"/>
  <c r="H2540" i="2"/>
  <c r="G2540" i="2"/>
  <c r="F2540" i="2"/>
  <c r="E2540" i="2"/>
  <c r="D2540" i="2"/>
  <c r="H2539" i="2"/>
  <c r="G2539" i="2"/>
  <c r="F2539" i="2"/>
  <c r="E2539" i="2"/>
  <c r="D2539" i="2"/>
  <c r="H2538" i="2"/>
  <c r="G2538" i="2"/>
  <c r="F2538" i="2"/>
  <c r="E2538" i="2"/>
  <c r="D2538" i="2"/>
  <c r="H2537" i="2"/>
  <c r="G2537" i="2"/>
  <c r="F2537" i="2"/>
  <c r="E2537" i="2"/>
  <c r="D2537" i="2"/>
  <c r="H3783" i="2"/>
  <c r="G3783" i="2"/>
  <c r="F3783" i="2"/>
  <c r="E3783" i="2"/>
  <c r="D3783" i="2"/>
  <c r="H3782" i="2"/>
  <c r="G3782" i="2"/>
  <c r="F3782" i="2"/>
  <c r="E3782" i="2"/>
  <c r="D3782" i="2"/>
  <c r="H3781" i="2"/>
  <c r="G3781" i="2"/>
  <c r="F3781" i="2"/>
  <c r="E3781" i="2"/>
  <c r="D3781" i="2"/>
  <c r="H3780" i="2"/>
  <c r="G3780" i="2"/>
  <c r="F3780" i="2"/>
  <c r="E3780" i="2"/>
  <c r="D3780" i="2"/>
  <c r="H3779" i="2"/>
  <c r="G3779" i="2"/>
  <c r="F3779" i="2"/>
  <c r="E3779" i="2"/>
  <c r="D3779" i="2"/>
  <c r="H3778" i="2"/>
  <c r="G3778" i="2"/>
  <c r="F3778" i="2"/>
  <c r="E3778" i="2"/>
  <c r="D3778" i="2"/>
  <c r="H3777" i="2"/>
  <c r="G3777" i="2"/>
  <c r="F3777" i="2"/>
  <c r="E3777" i="2"/>
  <c r="D3777" i="2"/>
  <c r="H3776" i="2"/>
  <c r="G3776" i="2"/>
  <c r="F3776" i="2"/>
  <c r="E3776" i="2"/>
  <c r="D3776" i="2"/>
  <c r="H3775" i="2"/>
  <c r="G3775" i="2"/>
  <c r="F3775" i="2"/>
  <c r="E3775" i="2"/>
  <c r="D3775" i="2"/>
  <c r="H3774" i="2"/>
  <c r="G3774" i="2"/>
  <c r="F3774" i="2"/>
  <c r="E3774" i="2"/>
  <c r="D3774" i="2"/>
  <c r="H694" i="2"/>
  <c r="G694" i="2"/>
  <c r="F694" i="2"/>
  <c r="E694" i="2"/>
  <c r="D694" i="2"/>
  <c r="H693" i="2"/>
  <c r="G693" i="2"/>
  <c r="F693" i="2"/>
  <c r="E693" i="2"/>
  <c r="D693" i="2"/>
  <c r="H692" i="2"/>
  <c r="G692" i="2"/>
  <c r="F692" i="2"/>
  <c r="E692" i="2"/>
  <c r="D692" i="2"/>
  <c r="H1296" i="2"/>
  <c r="G1296" i="2"/>
  <c r="F1296" i="2"/>
  <c r="E1296" i="2"/>
  <c r="D1296" i="2"/>
  <c r="H2167" i="2"/>
  <c r="G2167" i="2"/>
  <c r="F2167" i="2"/>
  <c r="E2167" i="2"/>
  <c r="D2167" i="2"/>
  <c r="H2166" i="2"/>
  <c r="G2166" i="2"/>
  <c r="F2166" i="2"/>
  <c r="E2166" i="2"/>
  <c r="D2166" i="2"/>
  <c r="H2165" i="2"/>
  <c r="G2165" i="2"/>
  <c r="F2165" i="2"/>
  <c r="E2165" i="2"/>
  <c r="D2165" i="2"/>
  <c r="H2600" i="2"/>
  <c r="G2600" i="2"/>
  <c r="F2600" i="2"/>
  <c r="E2600" i="2"/>
  <c r="D2600" i="2"/>
  <c r="H745" i="2"/>
  <c r="G745" i="2"/>
  <c r="F745" i="2"/>
  <c r="E745" i="2"/>
  <c r="D745" i="2"/>
  <c r="H1561" i="2"/>
  <c r="G1561" i="2"/>
  <c r="F1561" i="2"/>
  <c r="E1561" i="2"/>
  <c r="D1561" i="2"/>
  <c r="H1560" i="2"/>
  <c r="G1560" i="2"/>
  <c r="F1560" i="2"/>
  <c r="E1560" i="2"/>
  <c r="D1560" i="2"/>
  <c r="H1559" i="2"/>
  <c r="G1559" i="2"/>
  <c r="F1559" i="2"/>
  <c r="E1559" i="2"/>
  <c r="D1559" i="2"/>
  <c r="H1558" i="2"/>
  <c r="G1558" i="2"/>
  <c r="F1558" i="2"/>
  <c r="E1558" i="2"/>
  <c r="D1558" i="2"/>
  <c r="H1557" i="2"/>
  <c r="G1557" i="2"/>
  <c r="F1557" i="2"/>
  <c r="E1557" i="2"/>
  <c r="D1557" i="2"/>
  <c r="H1556" i="2"/>
  <c r="G1556" i="2"/>
  <c r="F1556" i="2"/>
  <c r="E1556" i="2"/>
  <c r="D1556" i="2"/>
  <c r="H1555" i="2"/>
  <c r="G1555" i="2"/>
  <c r="F1555" i="2"/>
  <c r="E1555" i="2"/>
  <c r="D1555" i="2"/>
  <c r="H1554" i="2"/>
  <c r="G1554" i="2"/>
  <c r="F1554" i="2"/>
  <c r="E1554" i="2"/>
  <c r="D1554" i="2"/>
  <c r="H1553" i="2"/>
  <c r="G1553" i="2"/>
  <c r="F1553" i="2"/>
  <c r="E1553" i="2"/>
  <c r="D1553" i="2"/>
  <c r="H3871" i="2"/>
  <c r="G3871" i="2"/>
  <c r="F3871" i="2"/>
  <c r="E3871" i="2"/>
  <c r="D3871" i="2"/>
  <c r="H3870" i="2"/>
  <c r="G3870" i="2"/>
  <c r="F3870" i="2"/>
  <c r="E3870" i="2"/>
  <c r="D3870" i="2"/>
  <c r="H3869" i="2"/>
  <c r="G3869" i="2"/>
  <c r="F3869" i="2"/>
  <c r="E3869" i="2"/>
  <c r="D3869" i="2"/>
  <c r="H784" i="2"/>
  <c r="G784" i="2"/>
  <c r="F784" i="2"/>
  <c r="E784" i="2"/>
  <c r="D784" i="2"/>
  <c r="H783" i="2"/>
  <c r="G783" i="2"/>
  <c r="F783" i="2"/>
  <c r="E783" i="2"/>
  <c r="D783" i="2"/>
  <c r="H782" i="2"/>
  <c r="G782" i="2"/>
  <c r="F782" i="2"/>
  <c r="E782" i="2"/>
  <c r="D782" i="2"/>
  <c r="H781" i="2"/>
  <c r="G781" i="2"/>
  <c r="F781" i="2"/>
  <c r="E781" i="2"/>
  <c r="D781" i="2"/>
  <c r="H296" i="2"/>
  <c r="G296" i="2"/>
  <c r="F296" i="2"/>
  <c r="E296" i="2"/>
  <c r="D296" i="2"/>
  <c r="H295" i="2"/>
  <c r="G295" i="2"/>
  <c r="F295" i="2"/>
  <c r="E295" i="2"/>
  <c r="D295" i="2"/>
  <c r="H944" i="2"/>
  <c r="G944" i="2"/>
  <c r="F944" i="2"/>
  <c r="E944" i="2"/>
  <c r="D944" i="2"/>
  <c r="H1459" i="2"/>
  <c r="G1459" i="2"/>
  <c r="F1459" i="2"/>
  <c r="E1459" i="2"/>
  <c r="D1459" i="2"/>
  <c r="H3096" i="2"/>
  <c r="G3096" i="2"/>
  <c r="F3096" i="2"/>
  <c r="E3096" i="2"/>
  <c r="D3096" i="2"/>
  <c r="H3095" i="2"/>
  <c r="G3095" i="2"/>
  <c r="F3095" i="2"/>
  <c r="E3095" i="2"/>
  <c r="D3095" i="2"/>
  <c r="H2041" i="2"/>
  <c r="G2041" i="2"/>
  <c r="F2041" i="2"/>
  <c r="E2041" i="2"/>
  <c r="D2041" i="2"/>
  <c r="H2040" i="2"/>
  <c r="G2040" i="2"/>
  <c r="F2040" i="2"/>
  <c r="E2040" i="2"/>
  <c r="D2040" i="2"/>
  <c r="H2039" i="2"/>
  <c r="G2039" i="2"/>
  <c r="F2039" i="2"/>
  <c r="E2039" i="2"/>
  <c r="D2039" i="2"/>
  <c r="H2038" i="2"/>
  <c r="G2038" i="2"/>
  <c r="F2038" i="2"/>
  <c r="E2038" i="2"/>
  <c r="D2038" i="2"/>
  <c r="H3344" i="2"/>
  <c r="G3344" i="2"/>
  <c r="F3344" i="2"/>
  <c r="E3344" i="2"/>
  <c r="D3344" i="2"/>
  <c r="H2403" i="2"/>
  <c r="G2403" i="2"/>
  <c r="F2403" i="2"/>
  <c r="E2403" i="2"/>
  <c r="D2403" i="2"/>
  <c r="H2535" i="2"/>
  <c r="G2535" i="2"/>
  <c r="F2535" i="2"/>
  <c r="E2535" i="2"/>
  <c r="D2535" i="2"/>
  <c r="H2534" i="2"/>
  <c r="G2534" i="2"/>
  <c r="F2534" i="2"/>
  <c r="E2534" i="2"/>
  <c r="D2534" i="2"/>
  <c r="H3144" i="2"/>
  <c r="G3144" i="2"/>
  <c r="F3144" i="2"/>
  <c r="E3144" i="2"/>
  <c r="D3144" i="2"/>
  <c r="H3143" i="2"/>
  <c r="G3143" i="2"/>
  <c r="F3143" i="2"/>
  <c r="E3143" i="2"/>
  <c r="D3143" i="2"/>
  <c r="H328" i="2"/>
  <c r="G328" i="2"/>
  <c r="F328" i="2"/>
  <c r="E328" i="2"/>
  <c r="D328" i="2"/>
  <c r="H2331" i="2"/>
  <c r="G2331" i="2"/>
  <c r="F2331" i="2"/>
  <c r="E2331" i="2"/>
  <c r="D2331" i="2"/>
  <c r="H2330" i="2"/>
  <c r="G2330" i="2"/>
  <c r="F2330" i="2"/>
  <c r="E2330" i="2"/>
  <c r="D2330" i="2"/>
  <c r="H2467" i="2"/>
  <c r="G2467" i="2"/>
  <c r="F2467" i="2"/>
  <c r="E2467" i="2"/>
  <c r="D2467" i="2"/>
  <c r="H2466" i="2"/>
  <c r="G2466" i="2"/>
  <c r="F2466" i="2"/>
  <c r="E2466" i="2"/>
  <c r="D2466" i="2"/>
  <c r="H892" i="2"/>
  <c r="G892" i="2"/>
  <c r="F892" i="2"/>
  <c r="E892" i="2"/>
  <c r="D892" i="2"/>
  <c r="H2769" i="2"/>
  <c r="G2769" i="2"/>
  <c r="F2769" i="2"/>
  <c r="E2769" i="2"/>
  <c r="D2769" i="2"/>
  <c r="H2768" i="2"/>
  <c r="G2768" i="2"/>
  <c r="F2768" i="2"/>
  <c r="E2768" i="2"/>
  <c r="D2768" i="2"/>
  <c r="H2767" i="2"/>
  <c r="G2767" i="2"/>
  <c r="F2767" i="2"/>
  <c r="E2767" i="2"/>
  <c r="D2767" i="2"/>
  <c r="H2766" i="2"/>
  <c r="G2766" i="2"/>
  <c r="F2766" i="2"/>
  <c r="E2766" i="2"/>
  <c r="D2766" i="2"/>
  <c r="H2765" i="2"/>
  <c r="G2765" i="2"/>
  <c r="F2765" i="2"/>
  <c r="E2765" i="2"/>
  <c r="D2765" i="2"/>
  <c r="H2764" i="2"/>
  <c r="G2764" i="2"/>
  <c r="F2764" i="2"/>
  <c r="E2764" i="2"/>
  <c r="D2764" i="2"/>
  <c r="H993" i="2"/>
  <c r="G993" i="2"/>
  <c r="F993" i="2"/>
  <c r="E993" i="2"/>
  <c r="D993" i="2"/>
  <c r="H363" i="2"/>
  <c r="G363" i="2"/>
  <c r="F363" i="2"/>
  <c r="E363" i="2"/>
  <c r="D363" i="2"/>
  <c r="H1274" i="2"/>
  <c r="G1274" i="2"/>
  <c r="F1274" i="2"/>
  <c r="E1274" i="2"/>
  <c r="D1274" i="2"/>
  <c r="H3683" i="2"/>
  <c r="G3683" i="2"/>
  <c r="F3683" i="2"/>
  <c r="E3683" i="2"/>
  <c r="D3683" i="2"/>
  <c r="H3682" i="2"/>
  <c r="G3682" i="2"/>
  <c r="F3682" i="2"/>
  <c r="E3682" i="2"/>
  <c r="D3682" i="2"/>
  <c r="H3681" i="2"/>
  <c r="G3681" i="2"/>
  <c r="F3681" i="2"/>
  <c r="E3681" i="2"/>
  <c r="D3681" i="2"/>
  <c r="H3680" i="2"/>
  <c r="G3680" i="2"/>
  <c r="F3680" i="2"/>
  <c r="E3680" i="2"/>
  <c r="D3680" i="2"/>
  <c r="H3679" i="2"/>
  <c r="G3679" i="2"/>
  <c r="F3679" i="2"/>
  <c r="E3679" i="2"/>
  <c r="D3679" i="2"/>
  <c r="H3678" i="2"/>
  <c r="G3678" i="2"/>
  <c r="F3678" i="2"/>
  <c r="E3678" i="2"/>
  <c r="D3678" i="2"/>
  <c r="H2780" i="2"/>
  <c r="G2780" i="2"/>
  <c r="F2780" i="2"/>
  <c r="E2780" i="2"/>
  <c r="D2780" i="2"/>
  <c r="H2779" i="2"/>
  <c r="G2779" i="2"/>
  <c r="F2779" i="2"/>
  <c r="E2779" i="2"/>
  <c r="D2779" i="2"/>
  <c r="H2778" i="2"/>
  <c r="G2778" i="2"/>
  <c r="F2778" i="2"/>
  <c r="E2778" i="2"/>
  <c r="D2778" i="2"/>
  <c r="H189" i="2"/>
  <c r="G189" i="2"/>
  <c r="F189" i="2"/>
  <c r="E189" i="2"/>
  <c r="D189" i="2"/>
  <c r="H188" i="2"/>
  <c r="G188" i="2"/>
  <c r="F188" i="2"/>
  <c r="E188" i="2"/>
  <c r="D188" i="2"/>
  <c r="H187" i="2"/>
  <c r="G187" i="2"/>
  <c r="F187" i="2"/>
  <c r="E187" i="2"/>
  <c r="D187" i="2"/>
  <c r="H186" i="2"/>
  <c r="G186" i="2"/>
  <c r="F186" i="2"/>
  <c r="E186" i="2"/>
  <c r="D186" i="2"/>
  <c r="H2340" i="2"/>
  <c r="G2340" i="2"/>
  <c r="F2340" i="2"/>
  <c r="E2340" i="2"/>
  <c r="D2340" i="2"/>
  <c r="H2339" i="2"/>
  <c r="G2339" i="2"/>
  <c r="F2339" i="2"/>
  <c r="E2339" i="2"/>
  <c r="D2339" i="2"/>
  <c r="H2338" i="2"/>
  <c r="G2338" i="2"/>
  <c r="F2338" i="2"/>
  <c r="E2338" i="2"/>
  <c r="D2338" i="2"/>
  <c r="H302" i="2"/>
  <c r="G302" i="2"/>
  <c r="F302" i="2"/>
  <c r="E302" i="2"/>
  <c r="D302" i="2"/>
  <c r="H301" i="2"/>
  <c r="G301" i="2"/>
  <c r="F301" i="2"/>
  <c r="E301" i="2"/>
  <c r="D301" i="2"/>
  <c r="H3620" i="2"/>
  <c r="G3620" i="2"/>
  <c r="F3620" i="2"/>
  <c r="E3620" i="2"/>
  <c r="D3620" i="2"/>
  <c r="H3619" i="2"/>
  <c r="G3619" i="2"/>
  <c r="F3619" i="2"/>
  <c r="E3619" i="2"/>
  <c r="D3619" i="2"/>
  <c r="H2753" i="2"/>
  <c r="G2753" i="2"/>
  <c r="F2753" i="2"/>
  <c r="E2753" i="2"/>
  <c r="D2753" i="2"/>
  <c r="H2752" i="2"/>
  <c r="G2752" i="2"/>
  <c r="F2752" i="2"/>
  <c r="E2752" i="2"/>
  <c r="D2752" i="2"/>
  <c r="H1776" i="2"/>
  <c r="G1776" i="2"/>
  <c r="F1776" i="2"/>
  <c r="E1776" i="2"/>
  <c r="D1776" i="2"/>
  <c r="H1775" i="2"/>
  <c r="G1775" i="2"/>
  <c r="F1775" i="2"/>
  <c r="E1775" i="2"/>
  <c r="D1775" i="2"/>
  <c r="H2855" i="2"/>
  <c r="G2855" i="2"/>
  <c r="F2855" i="2"/>
  <c r="E2855" i="2"/>
  <c r="D2855" i="2"/>
  <c r="H960" i="2"/>
  <c r="G960" i="2"/>
  <c r="F960" i="2"/>
  <c r="E960" i="2"/>
  <c r="D960" i="2"/>
  <c r="H521" i="2"/>
  <c r="G521" i="2"/>
  <c r="F521" i="2"/>
  <c r="E521" i="2"/>
  <c r="D521" i="2"/>
  <c r="H1690" i="2"/>
  <c r="G1690" i="2"/>
  <c r="F1690" i="2"/>
  <c r="E1690" i="2"/>
  <c r="D1690" i="2"/>
  <c r="H1689" i="2"/>
  <c r="G1689" i="2"/>
  <c r="F1689" i="2"/>
  <c r="E1689" i="2"/>
  <c r="D1689" i="2"/>
  <c r="H1688" i="2"/>
  <c r="G1688" i="2"/>
  <c r="F1688" i="2"/>
  <c r="E1688" i="2"/>
  <c r="D1688" i="2"/>
  <c r="H1687" i="2"/>
  <c r="G1687" i="2"/>
  <c r="F1687" i="2"/>
  <c r="E1687" i="2"/>
  <c r="D1687" i="2"/>
  <c r="H1434" i="2"/>
  <c r="G1434" i="2"/>
  <c r="F1434" i="2"/>
  <c r="E1434" i="2"/>
  <c r="D1434" i="2"/>
  <c r="H1423" i="2"/>
  <c r="G1423" i="2"/>
  <c r="F1423" i="2"/>
  <c r="E1423" i="2"/>
  <c r="D1423" i="2"/>
  <c r="H1422" i="2"/>
  <c r="G1422" i="2"/>
  <c r="F1422" i="2"/>
  <c r="E1422" i="2"/>
  <c r="D1422" i="2"/>
  <c r="H1421" i="2"/>
  <c r="G1421" i="2"/>
  <c r="F1421" i="2"/>
  <c r="E1421" i="2"/>
  <c r="D1421" i="2"/>
  <c r="H1420" i="2"/>
  <c r="G1420" i="2"/>
  <c r="F1420" i="2"/>
  <c r="E1420" i="2"/>
  <c r="D1420" i="2"/>
  <c r="H66" i="2"/>
  <c r="G66" i="2"/>
  <c r="F66" i="2"/>
  <c r="E66" i="2"/>
  <c r="D66" i="2"/>
  <c r="H65" i="2"/>
  <c r="G65" i="2"/>
  <c r="F65" i="2"/>
  <c r="E65" i="2"/>
  <c r="D65" i="2"/>
  <c r="H25" i="2"/>
  <c r="G25" i="2"/>
  <c r="F25" i="2"/>
  <c r="E25" i="2"/>
  <c r="D25" i="2"/>
  <c r="H2335" i="2"/>
  <c r="G2335" i="2"/>
  <c r="F2335" i="2"/>
  <c r="E2335" i="2"/>
  <c r="D2335" i="2"/>
  <c r="H217" i="2"/>
  <c r="G217" i="2"/>
  <c r="F217" i="2"/>
  <c r="E217" i="2"/>
  <c r="D217" i="2"/>
  <c r="H216" i="2"/>
  <c r="G216" i="2"/>
  <c r="F216" i="2"/>
  <c r="E216" i="2"/>
  <c r="D216" i="2"/>
  <c r="H215" i="2"/>
  <c r="G215" i="2"/>
  <c r="F215" i="2"/>
  <c r="E215" i="2"/>
  <c r="D215" i="2"/>
  <c r="H214" i="2"/>
  <c r="G214" i="2"/>
  <c r="F214" i="2"/>
  <c r="E214" i="2"/>
  <c r="D214" i="2"/>
  <c r="H213" i="2"/>
  <c r="G213" i="2"/>
  <c r="F213" i="2"/>
  <c r="E213" i="2"/>
  <c r="D213" i="2"/>
  <c r="H2652" i="2"/>
  <c r="G2652" i="2"/>
  <c r="F2652" i="2"/>
  <c r="E2652" i="2"/>
  <c r="D2652" i="2"/>
  <c r="H2651" i="2"/>
  <c r="G2651" i="2"/>
  <c r="F2651" i="2"/>
  <c r="E2651" i="2"/>
  <c r="D2651" i="2"/>
  <c r="H2650" i="2"/>
  <c r="G2650" i="2"/>
  <c r="F2650" i="2"/>
  <c r="E2650" i="2"/>
  <c r="D2650" i="2"/>
  <c r="H2649" i="2"/>
  <c r="G2649" i="2"/>
  <c r="F2649" i="2"/>
  <c r="E2649" i="2"/>
  <c r="D2649" i="2"/>
  <c r="H1164" i="2"/>
  <c r="G1164" i="2"/>
  <c r="F1164" i="2"/>
  <c r="E1164" i="2"/>
  <c r="D1164" i="2"/>
  <c r="H2791" i="2"/>
  <c r="G2791" i="2"/>
  <c r="F2791" i="2"/>
  <c r="E2791" i="2"/>
  <c r="D2791" i="2"/>
  <c r="H582" i="2"/>
  <c r="G582" i="2"/>
  <c r="F582" i="2"/>
  <c r="E582" i="2"/>
  <c r="D582" i="2"/>
  <c r="H1280" i="2"/>
  <c r="G1280" i="2"/>
  <c r="F1280" i="2"/>
  <c r="E1280" i="2"/>
  <c r="D1280" i="2"/>
  <c r="H1612" i="2"/>
  <c r="G1612" i="2"/>
  <c r="F1612" i="2"/>
  <c r="E1612" i="2"/>
  <c r="D1612" i="2"/>
  <c r="H1611" i="2"/>
  <c r="G1611" i="2"/>
  <c r="F1611" i="2"/>
  <c r="E1611" i="2"/>
  <c r="D1611" i="2"/>
  <c r="H1610" i="2"/>
  <c r="G1610" i="2"/>
  <c r="F1610" i="2"/>
  <c r="E1610" i="2"/>
  <c r="D1610" i="2"/>
  <c r="H1609" i="2"/>
  <c r="G1609" i="2"/>
  <c r="F1609" i="2"/>
  <c r="E1609" i="2"/>
  <c r="D1609" i="2"/>
  <c r="H1608" i="2"/>
  <c r="G1608" i="2"/>
  <c r="F1608" i="2"/>
  <c r="E1608" i="2"/>
  <c r="D1608" i="2"/>
  <c r="H1822" i="2"/>
  <c r="G1822" i="2"/>
  <c r="F1822" i="2"/>
  <c r="E1822" i="2"/>
  <c r="D1822" i="2"/>
  <c r="H1821" i="2"/>
  <c r="G1821" i="2"/>
  <c r="F1821" i="2"/>
  <c r="E1821" i="2"/>
  <c r="D1821" i="2"/>
  <c r="H1872" i="2"/>
  <c r="G1872" i="2"/>
  <c r="F1872" i="2"/>
  <c r="E1872" i="2"/>
  <c r="D1872" i="2"/>
  <c r="H1871" i="2"/>
  <c r="G1871" i="2"/>
  <c r="F1871" i="2"/>
  <c r="E1871" i="2"/>
  <c r="D1871" i="2"/>
  <c r="H1866" i="2"/>
  <c r="G1866" i="2"/>
  <c r="F1866" i="2"/>
  <c r="E1866" i="2"/>
  <c r="D1866" i="2"/>
  <c r="H3411" i="2"/>
  <c r="G3411" i="2"/>
  <c r="F3411" i="2"/>
  <c r="E3411" i="2"/>
  <c r="D3411" i="2"/>
  <c r="H3410" i="2"/>
  <c r="G3410" i="2"/>
  <c r="F3410" i="2"/>
  <c r="E3410" i="2"/>
  <c r="D3410" i="2"/>
  <c r="H520" i="2"/>
  <c r="G520" i="2"/>
  <c r="F520" i="2"/>
  <c r="E520" i="2"/>
  <c r="D520" i="2"/>
  <c r="H519" i="2"/>
  <c r="G519" i="2"/>
  <c r="F519" i="2"/>
  <c r="E519" i="2"/>
  <c r="D519" i="2"/>
  <c r="H518" i="2"/>
  <c r="G518" i="2"/>
  <c r="F518" i="2"/>
  <c r="E518" i="2"/>
  <c r="D518" i="2"/>
  <c r="H1552" i="2"/>
  <c r="G1552" i="2"/>
  <c r="F1552" i="2"/>
  <c r="E1552" i="2"/>
  <c r="D1552" i="2"/>
  <c r="H2733" i="2"/>
  <c r="G2733" i="2"/>
  <c r="F2733" i="2"/>
  <c r="E2733" i="2"/>
  <c r="D2733" i="2"/>
  <c r="H2732" i="2"/>
  <c r="G2732" i="2"/>
  <c r="F2732" i="2"/>
  <c r="E2732" i="2"/>
  <c r="D2732" i="2"/>
  <c r="H96" i="2"/>
  <c r="G96" i="2"/>
  <c r="F96" i="2"/>
  <c r="E96" i="2"/>
  <c r="D96" i="2"/>
  <c r="H95" i="2"/>
  <c r="G95" i="2"/>
  <c r="F95" i="2"/>
  <c r="E95" i="2"/>
  <c r="D95" i="2"/>
  <c r="H3366" i="2"/>
  <c r="G3366" i="2"/>
  <c r="F3366" i="2"/>
  <c r="E3366" i="2"/>
  <c r="D3366" i="2"/>
  <c r="H3696" i="2"/>
  <c r="G3696" i="2"/>
  <c r="F3696" i="2"/>
  <c r="E3696" i="2"/>
  <c r="D3696" i="2"/>
  <c r="H3337" i="2"/>
  <c r="G3337" i="2"/>
  <c r="F3337" i="2"/>
  <c r="E3337" i="2"/>
  <c r="D3337" i="2"/>
  <c r="H3336" i="2"/>
  <c r="G3336" i="2"/>
  <c r="F3336" i="2"/>
  <c r="E3336" i="2"/>
  <c r="D3336" i="2"/>
  <c r="H3093" i="2"/>
  <c r="G3093" i="2"/>
  <c r="F3093" i="2"/>
  <c r="E3093" i="2"/>
  <c r="D3093" i="2"/>
  <c r="H2171" i="2"/>
  <c r="G2171" i="2"/>
  <c r="F2171" i="2"/>
  <c r="E2171" i="2"/>
  <c r="D2171" i="2"/>
  <c r="H2170" i="2"/>
  <c r="G2170" i="2"/>
  <c r="F2170" i="2"/>
  <c r="E2170" i="2"/>
  <c r="D2170" i="2"/>
  <c r="H2169" i="2"/>
  <c r="G2169" i="2"/>
  <c r="F2169" i="2"/>
  <c r="E2169" i="2"/>
  <c r="D2169" i="2"/>
  <c r="H2168" i="2"/>
  <c r="G2168" i="2"/>
  <c r="F2168" i="2"/>
  <c r="E2168" i="2"/>
  <c r="D2168" i="2"/>
  <c r="H1713" i="2"/>
  <c r="G1713" i="2"/>
  <c r="F1713" i="2"/>
  <c r="E1713" i="2"/>
  <c r="D1713" i="2"/>
  <c r="H3596" i="2"/>
  <c r="G3596" i="2"/>
  <c r="F3596" i="2"/>
  <c r="E3596" i="2"/>
  <c r="D3596" i="2"/>
  <c r="H2960" i="2"/>
  <c r="G2960" i="2"/>
  <c r="F2960" i="2"/>
  <c r="E2960" i="2"/>
  <c r="D2960" i="2"/>
  <c r="H3111" i="2"/>
  <c r="G3111" i="2"/>
  <c r="F3111" i="2"/>
  <c r="E3111" i="2"/>
  <c r="D3111" i="2"/>
  <c r="H3114" i="2"/>
  <c r="G3114" i="2"/>
  <c r="F3114" i="2"/>
  <c r="E3114" i="2"/>
  <c r="D3114" i="2"/>
  <c r="H3113" i="2"/>
  <c r="G3113" i="2"/>
  <c r="F3113" i="2"/>
  <c r="E3113" i="2"/>
  <c r="D3113" i="2"/>
  <c r="H10" i="2"/>
  <c r="G10" i="2"/>
  <c r="F10" i="2"/>
  <c r="E10" i="2"/>
  <c r="D10" i="2"/>
  <c r="H945" i="2"/>
  <c r="G945" i="2"/>
  <c r="F945" i="2"/>
  <c r="E945" i="2"/>
  <c r="D945" i="2"/>
  <c r="H3102" i="2"/>
  <c r="G3102" i="2"/>
  <c r="F3102" i="2"/>
  <c r="E3102" i="2"/>
  <c r="D3102" i="2"/>
  <c r="H3101" i="2"/>
  <c r="G3101" i="2"/>
  <c r="F3101" i="2"/>
  <c r="E3101" i="2"/>
  <c r="D3101" i="2"/>
  <c r="H1431" i="2"/>
  <c r="G1431" i="2"/>
  <c r="F1431" i="2"/>
  <c r="E1431" i="2"/>
  <c r="D1431" i="2"/>
  <c r="H1803" i="2"/>
  <c r="G1803" i="2"/>
  <c r="F1803" i="2"/>
  <c r="E1803" i="2"/>
  <c r="D1803" i="2"/>
  <c r="H1802" i="2"/>
  <c r="G1802" i="2"/>
  <c r="F1802" i="2"/>
  <c r="E1802" i="2"/>
  <c r="D1802" i="2"/>
  <c r="H1801" i="2"/>
  <c r="G1801" i="2"/>
  <c r="F1801" i="2"/>
  <c r="E1801" i="2"/>
  <c r="D1801" i="2"/>
  <c r="H824" i="2"/>
  <c r="G824" i="2"/>
  <c r="F824" i="2"/>
  <c r="E824" i="2"/>
  <c r="D824" i="2"/>
  <c r="H823" i="2"/>
  <c r="G823" i="2"/>
  <c r="F823" i="2"/>
  <c r="E823" i="2"/>
  <c r="D823" i="2"/>
  <c r="H822" i="2"/>
  <c r="G822" i="2"/>
  <c r="F822" i="2"/>
  <c r="E822" i="2"/>
  <c r="D822" i="2"/>
  <c r="H1912" i="2"/>
  <c r="G1912" i="2"/>
  <c r="F1912" i="2"/>
  <c r="E1912" i="2"/>
  <c r="D1912" i="2"/>
  <c r="H1911" i="2"/>
  <c r="G1911" i="2"/>
  <c r="F1911" i="2"/>
  <c r="E1911" i="2"/>
  <c r="D1911" i="2"/>
  <c r="H792" i="2"/>
  <c r="G792" i="2"/>
  <c r="F792" i="2"/>
  <c r="E792" i="2"/>
  <c r="D792" i="2"/>
  <c r="H791" i="2"/>
  <c r="G791" i="2"/>
  <c r="F791" i="2"/>
  <c r="E791" i="2"/>
  <c r="D791" i="2"/>
  <c r="H790" i="2"/>
  <c r="G790" i="2"/>
  <c r="F790" i="2"/>
  <c r="E790" i="2"/>
  <c r="D790" i="2"/>
  <c r="H1227" i="2"/>
  <c r="G1227" i="2"/>
  <c r="F1227" i="2"/>
  <c r="E1227" i="2"/>
  <c r="D1227" i="2"/>
  <c r="H1226" i="2"/>
  <c r="G1226" i="2"/>
  <c r="F1226" i="2"/>
  <c r="E1226" i="2"/>
  <c r="D1226" i="2"/>
  <c r="H1225" i="2"/>
  <c r="G1225" i="2"/>
  <c r="F1225" i="2"/>
  <c r="E1225" i="2"/>
  <c r="D1225" i="2"/>
  <c r="H1159" i="2"/>
  <c r="G1159" i="2"/>
  <c r="F1159" i="2"/>
  <c r="E1159" i="2"/>
  <c r="D1159" i="2"/>
  <c r="H1158" i="2"/>
  <c r="G1158" i="2"/>
  <c r="F1158" i="2"/>
  <c r="E1158" i="2"/>
  <c r="D1158" i="2"/>
  <c r="H1157" i="2"/>
  <c r="G1157" i="2"/>
  <c r="F1157" i="2"/>
  <c r="E1157" i="2"/>
  <c r="D1157" i="2"/>
  <c r="H3648" i="2"/>
  <c r="G3648" i="2"/>
  <c r="F3648" i="2"/>
  <c r="E3648" i="2"/>
  <c r="D3648" i="2"/>
  <c r="H388" i="2"/>
  <c r="G388" i="2"/>
  <c r="F388" i="2"/>
  <c r="E388" i="2"/>
  <c r="D388" i="2"/>
  <c r="H387" i="2"/>
  <c r="G387" i="2"/>
  <c r="F387" i="2"/>
  <c r="E387" i="2"/>
  <c r="D387" i="2"/>
  <c r="H2973" i="2"/>
  <c r="G2973" i="2"/>
  <c r="F2973" i="2"/>
  <c r="E2973" i="2"/>
  <c r="D2973" i="2"/>
  <c r="H2972" i="2"/>
  <c r="G2972" i="2"/>
  <c r="F2972" i="2"/>
  <c r="E2972" i="2"/>
  <c r="D2972" i="2"/>
  <c r="H2971" i="2"/>
  <c r="G2971" i="2"/>
  <c r="F2971" i="2"/>
  <c r="E2971" i="2"/>
  <c r="D2971" i="2"/>
  <c r="H2970" i="2"/>
  <c r="G2970" i="2"/>
  <c r="F2970" i="2"/>
  <c r="E2970" i="2"/>
  <c r="D2970" i="2"/>
  <c r="H2969" i="2"/>
  <c r="G2969" i="2"/>
  <c r="F2969" i="2"/>
  <c r="E2969" i="2"/>
  <c r="D2969" i="2"/>
  <c r="H2637" i="2"/>
  <c r="G2637" i="2"/>
  <c r="F2637" i="2"/>
  <c r="E2637" i="2"/>
  <c r="D2637" i="2"/>
  <c r="H2636" i="2"/>
  <c r="G2636" i="2"/>
  <c r="F2636" i="2"/>
  <c r="E2636" i="2"/>
  <c r="D2636" i="2"/>
  <c r="H2635" i="2"/>
  <c r="G2635" i="2"/>
  <c r="F2635" i="2"/>
  <c r="E2635" i="2"/>
  <c r="D2635" i="2"/>
  <c r="H2634" i="2"/>
  <c r="G2634" i="2"/>
  <c r="F2634" i="2"/>
  <c r="E2634" i="2"/>
  <c r="D2634" i="2"/>
  <c r="H2633" i="2"/>
  <c r="G2633" i="2"/>
  <c r="F2633" i="2"/>
  <c r="E2633" i="2"/>
  <c r="D2633" i="2"/>
  <c r="H955" i="2"/>
  <c r="G955" i="2"/>
  <c r="F955" i="2"/>
  <c r="E955" i="2"/>
  <c r="D955" i="2"/>
  <c r="H3123" i="2"/>
  <c r="G3123" i="2"/>
  <c r="F3123" i="2"/>
  <c r="E3123" i="2"/>
  <c r="D3123" i="2"/>
  <c r="H2935" i="2"/>
  <c r="G2935" i="2"/>
  <c r="F2935" i="2"/>
  <c r="E2935" i="2"/>
  <c r="D2935" i="2"/>
  <c r="H3233" i="2"/>
  <c r="G3233" i="2"/>
  <c r="F3233" i="2"/>
  <c r="E3233" i="2"/>
  <c r="D3233" i="2"/>
  <c r="H3232" i="2"/>
  <c r="G3232" i="2"/>
  <c r="F3232" i="2"/>
  <c r="E3232" i="2"/>
  <c r="D3232" i="2"/>
  <c r="H1817" i="2"/>
  <c r="G1817" i="2"/>
  <c r="F1817" i="2"/>
  <c r="E1817" i="2"/>
  <c r="D1817" i="2"/>
  <c r="H1772" i="2"/>
  <c r="G1772" i="2"/>
  <c r="F1772" i="2"/>
  <c r="E1772" i="2"/>
  <c r="D1772" i="2"/>
  <c r="H1341" i="2"/>
  <c r="G1341" i="2"/>
  <c r="F1341" i="2"/>
  <c r="E1341" i="2"/>
  <c r="D1341" i="2"/>
  <c r="H185" i="2"/>
  <c r="G185" i="2"/>
  <c r="F185" i="2"/>
  <c r="E185" i="2"/>
  <c r="D185" i="2"/>
  <c r="H184" i="2"/>
  <c r="G184" i="2"/>
  <c r="F184" i="2"/>
  <c r="E184" i="2"/>
  <c r="D184" i="2"/>
  <c r="H183" i="2"/>
  <c r="G183" i="2"/>
  <c r="F183" i="2"/>
  <c r="E183" i="2"/>
  <c r="D183" i="2"/>
  <c r="H182" i="2"/>
  <c r="G182" i="2"/>
  <c r="F182" i="2"/>
  <c r="E182" i="2"/>
  <c r="D182" i="2"/>
  <c r="H181" i="2"/>
  <c r="G181" i="2"/>
  <c r="F181" i="2"/>
  <c r="E181" i="2"/>
  <c r="D181" i="2"/>
  <c r="H261" i="2"/>
  <c r="G261" i="2"/>
  <c r="F261" i="2"/>
  <c r="E261" i="2"/>
  <c r="D261" i="2"/>
  <c r="H1963" i="2"/>
  <c r="G1963" i="2"/>
  <c r="F1963" i="2"/>
  <c r="E1963" i="2"/>
  <c r="D1963" i="2"/>
  <c r="H1962" i="2"/>
  <c r="G1962" i="2"/>
  <c r="F1962" i="2"/>
  <c r="E1962" i="2"/>
  <c r="D1962" i="2"/>
  <c r="H610" i="2"/>
  <c r="G610" i="2"/>
  <c r="F610" i="2"/>
  <c r="E610" i="2"/>
  <c r="D610" i="2"/>
  <c r="H609" i="2"/>
  <c r="G609" i="2"/>
  <c r="F609" i="2"/>
  <c r="E609" i="2"/>
  <c r="D609" i="2"/>
  <c r="H3551" i="2"/>
  <c r="G3551" i="2"/>
  <c r="F3551" i="2"/>
  <c r="E3551" i="2"/>
  <c r="D3551" i="2"/>
  <c r="H1108" i="2"/>
  <c r="G1108" i="2"/>
  <c r="F1108" i="2"/>
  <c r="E1108" i="2"/>
  <c r="D1108" i="2"/>
  <c r="H1107" i="2"/>
  <c r="G1107" i="2"/>
  <c r="F1107" i="2"/>
  <c r="E1107" i="2"/>
  <c r="D1107" i="2"/>
  <c r="H1106" i="2"/>
  <c r="G1106" i="2"/>
  <c r="F1106" i="2"/>
  <c r="E1106" i="2"/>
  <c r="D1106" i="2"/>
  <c r="H97" i="2"/>
  <c r="G97" i="2"/>
  <c r="F97" i="2"/>
  <c r="E97" i="2"/>
  <c r="D97" i="2"/>
  <c r="H2056" i="2"/>
  <c r="G2056" i="2"/>
  <c r="F2056" i="2"/>
  <c r="E2056" i="2"/>
  <c r="D2056" i="2"/>
  <c r="H3155" i="2"/>
  <c r="G3155" i="2"/>
  <c r="F3155" i="2"/>
  <c r="E3155" i="2"/>
  <c r="D3155" i="2"/>
  <c r="H1348" i="2"/>
  <c r="G1348" i="2"/>
  <c r="F1348" i="2"/>
  <c r="E1348" i="2"/>
  <c r="D1348" i="2"/>
  <c r="H1347" i="2"/>
  <c r="G1347" i="2"/>
  <c r="F1347" i="2"/>
  <c r="E1347" i="2"/>
  <c r="D1347" i="2"/>
  <c r="H3019" i="2"/>
  <c r="G3019" i="2"/>
  <c r="F3019" i="2"/>
  <c r="E3019" i="2"/>
  <c r="D3019" i="2"/>
  <c r="H3018" i="2"/>
  <c r="G3018" i="2"/>
  <c r="F3018" i="2"/>
  <c r="E3018" i="2"/>
  <c r="D3018" i="2"/>
  <c r="H3017" i="2"/>
  <c r="G3017" i="2"/>
  <c r="F3017" i="2"/>
  <c r="E3017" i="2"/>
  <c r="D3017" i="2"/>
  <c r="H3129" i="2"/>
  <c r="G3129" i="2"/>
  <c r="F3129" i="2"/>
  <c r="E3129" i="2"/>
  <c r="D3129" i="2"/>
  <c r="H3128" i="2"/>
  <c r="G3128" i="2"/>
  <c r="F3128" i="2"/>
  <c r="E3128" i="2"/>
  <c r="D3128" i="2"/>
  <c r="H3127" i="2"/>
  <c r="G3127" i="2"/>
  <c r="F3127" i="2"/>
  <c r="E3127" i="2"/>
  <c r="D3127" i="2"/>
  <c r="H3126" i="2"/>
  <c r="G3126" i="2"/>
  <c r="F3126" i="2"/>
  <c r="E3126" i="2"/>
  <c r="D3126" i="2"/>
  <c r="H3125" i="2"/>
  <c r="G3125" i="2"/>
  <c r="F3125" i="2"/>
  <c r="E3125" i="2"/>
  <c r="D3125" i="2"/>
  <c r="H918" i="2"/>
  <c r="G918" i="2"/>
  <c r="F918" i="2"/>
  <c r="E918" i="2"/>
  <c r="D918" i="2"/>
  <c r="H1037" i="2"/>
  <c r="G1037" i="2"/>
  <c r="F1037" i="2"/>
  <c r="E1037" i="2"/>
  <c r="D1037" i="2"/>
  <c r="H1036" i="2"/>
  <c r="G1036" i="2"/>
  <c r="F1036" i="2"/>
  <c r="E1036" i="2"/>
  <c r="D1036" i="2"/>
  <c r="H1035" i="2"/>
  <c r="G1035" i="2"/>
  <c r="F1035" i="2"/>
  <c r="E1035" i="2"/>
  <c r="D1035" i="2"/>
  <c r="H2246" i="2"/>
  <c r="G2246" i="2"/>
  <c r="F2246" i="2"/>
  <c r="E2246" i="2"/>
  <c r="D2246" i="2"/>
  <c r="H3391" i="2"/>
  <c r="G3391" i="2"/>
  <c r="F3391" i="2"/>
  <c r="E3391" i="2"/>
  <c r="D3391" i="2"/>
  <c r="H3390" i="2"/>
  <c r="G3390" i="2"/>
  <c r="F3390" i="2"/>
  <c r="E3390" i="2"/>
  <c r="D3390" i="2"/>
  <c r="H1823" i="2"/>
  <c r="G1823" i="2"/>
  <c r="F1823" i="2"/>
  <c r="E1823" i="2"/>
  <c r="D1823" i="2"/>
  <c r="H28" i="2"/>
  <c r="G28" i="2"/>
  <c r="F28" i="2"/>
  <c r="E28" i="2"/>
  <c r="D28" i="2"/>
  <c r="H27" i="2"/>
  <c r="G27" i="2"/>
  <c r="F27" i="2"/>
  <c r="E27" i="2"/>
  <c r="D27" i="2"/>
  <c r="H1792" i="2"/>
  <c r="G1792" i="2"/>
  <c r="F1792" i="2"/>
  <c r="E1792" i="2"/>
  <c r="D1792" i="2"/>
  <c r="H1549" i="2"/>
  <c r="G1549" i="2"/>
  <c r="F1549" i="2"/>
  <c r="E1549" i="2"/>
  <c r="D1549" i="2"/>
  <c r="H126" i="2"/>
  <c r="G126" i="2"/>
  <c r="F126" i="2"/>
  <c r="E126" i="2"/>
  <c r="D126" i="2"/>
  <c r="H2683" i="2"/>
  <c r="G2683" i="2"/>
  <c r="F2683" i="2"/>
  <c r="E2683" i="2"/>
  <c r="D2683" i="2"/>
  <c r="H2682" i="2"/>
  <c r="G2682" i="2"/>
  <c r="F2682" i="2"/>
  <c r="E2682" i="2"/>
  <c r="D2682" i="2"/>
  <c r="H2588" i="2"/>
  <c r="G2588" i="2"/>
  <c r="F2588" i="2"/>
  <c r="E2588" i="2"/>
  <c r="D2588" i="2"/>
  <c r="H2587" i="2"/>
  <c r="G2587" i="2"/>
  <c r="F2587" i="2"/>
  <c r="E2587" i="2"/>
  <c r="D2587" i="2"/>
  <c r="H2586" i="2"/>
  <c r="G2586" i="2"/>
  <c r="F2586" i="2"/>
  <c r="E2586" i="2"/>
  <c r="D2586" i="2"/>
  <c r="H1152" i="2"/>
  <c r="G1152" i="2"/>
  <c r="F1152" i="2"/>
  <c r="E1152" i="2"/>
  <c r="D1152" i="2"/>
  <c r="H2938" i="2"/>
  <c r="G2938" i="2"/>
  <c r="F2938" i="2"/>
  <c r="E2938" i="2"/>
  <c r="D2938" i="2"/>
  <c r="H2937" i="2"/>
  <c r="G2937" i="2"/>
  <c r="F2937" i="2"/>
  <c r="E2937" i="2"/>
  <c r="D2937" i="2"/>
  <c r="H2936" i="2"/>
  <c r="G2936" i="2"/>
  <c r="F2936" i="2"/>
  <c r="E2936" i="2"/>
  <c r="D2936" i="2"/>
  <c r="H2583" i="2"/>
  <c r="G2583" i="2"/>
  <c r="F2583" i="2"/>
  <c r="E2583" i="2"/>
  <c r="D2583" i="2"/>
  <c r="H2582" i="2"/>
  <c r="G2582" i="2"/>
  <c r="F2582" i="2"/>
  <c r="E2582" i="2"/>
  <c r="D2582" i="2"/>
  <c r="H2581" i="2"/>
  <c r="G2581" i="2"/>
  <c r="F2581" i="2"/>
  <c r="E2581" i="2"/>
  <c r="D2581" i="2"/>
  <c r="H2580" i="2"/>
  <c r="G2580" i="2"/>
  <c r="F2580" i="2"/>
  <c r="E2580" i="2"/>
  <c r="D2580" i="2"/>
  <c r="H2579" i="2"/>
  <c r="G2579" i="2"/>
  <c r="F2579" i="2"/>
  <c r="E2579" i="2"/>
  <c r="D2579" i="2"/>
  <c r="H2578" i="2"/>
  <c r="G2578" i="2"/>
  <c r="F2578" i="2"/>
  <c r="E2578" i="2"/>
  <c r="D2578" i="2"/>
  <c r="H2577" i="2"/>
  <c r="G2577" i="2"/>
  <c r="F2577" i="2"/>
  <c r="E2577" i="2"/>
  <c r="D2577" i="2"/>
  <c r="H2576" i="2"/>
  <c r="G2576" i="2"/>
  <c r="F2576" i="2"/>
  <c r="E2576" i="2"/>
  <c r="D2576" i="2"/>
  <c r="H2575" i="2"/>
  <c r="G2575" i="2"/>
  <c r="F2575" i="2"/>
  <c r="E2575" i="2"/>
  <c r="D2575" i="2"/>
  <c r="H2574" i="2"/>
  <c r="G2574" i="2"/>
  <c r="F2574" i="2"/>
  <c r="E2574" i="2"/>
  <c r="D2574" i="2"/>
  <c r="H2573" i="2"/>
  <c r="G2573" i="2"/>
  <c r="F2573" i="2"/>
  <c r="E2573" i="2"/>
  <c r="D2573" i="2"/>
  <c r="H2572" i="2"/>
  <c r="G2572" i="2"/>
  <c r="F2572" i="2"/>
  <c r="E2572" i="2"/>
  <c r="D2572" i="2"/>
  <c r="H524" i="2"/>
  <c r="G524" i="2"/>
  <c r="F524" i="2"/>
  <c r="E524" i="2"/>
  <c r="D524" i="2"/>
  <c r="H523" i="2"/>
  <c r="G523" i="2"/>
  <c r="F523" i="2"/>
  <c r="E523" i="2"/>
  <c r="D523" i="2"/>
  <c r="H522" i="2"/>
  <c r="G522" i="2"/>
  <c r="F522" i="2"/>
  <c r="E522" i="2"/>
  <c r="D522" i="2"/>
  <c r="H1295" i="2"/>
  <c r="G1295" i="2"/>
  <c r="F1295" i="2"/>
  <c r="E1295" i="2"/>
  <c r="D1295" i="2"/>
  <c r="H1294" i="2"/>
  <c r="G1294" i="2"/>
  <c r="F1294" i="2"/>
  <c r="E1294" i="2"/>
  <c r="D1294" i="2"/>
  <c r="H1293" i="2"/>
  <c r="G1293" i="2"/>
  <c r="F1293" i="2"/>
  <c r="E1293" i="2"/>
  <c r="D1293" i="2"/>
  <c r="H1258" i="2"/>
  <c r="G1258" i="2"/>
  <c r="F1258" i="2"/>
  <c r="E1258" i="2"/>
  <c r="D1258" i="2"/>
  <c r="H1257" i="2"/>
  <c r="G1257" i="2"/>
  <c r="F1257" i="2"/>
  <c r="E1257" i="2"/>
  <c r="D1257" i="2"/>
  <c r="H1256" i="2"/>
  <c r="G1256" i="2"/>
  <c r="F1256" i="2"/>
  <c r="E1256" i="2"/>
  <c r="D1256" i="2"/>
  <c r="H1255" i="2"/>
  <c r="G1255" i="2"/>
  <c r="F1255" i="2"/>
  <c r="E1255" i="2"/>
  <c r="D1255" i="2"/>
  <c r="H3521" i="2"/>
  <c r="G3521" i="2"/>
  <c r="F3521" i="2"/>
  <c r="E3521" i="2"/>
  <c r="D3521" i="2"/>
  <c r="H3520" i="2"/>
  <c r="G3520" i="2"/>
  <c r="F3520" i="2"/>
  <c r="E3520" i="2"/>
  <c r="D3520" i="2"/>
  <c r="H324" i="2"/>
  <c r="G324" i="2"/>
  <c r="F324" i="2"/>
  <c r="E324" i="2"/>
  <c r="D324" i="2"/>
  <c r="H323" i="2"/>
  <c r="G323" i="2"/>
  <c r="F323" i="2"/>
  <c r="E323" i="2"/>
  <c r="D323" i="2"/>
  <c r="H3626" i="2"/>
  <c r="G3626" i="2"/>
  <c r="F3626" i="2"/>
  <c r="E3626" i="2"/>
  <c r="D3626" i="2"/>
  <c r="H2656" i="2"/>
  <c r="G2656" i="2"/>
  <c r="F2656" i="2"/>
  <c r="E2656" i="2"/>
  <c r="D2656" i="2"/>
  <c r="H2655" i="2"/>
  <c r="G2655" i="2"/>
  <c r="F2655" i="2"/>
  <c r="E2655" i="2"/>
  <c r="D2655" i="2"/>
  <c r="H2654" i="2"/>
  <c r="G2654" i="2"/>
  <c r="F2654" i="2"/>
  <c r="E2654" i="2"/>
  <c r="D2654" i="2"/>
  <c r="H2653" i="2"/>
  <c r="G2653" i="2"/>
  <c r="F2653" i="2"/>
  <c r="E2653" i="2"/>
  <c r="D2653" i="2"/>
  <c r="H1299" i="2"/>
  <c r="G1299" i="2"/>
  <c r="F1299" i="2"/>
  <c r="E1299" i="2"/>
  <c r="D1299" i="2"/>
  <c r="H1298" i="2"/>
  <c r="G1298" i="2"/>
  <c r="F1298" i="2"/>
  <c r="E1298" i="2"/>
  <c r="D1298" i="2"/>
  <c r="H2838" i="2"/>
  <c r="G2838" i="2"/>
  <c r="F2838" i="2"/>
  <c r="E2838" i="2"/>
  <c r="D2838" i="2"/>
  <c r="H2837" i="2"/>
  <c r="G2837" i="2"/>
  <c r="F2837" i="2"/>
  <c r="E2837" i="2"/>
  <c r="D2837" i="2"/>
  <c r="H2836" i="2"/>
  <c r="G2836" i="2"/>
  <c r="F2836" i="2"/>
  <c r="E2836" i="2"/>
  <c r="D2836" i="2"/>
  <c r="H2835" i="2"/>
  <c r="G2835" i="2"/>
  <c r="F2835" i="2"/>
  <c r="E2835" i="2"/>
  <c r="D2835" i="2"/>
  <c r="H796" i="2"/>
  <c r="G796" i="2"/>
  <c r="F796" i="2"/>
  <c r="E796" i="2"/>
  <c r="D796" i="2"/>
  <c r="H795" i="2"/>
  <c r="G795" i="2"/>
  <c r="F795" i="2"/>
  <c r="E795" i="2"/>
  <c r="D795" i="2"/>
  <c r="H794" i="2"/>
  <c r="G794" i="2"/>
  <c r="F794" i="2"/>
  <c r="E794" i="2"/>
  <c r="D794" i="2"/>
  <c r="H793" i="2"/>
  <c r="G793" i="2"/>
  <c r="F793" i="2"/>
  <c r="E793" i="2"/>
  <c r="D793" i="2"/>
  <c r="H2985" i="2"/>
  <c r="G2985" i="2"/>
  <c r="F2985" i="2"/>
  <c r="E2985" i="2"/>
  <c r="D2985" i="2"/>
  <c r="H2984" i="2"/>
  <c r="G2984" i="2"/>
  <c r="F2984" i="2"/>
  <c r="E2984" i="2"/>
  <c r="D2984" i="2"/>
  <c r="H2983" i="2"/>
  <c r="G2983" i="2"/>
  <c r="F2983" i="2"/>
  <c r="E2983" i="2"/>
  <c r="D2983" i="2"/>
  <c r="H2982" i="2"/>
  <c r="G2982" i="2"/>
  <c r="F2982" i="2"/>
  <c r="E2982" i="2"/>
  <c r="D2982" i="2"/>
  <c r="H2981" i="2"/>
  <c r="G2981" i="2"/>
  <c r="F2981" i="2"/>
  <c r="E2981" i="2"/>
  <c r="D2981" i="2"/>
  <c r="H330" i="2"/>
  <c r="G330" i="2"/>
  <c r="F330" i="2"/>
  <c r="E330" i="2"/>
  <c r="D330" i="2"/>
  <c r="H329" i="2"/>
  <c r="G329" i="2"/>
  <c r="F329" i="2"/>
  <c r="E329" i="2"/>
  <c r="D329" i="2"/>
  <c r="H2391" i="2"/>
  <c r="G2391" i="2"/>
  <c r="F2391" i="2"/>
  <c r="E2391" i="2"/>
  <c r="D2391" i="2"/>
  <c r="H2390" i="2"/>
  <c r="G2390" i="2"/>
  <c r="F2390" i="2"/>
  <c r="E2390" i="2"/>
  <c r="D2390" i="2"/>
  <c r="H1938" i="2"/>
  <c r="G1938" i="2"/>
  <c r="F1938" i="2"/>
  <c r="E1938" i="2"/>
  <c r="D1938" i="2"/>
  <c r="H1937" i="2"/>
  <c r="G1937" i="2"/>
  <c r="F1937" i="2"/>
  <c r="E1937" i="2"/>
  <c r="D1937" i="2"/>
  <c r="H1936" i="2"/>
  <c r="G1936" i="2"/>
  <c r="F1936" i="2"/>
  <c r="E1936" i="2"/>
  <c r="D1936" i="2"/>
  <c r="H3538" i="2"/>
  <c r="G3538" i="2"/>
  <c r="F3538" i="2"/>
  <c r="E3538" i="2"/>
  <c r="D3538" i="2"/>
  <c r="H8" i="2"/>
  <c r="G8" i="2"/>
  <c r="F8" i="2"/>
  <c r="E8" i="2"/>
  <c r="D8" i="2"/>
  <c r="H150" i="2"/>
  <c r="G150" i="2"/>
  <c r="F150" i="2"/>
  <c r="E150" i="2"/>
  <c r="D150" i="2"/>
  <c r="H149" i="2"/>
  <c r="G149" i="2"/>
  <c r="F149" i="2"/>
  <c r="E149" i="2"/>
  <c r="D149" i="2"/>
  <c r="H148" i="2"/>
  <c r="G148" i="2"/>
  <c r="F148" i="2"/>
  <c r="E148" i="2"/>
  <c r="D148" i="2"/>
  <c r="H147" i="2"/>
  <c r="G147" i="2"/>
  <c r="F147" i="2"/>
  <c r="E147" i="2"/>
  <c r="D147" i="2"/>
  <c r="H146" i="2"/>
  <c r="G146" i="2"/>
  <c r="F146" i="2"/>
  <c r="E146" i="2"/>
  <c r="D146" i="2"/>
  <c r="H145" i="2"/>
  <c r="G145" i="2"/>
  <c r="F145" i="2"/>
  <c r="E145" i="2"/>
  <c r="D145" i="2"/>
  <c r="H3519" i="2"/>
  <c r="G3519" i="2"/>
  <c r="F3519" i="2"/>
  <c r="E3519" i="2"/>
  <c r="D3519" i="2"/>
  <c r="H242" i="2"/>
  <c r="G242" i="2"/>
  <c r="F242" i="2"/>
  <c r="E242" i="2"/>
  <c r="D242" i="2"/>
  <c r="H241" i="2"/>
  <c r="G241" i="2"/>
  <c r="F241" i="2"/>
  <c r="E241" i="2"/>
  <c r="D241" i="2"/>
  <c r="H240" i="2"/>
  <c r="G240" i="2"/>
  <c r="F240" i="2"/>
  <c r="E240" i="2"/>
  <c r="D240" i="2"/>
  <c r="H239" i="2"/>
  <c r="G239" i="2"/>
  <c r="F239" i="2"/>
  <c r="E239" i="2"/>
  <c r="D239" i="2"/>
  <c r="H238" i="2"/>
  <c r="G238" i="2"/>
  <c r="F238" i="2"/>
  <c r="E238" i="2"/>
  <c r="D238" i="2"/>
  <c r="H237" i="2"/>
  <c r="G237" i="2"/>
  <c r="F237" i="2"/>
  <c r="E237" i="2"/>
  <c r="D237" i="2"/>
  <c r="H3335" i="2"/>
  <c r="G3335" i="2"/>
  <c r="F3335" i="2"/>
  <c r="E3335" i="2"/>
  <c r="D3335" i="2"/>
  <c r="H3334" i="2"/>
  <c r="G3334" i="2"/>
  <c r="F3334" i="2"/>
  <c r="E3334" i="2"/>
  <c r="D3334" i="2"/>
  <c r="H2055" i="2"/>
  <c r="G2055" i="2"/>
  <c r="F2055" i="2"/>
  <c r="E2055" i="2"/>
  <c r="D2055" i="2"/>
  <c r="H2054" i="2"/>
  <c r="G2054" i="2"/>
  <c r="F2054" i="2"/>
  <c r="E2054" i="2"/>
  <c r="D2054" i="2"/>
  <c r="H2053" i="2"/>
  <c r="G2053" i="2"/>
  <c r="F2053" i="2"/>
  <c r="E2053" i="2"/>
  <c r="D2053" i="2"/>
  <c r="H2052" i="2"/>
  <c r="G2052" i="2"/>
  <c r="F2052" i="2"/>
  <c r="E2052" i="2"/>
  <c r="D2052" i="2"/>
  <c r="H2051" i="2"/>
  <c r="G2051" i="2"/>
  <c r="F2051" i="2"/>
  <c r="E2051" i="2"/>
  <c r="D2051" i="2"/>
  <c r="H1783" i="2"/>
  <c r="G1783" i="2"/>
  <c r="F1783" i="2"/>
  <c r="E1783" i="2"/>
  <c r="D1783" i="2"/>
  <c r="H3288" i="2"/>
  <c r="G3288" i="2"/>
  <c r="F3288" i="2"/>
  <c r="E3288" i="2"/>
  <c r="D3288" i="2"/>
  <c r="H11" i="2"/>
  <c r="G11" i="2"/>
  <c r="F11" i="2"/>
  <c r="E11" i="2"/>
  <c r="D11" i="2"/>
  <c r="H2917" i="2"/>
  <c r="G2917" i="2"/>
  <c r="F2917" i="2"/>
  <c r="E2917" i="2"/>
  <c r="D2917" i="2"/>
  <c r="H1741" i="2"/>
  <c r="G1741" i="2"/>
  <c r="F1741" i="2"/>
  <c r="E1741" i="2"/>
  <c r="D1741" i="2"/>
  <c r="H2258" i="2"/>
  <c r="G2258" i="2"/>
  <c r="F2258" i="2"/>
  <c r="E2258" i="2"/>
  <c r="D2258" i="2"/>
  <c r="H2257" i="2"/>
  <c r="G2257" i="2"/>
  <c r="F2257" i="2"/>
  <c r="E2257" i="2"/>
  <c r="D2257" i="2"/>
  <c r="H2256" i="2"/>
  <c r="G2256" i="2"/>
  <c r="F2256" i="2"/>
  <c r="E2256" i="2"/>
  <c r="D2256" i="2"/>
  <c r="H1142" i="2"/>
  <c r="G1142" i="2"/>
  <c r="F1142" i="2"/>
  <c r="E1142" i="2"/>
  <c r="D1142" i="2"/>
  <c r="H905" i="2"/>
  <c r="G905" i="2"/>
  <c r="F905" i="2"/>
  <c r="E905" i="2"/>
  <c r="D905" i="2"/>
  <c r="H904" i="2"/>
  <c r="G904" i="2"/>
  <c r="F904" i="2"/>
  <c r="E904" i="2"/>
  <c r="D904" i="2"/>
  <c r="H3502" i="2"/>
  <c r="G3502" i="2"/>
  <c r="F3502" i="2"/>
  <c r="E3502" i="2"/>
  <c r="D3502" i="2"/>
  <c r="H3311" i="2"/>
  <c r="G3311" i="2"/>
  <c r="F3311" i="2"/>
  <c r="E3311" i="2"/>
  <c r="D3311" i="2"/>
  <c r="H3310" i="2"/>
  <c r="G3310" i="2"/>
  <c r="F3310" i="2"/>
  <c r="E3310" i="2"/>
  <c r="D3310" i="2"/>
  <c r="H1903" i="2"/>
  <c r="G1903" i="2"/>
  <c r="F1903" i="2"/>
  <c r="E1903" i="2"/>
  <c r="D1903" i="2"/>
  <c r="H194" i="2"/>
  <c r="G194" i="2"/>
  <c r="F194" i="2"/>
  <c r="E194" i="2"/>
  <c r="D194" i="2"/>
  <c r="H193" i="2"/>
  <c r="G193" i="2"/>
  <c r="F193" i="2"/>
  <c r="E193" i="2"/>
  <c r="D193" i="2"/>
  <c r="H1507" i="2"/>
  <c r="G1507" i="2"/>
  <c r="F1507" i="2"/>
  <c r="E1507" i="2"/>
  <c r="D1507" i="2"/>
  <c r="H1506" i="2"/>
  <c r="G1506" i="2"/>
  <c r="F1506" i="2"/>
  <c r="E1506" i="2"/>
  <c r="D1506" i="2"/>
  <c r="H1505" i="2"/>
  <c r="G1505" i="2"/>
  <c r="F1505" i="2"/>
  <c r="E1505" i="2"/>
  <c r="D1505" i="2"/>
  <c r="H1595" i="2"/>
  <c r="G1595" i="2"/>
  <c r="F1595" i="2"/>
  <c r="E1595" i="2"/>
  <c r="D1595" i="2"/>
  <c r="H1594" i="2"/>
  <c r="G1594" i="2"/>
  <c r="F1594" i="2"/>
  <c r="E1594" i="2"/>
  <c r="D1594" i="2"/>
  <c r="H3287" i="2"/>
  <c r="G3287" i="2"/>
  <c r="F3287" i="2"/>
  <c r="E3287" i="2"/>
  <c r="D3287" i="2"/>
  <c r="H3286" i="2"/>
  <c r="G3286" i="2"/>
  <c r="F3286" i="2"/>
  <c r="E3286" i="2"/>
  <c r="D3286" i="2"/>
  <c r="H3285" i="2"/>
  <c r="G3285" i="2"/>
  <c r="F3285" i="2"/>
  <c r="E3285" i="2"/>
  <c r="D3285" i="2"/>
  <c r="H3284" i="2"/>
  <c r="G3284" i="2"/>
  <c r="F3284" i="2"/>
  <c r="E3284" i="2"/>
  <c r="D3284" i="2"/>
  <c r="H3283" i="2"/>
  <c r="G3283" i="2"/>
  <c r="F3283" i="2"/>
  <c r="E3283" i="2"/>
  <c r="D3283" i="2"/>
  <c r="H3282" i="2"/>
  <c r="G3282" i="2"/>
  <c r="F3282" i="2"/>
  <c r="E3282" i="2"/>
  <c r="D3282" i="2"/>
  <c r="H3281" i="2"/>
  <c r="G3281" i="2"/>
  <c r="F3281" i="2"/>
  <c r="E3281" i="2"/>
  <c r="D3281" i="2"/>
  <c r="H3280" i="2"/>
  <c r="G3280" i="2"/>
  <c r="F3280" i="2"/>
  <c r="E3280" i="2"/>
  <c r="D3280" i="2"/>
  <c r="H3279" i="2"/>
  <c r="G3279" i="2"/>
  <c r="F3279" i="2"/>
  <c r="E3279" i="2"/>
  <c r="D3279" i="2"/>
  <c r="H3278" i="2"/>
  <c r="G3278" i="2"/>
  <c r="F3278" i="2"/>
  <c r="E3278" i="2"/>
  <c r="D3278" i="2"/>
  <c r="H3277" i="2"/>
  <c r="G3277" i="2"/>
  <c r="F3277" i="2"/>
  <c r="E3277" i="2"/>
  <c r="D3277" i="2"/>
  <c r="H1518" i="2"/>
  <c r="G1518" i="2"/>
  <c r="F1518" i="2"/>
  <c r="E1518" i="2"/>
  <c r="D1518" i="2"/>
  <c r="H1517" i="2"/>
  <c r="G1517" i="2"/>
  <c r="F1517" i="2"/>
  <c r="E1517" i="2"/>
  <c r="D1517" i="2"/>
  <c r="H1800" i="2"/>
  <c r="G1800" i="2"/>
  <c r="F1800" i="2"/>
  <c r="E1800" i="2"/>
  <c r="D1800" i="2"/>
  <c r="H1799" i="2"/>
  <c r="G1799" i="2"/>
  <c r="F1799" i="2"/>
  <c r="E1799" i="2"/>
  <c r="D1799" i="2"/>
  <c r="H1798" i="2"/>
  <c r="G1798" i="2"/>
  <c r="F1798" i="2"/>
  <c r="E1798" i="2"/>
  <c r="D1798" i="2"/>
  <c r="H1797" i="2"/>
  <c r="G1797" i="2"/>
  <c r="F1797" i="2"/>
  <c r="E1797" i="2"/>
  <c r="D1797" i="2"/>
  <c r="H381" i="2"/>
  <c r="G381" i="2"/>
  <c r="F381" i="2"/>
  <c r="E381" i="2"/>
  <c r="D381" i="2"/>
  <c r="H416" i="2"/>
  <c r="G416" i="2"/>
  <c r="F416" i="2"/>
  <c r="E416" i="2"/>
  <c r="D416" i="2"/>
  <c r="H3637" i="2"/>
  <c r="G3637" i="2"/>
  <c r="F3637" i="2"/>
  <c r="E3637" i="2"/>
  <c r="D3637" i="2"/>
  <c r="H3636" i="2"/>
  <c r="G3636" i="2"/>
  <c r="F3636" i="2"/>
  <c r="E3636" i="2"/>
  <c r="D3636" i="2"/>
  <c r="H3635" i="2"/>
  <c r="G3635" i="2"/>
  <c r="F3635" i="2"/>
  <c r="E3635" i="2"/>
  <c r="D3635" i="2"/>
  <c r="H2300" i="2"/>
  <c r="G2300" i="2"/>
  <c r="F2300" i="2"/>
  <c r="E2300" i="2"/>
  <c r="D2300" i="2"/>
  <c r="H2226" i="2"/>
  <c r="G2226" i="2"/>
  <c r="F2226" i="2"/>
  <c r="E2226" i="2"/>
  <c r="D2226" i="2"/>
  <c r="H2225" i="2"/>
  <c r="G2225" i="2"/>
  <c r="F2225" i="2"/>
  <c r="E2225" i="2"/>
  <c r="D2225" i="2"/>
  <c r="H2224" i="2"/>
  <c r="G2224" i="2"/>
  <c r="F2224" i="2"/>
  <c r="E2224" i="2"/>
  <c r="D2224" i="2"/>
  <c r="H2223" i="2"/>
  <c r="G2223" i="2"/>
  <c r="F2223" i="2"/>
  <c r="E2223" i="2"/>
  <c r="D2223" i="2"/>
  <c r="H2222" i="2"/>
  <c r="G2222" i="2"/>
  <c r="F2222" i="2"/>
  <c r="E2222" i="2"/>
  <c r="D2222" i="2"/>
  <c r="H2221" i="2"/>
  <c r="G2221" i="2"/>
  <c r="F2221" i="2"/>
  <c r="E2221" i="2"/>
  <c r="D2221" i="2"/>
  <c r="H2220" i="2"/>
  <c r="G2220" i="2"/>
  <c r="F2220" i="2"/>
  <c r="E2220" i="2"/>
  <c r="D2220" i="2"/>
  <c r="H2219" i="2"/>
  <c r="G2219" i="2"/>
  <c r="F2219" i="2"/>
  <c r="E2219" i="2"/>
  <c r="D2219" i="2"/>
  <c r="H2218" i="2"/>
  <c r="G2218" i="2"/>
  <c r="F2218" i="2"/>
  <c r="E2218" i="2"/>
  <c r="D2218" i="2"/>
  <c r="H2217" i="2"/>
  <c r="G2217" i="2"/>
  <c r="F2217" i="2"/>
  <c r="E2217" i="2"/>
  <c r="D2217" i="2"/>
  <c r="H2216" i="2"/>
  <c r="G2216" i="2"/>
  <c r="F2216" i="2"/>
  <c r="E2216" i="2"/>
  <c r="D2216" i="2"/>
  <c r="H2215" i="2"/>
  <c r="G2215" i="2"/>
  <c r="F2215" i="2"/>
  <c r="E2215" i="2"/>
  <c r="D2215" i="2"/>
  <c r="H2214" i="2"/>
  <c r="G2214" i="2"/>
  <c r="F2214" i="2"/>
  <c r="E2214" i="2"/>
  <c r="D2214" i="2"/>
  <c r="H2213" i="2"/>
  <c r="G2213" i="2"/>
  <c r="F2213" i="2"/>
  <c r="E2213" i="2"/>
  <c r="D2213" i="2"/>
  <c r="H2212" i="2"/>
  <c r="G2212" i="2"/>
  <c r="F2212" i="2"/>
  <c r="E2212" i="2"/>
  <c r="D2212" i="2"/>
  <c r="H2211" i="2"/>
  <c r="G2211" i="2"/>
  <c r="F2211" i="2"/>
  <c r="E2211" i="2"/>
  <c r="D2211" i="2"/>
  <c r="H2210" i="2"/>
  <c r="G2210" i="2"/>
  <c r="F2210" i="2"/>
  <c r="E2210" i="2"/>
  <c r="D2210" i="2"/>
  <c r="H2897" i="2"/>
  <c r="G2897" i="2"/>
  <c r="F2897" i="2"/>
  <c r="E2897" i="2"/>
  <c r="D2897" i="2"/>
  <c r="H2896" i="2"/>
  <c r="G2896" i="2"/>
  <c r="F2896" i="2"/>
  <c r="E2896" i="2"/>
  <c r="D2896" i="2"/>
  <c r="H2895" i="2"/>
  <c r="G2895" i="2"/>
  <c r="F2895" i="2"/>
  <c r="E2895" i="2"/>
  <c r="D2895" i="2"/>
  <c r="H2894" i="2"/>
  <c r="G2894" i="2"/>
  <c r="F2894" i="2"/>
  <c r="E2894" i="2"/>
  <c r="D2894" i="2"/>
  <c r="H2893" i="2"/>
  <c r="G2893" i="2"/>
  <c r="F2893" i="2"/>
  <c r="E2893" i="2"/>
  <c r="D2893" i="2"/>
  <c r="H1675" i="2"/>
  <c r="G1675" i="2"/>
  <c r="F1675" i="2"/>
  <c r="E1675" i="2"/>
  <c r="D1675" i="2"/>
  <c r="H1674" i="2"/>
  <c r="G1674" i="2"/>
  <c r="F1674" i="2"/>
  <c r="E1674" i="2"/>
  <c r="D1674" i="2"/>
  <c r="H3409" i="2"/>
  <c r="G3409" i="2"/>
  <c r="F3409" i="2"/>
  <c r="E3409" i="2"/>
  <c r="D3409" i="2"/>
  <c r="H3408" i="2"/>
  <c r="G3408" i="2"/>
  <c r="F3408" i="2"/>
  <c r="E3408" i="2"/>
  <c r="D3408" i="2"/>
  <c r="H3407" i="2"/>
  <c r="G3407" i="2"/>
  <c r="F3407" i="2"/>
  <c r="E3407" i="2"/>
  <c r="D3407" i="2"/>
  <c r="H3406" i="2"/>
  <c r="G3406" i="2"/>
  <c r="F3406" i="2"/>
  <c r="E3406" i="2"/>
  <c r="D3406" i="2"/>
  <c r="H3405" i="2"/>
  <c r="G3405" i="2"/>
  <c r="F3405" i="2"/>
  <c r="E3405" i="2"/>
  <c r="D3405" i="2"/>
  <c r="H3404" i="2"/>
  <c r="G3404" i="2"/>
  <c r="F3404" i="2"/>
  <c r="E3404" i="2"/>
  <c r="D3404" i="2"/>
  <c r="H260" i="2"/>
  <c r="G260" i="2"/>
  <c r="F260" i="2"/>
  <c r="E260" i="2"/>
  <c r="D260" i="2"/>
  <c r="H259" i="2"/>
  <c r="G259" i="2"/>
  <c r="F259" i="2"/>
  <c r="E259" i="2"/>
  <c r="D259" i="2"/>
  <c r="H258" i="2"/>
  <c r="G258" i="2"/>
  <c r="F258" i="2"/>
  <c r="E258" i="2"/>
  <c r="D258" i="2"/>
  <c r="H257" i="2"/>
  <c r="G257" i="2"/>
  <c r="F257" i="2"/>
  <c r="E257" i="2"/>
  <c r="D257" i="2"/>
  <c r="H256" i="2"/>
  <c r="G256" i="2"/>
  <c r="F256" i="2"/>
  <c r="E256" i="2"/>
  <c r="D256" i="2"/>
  <c r="H255" i="2"/>
  <c r="G255" i="2"/>
  <c r="F255" i="2"/>
  <c r="E255" i="2"/>
  <c r="D255" i="2"/>
  <c r="H88" i="2"/>
  <c r="G88" i="2"/>
  <c r="F88" i="2"/>
  <c r="E88" i="2"/>
  <c r="D88" i="2"/>
  <c r="H87" i="2"/>
  <c r="G87" i="2"/>
  <c r="F87" i="2"/>
  <c r="E87" i="2"/>
  <c r="D87" i="2"/>
  <c r="H139" i="2"/>
  <c r="G139" i="2"/>
  <c r="F139" i="2"/>
  <c r="E139" i="2"/>
  <c r="D139" i="2"/>
  <c r="H138" i="2"/>
  <c r="G138" i="2"/>
  <c r="F138" i="2"/>
  <c r="E138" i="2"/>
  <c r="D138" i="2"/>
  <c r="H1363" i="2"/>
  <c r="G1363" i="2"/>
  <c r="F1363" i="2"/>
  <c r="E1363" i="2"/>
  <c r="D1363" i="2"/>
  <c r="H1362" i="2"/>
  <c r="G1362" i="2"/>
  <c r="F1362" i="2"/>
  <c r="E1362" i="2"/>
  <c r="D1362" i="2"/>
  <c r="H546" i="2"/>
  <c r="G546" i="2"/>
  <c r="F546" i="2"/>
  <c r="E546" i="2"/>
  <c r="D546" i="2"/>
  <c r="H545" i="2"/>
  <c r="G545" i="2"/>
  <c r="F545" i="2"/>
  <c r="E545" i="2"/>
  <c r="D545" i="2"/>
  <c r="H544" i="2"/>
  <c r="G544" i="2"/>
  <c r="F544" i="2"/>
  <c r="E544" i="2"/>
  <c r="D544" i="2"/>
  <c r="H543" i="2"/>
  <c r="G543" i="2"/>
  <c r="F543" i="2"/>
  <c r="E543" i="2"/>
  <c r="D543" i="2"/>
  <c r="H542" i="2"/>
  <c r="G542" i="2"/>
  <c r="F542" i="2"/>
  <c r="E542" i="2"/>
  <c r="D542" i="2"/>
  <c r="H82" i="2"/>
  <c r="G82" i="2"/>
  <c r="F82" i="2"/>
  <c r="E82" i="2"/>
  <c r="D82" i="2"/>
  <c r="H81" i="2"/>
  <c r="G81" i="2"/>
  <c r="F81" i="2"/>
  <c r="E81" i="2"/>
  <c r="D81" i="2"/>
  <c r="H80" i="2"/>
  <c r="G80" i="2"/>
  <c r="F80" i="2"/>
  <c r="E80" i="2"/>
  <c r="D80" i="2"/>
  <c r="H1467" i="2"/>
  <c r="G1467" i="2"/>
  <c r="F1467" i="2"/>
  <c r="E1467" i="2"/>
  <c r="D1467" i="2"/>
  <c r="H1466" i="2"/>
  <c r="G1466" i="2"/>
  <c r="F1466" i="2"/>
  <c r="E1466" i="2"/>
  <c r="D1466" i="2"/>
  <c r="H1465" i="2"/>
  <c r="G1465" i="2"/>
  <c r="F1465" i="2"/>
  <c r="E1465" i="2"/>
  <c r="D1465" i="2"/>
  <c r="H1464" i="2"/>
  <c r="G1464" i="2"/>
  <c r="F1464" i="2"/>
  <c r="E1464" i="2"/>
  <c r="D1464" i="2"/>
  <c r="H1463" i="2"/>
  <c r="G1463" i="2"/>
  <c r="F1463" i="2"/>
  <c r="E1463" i="2"/>
  <c r="D1463" i="2"/>
  <c r="H1223" i="2"/>
  <c r="G1223" i="2"/>
  <c r="F1223" i="2"/>
  <c r="E1223" i="2"/>
  <c r="D1223" i="2"/>
  <c r="H365" i="2"/>
  <c r="G365" i="2"/>
  <c r="F365" i="2"/>
  <c r="E365" i="2"/>
  <c r="D365" i="2"/>
  <c r="H364" i="2"/>
  <c r="G364" i="2"/>
  <c r="F364" i="2"/>
  <c r="E364" i="2"/>
  <c r="D364" i="2"/>
  <c r="H2435" i="2"/>
  <c r="G2435" i="2"/>
  <c r="F2435" i="2"/>
  <c r="E2435" i="2"/>
  <c r="D2435" i="2"/>
  <c r="H780" i="2"/>
  <c r="G780" i="2"/>
  <c r="F780" i="2"/>
  <c r="E780" i="2"/>
  <c r="D780" i="2"/>
  <c r="H779" i="2"/>
  <c r="G779" i="2"/>
  <c r="F779" i="2"/>
  <c r="E779" i="2"/>
  <c r="D779" i="2"/>
  <c r="H1315" i="2"/>
  <c r="G1315" i="2"/>
  <c r="F1315" i="2"/>
  <c r="E1315" i="2"/>
  <c r="D1315" i="2"/>
  <c r="H1314" i="2"/>
  <c r="G1314" i="2"/>
  <c r="F1314" i="2"/>
  <c r="E1314" i="2"/>
  <c r="D1314" i="2"/>
  <c r="H1313" i="2"/>
  <c r="G1313" i="2"/>
  <c r="F1313" i="2"/>
  <c r="E1313" i="2"/>
  <c r="D1313" i="2"/>
  <c r="H1312" i="2"/>
  <c r="G1312" i="2"/>
  <c r="F1312" i="2"/>
  <c r="E1312" i="2"/>
  <c r="D1312" i="2"/>
  <c r="H1311" i="2"/>
  <c r="G1311" i="2"/>
  <c r="F1311" i="2"/>
  <c r="E1311" i="2"/>
  <c r="D1311" i="2"/>
  <c r="H1310" i="2"/>
  <c r="G1310" i="2"/>
  <c r="F1310" i="2"/>
  <c r="E1310" i="2"/>
  <c r="D1310" i="2"/>
  <c r="H1309" i="2"/>
  <c r="G1309" i="2"/>
  <c r="F1309" i="2"/>
  <c r="E1309" i="2"/>
  <c r="D1309" i="2"/>
  <c r="H1308" i="2"/>
  <c r="G1308" i="2"/>
  <c r="F1308" i="2"/>
  <c r="E1308" i="2"/>
  <c r="D1308" i="2"/>
  <c r="H1307" i="2"/>
  <c r="G1307" i="2"/>
  <c r="F1307" i="2"/>
  <c r="E1307" i="2"/>
  <c r="D1307" i="2"/>
  <c r="H1306" i="2"/>
  <c r="G1306" i="2"/>
  <c r="F1306" i="2"/>
  <c r="E1306" i="2"/>
  <c r="D1306" i="2"/>
  <c r="H1305" i="2"/>
  <c r="G1305" i="2"/>
  <c r="F1305" i="2"/>
  <c r="E1305" i="2"/>
  <c r="D1305" i="2"/>
  <c r="H1304" i="2"/>
  <c r="G1304" i="2"/>
  <c r="F1304" i="2"/>
  <c r="E1304" i="2"/>
  <c r="D1304" i="2"/>
  <c r="H1303" i="2"/>
  <c r="G1303" i="2"/>
  <c r="F1303" i="2"/>
  <c r="E1303" i="2"/>
  <c r="D1303" i="2"/>
  <c r="H1302" i="2"/>
  <c r="G1302" i="2"/>
  <c r="F1302" i="2"/>
  <c r="E1302" i="2"/>
  <c r="D1302" i="2"/>
  <c r="H1260" i="2"/>
  <c r="G1260" i="2"/>
  <c r="F1260" i="2"/>
  <c r="E1260" i="2"/>
  <c r="D1260" i="2"/>
  <c r="H1259" i="2"/>
  <c r="G1259" i="2"/>
  <c r="F1259" i="2"/>
  <c r="E1259" i="2"/>
  <c r="D1259" i="2"/>
  <c r="H1340" i="2"/>
  <c r="G1340" i="2"/>
  <c r="F1340" i="2"/>
  <c r="E1340" i="2"/>
  <c r="D1340" i="2"/>
  <c r="H1339" i="2"/>
  <c r="G1339" i="2"/>
  <c r="F1339" i="2"/>
  <c r="E1339" i="2"/>
  <c r="D1339" i="2"/>
  <c r="H1338" i="2"/>
  <c r="G1338" i="2"/>
  <c r="F1338" i="2"/>
  <c r="E1338" i="2"/>
  <c r="D1338" i="2"/>
  <c r="H1337" i="2"/>
  <c r="G1337" i="2"/>
  <c r="F1337" i="2"/>
  <c r="E1337" i="2"/>
  <c r="D1337" i="2"/>
  <c r="H1336" i="2"/>
  <c r="G1336" i="2"/>
  <c r="F1336" i="2"/>
  <c r="E1336" i="2"/>
  <c r="D1336" i="2"/>
  <c r="H1335" i="2"/>
  <c r="G1335" i="2"/>
  <c r="F1335" i="2"/>
  <c r="E1335" i="2"/>
  <c r="D1335" i="2"/>
  <c r="H1334" i="2"/>
  <c r="G1334" i="2"/>
  <c r="F1334" i="2"/>
  <c r="E1334" i="2"/>
  <c r="D1334" i="2"/>
  <c r="H1333" i="2"/>
  <c r="G1333" i="2"/>
  <c r="F1333" i="2"/>
  <c r="E1333" i="2"/>
  <c r="D1333" i="2"/>
  <c r="H1332" i="2"/>
  <c r="G1332" i="2"/>
  <c r="F1332" i="2"/>
  <c r="E1332" i="2"/>
  <c r="D1332" i="2"/>
  <c r="H1331" i="2"/>
  <c r="G1331" i="2"/>
  <c r="F1331" i="2"/>
  <c r="E1331" i="2"/>
  <c r="D1331" i="2"/>
  <c r="H1330" i="2"/>
  <c r="G1330" i="2"/>
  <c r="F1330" i="2"/>
  <c r="E1330" i="2"/>
  <c r="D1330" i="2"/>
  <c r="H1329" i="2"/>
  <c r="G1329" i="2"/>
  <c r="F1329" i="2"/>
  <c r="E1329" i="2"/>
  <c r="D1329" i="2"/>
  <c r="H1328" i="2"/>
  <c r="G1328" i="2"/>
  <c r="F1328" i="2"/>
  <c r="E1328" i="2"/>
  <c r="D1328" i="2"/>
  <c r="H2243" i="2"/>
  <c r="G2243" i="2"/>
  <c r="F2243" i="2"/>
  <c r="E2243" i="2"/>
  <c r="D2243" i="2"/>
  <c r="H1011" i="2"/>
  <c r="G1011" i="2"/>
  <c r="F1011" i="2"/>
  <c r="E1011" i="2"/>
  <c r="D1011" i="2"/>
  <c r="H1010" i="2"/>
  <c r="G1010" i="2"/>
  <c r="F1010" i="2"/>
  <c r="E1010" i="2"/>
  <c r="D1010" i="2"/>
  <c r="H1009" i="2"/>
  <c r="G1009" i="2"/>
  <c r="F1009" i="2"/>
  <c r="E1009" i="2"/>
  <c r="D1009" i="2"/>
  <c r="H1008" i="2"/>
  <c r="G1008" i="2"/>
  <c r="F1008" i="2"/>
  <c r="E1008" i="2"/>
  <c r="D1008" i="2"/>
  <c r="H1007" i="2"/>
  <c r="G1007" i="2"/>
  <c r="F1007" i="2"/>
  <c r="E1007" i="2"/>
  <c r="D1007" i="2"/>
  <c r="H1006" i="2"/>
  <c r="G1006" i="2"/>
  <c r="F1006" i="2"/>
  <c r="E1006" i="2"/>
  <c r="D1006" i="2"/>
  <c r="H3506" i="2"/>
  <c r="G3506" i="2"/>
  <c r="F3506" i="2"/>
  <c r="E3506" i="2"/>
  <c r="D3506" i="2"/>
  <c r="H3505" i="2"/>
  <c r="G3505" i="2"/>
  <c r="F3505" i="2"/>
  <c r="E3505" i="2"/>
  <c r="D3505" i="2"/>
  <c r="H1883" i="2"/>
  <c r="G1883" i="2"/>
  <c r="F1883" i="2"/>
  <c r="E1883" i="2"/>
  <c r="D1883" i="2"/>
  <c r="H1882" i="2"/>
  <c r="G1882" i="2"/>
  <c r="F1882" i="2"/>
  <c r="E1882" i="2"/>
  <c r="D1882" i="2"/>
  <c r="H1881" i="2"/>
  <c r="G1881" i="2"/>
  <c r="F1881" i="2"/>
  <c r="E1881" i="2"/>
  <c r="D1881" i="2"/>
  <c r="H1880" i="2"/>
  <c r="G1880" i="2"/>
  <c r="F1880" i="2"/>
  <c r="E1880" i="2"/>
  <c r="D1880" i="2"/>
  <c r="H1879" i="2"/>
  <c r="G1879" i="2"/>
  <c r="F1879" i="2"/>
  <c r="E1879" i="2"/>
  <c r="D1879" i="2"/>
  <c r="H1878" i="2"/>
  <c r="G1878" i="2"/>
  <c r="F1878" i="2"/>
  <c r="E1878" i="2"/>
  <c r="D1878" i="2"/>
  <c r="H1877" i="2"/>
  <c r="G1877" i="2"/>
  <c r="F1877" i="2"/>
  <c r="E1877" i="2"/>
  <c r="D1877" i="2"/>
  <c r="H1876" i="2"/>
  <c r="G1876" i="2"/>
  <c r="F1876" i="2"/>
  <c r="E1876" i="2"/>
  <c r="D1876" i="2"/>
  <c r="H1875" i="2"/>
  <c r="G1875" i="2"/>
  <c r="F1875" i="2"/>
  <c r="E1875" i="2"/>
  <c r="D1875" i="2"/>
  <c r="H3190" i="2"/>
  <c r="G3190" i="2"/>
  <c r="F3190" i="2"/>
  <c r="E3190" i="2"/>
  <c r="D3190" i="2"/>
  <c r="H3189" i="2"/>
  <c r="G3189" i="2"/>
  <c r="F3189" i="2"/>
  <c r="E3189" i="2"/>
  <c r="D3189" i="2"/>
  <c r="H3188" i="2"/>
  <c r="G3188" i="2"/>
  <c r="F3188" i="2"/>
  <c r="E3188" i="2"/>
  <c r="D3188" i="2"/>
  <c r="H3187" i="2"/>
  <c r="G3187" i="2"/>
  <c r="F3187" i="2"/>
  <c r="E3187" i="2"/>
  <c r="D3187" i="2"/>
  <c r="H3186" i="2"/>
  <c r="G3186" i="2"/>
  <c r="F3186" i="2"/>
  <c r="E3186" i="2"/>
  <c r="D3186" i="2"/>
  <c r="H3185" i="2"/>
  <c r="G3185" i="2"/>
  <c r="F3185" i="2"/>
  <c r="E3185" i="2"/>
  <c r="D3185" i="2"/>
  <c r="H3184" i="2"/>
  <c r="G3184" i="2"/>
  <c r="F3184" i="2"/>
  <c r="E3184" i="2"/>
  <c r="D3184" i="2"/>
  <c r="H3183" i="2"/>
  <c r="G3183" i="2"/>
  <c r="F3183" i="2"/>
  <c r="E3183" i="2"/>
  <c r="D3183" i="2"/>
  <c r="H1413" i="2"/>
  <c r="G1413" i="2"/>
  <c r="F1413" i="2"/>
  <c r="E1413" i="2"/>
  <c r="D1413" i="2"/>
  <c r="H1412" i="2"/>
  <c r="G1412" i="2"/>
  <c r="F1412" i="2"/>
  <c r="E1412" i="2"/>
  <c r="D1412" i="2"/>
  <c r="H1411" i="2"/>
  <c r="G1411" i="2"/>
  <c r="F1411" i="2"/>
  <c r="E1411" i="2"/>
  <c r="D1411" i="2"/>
  <c r="H1410" i="2"/>
  <c r="G1410" i="2"/>
  <c r="F1410" i="2"/>
  <c r="E1410" i="2"/>
  <c r="D1410" i="2"/>
  <c r="H1409" i="2"/>
  <c r="G1409" i="2"/>
  <c r="F1409" i="2"/>
  <c r="E1409" i="2"/>
  <c r="D1409" i="2"/>
  <c r="H1408" i="2"/>
  <c r="G1408" i="2"/>
  <c r="F1408" i="2"/>
  <c r="E1408" i="2"/>
  <c r="D1408" i="2"/>
  <c r="H1407" i="2"/>
  <c r="G1407" i="2"/>
  <c r="F1407" i="2"/>
  <c r="E1407" i="2"/>
  <c r="D1407" i="2"/>
  <c r="H1406" i="2"/>
  <c r="G1406" i="2"/>
  <c r="F1406" i="2"/>
  <c r="E1406" i="2"/>
  <c r="D1406" i="2"/>
  <c r="H1405" i="2"/>
  <c r="G1405" i="2"/>
  <c r="F1405" i="2"/>
  <c r="E1405" i="2"/>
  <c r="D1405" i="2"/>
  <c r="H1404" i="2"/>
  <c r="G1404" i="2"/>
  <c r="F1404" i="2"/>
  <c r="E1404" i="2"/>
  <c r="D1404" i="2"/>
  <c r="H1403" i="2"/>
  <c r="G1403" i="2"/>
  <c r="F1403" i="2"/>
  <c r="E1403" i="2"/>
  <c r="D1403" i="2"/>
  <c r="H1402" i="2"/>
  <c r="G1402" i="2"/>
  <c r="F1402" i="2"/>
  <c r="E1402" i="2"/>
  <c r="D1402" i="2"/>
  <c r="H1401" i="2"/>
  <c r="G1401" i="2"/>
  <c r="F1401" i="2"/>
  <c r="E1401" i="2"/>
  <c r="D1401" i="2"/>
  <c r="H1400" i="2"/>
  <c r="G1400" i="2"/>
  <c r="F1400" i="2"/>
  <c r="E1400" i="2"/>
  <c r="D1400" i="2"/>
  <c r="H1399" i="2"/>
  <c r="G1399" i="2"/>
  <c r="F1399" i="2"/>
  <c r="E1399" i="2"/>
  <c r="D1399" i="2"/>
  <c r="H1398" i="2"/>
  <c r="G1398" i="2"/>
  <c r="F1398" i="2"/>
  <c r="E1398" i="2"/>
  <c r="D1398" i="2"/>
  <c r="H1397" i="2"/>
  <c r="G1397" i="2"/>
  <c r="F1397" i="2"/>
  <c r="E1397" i="2"/>
  <c r="D1397" i="2"/>
  <c r="H1396" i="2"/>
  <c r="G1396" i="2"/>
  <c r="F1396" i="2"/>
  <c r="E1396" i="2"/>
  <c r="D1396" i="2"/>
  <c r="H1395" i="2"/>
  <c r="G1395" i="2"/>
  <c r="F1395" i="2"/>
  <c r="E1395" i="2"/>
  <c r="D1395" i="2"/>
  <c r="H1394" i="2"/>
  <c r="G1394" i="2"/>
  <c r="F1394" i="2"/>
  <c r="E1394" i="2"/>
  <c r="D1394" i="2"/>
  <c r="H1393" i="2"/>
  <c r="G1393" i="2"/>
  <c r="F1393" i="2"/>
  <c r="E1393" i="2"/>
  <c r="D1393" i="2"/>
  <c r="H1613" i="2"/>
  <c r="G1613" i="2"/>
  <c r="F1613" i="2"/>
  <c r="E1613" i="2"/>
  <c r="D1613" i="2"/>
  <c r="H3215" i="2"/>
  <c r="G3215" i="2"/>
  <c r="F3215" i="2"/>
  <c r="E3215" i="2"/>
  <c r="D3215" i="2"/>
  <c r="H3214" i="2"/>
  <c r="G3214" i="2"/>
  <c r="F3214" i="2"/>
  <c r="E3214" i="2"/>
  <c r="D3214" i="2"/>
  <c r="H3213" i="2"/>
  <c r="G3213" i="2"/>
  <c r="F3213" i="2"/>
  <c r="E3213" i="2"/>
  <c r="D3213" i="2"/>
  <c r="H3590" i="2"/>
  <c r="G3590" i="2"/>
  <c r="F3590" i="2"/>
  <c r="E3590" i="2"/>
  <c r="D3590" i="2"/>
  <c r="H3589" i="2"/>
  <c r="G3589" i="2"/>
  <c r="F3589" i="2"/>
  <c r="E3589" i="2"/>
  <c r="D3589" i="2"/>
  <c r="H3588" i="2"/>
  <c r="G3588" i="2"/>
  <c r="F3588" i="2"/>
  <c r="E3588" i="2"/>
  <c r="D3588" i="2"/>
  <c r="H3587" i="2"/>
  <c r="G3587" i="2"/>
  <c r="F3587" i="2"/>
  <c r="E3587" i="2"/>
  <c r="D3587" i="2"/>
  <c r="H1733" i="2"/>
  <c r="G1733" i="2"/>
  <c r="F1733" i="2"/>
  <c r="E1733" i="2"/>
  <c r="D1733" i="2"/>
  <c r="H1732" i="2"/>
  <c r="G1732" i="2"/>
  <c r="F1732" i="2"/>
  <c r="E1732" i="2"/>
  <c r="D1732" i="2"/>
  <c r="H3016" i="2"/>
  <c r="G3016" i="2"/>
  <c r="F3016" i="2"/>
  <c r="E3016" i="2"/>
  <c r="D3016" i="2"/>
  <c r="H3015" i="2"/>
  <c r="G3015" i="2"/>
  <c r="F3015" i="2"/>
  <c r="E3015" i="2"/>
  <c r="D3015" i="2"/>
  <c r="H3014" i="2"/>
  <c r="G3014" i="2"/>
  <c r="F3014" i="2"/>
  <c r="E3014" i="2"/>
  <c r="D3014" i="2"/>
  <c r="H3013" i="2"/>
  <c r="G3013" i="2"/>
  <c r="F3013" i="2"/>
  <c r="E3013" i="2"/>
  <c r="D3013" i="2"/>
  <c r="H3012" i="2"/>
  <c r="G3012" i="2"/>
  <c r="F3012" i="2"/>
  <c r="E3012" i="2"/>
  <c r="D3012" i="2"/>
  <c r="H3011" i="2"/>
  <c r="G3011" i="2"/>
  <c r="F3011" i="2"/>
  <c r="E3011" i="2"/>
  <c r="D3011" i="2"/>
  <c r="H3010" i="2"/>
  <c r="G3010" i="2"/>
  <c r="F3010" i="2"/>
  <c r="E3010" i="2"/>
  <c r="D3010" i="2"/>
  <c r="H3009" i="2"/>
  <c r="G3009" i="2"/>
  <c r="F3009" i="2"/>
  <c r="E3009" i="2"/>
  <c r="D3009" i="2"/>
  <c r="H3008" i="2"/>
  <c r="G3008" i="2"/>
  <c r="F3008" i="2"/>
  <c r="E3008" i="2"/>
  <c r="D3008" i="2"/>
  <c r="H3007" i="2"/>
  <c r="G3007" i="2"/>
  <c r="F3007" i="2"/>
  <c r="E3007" i="2"/>
  <c r="D3007" i="2"/>
  <c r="H3006" i="2"/>
  <c r="G3006" i="2"/>
  <c r="F3006" i="2"/>
  <c r="E3006" i="2"/>
  <c r="D3006" i="2"/>
  <c r="H3005" i="2"/>
  <c r="G3005" i="2"/>
  <c r="F3005" i="2"/>
  <c r="E3005" i="2"/>
  <c r="D3005" i="2"/>
  <c r="H236" i="2"/>
  <c r="G236" i="2"/>
  <c r="F236" i="2"/>
  <c r="E236" i="2"/>
  <c r="D236" i="2"/>
  <c r="H235" i="2"/>
  <c r="G235" i="2"/>
  <c r="F235" i="2"/>
  <c r="E235" i="2"/>
  <c r="D235" i="2"/>
  <c r="H234" i="2"/>
  <c r="G234" i="2"/>
  <c r="F234" i="2"/>
  <c r="E234" i="2"/>
  <c r="D234" i="2"/>
  <c r="H233" i="2"/>
  <c r="G233" i="2"/>
  <c r="F233" i="2"/>
  <c r="E233" i="2"/>
  <c r="D233" i="2"/>
  <c r="H2966" i="2"/>
  <c r="G2966" i="2"/>
  <c r="F2966" i="2"/>
  <c r="E2966" i="2"/>
  <c r="D2966" i="2"/>
  <c r="H2622" i="2"/>
  <c r="G2622" i="2"/>
  <c r="F2622" i="2"/>
  <c r="E2622" i="2"/>
  <c r="D2622" i="2"/>
  <c r="H2621" i="2"/>
  <c r="G2621" i="2"/>
  <c r="F2621" i="2"/>
  <c r="E2621" i="2"/>
  <c r="D2621" i="2"/>
  <c r="H2620" i="2"/>
  <c r="G2620" i="2"/>
  <c r="F2620" i="2"/>
  <c r="E2620" i="2"/>
  <c r="D2620" i="2"/>
  <c r="H2619" i="2"/>
  <c r="G2619" i="2"/>
  <c r="F2619" i="2"/>
  <c r="E2619" i="2"/>
  <c r="D2619" i="2"/>
  <c r="H2618" i="2"/>
  <c r="G2618" i="2"/>
  <c r="F2618" i="2"/>
  <c r="E2618" i="2"/>
  <c r="D2618" i="2"/>
  <c r="H2617" i="2"/>
  <c r="G2617" i="2"/>
  <c r="F2617" i="2"/>
  <c r="E2617" i="2"/>
  <c r="D2617" i="2"/>
  <c r="H2616" i="2"/>
  <c r="G2616" i="2"/>
  <c r="F2616" i="2"/>
  <c r="E2616" i="2"/>
  <c r="D2616" i="2"/>
  <c r="H2615" i="2"/>
  <c r="G2615" i="2"/>
  <c r="F2615" i="2"/>
  <c r="E2615" i="2"/>
  <c r="D2615" i="2"/>
  <c r="H2614" i="2"/>
  <c r="G2614" i="2"/>
  <c r="F2614" i="2"/>
  <c r="E2614" i="2"/>
  <c r="D2614" i="2"/>
  <c r="H3364" i="2"/>
  <c r="G3364" i="2"/>
  <c r="F3364" i="2"/>
  <c r="E3364" i="2"/>
  <c r="D3364" i="2"/>
  <c r="H3363" i="2"/>
  <c r="G3363" i="2"/>
  <c r="F3363" i="2"/>
  <c r="E3363" i="2"/>
  <c r="D3363" i="2"/>
  <c r="H3362" i="2"/>
  <c r="G3362" i="2"/>
  <c r="F3362" i="2"/>
  <c r="E3362" i="2"/>
  <c r="D3362" i="2"/>
  <c r="H3361" i="2"/>
  <c r="G3361" i="2"/>
  <c r="F3361" i="2"/>
  <c r="E3361" i="2"/>
  <c r="D3361" i="2"/>
  <c r="H3360" i="2"/>
  <c r="G3360" i="2"/>
  <c r="F3360" i="2"/>
  <c r="E3360" i="2"/>
  <c r="D3360" i="2"/>
  <c r="H3359" i="2"/>
  <c r="G3359" i="2"/>
  <c r="F3359" i="2"/>
  <c r="E3359" i="2"/>
  <c r="D3359" i="2"/>
  <c r="H3358" i="2"/>
  <c r="G3358" i="2"/>
  <c r="F3358" i="2"/>
  <c r="E3358" i="2"/>
  <c r="D3358" i="2"/>
  <c r="H3357" i="2"/>
  <c r="G3357" i="2"/>
  <c r="F3357" i="2"/>
  <c r="E3357" i="2"/>
  <c r="D3357" i="2"/>
  <c r="H3356" i="2"/>
  <c r="G3356" i="2"/>
  <c r="F3356" i="2"/>
  <c r="E3356" i="2"/>
  <c r="D3356" i="2"/>
  <c r="H3355" i="2"/>
  <c r="G3355" i="2"/>
  <c r="F3355" i="2"/>
  <c r="E3355" i="2"/>
  <c r="D3355" i="2"/>
  <c r="H3354" i="2"/>
  <c r="G3354" i="2"/>
  <c r="F3354" i="2"/>
  <c r="E3354" i="2"/>
  <c r="D3354" i="2"/>
  <c r="H3353" i="2"/>
  <c r="G3353" i="2"/>
  <c r="F3353" i="2"/>
  <c r="E3353" i="2"/>
  <c r="D3353" i="2"/>
  <c r="H3352" i="2"/>
  <c r="G3352" i="2"/>
  <c r="F3352" i="2"/>
  <c r="E3352" i="2"/>
  <c r="D3352" i="2"/>
  <c r="H3351" i="2"/>
  <c r="G3351" i="2"/>
  <c r="F3351" i="2"/>
  <c r="E3351" i="2"/>
  <c r="D3351" i="2"/>
  <c r="H3350" i="2"/>
  <c r="G3350" i="2"/>
  <c r="F3350" i="2"/>
  <c r="E3350" i="2"/>
  <c r="D3350" i="2"/>
  <c r="H3349" i="2"/>
  <c r="G3349" i="2"/>
  <c r="F3349" i="2"/>
  <c r="E3349" i="2"/>
  <c r="D3349" i="2"/>
  <c r="H1730" i="2"/>
  <c r="G1730" i="2"/>
  <c r="F1730" i="2"/>
  <c r="E1730" i="2"/>
  <c r="D1730" i="2"/>
  <c r="H1729" i="2"/>
  <c r="G1729" i="2"/>
  <c r="F1729" i="2"/>
  <c r="E1729" i="2"/>
  <c r="D1729" i="2"/>
  <c r="H1728" i="2"/>
  <c r="G1728" i="2"/>
  <c r="F1728" i="2"/>
  <c r="E1728" i="2"/>
  <c r="D1728" i="2"/>
  <c r="H1727" i="2"/>
  <c r="G1727" i="2"/>
  <c r="F1727" i="2"/>
  <c r="E1727" i="2"/>
  <c r="D1727" i="2"/>
  <c r="H1726" i="2"/>
  <c r="G1726" i="2"/>
  <c r="F1726" i="2"/>
  <c r="E1726" i="2"/>
  <c r="D1726" i="2"/>
  <c r="H1725" i="2"/>
  <c r="G1725" i="2"/>
  <c r="F1725" i="2"/>
  <c r="E1725" i="2"/>
  <c r="D1725" i="2"/>
  <c r="H1724" i="2"/>
  <c r="G1724" i="2"/>
  <c r="F1724" i="2"/>
  <c r="E1724" i="2"/>
  <c r="D1724" i="2"/>
  <c r="H1723" i="2"/>
  <c r="G1723" i="2"/>
  <c r="F1723" i="2"/>
  <c r="E1723" i="2"/>
  <c r="D1723" i="2"/>
  <c r="H1722" i="2"/>
  <c r="G1722" i="2"/>
  <c r="F1722" i="2"/>
  <c r="E1722" i="2"/>
  <c r="D1722" i="2"/>
  <c r="H1721" i="2"/>
  <c r="G1721" i="2"/>
  <c r="F1721" i="2"/>
  <c r="E1721" i="2"/>
  <c r="D1721" i="2"/>
  <c r="H1720" i="2"/>
  <c r="G1720" i="2"/>
  <c r="F1720" i="2"/>
  <c r="E1720" i="2"/>
  <c r="D1720" i="2"/>
  <c r="H1719" i="2"/>
  <c r="G1719" i="2"/>
  <c r="F1719" i="2"/>
  <c r="E1719" i="2"/>
  <c r="D1719" i="2"/>
  <c r="H1718" i="2"/>
  <c r="G1718" i="2"/>
  <c r="F1718" i="2"/>
  <c r="E1718" i="2"/>
  <c r="D1718" i="2"/>
  <c r="H1717" i="2"/>
  <c r="G1717" i="2"/>
  <c r="F1717" i="2"/>
  <c r="E1717" i="2"/>
  <c r="D1717" i="2"/>
  <c r="H348" i="2"/>
  <c r="G348" i="2"/>
  <c r="F348" i="2"/>
  <c r="E348" i="2"/>
  <c r="D348" i="2"/>
  <c r="H347" i="2"/>
  <c r="G347" i="2"/>
  <c r="F347" i="2"/>
  <c r="E347" i="2"/>
  <c r="D347" i="2"/>
  <c r="H346" i="2"/>
  <c r="G346" i="2"/>
  <c r="F346" i="2"/>
  <c r="E346" i="2"/>
  <c r="D346" i="2"/>
  <c r="H345" i="2"/>
  <c r="G345" i="2"/>
  <c r="F345" i="2"/>
  <c r="E345" i="2"/>
  <c r="D345" i="2"/>
  <c r="H344" i="2"/>
  <c r="G344" i="2"/>
  <c r="F344" i="2"/>
  <c r="E344" i="2"/>
  <c r="D344" i="2"/>
  <c r="H343" i="2"/>
  <c r="G343" i="2"/>
  <c r="F343" i="2"/>
  <c r="E343" i="2"/>
  <c r="D343" i="2"/>
  <c r="H342" i="2"/>
  <c r="G342" i="2"/>
  <c r="F342" i="2"/>
  <c r="E342" i="2"/>
  <c r="D342" i="2"/>
  <c r="H3810" i="2"/>
  <c r="G3810" i="2"/>
  <c r="F3810" i="2"/>
  <c r="E3810" i="2"/>
  <c r="D3810" i="2"/>
  <c r="H3809" i="2"/>
  <c r="G3809" i="2"/>
  <c r="F3809" i="2"/>
  <c r="E3809" i="2"/>
  <c r="D3809" i="2"/>
  <c r="H3808" i="2"/>
  <c r="G3808" i="2"/>
  <c r="F3808" i="2"/>
  <c r="E3808" i="2"/>
  <c r="D3808" i="2"/>
  <c r="H1619" i="2"/>
  <c r="G1619" i="2"/>
  <c r="F1619" i="2"/>
  <c r="E1619" i="2"/>
  <c r="D1619" i="2"/>
  <c r="H1618" i="2"/>
  <c r="G1618" i="2"/>
  <c r="F1618" i="2"/>
  <c r="E1618" i="2"/>
  <c r="D1618" i="2"/>
  <c r="H1617" i="2"/>
  <c r="G1617" i="2"/>
  <c r="F1617" i="2"/>
  <c r="E1617" i="2"/>
  <c r="D1617" i="2"/>
  <c r="H1616" i="2"/>
  <c r="G1616" i="2"/>
  <c r="F1616" i="2"/>
  <c r="E1616" i="2"/>
  <c r="D1616" i="2"/>
  <c r="H1615" i="2"/>
  <c r="G1615" i="2"/>
  <c r="F1615" i="2"/>
  <c r="E1615" i="2"/>
  <c r="D1615" i="2"/>
  <c r="H32" i="2"/>
  <c r="G32" i="2"/>
  <c r="F32" i="2"/>
  <c r="E32" i="2"/>
  <c r="D32" i="2"/>
  <c r="H31" i="2"/>
  <c r="G31" i="2"/>
  <c r="F31" i="2"/>
  <c r="E31" i="2"/>
  <c r="D31" i="2"/>
  <c r="H30" i="2"/>
  <c r="G30" i="2"/>
  <c r="F30" i="2"/>
  <c r="E30" i="2"/>
  <c r="D30" i="2"/>
  <c r="H29" i="2"/>
  <c r="G29" i="2"/>
  <c r="F29" i="2"/>
  <c r="E29" i="2"/>
  <c r="D29" i="2"/>
  <c r="H22" i="2"/>
  <c r="G22" i="2"/>
  <c r="F22" i="2"/>
  <c r="E22" i="2"/>
  <c r="D22" i="2"/>
  <c r="H502" i="2"/>
  <c r="G502" i="2"/>
  <c r="F502" i="2"/>
  <c r="E502" i="2"/>
  <c r="D502" i="2"/>
  <c r="H501" i="2"/>
  <c r="G501" i="2"/>
  <c r="F501" i="2"/>
  <c r="E501" i="2"/>
  <c r="D501" i="2"/>
  <c r="H173" i="2"/>
  <c r="G173" i="2"/>
  <c r="F173" i="2"/>
  <c r="E173" i="2"/>
  <c r="D173" i="2"/>
  <c r="H172" i="2"/>
  <c r="G172" i="2"/>
  <c r="F172" i="2"/>
  <c r="E172" i="2"/>
  <c r="D172" i="2"/>
  <c r="H2727" i="2"/>
  <c r="G2727" i="2"/>
  <c r="F2727" i="2"/>
  <c r="E2727" i="2"/>
  <c r="D2727" i="2"/>
  <c r="H2726" i="2"/>
  <c r="G2726" i="2"/>
  <c r="F2726" i="2"/>
  <c r="E2726" i="2"/>
  <c r="D2726" i="2"/>
  <c r="H2725" i="2"/>
  <c r="G2725" i="2"/>
  <c r="F2725" i="2"/>
  <c r="E2725" i="2"/>
  <c r="D2725" i="2"/>
  <c r="H2724" i="2"/>
  <c r="G2724" i="2"/>
  <c r="F2724" i="2"/>
  <c r="E2724" i="2"/>
  <c r="D2724" i="2"/>
  <c r="H2678" i="2"/>
  <c r="G2678" i="2"/>
  <c r="F2678" i="2"/>
  <c r="E2678" i="2"/>
  <c r="D2678" i="2"/>
  <c r="H2677" i="2"/>
  <c r="G2677" i="2"/>
  <c r="F2677" i="2"/>
  <c r="E2677" i="2"/>
  <c r="D2677" i="2"/>
  <c r="H2676" i="2"/>
  <c r="G2676" i="2"/>
  <c r="F2676" i="2"/>
  <c r="E2676" i="2"/>
  <c r="D2676" i="2"/>
  <c r="H2675" i="2"/>
  <c r="G2675" i="2"/>
  <c r="F2675" i="2"/>
  <c r="E2675" i="2"/>
  <c r="D2675" i="2"/>
  <c r="H2674" i="2"/>
  <c r="G2674" i="2"/>
  <c r="F2674" i="2"/>
  <c r="E2674" i="2"/>
  <c r="D2674" i="2"/>
  <c r="H2673" i="2"/>
  <c r="G2673" i="2"/>
  <c r="F2673" i="2"/>
  <c r="E2673" i="2"/>
  <c r="D2673" i="2"/>
  <c r="H2672" i="2"/>
  <c r="G2672" i="2"/>
  <c r="F2672" i="2"/>
  <c r="E2672" i="2"/>
  <c r="D2672" i="2"/>
  <c r="H2671" i="2"/>
  <c r="G2671" i="2"/>
  <c r="F2671" i="2"/>
  <c r="E2671" i="2"/>
  <c r="D2671" i="2"/>
  <c r="H2670" i="2"/>
  <c r="G2670" i="2"/>
  <c r="F2670" i="2"/>
  <c r="E2670" i="2"/>
  <c r="D2670" i="2"/>
  <c r="H2669" i="2"/>
  <c r="G2669" i="2"/>
  <c r="F2669" i="2"/>
  <c r="E2669" i="2"/>
  <c r="D2669" i="2"/>
  <c r="H2668" i="2"/>
  <c r="G2668" i="2"/>
  <c r="F2668" i="2"/>
  <c r="E2668" i="2"/>
  <c r="D2668" i="2"/>
  <c r="H3792" i="2"/>
  <c r="G3792" i="2"/>
  <c r="F3792" i="2"/>
  <c r="E3792" i="2"/>
  <c r="D3792" i="2"/>
  <c r="H3791" i="2"/>
  <c r="G3791" i="2"/>
  <c r="F3791" i="2"/>
  <c r="E3791" i="2"/>
  <c r="D3791" i="2"/>
  <c r="H20" i="2"/>
  <c r="G20" i="2"/>
  <c r="F20" i="2"/>
  <c r="E20" i="2"/>
  <c r="D20" i="2"/>
  <c r="H2685" i="2"/>
  <c r="G2685" i="2"/>
  <c r="F2685" i="2"/>
  <c r="E2685" i="2"/>
  <c r="D2685" i="2"/>
  <c r="H2684" i="2"/>
  <c r="G2684" i="2"/>
  <c r="F2684" i="2"/>
  <c r="E2684" i="2"/>
  <c r="D2684" i="2"/>
  <c r="H3091" i="2"/>
  <c r="G3091" i="2"/>
  <c r="F3091" i="2"/>
  <c r="E3091" i="2"/>
  <c r="D3091" i="2"/>
  <c r="H133" i="2"/>
  <c r="G133" i="2"/>
  <c r="F133" i="2"/>
  <c r="E133" i="2"/>
  <c r="D133" i="2"/>
  <c r="H94" i="2"/>
  <c r="G94" i="2"/>
  <c r="F94" i="2"/>
  <c r="E94" i="2"/>
  <c r="D94" i="2"/>
  <c r="H593" i="2"/>
  <c r="G593" i="2"/>
  <c r="F593" i="2"/>
  <c r="E593" i="2"/>
  <c r="D593" i="2"/>
  <c r="H171" i="2"/>
  <c r="G171" i="2"/>
  <c r="F171" i="2"/>
  <c r="E171" i="2"/>
  <c r="D171" i="2"/>
  <c r="H170" i="2"/>
  <c r="G170" i="2"/>
  <c r="F170" i="2"/>
  <c r="E170" i="2"/>
  <c r="D170" i="2"/>
  <c r="H169" i="2"/>
  <c r="G169" i="2"/>
  <c r="F169" i="2"/>
  <c r="E169" i="2"/>
  <c r="D169" i="2"/>
  <c r="H1419" i="2"/>
  <c r="G1419" i="2"/>
  <c r="F1419" i="2"/>
  <c r="E1419" i="2"/>
  <c r="D1419" i="2"/>
  <c r="H1418" i="2"/>
  <c r="G1418" i="2"/>
  <c r="F1418" i="2"/>
  <c r="E1418" i="2"/>
  <c r="D1418" i="2"/>
  <c r="H1804" i="2"/>
  <c r="G1804" i="2"/>
  <c r="F1804" i="2"/>
  <c r="E1804" i="2"/>
  <c r="D1804" i="2"/>
  <c r="H1178" i="2"/>
  <c r="G1178" i="2"/>
  <c r="F1178" i="2"/>
  <c r="E1178" i="2"/>
  <c r="D1178" i="2"/>
  <c r="H1177" i="2"/>
  <c r="G1177" i="2"/>
  <c r="F1177" i="2"/>
  <c r="E1177" i="2"/>
  <c r="D1177" i="2"/>
  <c r="H1176" i="2"/>
  <c r="G1176" i="2"/>
  <c r="F1176" i="2"/>
  <c r="E1176" i="2"/>
  <c r="D1176" i="2"/>
  <c r="H1175" i="2"/>
  <c r="G1175" i="2"/>
  <c r="F1175" i="2"/>
  <c r="E1175" i="2"/>
  <c r="D1175" i="2"/>
  <c r="H1174" i="2"/>
  <c r="G1174" i="2"/>
  <c r="F1174" i="2"/>
  <c r="E1174" i="2"/>
  <c r="D1174" i="2"/>
  <c r="H1173" i="2"/>
  <c r="G1173" i="2"/>
  <c r="F1173" i="2"/>
  <c r="E1173" i="2"/>
  <c r="D1173" i="2"/>
  <c r="H1172" i="2"/>
  <c r="G1172" i="2"/>
  <c r="F1172" i="2"/>
  <c r="E1172" i="2"/>
  <c r="D1172" i="2"/>
  <c r="H1171" i="2"/>
  <c r="G1171" i="2"/>
  <c r="F1171" i="2"/>
  <c r="E1171" i="2"/>
  <c r="D1171" i="2"/>
  <c r="H1170" i="2"/>
  <c r="G1170" i="2"/>
  <c r="F1170" i="2"/>
  <c r="E1170" i="2"/>
  <c r="D1170" i="2"/>
  <c r="H1169" i="2"/>
  <c r="G1169" i="2"/>
  <c r="F1169" i="2"/>
  <c r="E1169" i="2"/>
  <c r="D1169" i="2"/>
  <c r="H1168" i="2"/>
  <c r="G1168" i="2"/>
  <c r="F1168" i="2"/>
  <c r="E1168" i="2"/>
  <c r="D1168" i="2"/>
  <c r="H2862" i="2"/>
  <c r="G2862" i="2"/>
  <c r="F2862" i="2"/>
  <c r="E2862" i="2"/>
  <c r="D2862" i="2"/>
  <c r="H2861" i="2"/>
  <c r="G2861" i="2"/>
  <c r="F2861" i="2"/>
  <c r="E2861" i="2"/>
  <c r="D2861" i="2"/>
  <c r="H2860" i="2"/>
  <c r="G2860" i="2"/>
  <c r="F2860" i="2"/>
  <c r="E2860" i="2"/>
  <c r="D2860" i="2"/>
  <c r="H3532" i="2"/>
  <c r="G3532" i="2"/>
  <c r="F3532" i="2"/>
  <c r="E3532" i="2"/>
  <c r="D3532" i="2"/>
  <c r="H3531" i="2"/>
  <c r="G3531" i="2"/>
  <c r="F3531" i="2"/>
  <c r="E3531" i="2"/>
  <c r="D3531" i="2"/>
  <c r="H3530" i="2"/>
  <c r="G3530" i="2"/>
  <c r="F3530" i="2"/>
  <c r="E3530" i="2"/>
  <c r="D3530" i="2"/>
  <c r="H3529" i="2"/>
  <c r="G3529" i="2"/>
  <c r="F3529" i="2"/>
  <c r="E3529" i="2"/>
  <c r="D3529" i="2"/>
  <c r="H3528" i="2"/>
  <c r="G3528" i="2"/>
  <c r="F3528" i="2"/>
  <c r="E3528" i="2"/>
  <c r="D3528" i="2"/>
  <c r="H3527" i="2"/>
  <c r="G3527" i="2"/>
  <c r="F3527" i="2"/>
  <c r="E3527" i="2"/>
  <c r="D3527" i="2"/>
  <c r="H3526" i="2"/>
  <c r="G3526" i="2"/>
  <c r="F3526" i="2"/>
  <c r="E3526" i="2"/>
  <c r="D3526" i="2"/>
  <c r="H3525" i="2"/>
  <c r="G3525" i="2"/>
  <c r="F3525" i="2"/>
  <c r="E3525" i="2"/>
  <c r="D3525" i="2"/>
  <c r="H3524" i="2"/>
  <c r="G3524" i="2"/>
  <c r="F3524" i="2"/>
  <c r="E3524" i="2"/>
  <c r="D3524" i="2"/>
  <c r="H3523" i="2"/>
  <c r="G3523" i="2"/>
  <c r="F3523" i="2"/>
  <c r="E3523" i="2"/>
  <c r="D3523" i="2"/>
  <c r="H3522" i="2"/>
  <c r="G3522" i="2"/>
  <c r="F3522" i="2"/>
  <c r="E3522" i="2"/>
  <c r="D3522" i="2"/>
  <c r="H2018" i="2"/>
  <c r="G2018" i="2"/>
  <c r="F2018" i="2"/>
  <c r="E2018" i="2"/>
  <c r="D2018" i="2"/>
  <c r="H2017" i="2"/>
  <c r="G2017" i="2"/>
  <c r="F2017" i="2"/>
  <c r="E2017" i="2"/>
  <c r="D2017" i="2"/>
  <c r="H2016" i="2"/>
  <c r="G2016" i="2"/>
  <c r="F2016" i="2"/>
  <c r="E2016" i="2"/>
  <c r="D2016" i="2"/>
  <c r="H974" i="2"/>
  <c r="G974" i="2"/>
  <c r="F974" i="2"/>
  <c r="E974" i="2"/>
  <c r="D974" i="2"/>
  <c r="H973" i="2"/>
  <c r="G973" i="2"/>
  <c r="F973" i="2"/>
  <c r="E973" i="2"/>
  <c r="D973" i="2"/>
  <c r="H972" i="2"/>
  <c r="G972" i="2"/>
  <c r="F972" i="2"/>
  <c r="E972" i="2"/>
  <c r="D972" i="2"/>
  <c r="H971" i="2"/>
  <c r="G971" i="2"/>
  <c r="F971" i="2"/>
  <c r="E971" i="2"/>
  <c r="D971" i="2"/>
  <c r="H970" i="2"/>
  <c r="G970" i="2"/>
  <c r="F970" i="2"/>
  <c r="E970" i="2"/>
  <c r="D970" i="2"/>
  <c r="H969" i="2"/>
  <c r="G969" i="2"/>
  <c r="F969" i="2"/>
  <c r="E969" i="2"/>
  <c r="D969" i="2"/>
  <c r="H968" i="2"/>
  <c r="G968" i="2"/>
  <c r="F968" i="2"/>
  <c r="E968" i="2"/>
  <c r="D968" i="2"/>
  <c r="H967" i="2"/>
  <c r="G967" i="2"/>
  <c r="F967" i="2"/>
  <c r="E967" i="2"/>
  <c r="D967" i="2"/>
  <c r="H966" i="2"/>
  <c r="G966" i="2"/>
  <c r="F966" i="2"/>
  <c r="E966" i="2"/>
  <c r="D966" i="2"/>
  <c r="H1716" i="2"/>
  <c r="G1716" i="2"/>
  <c r="F1716" i="2"/>
  <c r="E1716" i="2"/>
  <c r="D1716" i="2"/>
  <c r="H1715" i="2"/>
  <c r="G1715" i="2"/>
  <c r="F1715" i="2"/>
  <c r="E1715" i="2"/>
  <c r="D1715" i="2"/>
  <c r="H1714" i="2"/>
  <c r="G1714" i="2"/>
  <c r="F1714" i="2"/>
  <c r="E1714" i="2"/>
  <c r="D1714" i="2"/>
  <c r="H1316" i="2"/>
  <c r="G1316" i="2"/>
  <c r="F1316" i="2"/>
  <c r="E1316" i="2"/>
  <c r="D1316" i="2"/>
  <c r="H2311" i="2"/>
  <c r="G2311" i="2"/>
  <c r="F2311" i="2"/>
  <c r="E2311" i="2"/>
  <c r="D2311" i="2"/>
  <c r="H2632" i="2"/>
  <c r="G2632" i="2"/>
  <c r="F2632" i="2"/>
  <c r="E2632" i="2"/>
  <c r="D2632" i="2"/>
  <c r="H1739" i="2"/>
  <c r="G1739" i="2"/>
  <c r="F1739" i="2"/>
  <c r="E1739" i="2"/>
  <c r="D1739" i="2"/>
  <c r="H7" i="2"/>
  <c r="G7" i="2"/>
  <c r="F7" i="2"/>
  <c r="E7" i="2"/>
  <c r="D7" i="2"/>
  <c r="H111" i="2"/>
  <c r="G111" i="2"/>
  <c r="F111" i="2"/>
  <c r="E111" i="2"/>
  <c r="D111" i="2"/>
  <c r="H110" i="2"/>
  <c r="G110" i="2"/>
  <c r="F110" i="2"/>
  <c r="E110" i="2"/>
  <c r="D110" i="2"/>
  <c r="H109" i="2"/>
  <c r="G109" i="2"/>
  <c r="F109" i="2"/>
  <c r="E109" i="2"/>
  <c r="D109" i="2"/>
  <c r="H108" i="2"/>
  <c r="G108" i="2"/>
  <c r="F108" i="2"/>
  <c r="E108" i="2"/>
  <c r="D108" i="2"/>
  <c r="H107" i="2"/>
  <c r="G107" i="2"/>
  <c r="F107" i="2"/>
  <c r="E107" i="2"/>
  <c r="D107" i="2"/>
  <c r="H106" i="2"/>
  <c r="G106" i="2"/>
  <c r="F106" i="2"/>
  <c r="E106" i="2"/>
  <c r="D106" i="2"/>
  <c r="H105" i="2"/>
  <c r="G105" i="2"/>
  <c r="F105" i="2"/>
  <c r="E105" i="2"/>
  <c r="D105" i="2"/>
  <c r="H104" i="2"/>
  <c r="G104" i="2"/>
  <c r="F104" i="2"/>
  <c r="E104" i="2"/>
  <c r="D104" i="2"/>
  <c r="H103" i="2"/>
  <c r="G103" i="2"/>
  <c r="F103" i="2"/>
  <c r="E103" i="2"/>
  <c r="D103" i="2"/>
  <c r="H102" i="2"/>
  <c r="G102" i="2"/>
  <c r="F102" i="2"/>
  <c r="E102" i="2"/>
  <c r="D102" i="2"/>
  <c r="H101" i="2"/>
  <c r="G101" i="2"/>
  <c r="F101" i="2"/>
  <c r="E101" i="2"/>
  <c r="D101" i="2"/>
  <c r="H100" i="2"/>
  <c r="G100" i="2"/>
  <c r="F100" i="2"/>
  <c r="E100" i="2"/>
  <c r="D100" i="2"/>
  <c r="H99" i="2"/>
  <c r="G99" i="2"/>
  <c r="F99" i="2"/>
  <c r="E99" i="2"/>
  <c r="D99" i="2"/>
  <c r="H460" i="2"/>
  <c r="G460" i="2"/>
  <c r="F460" i="2"/>
  <c r="E460" i="2"/>
  <c r="D460" i="2"/>
  <c r="H459" i="2"/>
  <c r="G459" i="2"/>
  <c r="F459" i="2"/>
  <c r="E459" i="2"/>
  <c r="D459" i="2"/>
  <c r="H2015" i="2"/>
  <c r="G2015" i="2"/>
  <c r="F2015" i="2"/>
  <c r="E2015" i="2"/>
  <c r="D2015" i="2"/>
  <c r="H531" i="2"/>
  <c r="G531" i="2"/>
  <c r="F531" i="2"/>
  <c r="E531" i="2"/>
  <c r="D531" i="2"/>
  <c r="H2532" i="2"/>
  <c r="G2532" i="2"/>
  <c r="F2532" i="2"/>
  <c r="E2532" i="2"/>
  <c r="D2532" i="2"/>
  <c r="H128" i="2"/>
  <c r="G128" i="2"/>
  <c r="F128" i="2"/>
  <c r="E128" i="2"/>
  <c r="D128" i="2"/>
  <c r="H127" i="2"/>
  <c r="G127" i="2"/>
  <c r="F127" i="2"/>
  <c r="E127" i="2"/>
  <c r="D127" i="2"/>
  <c r="H2050" i="2"/>
  <c r="G2050" i="2"/>
  <c r="F2050" i="2"/>
  <c r="E2050" i="2"/>
  <c r="D2050" i="2"/>
  <c r="H1842" i="2"/>
  <c r="G1842" i="2"/>
  <c r="F1842" i="2"/>
  <c r="E1842" i="2"/>
  <c r="D1842" i="2"/>
  <c r="H1841" i="2"/>
  <c r="G1841" i="2"/>
  <c r="F1841" i="2"/>
  <c r="E1841" i="2"/>
  <c r="D1841" i="2"/>
  <c r="H1840" i="2"/>
  <c r="G1840" i="2"/>
  <c r="F1840" i="2"/>
  <c r="E1840" i="2"/>
  <c r="D1840" i="2"/>
  <c r="H1839" i="2"/>
  <c r="G1839" i="2"/>
  <c r="F1839" i="2"/>
  <c r="E1839" i="2"/>
  <c r="D1839" i="2"/>
  <c r="H1838" i="2"/>
  <c r="G1838" i="2"/>
  <c r="F1838" i="2"/>
  <c r="E1838" i="2"/>
  <c r="D1838" i="2"/>
  <c r="H1837" i="2"/>
  <c r="G1837" i="2"/>
  <c r="F1837" i="2"/>
  <c r="E1837" i="2"/>
  <c r="D1837" i="2"/>
  <c r="H1836" i="2"/>
  <c r="G1836" i="2"/>
  <c r="F1836" i="2"/>
  <c r="E1836" i="2"/>
  <c r="D1836" i="2"/>
  <c r="H1835" i="2"/>
  <c r="G1835" i="2"/>
  <c r="F1835" i="2"/>
  <c r="E1835" i="2"/>
  <c r="D1835" i="2"/>
  <c r="H1834" i="2"/>
  <c r="G1834" i="2"/>
  <c r="F1834" i="2"/>
  <c r="E1834" i="2"/>
  <c r="D1834" i="2"/>
  <c r="H1833" i="2"/>
  <c r="G1833" i="2"/>
  <c r="F1833" i="2"/>
  <c r="E1833" i="2"/>
  <c r="D1833" i="2"/>
  <c r="H1832" i="2"/>
  <c r="G1832" i="2"/>
  <c r="F1832" i="2"/>
  <c r="E1832" i="2"/>
  <c r="D1832" i="2"/>
  <c r="H3794" i="2"/>
  <c r="G3794" i="2"/>
  <c r="F3794" i="2"/>
  <c r="E3794" i="2"/>
  <c r="D3794" i="2"/>
  <c r="H3793" i="2"/>
  <c r="G3793" i="2"/>
  <c r="F3793" i="2"/>
  <c r="E3793" i="2"/>
  <c r="D3793" i="2"/>
  <c r="H3747" i="2"/>
  <c r="G3747" i="2"/>
  <c r="F3747" i="2"/>
  <c r="E3747" i="2"/>
  <c r="D3747" i="2"/>
  <c r="H3746" i="2"/>
  <c r="G3746" i="2"/>
  <c r="F3746" i="2"/>
  <c r="E3746" i="2"/>
  <c r="D3746" i="2"/>
  <c r="H3745" i="2"/>
  <c r="G3745" i="2"/>
  <c r="F3745" i="2"/>
  <c r="E3745" i="2"/>
  <c r="D3745" i="2"/>
  <c r="H3744" i="2"/>
  <c r="G3744" i="2"/>
  <c r="F3744" i="2"/>
  <c r="E3744" i="2"/>
  <c r="D3744" i="2"/>
  <c r="H3743" i="2"/>
  <c r="G3743" i="2"/>
  <c r="F3743" i="2"/>
  <c r="E3743" i="2"/>
  <c r="D3743" i="2"/>
  <c r="H3742" i="2"/>
  <c r="G3742" i="2"/>
  <c r="F3742" i="2"/>
  <c r="E3742" i="2"/>
  <c r="D3742" i="2"/>
  <c r="H3741" i="2"/>
  <c r="G3741" i="2"/>
  <c r="F3741" i="2"/>
  <c r="E3741" i="2"/>
  <c r="D3741" i="2"/>
  <c r="H3740" i="2"/>
  <c r="G3740" i="2"/>
  <c r="F3740" i="2"/>
  <c r="E3740" i="2"/>
  <c r="D3740" i="2"/>
  <c r="H3739" i="2"/>
  <c r="G3739" i="2"/>
  <c r="F3739" i="2"/>
  <c r="E3739" i="2"/>
  <c r="D3739" i="2"/>
  <c r="H3738" i="2"/>
  <c r="G3738" i="2"/>
  <c r="F3738" i="2"/>
  <c r="E3738" i="2"/>
  <c r="D3738" i="2"/>
  <c r="H3737" i="2"/>
  <c r="G3737" i="2"/>
  <c r="F3737" i="2"/>
  <c r="E3737" i="2"/>
  <c r="D3737" i="2"/>
  <c r="H1895" i="2"/>
  <c r="G1895" i="2"/>
  <c r="F1895" i="2"/>
  <c r="E1895" i="2"/>
  <c r="D1895" i="2"/>
  <c r="H1894" i="2"/>
  <c r="G1894" i="2"/>
  <c r="F1894" i="2"/>
  <c r="E1894" i="2"/>
  <c r="D1894" i="2"/>
  <c r="H1548" i="2"/>
  <c r="G1548" i="2"/>
  <c r="F1548" i="2"/>
  <c r="E1548" i="2"/>
  <c r="D1548" i="2"/>
  <c r="H13" i="2"/>
  <c r="G13" i="2"/>
  <c r="F13" i="2"/>
  <c r="E13" i="2"/>
  <c r="D13" i="2"/>
  <c r="H12" i="2"/>
  <c r="G12" i="2"/>
  <c r="F12" i="2"/>
  <c r="E12" i="2"/>
  <c r="D12" i="2"/>
  <c r="H3501" i="2"/>
  <c r="G3501" i="2"/>
  <c r="F3501" i="2"/>
  <c r="E3501" i="2"/>
  <c r="D3501" i="2"/>
  <c r="H1154" i="2"/>
  <c r="G1154" i="2"/>
  <c r="F1154" i="2"/>
  <c r="E1154" i="2"/>
  <c r="D1154" i="2"/>
  <c r="H1738" i="2"/>
  <c r="G1738" i="2"/>
  <c r="F1738" i="2"/>
  <c r="E1738" i="2"/>
  <c r="D1738" i="2"/>
  <c r="H827" i="2"/>
  <c r="G827" i="2"/>
  <c r="F827" i="2"/>
  <c r="E827" i="2"/>
  <c r="D827" i="2"/>
  <c r="H826" i="2"/>
  <c r="G826" i="2"/>
  <c r="F826" i="2"/>
  <c r="E826" i="2"/>
  <c r="D826" i="2"/>
  <c r="H2245" i="2"/>
  <c r="G2245" i="2"/>
  <c r="F2245" i="2"/>
  <c r="E2245" i="2"/>
  <c r="D2245" i="2"/>
  <c r="H2599" i="2"/>
  <c r="G2599" i="2"/>
  <c r="F2599" i="2"/>
  <c r="E2599" i="2"/>
  <c r="D2599" i="2"/>
  <c r="H2598" i="2"/>
  <c r="G2598" i="2"/>
  <c r="F2598" i="2"/>
  <c r="E2598" i="2"/>
  <c r="D2598" i="2"/>
  <c r="H2591" i="2"/>
  <c r="G2591" i="2"/>
  <c r="F2591" i="2"/>
  <c r="E2591" i="2"/>
  <c r="D2591" i="2"/>
  <c r="H2590" i="2"/>
  <c r="G2590" i="2"/>
  <c r="F2590" i="2"/>
  <c r="E2590" i="2"/>
  <c r="D2590" i="2"/>
  <c r="H2589" i="2"/>
  <c r="G2589" i="2"/>
  <c r="F2589" i="2"/>
  <c r="E2589" i="2"/>
  <c r="D2589" i="2"/>
  <c r="H2486" i="2"/>
  <c r="G2486" i="2"/>
  <c r="F2486" i="2"/>
  <c r="E2486" i="2"/>
  <c r="D2486" i="2"/>
  <c r="H2485" i="2"/>
  <c r="G2485" i="2"/>
  <c r="F2485" i="2"/>
  <c r="E2485" i="2"/>
  <c r="D2485" i="2"/>
  <c r="H3650" i="2"/>
  <c r="G3650" i="2"/>
  <c r="F3650" i="2"/>
  <c r="E3650" i="2"/>
  <c r="D3650" i="2"/>
  <c r="H3649" i="2"/>
  <c r="G3649" i="2"/>
  <c r="F3649" i="2"/>
  <c r="E3649" i="2"/>
  <c r="D3649" i="2"/>
  <c r="H3255" i="2"/>
  <c r="G3255" i="2"/>
  <c r="F3255" i="2"/>
  <c r="E3255" i="2"/>
  <c r="D3255" i="2"/>
  <c r="H3254" i="2"/>
  <c r="G3254" i="2"/>
  <c r="F3254" i="2"/>
  <c r="E3254" i="2"/>
  <c r="D3254" i="2"/>
  <c r="H3253" i="2"/>
  <c r="G3253" i="2"/>
  <c r="F3253" i="2"/>
  <c r="E3253" i="2"/>
  <c r="D3253" i="2"/>
  <c r="H3252" i="2"/>
  <c r="G3252" i="2"/>
  <c r="F3252" i="2"/>
  <c r="E3252" i="2"/>
  <c r="D3252" i="2"/>
  <c r="H2959" i="2"/>
  <c r="G2959" i="2"/>
  <c r="F2959" i="2"/>
  <c r="E2959" i="2"/>
  <c r="D2959" i="2"/>
  <c r="H2958" i="2"/>
  <c r="G2958" i="2"/>
  <c r="F2958" i="2"/>
  <c r="E2958" i="2"/>
  <c r="D2958" i="2"/>
  <c r="H1322" i="2"/>
  <c r="G1322" i="2"/>
  <c r="F1322" i="2"/>
  <c r="E1322" i="2"/>
  <c r="D1322" i="2"/>
  <c r="H1524" i="2"/>
  <c r="G1524" i="2"/>
  <c r="F1524" i="2"/>
  <c r="E1524" i="2"/>
  <c r="D1524" i="2"/>
  <c r="H1523" i="2"/>
  <c r="G1523" i="2"/>
  <c r="F1523" i="2"/>
  <c r="E1523" i="2"/>
  <c r="D1523" i="2"/>
  <c r="H1522" i="2"/>
  <c r="G1522" i="2"/>
  <c r="F1522" i="2"/>
  <c r="E1522" i="2"/>
  <c r="D1522" i="2"/>
  <c r="H1492" i="2"/>
  <c r="G1492" i="2"/>
  <c r="F1492" i="2"/>
  <c r="E1492" i="2"/>
  <c r="D1492" i="2"/>
  <c r="H1491" i="2"/>
  <c r="G1491" i="2"/>
  <c r="F1491" i="2"/>
  <c r="E1491" i="2"/>
  <c r="D1491" i="2"/>
  <c r="H2358" i="2"/>
  <c r="G2358" i="2"/>
  <c r="F2358" i="2"/>
  <c r="E2358" i="2"/>
  <c r="D2358" i="2"/>
  <c r="H2357" i="2"/>
  <c r="G2357" i="2"/>
  <c r="F2357" i="2"/>
  <c r="E2357" i="2"/>
  <c r="D2357" i="2"/>
  <c r="H2356" i="2"/>
  <c r="G2356" i="2"/>
  <c r="F2356" i="2"/>
  <c r="E2356" i="2"/>
  <c r="D2356" i="2"/>
  <c r="H2355" i="2"/>
  <c r="G2355" i="2"/>
  <c r="F2355" i="2"/>
  <c r="E2355" i="2"/>
  <c r="D2355" i="2"/>
  <c r="H2354" i="2"/>
  <c r="G2354" i="2"/>
  <c r="F2354" i="2"/>
  <c r="E2354" i="2"/>
  <c r="D2354" i="2"/>
  <c r="H2353" i="2"/>
  <c r="G2353" i="2"/>
  <c r="F2353" i="2"/>
  <c r="E2353" i="2"/>
  <c r="D2353" i="2"/>
  <c r="H2352" i="2"/>
  <c r="G2352" i="2"/>
  <c r="F2352" i="2"/>
  <c r="E2352" i="2"/>
  <c r="D2352" i="2"/>
  <c r="H2351" i="2"/>
  <c r="G2351" i="2"/>
  <c r="F2351" i="2"/>
  <c r="E2351" i="2"/>
  <c r="D2351" i="2"/>
  <c r="H2350" i="2"/>
  <c r="G2350" i="2"/>
  <c r="F2350" i="2"/>
  <c r="E2350" i="2"/>
  <c r="D2350" i="2"/>
  <c r="H2349" i="2"/>
  <c r="G2349" i="2"/>
  <c r="F2349" i="2"/>
  <c r="E2349" i="2"/>
  <c r="D2349" i="2"/>
  <c r="H2348" i="2"/>
  <c r="G2348" i="2"/>
  <c r="F2348" i="2"/>
  <c r="E2348" i="2"/>
  <c r="D2348" i="2"/>
  <c r="H1633" i="2"/>
  <c r="G1633" i="2"/>
  <c r="F1633" i="2"/>
  <c r="E1633" i="2"/>
  <c r="D1633" i="2"/>
  <c r="H1632" i="2"/>
  <c r="G1632" i="2"/>
  <c r="F1632" i="2"/>
  <c r="E1632" i="2"/>
  <c r="D1632" i="2"/>
  <c r="H129" i="2"/>
  <c r="G129" i="2"/>
  <c r="F129" i="2"/>
  <c r="E129" i="2"/>
  <c r="D129" i="2"/>
  <c r="H45" i="2"/>
  <c r="G45" i="2"/>
  <c r="F45" i="2"/>
  <c r="E45" i="2"/>
  <c r="D45" i="2"/>
  <c r="H44" i="2"/>
  <c r="G44" i="2"/>
  <c r="F44" i="2"/>
  <c r="E44" i="2"/>
  <c r="D44" i="2"/>
  <c r="H43" i="2"/>
  <c r="G43" i="2"/>
  <c r="F43" i="2"/>
  <c r="E43" i="2"/>
  <c r="D43" i="2"/>
  <c r="H42" i="2"/>
  <c r="G42" i="2"/>
  <c r="F42" i="2"/>
  <c r="E42" i="2"/>
  <c r="D42" i="2"/>
  <c r="H1324" i="2"/>
  <c r="G1324" i="2"/>
  <c r="F1324" i="2"/>
  <c r="E1324" i="2"/>
  <c r="D1324" i="2"/>
  <c r="H1323" i="2"/>
  <c r="G1323" i="2"/>
  <c r="F1323" i="2"/>
  <c r="E1323" i="2"/>
  <c r="D1323" i="2"/>
  <c r="H2690" i="2"/>
  <c r="G2690" i="2"/>
  <c r="F2690" i="2"/>
  <c r="E2690" i="2"/>
  <c r="D2690" i="2"/>
  <c r="H2689" i="2"/>
  <c r="G2689" i="2"/>
  <c r="F2689" i="2"/>
  <c r="E2689" i="2"/>
  <c r="D2689" i="2"/>
  <c r="H2688" i="2"/>
  <c r="G2688" i="2"/>
  <c r="F2688" i="2"/>
  <c r="E2688" i="2"/>
  <c r="D2688" i="2"/>
  <c r="H2687" i="2"/>
  <c r="G2687" i="2"/>
  <c r="F2687" i="2"/>
  <c r="E2687" i="2"/>
  <c r="D2687" i="2"/>
  <c r="H2686" i="2"/>
  <c r="G2686" i="2"/>
  <c r="F2686" i="2"/>
  <c r="E2686" i="2"/>
  <c r="D2686" i="2"/>
  <c r="H1655" i="2"/>
  <c r="G1655" i="2"/>
  <c r="F1655" i="2"/>
  <c r="E1655" i="2"/>
  <c r="D1655" i="2"/>
  <c r="H1654" i="2"/>
  <c r="G1654" i="2"/>
  <c r="F1654" i="2"/>
  <c r="E1654" i="2"/>
  <c r="D1654" i="2"/>
  <c r="H2822" i="2"/>
  <c r="G2822" i="2"/>
  <c r="F2822" i="2"/>
  <c r="E2822" i="2"/>
  <c r="D2822" i="2"/>
  <c r="H2821" i="2"/>
  <c r="G2821" i="2"/>
  <c r="F2821" i="2"/>
  <c r="E2821" i="2"/>
  <c r="D2821" i="2"/>
  <c r="H854" i="2"/>
  <c r="G854" i="2"/>
  <c r="F854" i="2"/>
  <c r="E854" i="2"/>
  <c r="D854" i="2"/>
  <c r="H853" i="2"/>
  <c r="G853" i="2"/>
  <c r="F853" i="2"/>
  <c r="E853" i="2"/>
  <c r="D853" i="2"/>
  <c r="H852" i="2"/>
  <c r="G852" i="2"/>
  <c r="F852" i="2"/>
  <c r="E852" i="2"/>
  <c r="D852" i="2"/>
  <c r="H851" i="2"/>
  <c r="G851" i="2"/>
  <c r="F851" i="2"/>
  <c r="E851" i="2"/>
  <c r="D851" i="2"/>
  <c r="H122" i="2"/>
  <c r="G122" i="2"/>
  <c r="F122" i="2"/>
  <c r="E122" i="2"/>
  <c r="D122" i="2"/>
  <c r="H121" i="2"/>
  <c r="G121" i="2"/>
  <c r="F121" i="2"/>
  <c r="E121" i="2"/>
  <c r="D121" i="2"/>
  <c r="H253" i="2"/>
  <c r="G253" i="2"/>
  <c r="F253" i="2"/>
  <c r="E253" i="2"/>
  <c r="D253" i="2"/>
  <c r="H252" i="2"/>
  <c r="G252" i="2"/>
  <c r="F252" i="2"/>
  <c r="E252" i="2"/>
  <c r="D252" i="2"/>
  <c r="H251" i="2"/>
  <c r="G251" i="2"/>
  <c r="F251" i="2"/>
  <c r="E251" i="2"/>
  <c r="D251" i="2"/>
  <c r="H3518" i="2"/>
  <c r="G3518" i="2"/>
  <c r="F3518" i="2"/>
  <c r="E3518" i="2"/>
  <c r="D3518" i="2"/>
  <c r="H674" i="2"/>
  <c r="G674" i="2"/>
  <c r="F674" i="2"/>
  <c r="E674" i="2"/>
  <c r="D674" i="2"/>
  <c r="H673" i="2"/>
  <c r="G673" i="2"/>
  <c r="F673" i="2"/>
  <c r="E673" i="2"/>
  <c r="D673" i="2"/>
  <c r="H672" i="2"/>
  <c r="G672" i="2"/>
  <c r="F672" i="2"/>
  <c r="E672" i="2"/>
  <c r="D672" i="2"/>
  <c r="H671" i="2"/>
  <c r="G671" i="2"/>
  <c r="F671" i="2"/>
  <c r="E671" i="2"/>
  <c r="D671" i="2"/>
  <c r="H3063" i="2"/>
  <c r="G3063" i="2"/>
  <c r="F3063" i="2"/>
  <c r="E3063" i="2"/>
  <c r="D3063" i="2"/>
  <c r="H247" i="2"/>
  <c r="G247" i="2"/>
  <c r="F247" i="2"/>
  <c r="E247" i="2"/>
  <c r="D247" i="2"/>
  <c r="H246" i="2"/>
  <c r="G246" i="2"/>
  <c r="F246" i="2"/>
  <c r="E246" i="2"/>
  <c r="D246" i="2"/>
  <c r="H245" i="2"/>
  <c r="G245" i="2"/>
  <c r="F245" i="2"/>
  <c r="E245" i="2"/>
  <c r="D245" i="2"/>
  <c r="H19" i="2"/>
  <c r="G19" i="2"/>
  <c r="F19" i="2"/>
  <c r="E19" i="2"/>
  <c r="D19" i="2"/>
  <c r="H1166" i="2"/>
  <c r="G1166" i="2"/>
  <c r="F1166" i="2"/>
  <c r="E1166" i="2"/>
  <c r="D1166" i="2"/>
  <c r="H1653" i="2"/>
  <c r="G1653" i="2"/>
  <c r="F1653" i="2"/>
  <c r="E1653" i="2"/>
  <c r="D1653" i="2"/>
  <c r="H1301" i="2"/>
  <c r="G1301" i="2"/>
  <c r="F1301" i="2"/>
  <c r="E1301" i="2"/>
  <c r="D1301" i="2"/>
  <c r="H1300" i="2"/>
  <c r="G1300" i="2"/>
  <c r="F1300" i="2"/>
  <c r="E1300" i="2"/>
  <c r="D1300" i="2"/>
  <c r="H54" i="2"/>
  <c r="G54" i="2"/>
  <c r="F54" i="2"/>
  <c r="E54" i="2"/>
  <c r="D54" i="2"/>
  <c r="H53" i="2"/>
  <c r="G53" i="2"/>
  <c r="F53" i="2"/>
  <c r="E53" i="2"/>
  <c r="D53" i="2"/>
  <c r="H52" i="2"/>
  <c r="G52" i="2"/>
  <c r="F52" i="2"/>
  <c r="E52" i="2"/>
  <c r="D52" i="2"/>
  <c r="H1563" i="2"/>
  <c r="G1563" i="2"/>
  <c r="F1563" i="2"/>
  <c r="E1563" i="2"/>
  <c r="D1563" i="2"/>
  <c r="H1562" i="2"/>
  <c r="G1562" i="2"/>
  <c r="F1562" i="2"/>
  <c r="E1562" i="2"/>
  <c r="D1562" i="2"/>
  <c r="H3508" i="2"/>
  <c r="G3508" i="2"/>
  <c r="F3508" i="2"/>
  <c r="E3508" i="2"/>
  <c r="D3508" i="2"/>
  <c r="H2642" i="2"/>
  <c r="G2642" i="2"/>
  <c r="F2642" i="2"/>
  <c r="E2642" i="2"/>
  <c r="D2642" i="2"/>
  <c r="H2641" i="2"/>
  <c r="G2641" i="2"/>
  <c r="F2641" i="2"/>
  <c r="E2641" i="2"/>
  <c r="D2641" i="2"/>
  <c r="H2640" i="2"/>
  <c r="G2640" i="2"/>
  <c r="F2640" i="2"/>
  <c r="E2640" i="2"/>
  <c r="D2640" i="2"/>
  <c r="H2639" i="2"/>
  <c r="G2639" i="2"/>
  <c r="F2639" i="2"/>
  <c r="E2639" i="2"/>
  <c r="D2639" i="2"/>
  <c r="H2638" i="2"/>
  <c r="G2638" i="2"/>
  <c r="F2638" i="2"/>
  <c r="E2638" i="2"/>
  <c r="D2638" i="2"/>
  <c r="H2242" i="2"/>
  <c r="G2242" i="2"/>
  <c r="F2242" i="2"/>
  <c r="E2242" i="2"/>
  <c r="D2242" i="2"/>
  <c r="H2241" i="2"/>
  <c r="G2241" i="2"/>
  <c r="F2241" i="2"/>
  <c r="E2241" i="2"/>
  <c r="D2241" i="2"/>
  <c r="H1607" i="2"/>
  <c r="G1607" i="2"/>
  <c r="F1607" i="2"/>
  <c r="E1607" i="2"/>
  <c r="D1607" i="2"/>
  <c r="H1606" i="2"/>
  <c r="G1606" i="2"/>
  <c r="F1606" i="2"/>
  <c r="E1606" i="2"/>
  <c r="D1606" i="2"/>
  <c r="H1605" i="2"/>
  <c r="G1605" i="2"/>
  <c r="F1605" i="2"/>
  <c r="E1605" i="2"/>
  <c r="D1605" i="2"/>
  <c r="H1604" i="2"/>
  <c r="G1604" i="2"/>
  <c r="F1604" i="2"/>
  <c r="E1604" i="2"/>
  <c r="D1604" i="2"/>
  <c r="H1603" i="2"/>
  <c r="G1603" i="2"/>
  <c r="F1603" i="2"/>
  <c r="E1603" i="2"/>
  <c r="D1603" i="2"/>
  <c r="H1602" i="2"/>
  <c r="G1602" i="2"/>
  <c r="F1602" i="2"/>
  <c r="E1602" i="2"/>
  <c r="D1602" i="2"/>
  <c r="H93" i="2"/>
  <c r="G93" i="2"/>
  <c r="F93" i="2"/>
  <c r="E93" i="2"/>
  <c r="D93" i="2"/>
  <c r="H92" i="2"/>
  <c r="G92" i="2"/>
  <c r="F92" i="2"/>
  <c r="E92" i="2"/>
  <c r="D92" i="2"/>
  <c r="H2950" i="2"/>
  <c r="G2950" i="2"/>
  <c r="F2950" i="2"/>
  <c r="E2950" i="2"/>
  <c r="D2950" i="2"/>
  <c r="H2949" i="2"/>
  <c r="G2949" i="2"/>
  <c r="F2949" i="2"/>
  <c r="E2949" i="2"/>
  <c r="D2949" i="2"/>
  <c r="H2948" i="2"/>
  <c r="G2948" i="2"/>
  <c r="F2948" i="2"/>
  <c r="E2948" i="2"/>
  <c r="D2948" i="2"/>
  <c r="H373" i="2"/>
  <c r="G373" i="2"/>
  <c r="F373" i="2"/>
  <c r="E373" i="2"/>
  <c r="D373" i="2"/>
  <c r="H1737" i="2"/>
  <c r="G1737" i="2"/>
  <c r="F1737" i="2"/>
  <c r="E1737" i="2"/>
  <c r="D1737" i="2"/>
  <c r="H1736" i="2"/>
  <c r="G1736" i="2"/>
  <c r="F1736" i="2"/>
  <c r="E1736" i="2"/>
  <c r="D1736" i="2"/>
  <c r="H1735" i="2"/>
  <c r="G1735" i="2"/>
  <c r="F1735" i="2"/>
  <c r="E1735" i="2"/>
  <c r="D1735" i="2"/>
  <c r="H1734" i="2"/>
  <c r="G1734" i="2"/>
  <c r="F1734" i="2"/>
  <c r="E1734" i="2"/>
  <c r="D1734" i="2"/>
  <c r="H3276" i="2"/>
  <c r="G3276" i="2"/>
  <c r="F3276" i="2"/>
  <c r="E3276" i="2"/>
  <c r="D3276" i="2"/>
  <c r="H232" i="2"/>
  <c r="G232" i="2"/>
  <c r="F232" i="2"/>
  <c r="E232" i="2"/>
  <c r="D232" i="2"/>
  <c r="H125" i="2"/>
  <c r="G125" i="2"/>
  <c r="F125" i="2"/>
  <c r="E125" i="2"/>
  <c r="D125" i="2"/>
  <c r="H1820" i="2"/>
  <c r="G1820" i="2"/>
  <c r="F1820" i="2"/>
  <c r="E1820" i="2"/>
  <c r="D1820" i="2"/>
  <c r="H1819" i="2"/>
  <c r="G1819" i="2"/>
  <c r="F1819" i="2"/>
  <c r="E1819" i="2"/>
  <c r="D1819" i="2"/>
  <c r="H1818" i="2"/>
  <c r="G1818" i="2"/>
  <c r="F1818" i="2"/>
  <c r="E1818" i="2"/>
  <c r="D1818" i="2"/>
  <c r="H2658" i="2"/>
  <c r="G2658" i="2"/>
  <c r="F2658" i="2"/>
  <c r="E2658" i="2"/>
  <c r="D2658" i="2"/>
  <c r="H890" i="2"/>
  <c r="G890" i="2"/>
  <c r="F890" i="2"/>
  <c r="E890" i="2"/>
  <c r="D890" i="2"/>
  <c r="H889" i="2"/>
  <c r="G889" i="2"/>
  <c r="F889" i="2"/>
  <c r="E889" i="2"/>
  <c r="D889" i="2"/>
  <c r="H1791" i="2"/>
  <c r="G1791" i="2"/>
  <c r="F1791" i="2"/>
  <c r="E1791" i="2"/>
  <c r="D1791" i="2"/>
  <c r="H1790" i="2"/>
  <c r="G1790" i="2"/>
  <c r="F1790" i="2"/>
  <c r="E1790" i="2"/>
  <c r="D1790" i="2"/>
  <c r="H1789" i="2"/>
  <c r="G1789" i="2"/>
  <c r="F1789" i="2"/>
  <c r="E1789" i="2"/>
  <c r="D1789" i="2"/>
  <c r="H2915" i="2"/>
  <c r="G2915" i="2"/>
  <c r="F2915" i="2"/>
  <c r="E2915" i="2"/>
  <c r="D2915" i="2"/>
  <c r="H2914" i="2"/>
  <c r="G2914" i="2"/>
  <c r="F2914" i="2"/>
  <c r="E2914" i="2"/>
  <c r="D2914" i="2"/>
  <c r="H2913" i="2"/>
  <c r="G2913" i="2"/>
  <c r="F2913" i="2"/>
  <c r="E2913" i="2"/>
  <c r="D2913" i="2"/>
  <c r="H2912" i="2"/>
  <c r="G2912" i="2"/>
  <c r="F2912" i="2"/>
  <c r="E2912" i="2"/>
  <c r="D2912" i="2"/>
  <c r="H3515" i="2"/>
  <c r="G3515" i="2"/>
  <c r="F3515" i="2"/>
  <c r="E3515" i="2"/>
  <c r="D3515" i="2"/>
  <c r="H3514" i="2"/>
  <c r="G3514" i="2"/>
  <c r="F3514" i="2"/>
  <c r="E3514" i="2"/>
  <c r="D3514" i="2"/>
  <c r="H3513" i="2"/>
  <c r="G3513" i="2"/>
  <c r="F3513" i="2"/>
  <c r="E3513" i="2"/>
  <c r="D3513" i="2"/>
  <c r="H2310" i="2"/>
  <c r="G2310" i="2"/>
  <c r="F2310" i="2"/>
  <c r="E2310" i="2"/>
  <c r="D2310" i="2"/>
  <c r="H2309" i="2"/>
  <c r="G2309" i="2"/>
  <c r="F2309" i="2"/>
  <c r="E2309" i="2"/>
  <c r="D2309" i="2"/>
  <c r="H2308" i="2"/>
  <c r="G2308" i="2"/>
  <c r="F2308" i="2"/>
  <c r="E2308" i="2"/>
  <c r="D2308" i="2"/>
  <c r="H2307" i="2"/>
  <c r="G2307" i="2"/>
  <c r="F2307" i="2"/>
  <c r="E2307" i="2"/>
  <c r="D2307" i="2"/>
  <c r="H2306" i="2"/>
  <c r="G2306" i="2"/>
  <c r="F2306" i="2"/>
  <c r="E2306" i="2"/>
  <c r="D2306" i="2"/>
  <c r="H2305" i="2"/>
  <c r="G2305" i="2"/>
  <c r="F2305" i="2"/>
  <c r="E2305" i="2"/>
  <c r="D2305" i="2"/>
  <c r="H1652" i="2"/>
  <c r="G1652" i="2"/>
  <c r="F1652" i="2"/>
  <c r="E1652" i="2"/>
  <c r="D1652" i="2"/>
  <c r="H1651" i="2"/>
  <c r="G1651" i="2"/>
  <c r="F1651" i="2"/>
  <c r="E1651" i="2"/>
  <c r="D1651" i="2"/>
  <c r="H1650" i="2"/>
  <c r="G1650" i="2"/>
  <c r="F1650" i="2"/>
  <c r="E1650" i="2"/>
  <c r="D1650" i="2"/>
  <c r="H1649" i="2"/>
  <c r="G1649" i="2"/>
  <c r="F1649" i="2"/>
  <c r="E1649" i="2"/>
  <c r="D1649" i="2"/>
  <c r="H1648" i="2"/>
  <c r="G1648" i="2"/>
  <c r="F1648" i="2"/>
  <c r="E1648" i="2"/>
  <c r="D1648" i="2"/>
  <c r="H1647" i="2"/>
  <c r="G1647" i="2"/>
  <c r="F1647" i="2"/>
  <c r="E1647" i="2"/>
  <c r="D1647" i="2"/>
  <c r="H1646" i="2"/>
  <c r="G1646" i="2"/>
  <c r="F1646" i="2"/>
  <c r="E1646" i="2"/>
  <c r="D1646" i="2"/>
  <c r="H1645" i="2"/>
  <c r="G1645" i="2"/>
  <c r="F1645" i="2"/>
  <c r="E1645" i="2"/>
  <c r="D1645" i="2"/>
  <c r="H1644" i="2"/>
  <c r="G1644" i="2"/>
  <c r="F1644" i="2"/>
  <c r="E1644" i="2"/>
  <c r="D1644" i="2"/>
  <c r="H1643" i="2"/>
  <c r="G1643" i="2"/>
  <c r="F1643" i="2"/>
  <c r="E1643" i="2"/>
  <c r="D1643" i="2"/>
  <c r="H1642" i="2"/>
  <c r="G1642" i="2"/>
  <c r="F1642" i="2"/>
  <c r="E1642" i="2"/>
  <c r="D1642" i="2"/>
  <c r="H1641" i="2"/>
  <c r="G1641" i="2"/>
  <c r="F1641" i="2"/>
  <c r="E1641" i="2"/>
  <c r="D1641" i="2"/>
  <c r="H1640" i="2"/>
  <c r="G1640" i="2"/>
  <c r="F1640" i="2"/>
  <c r="E1640" i="2"/>
  <c r="D1640" i="2"/>
  <c r="H1639" i="2"/>
  <c r="G1639" i="2"/>
  <c r="F1639" i="2"/>
  <c r="E1639" i="2"/>
  <c r="D1639" i="2"/>
  <c r="H1638" i="2"/>
  <c r="G1638" i="2"/>
  <c r="F1638" i="2"/>
  <c r="E1638" i="2"/>
  <c r="D1638" i="2"/>
  <c r="H1637" i="2"/>
  <c r="G1637" i="2"/>
  <c r="F1637" i="2"/>
  <c r="E1637" i="2"/>
  <c r="D1637" i="2"/>
  <c r="H1636" i="2"/>
  <c r="G1636" i="2"/>
  <c r="F1636" i="2"/>
  <c r="E1636" i="2"/>
  <c r="D1636" i="2"/>
  <c r="H1635" i="2"/>
  <c r="G1635" i="2"/>
  <c r="F1635" i="2"/>
  <c r="E1635" i="2"/>
  <c r="D1635" i="2"/>
  <c r="H1634" i="2"/>
  <c r="G1634" i="2"/>
  <c r="F1634" i="2"/>
  <c r="E1634" i="2"/>
  <c r="D1634" i="2"/>
  <c r="H3627" i="2"/>
  <c r="G3627" i="2"/>
  <c r="F3627" i="2"/>
  <c r="E3627" i="2"/>
  <c r="D3627" i="2"/>
  <c r="H988" i="2"/>
  <c r="G988" i="2"/>
  <c r="F988" i="2"/>
  <c r="E988" i="2"/>
  <c r="D988" i="2"/>
  <c r="H987" i="2"/>
  <c r="G987" i="2"/>
  <c r="F987" i="2"/>
  <c r="E987" i="2"/>
  <c r="D987" i="2"/>
  <c r="H986" i="2"/>
  <c r="G986" i="2"/>
  <c r="F986" i="2"/>
  <c r="E986" i="2"/>
  <c r="D986" i="2"/>
  <c r="H985" i="2"/>
  <c r="G985" i="2"/>
  <c r="F985" i="2"/>
  <c r="E985" i="2"/>
  <c r="D985" i="2"/>
  <c r="H984" i="2"/>
  <c r="G984" i="2"/>
  <c r="F984" i="2"/>
  <c r="E984" i="2"/>
  <c r="D984" i="2"/>
  <c r="H983" i="2"/>
  <c r="G983" i="2"/>
  <c r="F983" i="2"/>
  <c r="E983" i="2"/>
  <c r="D983" i="2"/>
  <c r="H982" i="2"/>
  <c r="G982" i="2"/>
  <c r="F982" i="2"/>
  <c r="E982" i="2"/>
  <c r="D982" i="2"/>
  <c r="H2807" i="2"/>
  <c r="G2807" i="2"/>
  <c r="F2807" i="2"/>
  <c r="E2807" i="2"/>
  <c r="D2807" i="2"/>
  <c r="H2806" i="2"/>
  <c r="G2806" i="2"/>
  <c r="F2806" i="2"/>
  <c r="E2806" i="2"/>
  <c r="D2806" i="2"/>
  <c r="H2805" i="2"/>
  <c r="G2805" i="2"/>
  <c r="F2805" i="2"/>
  <c r="E2805" i="2"/>
  <c r="D2805" i="2"/>
  <c r="H2804" i="2"/>
  <c r="G2804" i="2"/>
  <c r="F2804" i="2"/>
  <c r="E2804" i="2"/>
  <c r="D2804" i="2"/>
  <c r="H2803" i="2"/>
  <c r="G2803" i="2"/>
  <c r="F2803" i="2"/>
  <c r="E2803" i="2"/>
  <c r="D2803" i="2"/>
  <c r="H2802" i="2"/>
  <c r="G2802" i="2"/>
  <c r="F2802" i="2"/>
  <c r="E2802" i="2"/>
  <c r="D2802" i="2"/>
  <c r="H2801" i="2"/>
  <c r="G2801" i="2"/>
  <c r="F2801" i="2"/>
  <c r="E2801" i="2"/>
  <c r="D2801" i="2"/>
  <c r="H2565" i="2"/>
  <c r="G2565" i="2"/>
  <c r="F2565" i="2"/>
  <c r="E2565" i="2"/>
  <c r="D2565" i="2"/>
  <c r="H2564" i="2"/>
  <c r="G2564" i="2"/>
  <c r="F2564" i="2"/>
  <c r="E2564" i="2"/>
  <c r="D2564" i="2"/>
  <c r="H957" i="2"/>
  <c r="G957" i="2"/>
  <c r="F957" i="2"/>
  <c r="E957" i="2"/>
  <c r="D957" i="2"/>
  <c r="H956" i="2"/>
  <c r="G956" i="2"/>
  <c r="F956" i="2"/>
  <c r="E956" i="2"/>
  <c r="D956" i="2"/>
  <c r="H2916" i="2"/>
  <c r="G2916" i="2"/>
  <c r="F2916" i="2"/>
  <c r="E2916" i="2"/>
  <c r="D2916" i="2"/>
  <c r="H254" i="2"/>
  <c r="G254" i="2"/>
  <c r="F254" i="2"/>
  <c r="E254" i="2"/>
  <c r="D254" i="2"/>
  <c r="H2716" i="2"/>
  <c r="G2716" i="2"/>
  <c r="F2716" i="2"/>
  <c r="E2716" i="2"/>
  <c r="D2716" i="2"/>
  <c r="H2715" i="2"/>
  <c r="G2715" i="2"/>
  <c r="F2715" i="2"/>
  <c r="E2715" i="2"/>
  <c r="D2715" i="2"/>
  <c r="H2714" i="2"/>
  <c r="G2714" i="2"/>
  <c r="F2714" i="2"/>
  <c r="E2714" i="2"/>
  <c r="D2714" i="2"/>
  <c r="H2713" i="2"/>
  <c r="G2713" i="2"/>
  <c r="F2713" i="2"/>
  <c r="E2713" i="2"/>
  <c r="D2713" i="2"/>
  <c r="H2712" i="2"/>
  <c r="G2712" i="2"/>
  <c r="F2712" i="2"/>
  <c r="E2712" i="2"/>
  <c r="D2712" i="2"/>
  <c r="H2711" i="2"/>
  <c r="G2711" i="2"/>
  <c r="F2711" i="2"/>
  <c r="E2711" i="2"/>
  <c r="D2711" i="2"/>
  <c r="H2710" i="2"/>
  <c r="G2710" i="2"/>
  <c r="F2710" i="2"/>
  <c r="E2710" i="2"/>
  <c r="D2710" i="2"/>
  <c r="H2709" i="2"/>
  <c r="G2709" i="2"/>
  <c r="F2709" i="2"/>
  <c r="E2709" i="2"/>
  <c r="D2709" i="2"/>
  <c r="H1391" i="2"/>
  <c r="G1391" i="2"/>
  <c r="F1391" i="2"/>
  <c r="E1391" i="2"/>
  <c r="D1391" i="2"/>
  <c r="H1390" i="2"/>
  <c r="G1390" i="2"/>
  <c r="F1390" i="2"/>
  <c r="E1390" i="2"/>
  <c r="D1390" i="2"/>
  <c r="H1389" i="2"/>
  <c r="G1389" i="2"/>
  <c r="F1389" i="2"/>
  <c r="E1389" i="2"/>
  <c r="D1389" i="2"/>
  <c r="H1388" i="2"/>
  <c r="G1388" i="2"/>
  <c r="F1388" i="2"/>
  <c r="E1388" i="2"/>
  <c r="D1388" i="2"/>
  <c r="H1387" i="2"/>
  <c r="G1387" i="2"/>
  <c r="F1387" i="2"/>
  <c r="E1387" i="2"/>
  <c r="D1387" i="2"/>
  <c r="H1386" i="2"/>
  <c r="G1386" i="2"/>
  <c r="F1386" i="2"/>
  <c r="E1386" i="2"/>
  <c r="D1386" i="2"/>
  <c r="H1385" i="2"/>
  <c r="G1385" i="2"/>
  <c r="F1385" i="2"/>
  <c r="E1385" i="2"/>
  <c r="D1385" i="2"/>
  <c r="H1384" i="2"/>
  <c r="G1384" i="2"/>
  <c r="F1384" i="2"/>
  <c r="E1384" i="2"/>
  <c r="D1384" i="2"/>
  <c r="H1383" i="2"/>
  <c r="G1383" i="2"/>
  <c r="F1383" i="2"/>
  <c r="E1383" i="2"/>
  <c r="D1383" i="2"/>
  <c r="H3706" i="2"/>
  <c r="G3706" i="2"/>
  <c r="F3706" i="2"/>
  <c r="E3706" i="2"/>
  <c r="D3706" i="2"/>
  <c r="H3705" i="2"/>
  <c r="G3705" i="2"/>
  <c r="F3705" i="2"/>
  <c r="E3705" i="2"/>
  <c r="D3705" i="2"/>
  <c r="H3704" i="2"/>
  <c r="G3704" i="2"/>
  <c r="F3704" i="2"/>
  <c r="E3704" i="2"/>
  <c r="D3704" i="2"/>
  <c r="H3703" i="2"/>
  <c r="G3703" i="2"/>
  <c r="F3703" i="2"/>
  <c r="E3703" i="2"/>
  <c r="D3703" i="2"/>
  <c r="H3702" i="2"/>
  <c r="G3702" i="2"/>
  <c r="F3702" i="2"/>
  <c r="E3702" i="2"/>
  <c r="D3702" i="2"/>
  <c r="H3701" i="2"/>
  <c r="G3701" i="2"/>
  <c r="F3701" i="2"/>
  <c r="E3701" i="2"/>
  <c r="D3701" i="2"/>
  <c r="H3700" i="2"/>
  <c r="G3700" i="2"/>
  <c r="F3700" i="2"/>
  <c r="E3700" i="2"/>
  <c r="D3700" i="2"/>
  <c r="H1683" i="2"/>
  <c r="G1683" i="2"/>
  <c r="F1683" i="2"/>
  <c r="E1683" i="2"/>
  <c r="D1683" i="2"/>
  <c r="H1682" i="2"/>
  <c r="G1682" i="2"/>
  <c r="F1682" i="2"/>
  <c r="E1682" i="2"/>
  <c r="D1682" i="2"/>
  <c r="H1681" i="2"/>
  <c r="G1681" i="2"/>
  <c r="F1681" i="2"/>
  <c r="E1681" i="2"/>
  <c r="D1681" i="2"/>
  <c r="H1680" i="2"/>
  <c r="G1680" i="2"/>
  <c r="F1680" i="2"/>
  <c r="E1680" i="2"/>
  <c r="D1680" i="2"/>
  <c r="H1679" i="2"/>
  <c r="G1679" i="2"/>
  <c r="F1679" i="2"/>
  <c r="E1679" i="2"/>
  <c r="D1679" i="2"/>
  <c r="H1678" i="2"/>
  <c r="G1678" i="2"/>
  <c r="F1678" i="2"/>
  <c r="E1678" i="2"/>
  <c r="D1678" i="2"/>
  <c r="H1677" i="2"/>
  <c r="G1677" i="2"/>
  <c r="F1677" i="2"/>
  <c r="E1677" i="2"/>
  <c r="D1677" i="2"/>
  <c r="H1676" i="2"/>
  <c r="G1676" i="2"/>
  <c r="F1676" i="2"/>
  <c r="E1676" i="2"/>
  <c r="D1676" i="2"/>
  <c r="H1900" i="2"/>
  <c r="G1900" i="2"/>
  <c r="F1900" i="2"/>
  <c r="E1900" i="2"/>
  <c r="D1900" i="2"/>
  <c r="H3487" i="2"/>
  <c r="G3487" i="2"/>
  <c r="F3487" i="2"/>
  <c r="E3487" i="2"/>
  <c r="D3487" i="2"/>
  <c r="H3042" i="2"/>
  <c r="G3042" i="2"/>
  <c r="F3042" i="2"/>
  <c r="E3042" i="2"/>
  <c r="D3042" i="2"/>
  <c r="H3041" i="2"/>
  <c r="G3041" i="2"/>
  <c r="F3041" i="2"/>
  <c r="E3041" i="2"/>
  <c r="D3041" i="2"/>
  <c r="H3040" i="2"/>
  <c r="G3040" i="2"/>
  <c r="F3040" i="2"/>
  <c r="E3040" i="2"/>
  <c r="D3040" i="2"/>
  <c r="H3039" i="2"/>
  <c r="G3039" i="2"/>
  <c r="F3039" i="2"/>
  <c r="E3039" i="2"/>
  <c r="D3039" i="2"/>
  <c r="H3038" i="2"/>
  <c r="G3038" i="2"/>
  <c r="F3038" i="2"/>
  <c r="E3038" i="2"/>
  <c r="D3038" i="2"/>
  <c r="H3037" i="2"/>
  <c r="G3037" i="2"/>
  <c r="F3037" i="2"/>
  <c r="E3037" i="2"/>
  <c r="D3037" i="2"/>
  <c r="H3036" i="2"/>
  <c r="G3036" i="2"/>
  <c r="F3036" i="2"/>
  <c r="E3036" i="2"/>
  <c r="D3036" i="2"/>
  <c r="H3035" i="2"/>
  <c r="G3035" i="2"/>
  <c r="F3035" i="2"/>
  <c r="E3035" i="2"/>
  <c r="D3035" i="2"/>
  <c r="H3034" i="2"/>
  <c r="G3034" i="2"/>
  <c r="F3034" i="2"/>
  <c r="E3034" i="2"/>
  <c r="D3034" i="2"/>
  <c r="H3033" i="2"/>
  <c r="G3033" i="2"/>
  <c r="F3033" i="2"/>
  <c r="E3033" i="2"/>
  <c r="D3033" i="2"/>
  <c r="H3032" i="2"/>
  <c r="G3032" i="2"/>
  <c r="F3032" i="2"/>
  <c r="E3032" i="2"/>
  <c r="D3032" i="2"/>
  <c r="H3031" i="2"/>
  <c r="G3031" i="2"/>
  <c r="F3031" i="2"/>
  <c r="E3031" i="2"/>
  <c r="D3031" i="2"/>
  <c r="H3030" i="2"/>
  <c r="G3030" i="2"/>
  <c r="F3030" i="2"/>
  <c r="E3030" i="2"/>
  <c r="D3030" i="2"/>
  <c r="H3029" i="2"/>
  <c r="G3029" i="2"/>
  <c r="F3029" i="2"/>
  <c r="E3029" i="2"/>
  <c r="D3029" i="2"/>
  <c r="H3171" i="2"/>
  <c r="G3171" i="2"/>
  <c r="F3171" i="2"/>
  <c r="E3171" i="2"/>
  <c r="D3171" i="2"/>
  <c r="H3170" i="2"/>
  <c r="G3170" i="2"/>
  <c r="F3170" i="2"/>
  <c r="E3170" i="2"/>
  <c r="D3170" i="2"/>
  <c r="H3169" i="2"/>
  <c r="G3169" i="2"/>
  <c r="F3169" i="2"/>
  <c r="E3169" i="2"/>
  <c r="D3169" i="2"/>
  <c r="H3168" i="2"/>
  <c r="G3168" i="2"/>
  <c r="F3168" i="2"/>
  <c r="E3168" i="2"/>
  <c r="D3168" i="2"/>
  <c r="H3167" i="2"/>
  <c r="G3167" i="2"/>
  <c r="F3167" i="2"/>
  <c r="E3167" i="2"/>
  <c r="D3167" i="2"/>
  <c r="H3166" i="2"/>
  <c r="G3166" i="2"/>
  <c r="F3166" i="2"/>
  <c r="E3166" i="2"/>
  <c r="D3166" i="2"/>
  <c r="H3165" i="2"/>
  <c r="G3165" i="2"/>
  <c r="F3165" i="2"/>
  <c r="E3165" i="2"/>
  <c r="D3165" i="2"/>
  <c r="H3164" i="2"/>
  <c r="G3164" i="2"/>
  <c r="F3164" i="2"/>
  <c r="E3164" i="2"/>
  <c r="D3164" i="2"/>
  <c r="H3163" i="2"/>
  <c r="G3163" i="2"/>
  <c r="F3163" i="2"/>
  <c r="E3163" i="2"/>
  <c r="D3163" i="2"/>
  <c r="H3162" i="2"/>
  <c r="G3162" i="2"/>
  <c r="F3162" i="2"/>
  <c r="E3162" i="2"/>
  <c r="D3162" i="2"/>
  <c r="H3161" i="2"/>
  <c r="G3161" i="2"/>
  <c r="F3161" i="2"/>
  <c r="E3161" i="2"/>
  <c r="D3161" i="2"/>
  <c r="H3160" i="2"/>
  <c r="G3160" i="2"/>
  <c r="F3160" i="2"/>
  <c r="E3160" i="2"/>
  <c r="D3160" i="2"/>
  <c r="H3159" i="2"/>
  <c r="G3159" i="2"/>
  <c r="F3159" i="2"/>
  <c r="E3159" i="2"/>
  <c r="D3159" i="2"/>
  <c r="H3158" i="2"/>
  <c r="G3158" i="2"/>
  <c r="F3158" i="2"/>
  <c r="E3158" i="2"/>
  <c r="D3158" i="2"/>
  <c r="H3157" i="2"/>
  <c r="G3157" i="2"/>
  <c r="F3157" i="2"/>
  <c r="E3157" i="2"/>
  <c r="D3157" i="2"/>
  <c r="H844" i="2"/>
  <c r="G844" i="2"/>
  <c r="F844" i="2"/>
  <c r="E844" i="2"/>
  <c r="D844" i="2"/>
  <c r="H843" i="2"/>
  <c r="G843" i="2"/>
  <c r="F843" i="2"/>
  <c r="E843" i="2"/>
  <c r="D843" i="2"/>
  <c r="H2562" i="2"/>
  <c r="G2562" i="2"/>
  <c r="F2562" i="2"/>
  <c r="E2562" i="2"/>
  <c r="D2562" i="2"/>
  <c r="H2561" i="2"/>
  <c r="G2561" i="2"/>
  <c r="F2561" i="2"/>
  <c r="E2561" i="2"/>
  <c r="D2561" i="2"/>
  <c r="H1763" i="2"/>
  <c r="G1763" i="2"/>
  <c r="F1763" i="2"/>
  <c r="E1763" i="2"/>
  <c r="D1763" i="2"/>
  <c r="H1762" i="2"/>
  <c r="G1762" i="2"/>
  <c r="F1762" i="2"/>
  <c r="E1762" i="2"/>
  <c r="D1762" i="2"/>
  <c r="H2932" i="2"/>
  <c r="G2932" i="2"/>
  <c r="F2932" i="2"/>
  <c r="E2932" i="2"/>
  <c r="D2932" i="2"/>
  <c r="H2931" i="2"/>
  <c r="G2931" i="2"/>
  <c r="F2931" i="2"/>
  <c r="E2931" i="2"/>
  <c r="D2931" i="2"/>
  <c r="H2930" i="2"/>
  <c r="G2930" i="2"/>
  <c r="F2930" i="2"/>
  <c r="E2930" i="2"/>
  <c r="D2930" i="2"/>
  <c r="H2929" i="2"/>
  <c r="G2929" i="2"/>
  <c r="F2929" i="2"/>
  <c r="E2929" i="2"/>
  <c r="D2929" i="2"/>
  <c r="H2928" i="2"/>
  <c r="G2928" i="2"/>
  <c r="F2928" i="2"/>
  <c r="E2928" i="2"/>
  <c r="D2928" i="2"/>
  <c r="H2927" i="2"/>
  <c r="G2927" i="2"/>
  <c r="F2927" i="2"/>
  <c r="E2927" i="2"/>
  <c r="D2927" i="2"/>
  <c r="H2926" i="2"/>
  <c r="G2926" i="2"/>
  <c r="F2926" i="2"/>
  <c r="E2926" i="2"/>
  <c r="D2926" i="2"/>
  <c r="H2925" i="2"/>
  <c r="G2925" i="2"/>
  <c r="F2925" i="2"/>
  <c r="E2925" i="2"/>
  <c r="D2925" i="2"/>
  <c r="H1899" i="2"/>
  <c r="G1899" i="2"/>
  <c r="F1899" i="2"/>
  <c r="E1899" i="2"/>
  <c r="D1899" i="2"/>
  <c r="H1898" i="2"/>
  <c r="G1898" i="2"/>
  <c r="F1898" i="2"/>
  <c r="E1898" i="2"/>
  <c r="D1898" i="2"/>
  <c r="H1897" i="2"/>
  <c r="G1897" i="2"/>
  <c r="F1897" i="2"/>
  <c r="E1897" i="2"/>
  <c r="D1897" i="2"/>
  <c r="H1896" i="2"/>
  <c r="G1896" i="2"/>
  <c r="F1896" i="2"/>
  <c r="E1896" i="2"/>
  <c r="D1896" i="2"/>
  <c r="H1537" i="2"/>
  <c r="G1537" i="2"/>
  <c r="F1537" i="2"/>
  <c r="E1537" i="2"/>
  <c r="D1537" i="2"/>
  <c r="H1536" i="2"/>
  <c r="G1536" i="2"/>
  <c r="F1536" i="2"/>
  <c r="E1536" i="2"/>
  <c r="D1536" i="2"/>
  <c r="H163" i="2"/>
  <c r="G163" i="2"/>
  <c r="F163" i="2"/>
  <c r="E163" i="2"/>
  <c r="D163" i="2"/>
  <c r="H1761" i="2"/>
  <c r="G1761" i="2"/>
  <c r="F1761" i="2"/>
  <c r="E1761" i="2"/>
  <c r="D1761" i="2"/>
  <c r="H1092" i="2"/>
  <c r="G1092" i="2"/>
  <c r="F1092" i="2"/>
  <c r="E1092" i="2"/>
  <c r="D1092" i="2"/>
  <c r="H1091" i="2"/>
  <c r="G1091" i="2"/>
  <c r="F1091" i="2"/>
  <c r="E1091" i="2"/>
  <c r="D1091" i="2"/>
  <c r="H1090" i="2"/>
  <c r="G1090" i="2"/>
  <c r="F1090" i="2"/>
  <c r="E1090" i="2"/>
  <c r="D1090" i="2"/>
  <c r="H1089" i="2"/>
  <c r="G1089" i="2"/>
  <c r="F1089" i="2"/>
  <c r="E1089" i="2"/>
  <c r="D1089" i="2"/>
  <c r="H1088" i="2"/>
  <c r="G1088" i="2"/>
  <c r="F1088" i="2"/>
  <c r="E1088" i="2"/>
  <c r="D1088" i="2"/>
  <c r="H1087" i="2"/>
  <c r="G1087" i="2"/>
  <c r="F1087" i="2"/>
  <c r="E1087" i="2"/>
  <c r="D1087" i="2"/>
  <c r="H3416" i="2"/>
  <c r="G3416" i="2"/>
  <c r="F3416" i="2"/>
  <c r="E3416" i="2"/>
  <c r="D3416" i="2"/>
  <c r="H3498" i="2"/>
  <c r="G3498" i="2"/>
  <c r="F3498" i="2"/>
  <c r="E3498" i="2"/>
  <c r="D3498" i="2"/>
  <c r="H3497" i="2"/>
  <c r="G3497" i="2"/>
  <c r="F3497" i="2"/>
  <c r="E3497" i="2"/>
  <c r="D3497" i="2"/>
  <c r="H3496" i="2"/>
  <c r="G3496" i="2"/>
  <c r="F3496" i="2"/>
  <c r="E3496" i="2"/>
  <c r="D3496" i="2"/>
  <c r="H3495" i="2"/>
  <c r="G3495" i="2"/>
  <c r="F3495" i="2"/>
  <c r="E3495" i="2"/>
  <c r="D3495" i="2"/>
  <c r="H3494" i="2"/>
  <c r="G3494" i="2"/>
  <c r="F3494" i="2"/>
  <c r="E3494" i="2"/>
  <c r="D3494" i="2"/>
  <c r="H3493" i="2"/>
  <c r="G3493" i="2"/>
  <c r="F3493" i="2"/>
  <c r="E3493" i="2"/>
  <c r="D3493" i="2"/>
  <c r="H3492" i="2"/>
  <c r="G3492" i="2"/>
  <c r="F3492" i="2"/>
  <c r="E3492" i="2"/>
  <c r="D3492" i="2"/>
  <c r="H3491" i="2"/>
  <c r="G3491" i="2"/>
  <c r="F3491" i="2"/>
  <c r="E3491" i="2"/>
  <c r="D3491" i="2"/>
  <c r="H2063" i="2"/>
  <c r="G2063" i="2"/>
  <c r="F2063" i="2"/>
  <c r="E2063" i="2"/>
  <c r="D2063" i="2"/>
  <c r="H2062" i="2"/>
  <c r="G2062" i="2"/>
  <c r="F2062" i="2"/>
  <c r="E2062" i="2"/>
  <c r="D2062" i="2"/>
  <c r="H1373" i="2"/>
  <c r="G1373" i="2"/>
  <c r="F1373" i="2"/>
  <c r="E1373" i="2"/>
  <c r="D1373" i="2"/>
  <c r="H3599" i="2"/>
  <c r="G3599" i="2"/>
  <c r="F3599" i="2"/>
  <c r="E3599" i="2"/>
  <c r="D3599" i="2"/>
  <c r="H3598" i="2"/>
  <c r="G3598" i="2"/>
  <c r="F3598" i="2"/>
  <c r="E3598" i="2"/>
  <c r="D3598" i="2"/>
  <c r="H3023" i="2"/>
  <c r="G3023" i="2"/>
  <c r="F3023" i="2"/>
  <c r="E3023" i="2"/>
  <c r="D3023" i="2"/>
  <c r="H3022" i="2"/>
  <c r="G3022" i="2"/>
  <c r="F3022" i="2"/>
  <c r="E3022" i="2"/>
  <c r="D3022" i="2"/>
  <c r="H3021" i="2"/>
  <c r="G3021" i="2"/>
  <c r="F3021" i="2"/>
  <c r="E3021" i="2"/>
  <c r="D3021" i="2"/>
  <c r="H3020" i="2"/>
  <c r="G3020" i="2"/>
  <c r="F3020" i="2"/>
  <c r="E3020" i="2"/>
  <c r="D3020" i="2"/>
  <c r="H2505" i="2"/>
  <c r="G2505" i="2"/>
  <c r="F2505" i="2"/>
  <c r="E2505" i="2"/>
  <c r="D2505" i="2"/>
  <c r="H787" i="2"/>
  <c r="G787" i="2"/>
  <c r="F787" i="2"/>
  <c r="E787" i="2"/>
  <c r="D787" i="2"/>
  <c r="H786" i="2"/>
  <c r="G786" i="2"/>
  <c r="F786" i="2"/>
  <c r="E786" i="2"/>
  <c r="D786" i="2"/>
  <c r="H3110" i="2"/>
  <c r="G3110" i="2"/>
  <c r="F3110" i="2"/>
  <c r="E3110" i="2"/>
  <c r="D3110" i="2"/>
  <c r="H3109" i="2"/>
  <c r="G3109" i="2"/>
  <c r="F3109" i="2"/>
  <c r="E3109" i="2"/>
  <c r="D3109" i="2"/>
  <c r="H3108" i="2"/>
  <c r="G3108" i="2"/>
  <c r="F3108" i="2"/>
  <c r="E3108" i="2"/>
  <c r="D3108" i="2"/>
  <c r="H3107" i="2"/>
  <c r="G3107" i="2"/>
  <c r="F3107" i="2"/>
  <c r="E3107" i="2"/>
  <c r="D3107" i="2"/>
  <c r="H3106" i="2"/>
  <c r="G3106" i="2"/>
  <c r="F3106" i="2"/>
  <c r="E3106" i="2"/>
  <c r="D3106" i="2"/>
  <c r="H3105" i="2"/>
  <c r="G3105" i="2"/>
  <c r="F3105" i="2"/>
  <c r="E3105" i="2"/>
  <c r="D3105" i="2"/>
  <c r="H3104" i="2"/>
  <c r="G3104" i="2"/>
  <c r="F3104" i="2"/>
  <c r="E3104" i="2"/>
  <c r="D3104" i="2"/>
  <c r="H1906" i="2"/>
  <c r="G1906" i="2"/>
  <c r="F1906" i="2"/>
  <c r="E1906" i="2"/>
  <c r="D1906" i="2"/>
  <c r="H3499" i="2"/>
  <c r="G3499" i="2"/>
  <c r="F3499" i="2"/>
  <c r="E3499" i="2"/>
  <c r="D3499" i="2"/>
  <c r="H947" i="2"/>
  <c r="G947" i="2"/>
  <c r="F947" i="2"/>
  <c r="E947" i="2"/>
  <c r="D947" i="2"/>
  <c r="H946" i="2"/>
  <c r="G946" i="2"/>
  <c r="F946" i="2"/>
  <c r="E946" i="2"/>
  <c r="D946" i="2"/>
  <c r="H3182" i="2"/>
  <c r="G3182" i="2"/>
  <c r="F3182" i="2"/>
  <c r="E3182" i="2"/>
  <c r="D3182" i="2"/>
  <c r="H439" i="2"/>
  <c r="G439" i="2"/>
  <c r="F439" i="2"/>
  <c r="E439" i="2"/>
  <c r="D439" i="2"/>
  <c r="H438" i="2"/>
  <c r="G438" i="2"/>
  <c r="F438" i="2"/>
  <c r="E438" i="2"/>
  <c r="D438" i="2"/>
  <c r="H437" i="2"/>
  <c r="G437" i="2"/>
  <c r="F437" i="2"/>
  <c r="E437" i="2"/>
  <c r="D437" i="2"/>
  <c r="H436" i="2"/>
  <c r="G436" i="2"/>
  <c r="F436" i="2"/>
  <c r="E436" i="2"/>
  <c r="D436" i="2"/>
  <c r="H1782" i="2"/>
  <c r="G1782" i="2"/>
  <c r="F1782" i="2"/>
  <c r="E1782" i="2"/>
  <c r="D1782" i="2"/>
  <c r="H3330" i="2"/>
  <c r="G3330" i="2"/>
  <c r="F3330" i="2"/>
  <c r="E3330" i="2"/>
  <c r="D3330" i="2"/>
  <c r="H3329" i="2"/>
  <c r="G3329" i="2"/>
  <c r="F3329" i="2"/>
  <c r="E3329" i="2"/>
  <c r="D3329" i="2"/>
  <c r="H362" i="2"/>
  <c r="G362" i="2"/>
  <c r="F362" i="2"/>
  <c r="E362" i="2"/>
  <c r="D362" i="2"/>
  <c r="H361" i="2"/>
  <c r="G361" i="2"/>
  <c r="F361" i="2"/>
  <c r="E361" i="2"/>
  <c r="D361" i="2"/>
  <c r="H360" i="2"/>
  <c r="G360" i="2"/>
  <c r="F360" i="2"/>
  <c r="E360" i="2"/>
  <c r="D360" i="2"/>
  <c r="H1504" i="2"/>
  <c r="G1504" i="2"/>
  <c r="F1504" i="2"/>
  <c r="E1504" i="2"/>
  <c r="D1504" i="2"/>
  <c r="H2911" i="2"/>
  <c r="G2911" i="2"/>
  <c r="F2911" i="2"/>
  <c r="E2911" i="2"/>
  <c r="D2911" i="2"/>
  <c r="H2910" i="2"/>
  <c r="G2910" i="2"/>
  <c r="F2910" i="2"/>
  <c r="E2910" i="2"/>
  <c r="D2910" i="2"/>
  <c r="H2909" i="2"/>
  <c r="G2909" i="2"/>
  <c r="F2909" i="2"/>
  <c r="E2909" i="2"/>
  <c r="D2909" i="2"/>
  <c r="H2908" i="2"/>
  <c r="G2908" i="2"/>
  <c r="F2908" i="2"/>
  <c r="E2908" i="2"/>
  <c r="D2908" i="2"/>
  <c r="H2907" i="2"/>
  <c r="G2907" i="2"/>
  <c r="F2907" i="2"/>
  <c r="E2907" i="2"/>
  <c r="D2907" i="2"/>
  <c r="H2906" i="2"/>
  <c r="G2906" i="2"/>
  <c r="F2906" i="2"/>
  <c r="E2906" i="2"/>
  <c r="D2906" i="2"/>
  <c r="H2905" i="2"/>
  <c r="G2905" i="2"/>
  <c r="F2905" i="2"/>
  <c r="E2905" i="2"/>
  <c r="D2905" i="2"/>
  <c r="H2904" i="2"/>
  <c r="G2904" i="2"/>
  <c r="F2904" i="2"/>
  <c r="E2904" i="2"/>
  <c r="D2904" i="2"/>
  <c r="H2903" i="2"/>
  <c r="G2903" i="2"/>
  <c r="F2903" i="2"/>
  <c r="E2903" i="2"/>
  <c r="D2903" i="2"/>
  <c r="H2902" i="2"/>
  <c r="G2902" i="2"/>
  <c r="F2902" i="2"/>
  <c r="E2902" i="2"/>
  <c r="D2902" i="2"/>
  <c r="H2901" i="2"/>
  <c r="G2901" i="2"/>
  <c r="F2901" i="2"/>
  <c r="E2901" i="2"/>
  <c r="D2901" i="2"/>
  <c r="H1575" i="2"/>
  <c r="G1575" i="2"/>
  <c r="F1575" i="2"/>
  <c r="E1575" i="2"/>
  <c r="D1575" i="2"/>
  <c r="H1574" i="2"/>
  <c r="G1574" i="2"/>
  <c r="F1574" i="2"/>
  <c r="E1574" i="2"/>
  <c r="D1574" i="2"/>
  <c r="H1573" i="2"/>
  <c r="G1573" i="2"/>
  <c r="F1573" i="2"/>
  <c r="E1573" i="2"/>
  <c r="D1573" i="2"/>
  <c r="H1572" i="2"/>
  <c r="G1572" i="2"/>
  <c r="F1572" i="2"/>
  <c r="E1572" i="2"/>
  <c r="D1572" i="2"/>
  <c r="H1571" i="2"/>
  <c r="G1571" i="2"/>
  <c r="F1571" i="2"/>
  <c r="E1571" i="2"/>
  <c r="D1571" i="2"/>
  <c r="H1570" i="2"/>
  <c r="G1570" i="2"/>
  <c r="F1570" i="2"/>
  <c r="E1570" i="2"/>
  <c r="D1570" i="2"/>
  <c r="H1569" i="2"/>
  <c r="G1569" i="2"/>
  <c r="F1569" i="2"/>
  <c r="E1569" i="2"/>
  <c r="D1569" i="2"/>
  <c r="H1568" i="2"/>
  <c r="G1568" i="2"/>
  <c r="F1568" i="2"/>
  <c r="E1568" i="2"/>
  <c r="D1568" i="2"/>
  <c r="H1567" i="2"/>
  <c r="G1567" i="2"/>
  <c r="F1567" i="2"/>
  <c r="E1567" i="2"/>
  <c r="D1567" i="2"/>
  <c r="H1566" i="2"/>
  <c r="G1566" i="2"/>
  <c r="F1566" i="2"/>
  <c r="E1566" i="2"/>
  <c r="D1566" i="2"/>
  <c r="H1565" i="2"/>
  <c r="G1565" i="2"/>
  <c r="F1565" i="2"/>
  <c r="E1565" i="2"/>
  <c r="D1565" i="2"/>
  <c r="H2240" i="2"/>
  <c r="G2240" i="2"/>
  <c r="F2240" i="2"/>
  <c r="E2240" i="2"/>
  <c r="D2240" i="2"/>
  <c r="H46" i="2"/>
  <c r="G46" i="2"/>
  <c r="F46" i="2"/>
  <c r="E46" i="2"/>
  <c r="D46" i="2"/>
  <c r="H288" i="2"/>
  <c r="G288" i="2"/>
  <c r="F288" i="2"/>
  <c r="E288" i="2"/>
  <c r="D288" i="2"/>
  <c r="H287" i="2"/>
  <c r="G287" i="2"/>
  <c r="F287" i="2"/>
  <c r="E287" i="2"/>
  <c r="D287" i="2"/>
  <c r="H286" i="2"/>
  <c r="G286" i="2"/>
  <c r="F286" i="2"/>
  <c r="E286" i="2"/>
  <c r="D286" i="2"/>
  <c r="H285" i="2"/>
  <c r="G285" i="2"/>
  <c r="F285" i="2"/>
  <c r="E285" i="2"/>
  <c r="D285" i="2"/>
  <c r="H284" i="2"/>
  <c r="G284" i="2"/>
  <c r="F284" i="2"/>
  <c r="E284" i="2"/>
  <c r="D284" i="2"/>
  <c r="H283" i="2"/>
  <c r="G283" i="2"/>
  <c r="F283" i="2"/>
  <c r="E283" i="2"/>
  <c r="D283" i="2"/>
  <c r="H282" i="2"/>
  <c r="G282" i="2"/>
  <c r="F282" i="2"/>
  <c r="E282" i="2"/>
  <c r="D282" i="2"/>
  <c r="H281" i="2"/>
  <c r="G281" i="2"/>
  <c r="F281" i="2"/>
  <c r="E281" i="2"/>
  <c r="D281" i="2"/>
  <c r="H280" i="2"/>
  <c r="G280" i="2"/>
  <c r="F280" i="2"/>
  <c r="E280" i="2"/>
  <c r="D280" i="2"/>
  <c r="H63" i="2"/>
  <c r="G63" i="2"/>
  <c r="F63" i="2"/>
  <c r="E63" i="2"/>
  <c r="D63" i="2"/>
  <c r="H62" i="2"/>
  <c r="G62" i="2"/>
  <c r="F62" i="2"/>
  <c r="E62" i="2"/>
  <c r="D62" i="2"/>
  <c r="H61" i="2"/>
  <c r="G61" i="2"/>
  <c r="F61" i="2"/>
  <c r="E61" i="2"/>
  <c r="D61" i="2"/>
  <c r="H60" i="2"/>
  <c r="G60" i="2"/>
  <c r="F60" i="2"/>
  <c r="E60" i="2"/>
  <c r="D60" i="2"/>
  <c r="H59" i="2"/>
  <c r="G59" i="2"/>
  <c r="F59" i="2"/>
  <c r="E59" i="2"/>
  <c r="D59" i="2"/>
  <c r="H58" i="2"/>
  <c r="G58" i="2"/>
  <c r="F58" i="2"/>
  <c r="E58" i="2"/>
  <c r="D58" i="2"/>
  <c r="H3062" i="2"/>
  <c r="G3062" i="2"/>
  <c r="F3062" i="2"/>
  <c r="E3062" i="2"/>
  <c r="D3062" i="2"/>
  <c r="H3061" i="2"/>
  <c r="G3061" i="2"/>
  <c r="F3061" i="2"/>
  <c r="E3061" i="2"/>
  <c r="D3061" i="2"/>
  <c r="H2337" i="2"/>
  <c r="G2337" i="2"/>
  <c r="F2337" i="2"/>
  <c r="E2337" i="2"/>
  <c r="D2337" i="2"/>
  <c r="H2336" i="2"/>
  <c r="G2336" i="2"/>
  <c r="F2336" i="2"/>
  <c r="E2336" i="2"/>
  <c r="D2336" i="2"/>
  <c r="H26" i="2"/>
  <c r="G26" i="2"/>
  <c r="F26" i="2"/>
  <c r="E26" i="2"/>
  <c r="D26" i="2"/>
  <c r="H2559" i="2"/>
  <c r="G2559" i="2"/>
  <c r="F2559" i="2"/>
  <c r="E2559" i="2"/>
  <c r="D2559" i="2"/>
  <c r="H2329" i="2"/>
  <c r="G2329" i="2"/>
  <c r="F2329" i="2"/>
  <c r="E2329" i="2"/>
  <c r="D2329" i="2"/>
  <c r="H380" i="2"/>
  <c r="G380" i="2"/>
  <c r="F380" i="2"/>
  <c r="E380" i="2"/>
  <c r="D380" i="2"/>
  <c r="H379" i="2"/>
  <c r="G379" i="2"/>
  <c r="F379" i="2"/>
  <c r="E379" i="2"/>
  <c r="D379" i="2"/>
  <c r="H378" i="2"/>
  <c r="G378" i="2"/>
  <c r="F378" i="2"/>
  <c r="E378" i="2"/>
  <c r="D378" i="2"/>
  <c r="H377" i="2"/>
  <c r="G377" i="2"/>
  <c r="F377" i="2"/>
  <c r="E377" i="2"/>
  <c r="D377" i="2"/>
  <c r="H376" i="2"/>
  <c r="G376" i="2"/>
  <c r="F376" i="2"/>
  <c r="E376" i="2"/>
  <c r="D376" i="2"/>
  <c r="H375" i="2"/>
  <c r="G375" i="2"/>
  <c r="F375" i="2"/>
  <c r="E375" i="2"/>
  <c r="D375" i="2"/>
  <c r="H374" i="2"/>
  <c r="G374" i="2"/>
  <c r="F374" i="2"/>
  <c r="E374" i="2"/>
  <c r="D374" i="2"/>
  <c r="H2343" i="2"/>
  <c r="G2343" i="2"/>
  <c r="F2343" i="2"/>
  <c r="E2343" i="2"/>
  <c r="D2343" i="2"/>
  <c r="H2342" i="2"/>
  <c r="G2342" i="2"/>
  <c r="F2342" i="2"/>
  <c r="E2342" i="2"/>
  <c r="D2342" i="2"/>
  <c r="H2341" i="2"/>
  <c r="G2341" i="2"/>
  <c r="F2341" i="2"/>
  <c r="E2341" i="2"/>
  <c r="D2341" i="2"/>
  <c r="H422" i="2"/>
  <c r="G422" i="2"/>
  <c r="F422" i="2"/>
  <c r="E422" i="2"/>
  <c r="D422" i="2"/>
  <c r="H421" i="2"/>
  <c r="G421" i="2"/>
  <c r="F421" i="2"/>
  <c r="E421" i="2"/>
  <c r="D421" i="2"/>
  <c r="H420" i="2"/>
  <c r="G420" i="2"/>
  <c r="F420" i="2"/>
  <c r="E420" i="2"/>
  <c r="D420" i="2"/>
  <c r="H419" i="2"/>
  <c r="G419" i="2"/>
  <c r="F419" i="2"/>
  <c r="E419" i="2"/>
  <c r="D419" i="2"/>
  <c r="H418" i="2"/>
  <c r="G418" i="2"/>
  <c r="F418" i="2"/>
  <c r="E418" i="2"/>
  <c r="D418" i="2"/>
  <c r="H3489" i="2"/>
  <c r="G3489" i="2"/>
  <c r="F3489" i="2"/>
  <c r="E3489" i="2"/>
  <c r="D3489" i="2"/>
  <c r="H977" i="2"/>
  <c r="G977" i="2"/>
  <c r="F977" i="2"/>
  <c r="E977" i="2"/>
  <c r="D977" i="2"/>
  <c r="H976" i="2"/>
  <c r="G976" i="2"/>
  <c r="F976" i="2"/>
  <c r="E976" i="2"/>
  <c r="D976" i="2"/>
  <c r="H975" i="2"/>
  <c r="G975" i="2"/>
  <c r="F975" i="2"/>
  <c r="E975" i="2"/>
  <c r="D975" i="2"/>
  <c r="H442" i="2"/>
  <c r="G442" i="2"/>
  <c r="F442" i="2"/>
  <c r="E442" i="2"/>
  <c r="D442" i="2"/>
  <c r="H3490" i="2"/>
  <c r="G3490" i="2"/>
  <c r="F3490" i="2"/>
  <c r="E3490" i="2"/>
  <c r="D3490" i="2"/>
  <c r="H2820" i="2"/>
  <c r="G2820" i="2"/>
  <c r="F2820" i="2"/>
  <c r="E2820" i="2"/>
  <c r="D2820" i="2"/>
  <c r="H2819" i="2"/>
  <c r="G2819" i="2"/>
  <c r="F2819" i="2"/>
  <c r="E2819" i="2"/>
  <c r="D2819" i="2"/>
  <c r="H2818" i="2"/>
  <c r="G2818" i="2"/>
  <c r="F2818" i="2"/>
  <c r="E2818" i="2"/>
  <c r="D2818" i="2"/>
  <c r="H2817" i="2"/>
  <c r="G2817" i="2"/>
  <c r="F2817" i="2"/>
  <c r="E2817" i="2"/>
  <c r="D2817" i="2"/>
  <c r="H2816" i="2"/>
  <c r="G2816" i="2"/>
  <c r="F2816" i="2"/>
  <c r="E2816" i="2"/>
  <c r="D2816" i="2"/>
  <c r="H2815" i="2"/>
  <c r="G2815" i="2"/>
  <c r="F2815" i="2"/>
  <c r="E2815" i="2"/>
  <c r="D2815" i="2"/>
  <c r="H2814" i="2"/>
  <c r="G2814" i="2"/>
  <c r="F2814" i="2"/>
  <c r="E2814" i="2"/>
  <c r="D2814" i="2"/>
  <c r="H2813" i="2"/>
  <c r="G2813" i="2"/>
  <c r="F2813" i="2"/>
  <c r="E2813" i="2"/>
  <c r="D2813" i="2"/>
  <c r="H2812" i="2"/>
  <c r="G2812" i="2"/>
  <c r="F2812" i="2"/>
  <c r="E2812" i="2"/>
  <c r="D2812" i="2"/>
  <c r="H2811" i="2"/>
  <c r="G2811" i="2"/>
  <c r="F2811" i="2"/>
  <c r="E2811" i="2"/>
  <c r="D2811" i="2"/>
  <c r="H2810" i="2"/>
  <c r="G2810" i="2"/>
  <c r="F2810" i="2"/>
  <c r="E2810" i="2"/>
  <c r="D2810" i="2"/>
  <c r="H2809" i="2"/>
  <c r="G2809" i="2"/>
  <c r="F2809" i="2"/>
  <c r="E2809" i="2"/>
  <c r="D2809" i="2"/>
  <c r="H2808" i="2"/>
  <c r="G2808" i="2"/>
  <c r="F2808" i="2"/>
  <c r="E2808" i="2"/>
  <c r="D2808" i="2"/>
  <c r="H1250" i="2"/>
  <c r="G1250" i="2"/>
  <c r="F1250" i="2"/>
  <c r="E1250" i="2"/>
  <c r="D1250" i="2"/>
  <c r="H1249" i="2"/>
  <c r="G1249" i="2"/>
  <c r="F1249" i="2"/>
  <c r="E1249" i="2"/>
  <c r="D1249" i="2"/>
  <c r="H1703" i="2"/>
  <c r="G1703" i="2"/>
  <c r="F1703" i="2"/>
  <c r="E1703" i="2"/>
  <c r="D1703" i="2"/>
  <c r="H1702" i="2"/>
  <c r="G1702" i="2"/>
  <c r="F1702" i="2"/>
  <c r="E1702" i="2"/>
  <c r="D1702" i="2"/>
  <c r="H1701" i="2"/>
  <c r="G1701" i="2"/>
  <c r="F1701" i="2"/>
  <c r="E1701" i="2"/>
  <c r="D1701" i="2"/>
  <c r="H1700" i="2"/>
  <c r="G1700" i="2"/>
  <c r="F1700" i="2"/>
  <c r="E1700" i="2"/>
  <c r="D1700" i="2"/>
  <c r="H1699" i="2"/>
  <c r="G1699" i="2"/>
  <c r="F1699" i="2"/>
  <c r="E1699" i="2"/>
  <c r="D1699" i="2"/>
  <c r="H1698" i="2"/>
  <c r="G1698" i="2"/>
  <c r="F1698" i="2"/>
  <c r="E1698" i="2"/>
  <c r="D1698" i="2"/>
  <c r="H1697" i="2"/>
  <c r="G1697" i="2"/>
  <c r="F1697" i="2"/>
  <c r="E1697" i="2"/>
  <c r="D1697" i="2"/>
  <c r="H1696" i="2"/>
  <c r="G1696" i="2"/>
  <c r="F1696" i="2"/>
  <c r="E1696" i="2"/>
  <c r="D1696" i="2"/>
  <c r="H1695" i="2"/>
  <c r="G1695" i="2"/>
  <c r="F1695" i="2"/>
  <c r="E1695" i="2"/>
  <c r="D1695" i="2"/>
  <c r="H1694" i="2"/>
  <c r="G1694" i="2"/>
  <c r="F1694" i="2"/>
  <c r="E1694" i="2"/>
  <c r="D1694" i="2"/>
  <c r="H1693" i="2"/>
  <c r="G1693" i="2"/>
  <c r="F1693" i="2"/>
  <c r="E1693" i="2"/>
  <c r="D1693" i="2"/>
  <c r="H1692" i="2"/>
  <c r="G1692" i="2"/>
  <c r="F1692" i="2"/>
  <c r="E1692" i="2"/>
  <c r="D1692" i="2"/>
  <c r="H1691" i="2"/>
  <c r="G1691" i="2"/>
  <c r="F1691" i="2"/>
  <c r="E1691" i="2"/>
  <c r="D1691" i="2"/>
  <c r="H3651" i="2"/>
  <c r="G3651" i="2"/>
  <c r="F3651" i="2"/>
  <c r="E3651" i="2"/>
  <c r="D3651" i="2"/>
  <c r="H3799" i="2"/>
  <c r="G3799" i="2"/>
  <c r="F3799" i="2"/>
  <c r="E3799" i="2"/>
  <c r="D3799" i="2"/>
  <c r="H3798" i="2"/>
  <c r="G3798" i="2"/>
  <c r="F3798" i="2"/>
  <c r="E3798" i="2"/>
  <c r="D3798" i="2"/>
  <c r="H3797" i="2"/>
  <c r="G3797" i="2"/>
  <c r="F3797" i="2"/>
  <c r="E3797" i="2"/>
  <c r="D3797" i="2"/>
  <c r="H3796" i="2"/>
  <c r="G3796" i="2"/>
  <c r="F3796" i="2"/>
  <c r="E3796" i="2"/>
  <c r="D3796" i="2"/>
  <c r="H230" i="2"/>
  <c r="G230" i="2"/>
  <c r="F230" i="2"/>
  <c r="E230" i="2"/>
  <c r="D230" i="2"/>
  <c r="H229" i="2"/>
  <c r="G229" i="2"/>
  <c r="F229" i="2"/>
  <c r="E229" i="2"/>
  <c r="D229" i="2"/>
  <c r="H1288" i="2"/>
  <c r="G1288" i="2"/>
  <c r="F1288" i="2"/>
  <c r="E1288" i="2"/>
  <c r="D1288" i="2"/>
  <c r="H1287" i="2"/>
  <c r="G1287" i="2"/>
  <c r="F1287" i="2"/>
  <c r="E1287" i="2"/>
  <c r="D1287" i="2"/>
  <c r="H1286" i="2"/>
  <c r="G1286" i="2"/>
  <c r="F1286" i="2"/>
  <c r="E1286" i="2"/>
  <c r="D1286" i="2"/>
  <c r="H1285" i="2"/>
  <c r="G1285" i="2"/>
  <c r="F1285" i="2"/>
  <c r="E1285" i="2"/>
  <c r="D1285" i="2"/>
  <c r="H1284" i="2"/>
  <c r="G1284" i="2"/>
  <c r="F1284" i="2"/>
  <c r="E1284" i="2"/>
  <c r="D1284" i="2"/>
  <c r="H1283" i="2"/>
  <c r="G1283" i="2"/>
  <c r="F1283" i="2"/>
  <c r="E1283" i="2"/>
  <c r="D1283" i="2"/>
  <c r="H130" i="2"/>
  <c r="G130" i="2"/>
  <c r="F130" i="2"/>
  <c r="E130" i="2"/>
  <c r="D130" i="2"/>
  <c r="H2434" i="2"/>
  <c r="G2434" i="2"/>
  <c r="F2434" i="2"/>
  <c r="E2434" i="2"/>
  <c r="D2434" i="2"/>
  <c r="H2433" i="2"/>
  <c r="G2433" i="2"/>
  <c r="F2433" i="2"/>
  <c r="E2433" i="2"/>
  <c r="D2433" i="2"/>
  <c r="H2432" i="2"/>
  <c r="G2432" i="2"/>
  <c r="F2432" i="2"/>
  <c r="E2432" i="2"/>
  <c r="D2432" i="2"/>
  <c r="H2431" i="2"/>
  <c r="G2431" i="2"/>
  <c r="F2431" i="2"/>
  <c r="E2431" i="2"/>
  <c r="D2431" i="2"/>
  <c r="H2430" i="2"/>
  <c r="G2430" i="2"/>
  <c r="F2430" i="2"/>
  <c r="E2430" i="2"/>
  <c r="D2430" i="2"/>
  <c r="H2429" i="2"/>
  <c r="G2429" i="2"/>
  <c r="F2429" i="2"/>
  <c r="E2429" i="2"/>
  <c r="D2429" i="2"/>
  <c r="H2428" i="2"/>
  <c r="G2428" i="2"/>
  <c r="F2428" i="2"/>
  <c r="E2428" i="2"/>
  <c r="D2428" i="2"/>
  <c r="H2427" i="2"/>
  <c r="G2427" i="2"/>
  <c r="F2427" i="2"/>
  <c r="E2427" i="2"/>
  <c r="D2427" i="2"/>
  <c r="H38" i="2"/>
  <c r="G38" i="2"/>
  <c r="F38" i="2"/>
  <c r="E38" i="2"/>
  <c r="D38" i="2"/>
  <c r="H37" i="2"/>
  <c r="G37" i="2"/>
  <c r="F37" i="2"/>
  <c r="E37" i="2"/>
  <c r="D37" i="2"/>
  <c r="H36" i="2"/>
  <c r="G36" i="2"/>
  <c r="F36" i="2"/>
  <c r="E36" i="2"/>
  <c r="D36" i="2"/>
  <c r="H1473" i="2"/>
  <c r="G1473" i="2"/>
  <c r="F1473" i="2"/>
  <c r="E1473" i="2"/>
  <c r="D1473" i="2"/>
  <c r="H991" i="2"/>
  <c r="G991" i="2"/>
  <c r="F991" i="2"/>
  <c r="E991" i="2"/>
  <c r="D991" i="2"/>
  <c r="H990" i="2"/>
  <c r="G990" i="2"/>
  <c r="F990" i="2"/>
  <c r="E990" i="2"/>
  <c r="D990" i="2"/>
  <c r="H813" i="2"/>
  <c r="G813" i="2"/>
  <c r="F813" i="2"/>
  <c r="E813" i="2"/>
  <c r="D813" i="2"/>
  <c r="H812" i="2"/>
  <c r="G812" i="2"/>
  <c r="F812" i="2"/>
  <c r="E812" i="2"/>
  <c r="D812" i="2"/>
  <c r="H811" i="2"/>
  <c r="G811" i="2"/>
  <c r="F811" i="2"/>
  <c r="E811" i="2"/>
  <c r="D811" i="2"/>
  <c r="H810" i="2"/>
  <c r="G810" i="2"/>
  <c r="F810" i="2"/>
  <c r="E810" i="2"/>
  <c r="D810" i="2"/>
  <c r="H809" i="2"/>
  <c r="G809" i="2"/>
  <c r="F809" i="2"/>
  <c r="E809" i="2"/>
  <c r="D809" i="2"/>
  <c r="H808" i="2"/>
  <c r="G808" i="2"/>
  <c r="F808" i="2"/>
  <c r="E808" i="2"/>
  <c r="D808" i="2"/>
  <c r="H807" i="2"/>
  <c r="G807" i="2"/>
  <c r="F807" i="2"/>
  <c r="E807" i="2"/>
  <c r="D807" i="2"/>
  <c r="H806" i="2"/>
  <c r="G806" i="2"/>
  <c r="F806" i="2"/>
  <c r="E806" i="2"/>
  <c r="D806" i="2"/>
  <c r="H805" i="2"/>
  <c r="G805" i="2"/>
  <c r="F805" i="2"/>
  <c r="E805" i="2"/>
  <c r="D805" i="2"/>
  <c r="H804" i="2"/>
  <c r="G804" i="2"/>
  <c r="F804" i="2"/>
  <c r="E804" i="2"/>
  <c r="D804" i="2"/>
  <c r="H803" i="2"/>
  <c r="G803" i="2"/>
  <c r="F803" i="2"/>
  <c r="E803" i="2"/>
  <c r="D803" i="2"/>
  <c r="H802" i="2"/>
  <c r="G802" i="2"/>
  <c r="F802" i="2"/>
  <c r="E802" i="2"/>
  <c r="D802" i="2"/>
  <c r="H1084" i="2"/>
  <c r="G1084" i="2"/>
  <c r="F1084" i="2"/>
  <c r="E1084" i="2"/>
  <c r="D1084" i="2"/>
  <c r="H1083" i="2"/>
  <c r="G1083" i="2"/>
  <c r="F1083" i="2"/>
  <c r="E1083" i="2"/>
  <c r="D1083" i="2"/>
  <c r="H1082" i="2"/>
  <c r="G1082" i="2"/>
  <c r="F1082" i="2"/>
  <c r="E1082" i="2"/>
  <c r="D1082" i="2"/>
  <c r="H132" i="2"/>
  <c r="G132" i="2"/>
  <c r="F132" i="2"/>
  <c r="E132" i="2"/>
  <c r="D132" i="2"/>
  <c r="H3085" i="2"/>
  <c r="G3085" i="2"/>
  <c r="F3085" i="2"/>
  <c r="E3085" i="2"/>
  <c r="D3085" i="2"/>
  <c r="H3084" i="2"/>
  <c r="G3084" i="2"/>
  <c r="F3084" i="2"/>
  <c r="E3084" i="2"/>
  <c r="D3084" i="2"/>
  <c r="H3083" i="2"/>
  <c r="G3083" i="2"/>
  <c r="F3083" i="2"/>
  <c r="E3083" i="2"/>
  <c r="D3083" i="2"/>
  <c r="H3082" i="2"/>
  <c r="G3082" i="2"/>
  <c r="F3082" i="2"/>
  <c r="E3082" i="2"/>
  <c r="D3082" i="2"/>
  <c r="H3081" i="2"/>
  <c r="G3081" i="2"/>
  <c r="F3081" i="2"/>
  <c r="E3081" i="2"/>
  <c r="D3081" i="2"/>
  <c r="H3080" i="2"/>
  <c r="G3080" i="2"/>
  <c r="F3080" i="2"/>
  <c r="E3080" i="2"/>
  <c r="D3080" i="2"/>
  <c r="H3079" i="2"/>
  <c r="G3079" i="2"/>
  <c r="F3079" i="2"/>
  <c r="E3079" i="2"/>
  <c r="D3079" i="2"/>
  <c r="H3078" i="2"/>
  <c r="G3078" i="2"/>
  <c r="F3078" i="2"/>
  <c r="E3078" i="2"/>
  <c r="D3078" i="2"/>
  <c r="H3077" i="2"/>
  <c r="G3077" i="2"/>
  <c r="F3077" i="2"/>
  <c r="E3077" i="2"/>
  <c r="D3077" i="2"/>
  <c r="H3076" i="2"/>
  <c r="G3076" i="2"/>
  <c r="F3076" i="2"/>
  <c r="E3076" i="2"/>
  <c r="D3076" i="2"/>
  <c r="H3075" i="2"/>
  <c r="G3075" i="2"/>
  <c r="F3075" i="2"/>
  <c r="E3075" i="2"/>
  <c r="D3075" i="2"/>
  <c r="H3074" i="2"/>
  <c r="G3074" i="2"/>
  <c r="F3074" i="2"/>
  <c r="E3074" i="2"/>
  <c r="D3074" i="2"/>
  <c r="H3073" i="2"/>
  <c r="G3073" i="2"/>
  <c r="F3073" i="2"/>
  <c r="E3073" i="2"/>
  <c r="D3073" i="2"/>
  <c r="H3072" i="2"/>
  <c r="G3072" i="2"/>
  <c r="F3072" i="2"/>
  <c r="E3072" i="2"/>
  <c r="D3072" i="2"/>
  <c r="H3071" i="2"/>
  <c r="G3071" i="2"/>
  <c r="F3071" i="2"/>
  <c r="E3071" i="2"/>
  <c r="D3071" i="2"/>
  <c r="H3070" i="2"/>
  <c r="G3070" i="2"/>
  <c r="F3070" i="2"/>
  <c r="E3070" i="2"/>
  <c r="D3070" i="2"/>
  <c r="H3069" i="2"/>
  <c r="G3069" i="2"/>
  <c r="F3069" i="2"/>
  <c r="E3069" i="2"/>
  <c r="D3069" i="2"/>
  <c r="H3068" i="2"/>
  <c r="G3068" i="2"/>
  <c r="F3068" i="2"/>
  <c r="E3068" i="2"/>
  <c r="D3068" i="2"/>
  <c r="H3307" i="2"/>
  <c r="G3307" i="2"/>
  <c r="F3307" i="2"/>
  <c r="E3307" i="2"/>
  <c r="D3307" i="2"/>
  <c r="H1275" i="2"/>
  <c r="G1275" i="2"/>
  <c r="F1275" i="2"/>
  <c r="E1275" i="2"/>
  <c r="D1275" i="2"/>
  <c r="H2777" i="2"/>
  <c r="G2777" i="2"/>
  <c r="F2777" i="2"/>
  <c r="E2777" i="2"/>
  <c r="D2777" i="2"/>
  <c r="H3415" i="2"/>
  <c r="G3415" i="2"/>
  <c r="F3415" i="2"/>
  <c r="E3415" i="2"/>
  <c r="D3415" i="2"/>
  <c r="H3662" i="2"/>
  <c r="G3662" i="2"/>
  <c r="F3662" i="2"/>
  <c r="E3662" i="2"/>
  <c r="D3662" i="2"/>
  <c r="H3661" i="2"/>
  <c r="G3661" i="2"/>
  <c r="F3661" i="2"/>
  <c r="E3661" i="2"/>
  <c r="D3661" i="2"/>
  <c r="H3660" i="2"/>
  <c r="G3660" i="2"/>
  <c r="F3660" i="2"/>
  <c r="E3660" i="2"/>
  <c r="D3660" i="2"/>
  <c r="H3479" i="2"/>
  <c r="G3479" i="2"/>
  <c r="F3479" i="2"/>
  <c r="E3479" i="2"/>
  <c r="D3479" i="2"/>
  <c r="H3478" i="2"/>
  <c r="G3478" i="2"/>
  <c r="F3478" i="2"/>
  <c r="E3478" i="2"/>
  <c r="D3478" i="2"/>
  <c r="H3477" i="2"/>
  <c r="G3477" i="2"/>
  <c r="F3477" i="2"/>
  <c r="E3477" i="2"/>
  <c r="D3477" i="2"/>
  <c r="H3476" i="2"/>
  <c r="G3476" i="2"/>
  <c r="F3476" i="2"/>
  <c r="E3476" i="2"/>
  <c r="D3476" i="2"/>
  <c r="H3475" i="2"/>
  <c r="G3475" i="2"/>
  <c r="F3475" i="2"/>
  <c r="E3475" i="2"/>
  <c r="D3475" i="2"/>
  <c r="H3474" i="2"/>
  <c r="G3474" i="2"/>
  <c r="F3474" i="2"/>
  <c r="E3474" i="2"/>
  <c r="D3474" i="2"/>
  <c r="H3473" i="2"/>
  <c r="G3473" i="2"/>
  <c r="F3473" i="2"/>
  <c r="E3473" i="2"/>
  <c r="D3473" i="2"/>
  <c r="H3472" i="2"/>
  <c r="G3472" i="2"/>
  <c r="F3472" i="2"/>
  <c r="E3472" i="2"/>
  <c r="D3472" i="2"/>
  <c r="H3471" i="2"/>
  <c r="G3471" i="2"/>
  <c r="F3471" i="2"/>
  <c r="E3471" i="2"/>
  <c r="D3471" i="2"/>
  <c r="H3470" i="2"/>
  <c r="G3470" i="2"/>
  <c r="F3470" i="2"/>
  <c r="E3470" i="2"/>
  <c r="D3470" i="2"/>
  <c r="H3469" i="2"/>
  <c r="G3469" i="2"/>
  <c r="F3469" i="2"/>
  <c r="E3469" i="2"/>
  <c r="D3469" i="2"/>
  <c r="H3468" i="2"/>
  <c r="G3468" i="2"/>
  <c r="F3468" i="2"/>
  <c r="E3468" i="2"/>
  <c r="D3468" i="2"/>
  <c r="H3467" i="2"/>
  <c r="G3467" i="2"/>
  <c r="F3467" i="2"/>
  <c r="E3467" i="2"/>
  <c r="D3467" i="2"/>
  <c r="H3466" i="2"/>
  <c r="G3466" i="2"/>
  <c r="F3466" i="2"/>
  <c r="E3466" i="2"/>
  <c r="D3466" i="2"/>
  <c r="H3465" i="2"/>
  <c r="G3465" i="2"/>
  <c r="F3465" i="2"/>
  <c r="E3465" i="2"/>
  <c r="D3465" i="2"/>
  <c r="H3464" i="2"/>
  <c r="G3464" i="2"/>
  <c r="F3464" i="2"/>
  <c r="E3464" i="2"/>
  <c r="D3464" i="2"/>
  <c r="H3459" i="2"/>
  <c r="G3459" i="2"/>
  <c r="F3459" i="2"/>
  <c r="E3459" i="2"/>
  <c r="D3459" i="2"/>
  <c r="H455" i="2"/>
  <c r="G455" i="2"/>
  <c r="F455" i="2"/>
  <c r="E455" i="2"/>
  <c r="D455" i="2"/>
  <c r="H454" i="2"/>
  <c r="G454" i="2"/>
  <c r="F454" i="2"/>
  <c r="E454" i="2"/>
  <c r="D454" i="2"/>
  <c r="H3560" i="2"/>
  <c r="G3560" i="2"/>
  <c r="F3560" i="2"/>
  <c r="E3560" i="2"/>
  <c r="D3560" i="2"/>
  <c r="H2831" i="2"/>
  <c r="G2831" i="2"/>
  <c r="F2831" i="2"/>
  <c r="E2831" i="2"/>
  <c r="D2831" i="2"/>
  <c r="H2830" i="2"/>
  <c r="G2830" i="2"/>
  <c r="F2830" i="2"/>
  <c r="E2830" i="2"/>
  <c r="D2830" i="2"/>
  <c r="H2832" i="2"/>
  <c r="G2832" i="2"/>
  <c r="F2832" i="2"/>
  <c r="E2832" i="2"/>
  <c r="D2832" i="2"/>
  <c r="H91" i="2"/>
  <c r="G91" i="2"/>
  <c r="F91" i="2"/>
  <c r="E91" i="2"/>
  <c r="D91" i="2"/>
  <c r="H90" i="2"/>
  <c r="G90" i="2"/>
  <c r="F90" i="2"/>
  <c r="E90" i="2"/>
  <c r="D90" i="2"/>
  <c r="H2763" i="2"/>
  <c r="G2763" i="2"/>
  <c r="F2763" i="2"/>
  <c r="E2763" i="2"/>
  <c r="D2763" i="2"/>
  <c r="H2762" i="2"/>
  <c r="G2762" i="2"/>
  <c r="F2762" i="2"/>
  <c r="E2762" i="2"/>
  <c r="D2762" i="2"/>
  <c r="H2761" i="2"/>
  <c r="G2761" i="2"/>
  <c r="F2761" i="2"/>
  <c r="E2761" i="2"/>
  <c r="D2761" i="2"/>
  <c r="H2760" i="2"/>
  <c r="G2760" i="2"/>
  <c r="F2760" i="2"/>
  <c r="E2760" i="2"/>
  <c r="D2760" i="2"/>
  <c r="H2759" i="2"/>
  <c r="G2759" i="2"/>
  <c r="F2759" i="2"/>
  <c r="E2759" i="2"/>
  <c r="D2759" i="2"/>
  <c r="H2758" i="2"/>
  <c r="G2758" i="2"/>
  <c r="F2758" i="2"/>
  <c r="E2758" i="2"/>
  <c r="D2758" i="2"/>
  <c r="H2757" i="2"/>
  <c r="G2757" i="2"/>
  <c r="F2757" i="2"/>
  <c r="E2757" i="2"/>
  <c r="D2757" i="2"/>
  <c r="H2756" i="2"/>
  <c r="G2756" i="2"/>
  <c r="F2756" i="2"/>
  <c r="E2756" i="2"/>
  <c r="D2756" i="2"/>
  <c r="H757" i="2"/>
  <c r="G757" i="2"/>
  <c r="F757" i="2"/>
  <c r="E757" i="2"/>
  <c r="D757" i="2"/>
  <c r="H880" i="2"/>
  <c r="G880" i="2"/>
  <c r="F880" i="2"/>
  <c r="E880" i="2"/>
  <c r="D880" i="2"/>
  <c r="H1545" i="2"/>
  <c r="G1545" i="2"/>
  <c r="F1545" i="2"/>
  <c r="E1545" i="2"/>
  <c r="D1545" i="2"/>
  <c r="H3191" i="2"/>
  <c r="G3191" i="2"/>
  <c r="F3191" i="2"/>
  <c r="E3191" i="2"/>
  <c r="D3191" i="2"/>
  <c r="H484" i="2"/>
  <c r="G484" i="2"/>
  <c r="F484" i="2"/>
  <c r="E484" i="2"/>
  <c r="D484" i="2"/>
  <c r="H483" i="2"/>
  <c r="G483" i="2"/>
  <c r="F483" i="2"/>
  <c r="E483" i="2"/>
  <c r="D483" i="2"/>
  <c r="H482" i="2"/>
  <c r="G482" i="2"/>
  <c r="F482" i="2"/>
  <c r="E482" i="2"/>
  <c r="D482" i="2"/>
  <c r="H481" i="2"/>
  <c r="G481" i="2"/>
  <c r="F481" i="2"/>
  <c r="E481" i="2"/>
  <c r="D481" i="2"/>
  <c r="H480" i="2"/>
  <c r="G480" i="2"/>
  <c r="F480" i="2"/>
  <c r="E480" i="2"/>
  <c r="D480" i="2"/>
  <c r="H606" i="2"/>
  <c r="G606" i="2"/>
  <c r="F606" i="2"/>
  <c r="E606" i="2"/>
  <c r="D606" i="2"/>
  <c r="H2857" i="2"/>
  <c r="G2857" i="2"/>
  <c r="F2857" i="2"/>
  <c r="E2857" i="2"/>
  <c r="D2857" i="2"/>
  <c r="H279" i="2"/>
  <c r="G279" i="2"/>
  <c r="F279" i="2"/>
  <c r="E279" i="2"/>
  <c r="D279" i="2"/>
  <c r="H3224" i="2"/>
  <c r="G3224" i="2"/>
  <c r="F3224" i="2"/>
  <c r="E3224" i="2"/>
  <c r="D3224" i="2"/>
  <c r="H884" i="2"/>
  <c r="G884" i="2"/>
  <c r="F884" i="2"/>
  <c r="E884" i="2"/>
  <c r="D884" i="2"/>
  <c r="H883" i="2"/>
  <c r="G883" i="2"/>
  <c r="F883" i="2"/>
  <c r="E883" i="2"/>
  <c r="D883" i="2"/>
  <c r="H882" i="2"/>
  <c r="G882" i="2"/>
  <c r="F882" i="2"/>
  <c r="E882" i="2"/>
  <c r="D882" i="2"/>
  <c r="H881" i="2"/>
  <c r="G881" i="2"/>
  <c r="F881" i="2"/>
  <c r="E881" i="2"/>
  <c r="D881" i="2"/>
  <c r="H3002" i="2"/>
  <c r="G3002" i="2"/>
  <c r="F3002" i="2"/>
  <c r="E3002" i="2"/>
  <c r="D3002" i="2"/>
  <c r="H3001" i="2"/>
  <c r="G3001" i="2"/>
  <c r="F3001" i="2"/>
  <c r="E3001" i="2"/>
  <c r="D3001" i="2"/>
  <c r="H3000" i="2"/>
  <c r="G3000" i="2"/>
  <c r="F3000" i="2"/>
  <c r="E3000" i="2"/>
  <c r="D3000" i="2"/>
  <c r="H2999" i="2"/>
  <c r="G2999" i="2"/>
  <c r="F2999" i="2"/>
  <c r="E2999" i="2"/>
  <c r="D2999" i="2"/>
  <c r="H2998" i="2"/>
  <c r="G2998" i="2"/>
  <c r="F2998" i="2"/>
  <c r="E2998" i="2"/>
  <c r="D2998" i="2"/>
  <c r="H954" i="2"/>
  <c r="G954" i="2"/>
  <c r="F954" i="2"/>
  <c r="E954" i="2"/>
  <c r="D954" i="2"/>
  <c r="H953" i="2"/>
  <c r="G953" i="2"/>
  <c r="F953" i="2"/>
  <c r="E953" i="2"/>
  <c r="D953" i="2"/>
  <c r="H952" i="2"/>
  <c r="G952" i="2"/>
  <c r="F952" i="2"/>
  <c r="E952" i="2"/>
  <c r="D952" i="2"/>
  <c r="H951" i="2"/>
  <c r="G951" i="2"/>
  <c r="F951" i="2"/>
  <c r="E951" i="2"/>
  <c r="D951" i="2"/>
  <c r="H950" i="2"/>
  <c r="G950" i="2"/>
  <c r="F950" i="2"/>
  <c r="E950" i="2"/>
  <c r="D950" i="2"/>
  <c r="H949" i="2"/>
  <c r="G949" i="2"/>
  <c r="F949" i="2"/>
  <c r="E949" i="2"/>
  <c r="D949" i="2"/>
  <c r="H948" i="2"/>
  <c r="G948" i="2"/>
  <c r="F948" i="2"/>
  <c r="E948" i="2"/>
  <c r="D948" i="2"/>
  <c r="H3676" i="2"/>
  <c r="G3676" i="2"/>
  <c r="F3676" i="2"/>
  <c r="E3676" i="2"/>
  <c r="D3676" i="2"/>
  <c r="H3675" i="2"/>
  <c r="G3675" i="2"/>
  <c r="F3675" i="2"/>
  <c r="E3675" i="2"/>
  <c r="D3675" i="2"/>
  <c r="H526" i="2"/>
  <c r="G526" i="2"/>
  <c r="F526" i="2"/>
  <c r="E526" i="2"/>
  <c r="D526" i="2"/>
  <c r="H525" i="2"/>
  <c r="G525" i="2"/>
  <c r="F525" i="2"/>
  <c r="E525" i="2"/>
  <c r="D525" i="2"/>
  <c r="H3642" i="2"/>
  <c r="G3642" i="2"/>
  <c r="F3642" i="2"/>
  <c r="E3642" i="2"/>
  <c r="D3642" i="2"/>
  <c r="H1614" i="2"/>
  <c r="G1614" i="2"/>
  <c r="F1614" i="2"/>
  <c r="E1614" i="2"/>
  <c r="D1614" i="2"/>
  <c r="H3458" i="2"/>
  <c r="G3458" i="2"/>
  <c r="F3458" i="2"/>
  <c r="E3458" i="2"/>
  <c r="D3458" i="2"/>
  <c r="H3457" i="2"/>
  <c r="G3457" i="2"/>
  <c r="F3457" i="2"/>
  <c r="E3457" i="2"/>
  <c r="D3457" i="2"/>
  <c r="H3456" i="2"/>
  <c r="G3456" i="2"/>
  <c r="F3456" i="2"/>
  <c r="E3456" i="2"/>
  <c r="D3456" i="2"/>
  <c r="H3455" i="2"/>
  <c r="G3455" i="2"/>
  <c r="F3455" i="2"/>
  <c r="E3455" i="2"/>
  <c r="D3455" i="2"/>
  <c r="H3507" i="2"/>
  <c r="G3507" i="2"/>
  <c r="F3507" i="2"/>
  <c r="E3507" i="2"/>
  <c r="D3507" i="2"/>
  <c r="H2479" i="2"/>
  <c r="G2479" i="2"/>
  <c r="F2479" i="2"/>
  <c r="E2479" i="2"/>
  <c r="D2479" i="2"/>
  <c r="H3483" i="2"/>
  <c r="G3483" i="2"/>
  <c r="F3483" i="2"/>
  <c r="E3483" i="2"/>
  <c r="D3483" i="2"/>
  <c r="H3482" i="2"/>
  <c r="G3482" i="2"/>
  <c r="F3482" i="2"/>
  <c r="E3482" i="2"/>
  <c r="D3482" i="2"/>
  <c r="H3481" i="2"/>
  <c r="G3481" i="2"/>
  <c r="F3481" i="2"/>
  <c r="E3481" i="2"/>
  <c r="D3481" i="2"/>
  <c r="H2701" i="2"/>
  <c r="G2701" i="2"/>
  <c r="F2701" i="2"/>
  <c r="E2701" i="2"/>
  <c r="D2701" i="2"/>
  <c r="H2700" i="2"/>
  <c r="G2700" i="2"/>
  <c r="F2700" i="2"/>
  <c r="E2700" i="2"/>
  <c r="D2700" i="2"/>
  <c r="H2699" i="2"/>
  <c r="G2699" i="2"/>
  <c r="F2699" i="2"/>
  <c r="E2699" i="2"/>
  <c r="D2699" i="2"/>
  <c r="H2698" i="2"/>
  <c r="G2698" i="2"/>
  <c r="F2698" i="2"/>
  <c r="E2698" i="2"/>
  <c r="D2698" i="2"/>
  <c r="H2448" i="2"/>
  <c r="G2448" i="2"/>
  <c r="F2448" i="2"/>
  <c r="E2448" i="2"/>
  <c r="D2448" i="2"/>
  <c r="H1831" i="2"/>
  <c r="G1831" i="2"/>
  <c r="F1831" i="2"/>
  <c r="E1831" i="2"/>
  <c r="D1831" i="2"/>
  <c r="H1830" i="2"/>
  <c r="G1830" i="2"/>
  <c r="F1830" i="2"/>
  <c r="E1830" i="2"/>
  <c r="D1830" i="2"/>
  <c r="H1224" i="2"/>
  <c r="G1224" i="2"/>
  <c r="F1224" i="2"/>
  <c r="E1224" i="2"/>
  <c r="D1224" i="2"/>
  <c r="H3542" i="2"/>
  <c r="G3542" i="2"/>
  <c r="F3542" i="2"/>
  <c r="E3542" i="2"/>
  <c r="D3542" i="2"/>
  <c r="H3541" i="2"/>
  <c r="G3541" i="2"/>
  <c r="F3541" i="2"/>
  <c r="E3541" i="2"/>
  <c r="D3541" i="2"/>
  <c r="H3540" i="2"/>
  <c r="G3540" i="2"/>
  <c r="F3540" i="2"/>
  <c r="E3540" i="2"/>
  <c r="D3540" i="2"/>
  <c r="H3658" i="2"/>
  <c r="G3658" i="2"/>
  <c r="F3658" i="2"/>
  <c r="E3658" i="2"/>
  <c r="D3658" i="2"/>
  <c r="H3657" i="2"/>
  <c r="G3657" i="2"/>
  <c r="F3657" i="2"/>
  <c r="E3657" i="2"/>
  <c r="D3657" i="2"/>
  <c r="H3656" i="2"/>
  <c r="G3656" i="2"/>
  <c r="F3656" i="2"/>
  <c r="E3656" i="2"/>
  <c r="D3656" i="2"/>
  <c r="H3655" i="2"/>
  <c r="G3655" i="2"/>
  <c r="F3655" i="2"/>
  <c r="E3655" i="2"/>
  <c r="D3655" i="2"/>
  <c r="H2447" i="2"/>
  <c r="G2447" i="2"/>
  <c r="F2447" i="2"/>
  <c r="E2447" i="2"/>
  <c r="D2447" i="2"/>
  <c r="H2446" i="2"/>
  <c r="G2446" i="2"/>
  <c r="F2446" i="2"/>
  <c r="E2446" i="2"/>
  <c r="D2446" i="2"/>
  <c r="H1113" i="2"/>
  <c r="G1113" i="2"/>
  <c r="F1113" i="2"/>
  <c r="E1113" i="2"/>
  <c r="D1113" i="2"/>
  <c r="H1112" i="2"/>
  <c r="G1112" i="2"/>
  <c r="F1112" i="2"/>
  <c r="E1112" i="2"/>
  <c r="D1112" i="2"/>
  <c r="H1771" i="2"/>
  <c r="G1771" i="2"/>
  <c r="F1771" i="2"/>
  <c r="E1771" i="2"/>
  <c r="D1771" i="2"/>
  <c r="H1770" i="2"/>
  <c r="G1770" i="2"/>
  <c r="F1770" i="2"/>
  <c r="E1770" i="2"/>
  <c r="D1770" i="2"/>
  <c r="H1769" i="2"/>
  <c r="G1769" i="2"/>
  <c r="F1769" i="2"/>
  <c r="E1769" i="2"/>
  <c r="D1769" i="2"/>
  <c r="H1768" i="2"/>
  <c r="G1768" i="2"/>
  <c r="F1768" i="2"/>
  <c r="E1768" i="2"/>
  <c r="D1768" i="2"/>
  <c r="H3306" i="2"/>
  <c r="G3306" i="2"/>
  <c r="F3306" i="2"/>
  <c r="E3306" i="2"/>
  <c r="D3306" i="2"/>
  <c r="H3305" i="2"/>
  <c r="G3305" i="2"/>
  <c r="F3305" i="2"/>
  <c r="E3305" i="2"/>
  <c r="D3305" i="2"/>
  <c r="H3304" i="2"/>
  <c r="G3304" i="2"/>
  <c r="F3304" i="2"/>
  <c r="E3304" i="2"/>
  <c r="D3304" i="2"/>
  <c r="H3303" i="2"/>
  <c r="G3303" i="2"/>
  <c r="F3303" i="2"/>
  <c r="E3303" i="2"/>
  <c r="D3303" i="2"/>
  <c r="H1163" i="2"/>
  <c r="G1163" i="2"/>
  <c r="F1163" i="2"/>
  <c r="E1163" i="2"/>
  <c r="D1163" i="2"/>
  <c r="H1447" i="2"/>
  <c r="G1447" i="2"/>
  <c r="F1447" i="2"/>
  <c r="E1447" i="2"/>
  <c r="D1447" i="2"/>
  <c r="H1446" i="2"/>
  <c r="G1446" i="2"/>
  <c r="F1446" i="2"/>
  <c r="E1446" i="2"/>
  <c r="D1446" i="2"/>
  <c r="H1445" i="2"/>
  <c r="G1445" i="2"/>
  <c r="F1445" i="2"/>
  <c r="E1445" i="2"/>
  <c r="D1445" i="2"/>
  <c r="H1444" i="2"/>
  <c r="G1444" i="2"/>
  <c r="F1444" i="2"/>
  <c r="E1444" i="2"/>
  <c r="D1444" i="2"/>
  <c r="H1443" i="2"/>
  <c r="G1443" i="2"/>
  <c r="F1443" i="2"/>
  <c r="E1443" i="2"/>
  <c r="D1443" i="2"/>
  <c r="H1442" i="2"/>
  <c r="G1442" i="2"/>
  <c r="F1442" i="2"/>
  <c r="E1442" i="2"/>
  <c r="D1442" i="2"/>
  <c r="H1441" i="2"/>
  <c r="G1441" i="2"/>
  <c r="F1441" i="2"/>
  <c r="E1441" i="2"/>
  <c r="D1441" i="2"/>
  <c r="H1440" i="2"/>
  <c r="G1440" i="2"/>
  <c r="F1440" i="2"/>
  <c r="E1440" i="2"/>
  <c r="D1440" i="2"/>
  <c r="H1439" i="2"/>
  <c r="G1439" i="2"/>
  <c r="F1439" i="2"/>
  <c r="E1439" i="2"/>
  <c r="D1439" i="2"/>
  <c r="H1438" i="2"/>
  <c r="G1438" i="2"/>
  <c r="F1438" i="2"/>
  <c r="E1438" i="2"/>
  <c r="D1438" i="2"/>
  <c r="H1105" i="2"/>
  <c r="G1105" i="2"/>
  <c r="F1105" i="2"/>
  <c r="E1105" i="2"/>
  <c r="D1105" i="2"/>
  <c r="H2439" i="2"/>
  <c r="G2439" i="2"/>
  <c r="F2439" i="2"/>
  <c r="E2439" i="2"/>
  <c r="D2439" i="2"/>
  <c r="H3543" i="2"/>
  <c r="G3543" i="2"/>
  <c r="F3543" i="2"/>
  <c r="E3543" i="2"/>
  <c r="D3543" i="2"/>
  <c r="H3431" i="2"/>
  <c r="G3431" i="2"/>
  <c r="F3431" i="2"/>
  <c r="E3431" i="2"/>
  <c r="D3431" i="2"/>
  <c r="H596" i="2"/>
  <c r="G596" i="2"/>
  <c r="F596" i="2"/>
  <c r="E596" i="2"/>
  <c r="D596" i="2"/>
  <c r="H1358" i="2"/>
  <c r="G1358" i="2"/>
  <c r="F1358" i="2"/>
  <c r="E1358" i="2"/>
  <c r="D1358" i="2"/>
  <c r="H1357" i="2"/>
  <c r="G1357" i="2"/>
  <c r="F1357" i="2"/>
  <c r="E1357" i="2"/>
  <c r="D1357" i="2"/>
  <c r="H1356" i="2"/>
  <c r="G1356" i="2"/>
  <c r="F1356" i="2"/>
  <c r="E1356" i="2"/>
  <c r="D1356" i="2"/>
  <c r="H3302" i="2"/>
  <c r="G3302" i="2"/>
  <c r="F3302" i="2"/>
  <c r="E3302" i="2"/>
  <c r="D3302" i="2"/>
  <c r="H603" i="2"/>
  <c r="G603" i="2"/>
  <c r="F603" i="2"/>
  <c r="E603" i="2"/>
  <c r="D603" i="2"/>
  <c r="H3647" i="2"/>
  <c r="G3647" i="2"/>
  <c r="F3647" i="2"/>
  <c r="E3647" i="2"/>
  <c r="D3647" i="2"/>
  <c r="H3646" i="2"/>
  <c r="G3646" i="2"/>
  <c r="F3646" i="2"/>
  <c r="E3646" i="2"/>
  <c r="D3646" i="2"/>
  <c r="H3645" i="2"/>
  <c r="G3645" i="2"/>
  <c r="F3645" i="2"/>
  <c r="E3645" i="2"/>
  <c r="D3645" i="2"/>
  <c r="H3644" i="2"/>
  <c r="G3644" i="2"/>
  <c r="F3644" i="2"/>
  <c r="E3644" i="2"/>
  <c r="D3644" i="2"/>
  <c r="H785" i="2"/>
  <c r="G785" i="2"/>
  <c r="F785" i="2"/>
  <c r="E785" i="2"/>
  <c r="D785" i="2"/>
  <c r="H2921" i="2"/>
  <c r="G2921" i="2"/>
  <c r="F2921" i="2"/>
  <c r="E2921" i="2"/>
  <c r="D2921" i="2"/>
  <c r="H2920" i="2"/>
  <c r="G2920" i="2"/>
  <c r="F2920" i="2"/>
  <c r="E2920" i="2"/>
  <c r="D2920" i="2"/>
  <c r="H1179" i="2"/>
  <c r="G1179" i="2"/>
  <c r="F1179" i="2"/>
  <c r="E1179" i="2"/>
  <c r="D1179" i="2"/>
  <c r="H3480" i="2"/>
  <c r="G3480" i="2"/>
  <c r="F3480" i="2"/>
  <c r="E3480" i="2"/>
  <c r="D3480" i="2"/>
  <c r="H605" i="2"/>
  <c r="G605" i="2"/>
  <c r="F605" i="2"/>
  <c r="E605" i="2"/>
  <c r="D605" i="2"/>
  <c r="H528" i="2"/>
  <c r="G528" i="2"/>
  <c r="F528" i="2"/>
  <c r="E528" i="2"/>
  <c r="D528" i="2"/>
  <c r="H527" i="2"/>
  <c r="G527" i="2"/>
  <c r="F527" i="2"/>
  <c r="E527" i="2"/>
  <c r="D527" i="2"/>
  <c r="H2438" i="2"/>
  <c r="G2438" i="2"/>
  <c r="F2438" i="2"/>
  <c r="E2438" i="2"/>
  <c r="D2438" i="2"/>
  <c r="H386" i="2"/>
  <c r="G386" i="2"/>
  <c r="F386" i="2"/>
  <c r="E386" i="2"/>
  <c r="D386" i="2"/>
  <c r="H1066" i="2"/>
  <c r="G1066" i="2"/>
  <c r="F1066" i="2"/>
  <c r="E1066" i="2"/>
  <c r="D1066" i="2"/>
  <c r="H1065" i="2"/>
  <c r="G1065" i="2"/>
  <c r="F1065" i="2"/>
  <c r="E1065" i="2"/>
  <c r="D1065" i="2"/>
  <c r="H3463" i="2"/>
  <c r="G3463" i="2"/>
  <c r="F3463" i="2"/>
  <c r="E3463" i="2"/>
  <c r="D3463" i="2"/>
  <c r="H3462" i="2"/>
  <c r="G3462" i="2"/>
  <c r="F3462" i="2"/>
  <c r="E3462" i="2"/>
  <c r="D3462" i="2"/>
  <c r="H1779" i="2"/>
  <c r="G1779" i="2"/>
  <c r="F1779" i="2"/>
  <c r="E1779" i="2"/>
  <c r="D1779" i="2"/>
  <c r="H1778" i="2"/>
  <c r="G1778" i="2"/>
  <c r="F1778" i="2"/>
  <c r="E1778" i="2"/>
  <c r="D1778" i="2"/>
  <c r="H338" i="2"/>
  <c r="G338" i="2"/>
  <c r="F338" i="2"/>
  <c r="E338" i="2"/>
  <c r="D338" i="2"/>
  <c r="H337" i="2"/>
  <c r="G337" i="2"/>
  <c r="F337" i="2"/>
  <c r="E337" i="2"/>
  <c r="D337" i="2"/>
  <c r="H336" i="2"/>
  <c r="G336" i="2"/>
  <c r="F336" i="2"/>
  <c r="E336" i="2"/>
  <c r="D336" i="2"/>
  <c r="H335" i="2"/>
  <c r="G335" i="2"/>
  <c r="F335" i="2"/>
  <c r="E335" i="2"/>
  <c r="D335" i="2"/>
  <c r="H3395" i="2"/>
  <c r="G3395" i="2"/>
  <c r="F3395" i="2"/>
  <c r="E3395" i="2"/>
  <c r="D3395" i="2"/>
  <c r="H3394" i="2"/>
  <c r="G3394" i="2"/>
  <c r="F3394" i="2"/>
  <c r="E3394" i="2"/>
  <c r="D3394" i="2"/>
  <c r="H1430" i="2"/>
  <c r="G1430" i="2"/>
  <c r="F1430" i="2"/>
  <c r="E1430" i="2"/>
  <c r="D1430" i="2"/>
  <c r="H1429" i="2"/>
  <c r="G1429" i="2"/>
  <c r="F1429" i="2"/>
  <c r="E1429" i="2"/>
  <c r="D1429" i="2"/>
  <c r="H1428" i="2"/>
  <c r="G1428" i="2"/>
  <c r="F1428" i="2"/>
  <c r="E1428" i="2"/>
  <c r="D1428" i="2"/>
  <c r="H1427" i="2"/>
  <c r="G1427" i="2"/>
  <c r="F1427" i="2"/>
  <c r="E1427" i="2"/>
  <c r="D1427" i="2"/>
  <c r="H1426" i="2"/>
  <c r="G1426" i="2"/>
  <c r="F1426" i="2"/>
  <c r="E1426" i="2"/>
  <c r="D1426" i="2"/>
  <c r="H3346" i="2"/>
  <c r="G3346" i="2"/>
  <c r="F3346" i="2"/>
  <c r="E3346" i="2"/>
  <c r="D3346" i="2"/>
  <c r="H3345" i="2"/>
  <c r="G3345" i="2"/>
  <c r="F3345" i="2"/>
  <c r="E3345" i="2"/>
  <c r="D3345" i="2"/>
  <c r="H1437" i="2"/>
  <c r="G1437" i="2"/>
  <c r="F1437" i="2"/>
  <c r="E1437" i="2"/>
  <c r="D1437" i="2"/>
  <c r="H414" i="2"/>
  <c r="G414" i="2"/>
  <c r="F414" i="2"/>
  <c r="E414" i="2"/>
  <c r="D414" i="2"/>
  <c r="H413" i="2"/>
  <c r="G413" i="2"/>
  <c r="F413" i="2"/>
  <c r="E413" i="2"/>
  <c r="D413" i="2"/>
  <c r="H412" i="2"/>
  <c r="G412" i="2"/>
  <c r="F412" i="2"/>
  <c r="E412" i="2"/>
  <c r="D412" i="2"/>
  <c r="H411" i="2"/>
  <c r="G411" i="2"/>
  <c r="F411" i="2"/>
  <c r="E411" i="2"/>
  <c r="D411" i="2"/>
  <c r="H2703" i="2"/>
  <c r="G2703" i="2"/>
  <c r="F2703" i="2"/>
  <c r="E2703" i="2"/>
  <c r="D2703" i="2"/>
  <c r="H2702" i="2"/>
  <c r="G2702" i="2"/>
  <c r="F2702" i="2"/>
  <c r="E2702" i="2"/>
  <c r="D2702" i="2"/>
  <c r="H2443" i="2"/>
  <c r="G2443" i="2"/>
  <c r="F2443" i="2"/>
  <c r="E2443" i="2"/>
  <c r="D2443" i="2"/>
  <c r="H2442" i="2"/>
  <c r="G2442" i="2"/>
  <c r="F2442" i="2"/>
  <c r="E2442" i="2"/>
  <c r="D2442" i="2"/>
  <c r="H2441" i="2"/>
  <c r="G2441" i="2"/>
  <c r="F2441" i="2"/>
  <c r="E2441" i="2"/>
  <c r="D2441" i="2"/>
  <c r="H2440" i="2"/>
  <c r="G2440" i="2"/>
  <c r="F2440" i="2"/>
  <c r="E2440" i="2"/>
  <c r="D2440" i="2"/>
  <c r="H1673" i="2"/>
  <c r="G1673" i="2"/>
  <c r="F1673" i="2"/>
  <c r="E1673" i="2"/>
  <c r="D1673" i="2"/>
  <c r="H1672" i="2"/>
  <c r="G1672" i="2"/>
  <c r="F1672" i="2"/>
  <c r="E1672" i="2"/>
  <c r="D1672" i="2"/>
  <c r="H1671" i="2"/>
  <c r="G1671" i="2"/>
  <c r="F1671" i="2"/>
  <c r="E1671" i="2"/>
  <c r="D1671" i="2"/>
  <c r="H1670" i="2"/>
  <c r="G1670" i="2"/>
  <c r="F1670" i="2"/>
  <c r="E1670" i="2"/>
  <c r="D1670" i="2"/>
  <c r="H562" i="2"/>
  <c r="G562" i="2"/>
  <c r="F562" i="2"/>
  <c r="E562" i="2"/>
  <c r="D562" i="2"/>
  <c r="H561" i="2"/>
  <c r="G561" i="2"/>
  <c r="F561" i="2"/>
  <c r="E561" i="2"/>
  <c r="D561" i="2"/>
  <c r="H560" i="2"/>
  <c r="G560" i="2"/>
  <c r="F560" i="2"/>
  <c r="E560" i="2"/>
  <c r="D560" i="2"/>
  <c r="H559" i="2"/>
  <c r="G559" i="2"/>
  <c r="F559" i="2"/>
  <c r="E559" i="2"/>
  <c r="D559" i="2"/>
  <c r="H558" i="2"/>
  <c r="G558" i="2"/>
  <c r="F558" i="2"/>
  <c r="E558" i="2"/>
  <c r="D558" i="2"/>
  <c r="H3121" i="2"/>
  <c r="G3121" i="2"/>
  <c r="F3121" i="2"/>
  <c r="E3121" i="2"/>
  <c r="D3121" i="2"/>
  <c r="H3120" i="2"/>
  <c r="G3120" i="2"/>
  <c r="F3120" i="2"/>
  <c r="E3120" i="2"/>
  <c r="D3120" i="2"/>
  <c r="H3119" i="2"/>
  <c r="G3119" i="2"/>
  <c r="F3119" i="2"/>
  <c r="E3119" i="2"/>
  <c r="D3119" i="2"/>
  <c r="H3118" i="2"/>
  <c r="G3118" i="2"/>
  <c r="F3118" i="2"/>
  <c r="E3118" i="2"/>
  <c r="D3118" i="2"/>
  <c r="H3117" i="2"/>
  <c r="G3117" i="2"/>
  <c r="F3117" i="2"/>
  <c r="E3117" i="2"/>
  <c r="D3117" i="2"/>
  <c r="H1448" i="2"/>
  <c r="G1448" i="2"/>
  <c r="F1448" i="2"/>
  <c r="E1448" i="2"/>
  <c r="D1448" i="2"/>
  <c r="H3226" i="2"/>
  <c r="G3226" i="2"/>
  <c r="F3226" i="2"/>
  <c r="E3226" i="2"/>
  <c r="D3226" i="2"/>
  <c r="H3225" i="2"/>
  <c r="G3225" i="2"/>
  <c r="F3225" i="2"/>
  <c r="E3225" i="2"/>
  <c r="D3225" i="2"/>
  <c r="H1767" i="2"/>
  <c r="G1767" i="2"/>
  <c r="F1767" i="2"/>
  <c r="E1767" i="2"/>
  <c r="D1767" i="2"/>
  <c r="H1766" i="2"/>
  <c r="G1766" i="2"/>
  <c r="F1766" i="2"/>
  <c r="E1766" i="2"/>
  <c r="D1766" i="2"/>
  <c r="H1765" i="2"/>
  <c r="G1765" i="2"/>
  <c r="F1765" i="2"/>
  <c r="E1765" i="2"/>
  <c r="D1765" i="2"/>
  <c r="H1764" i="2"/>
  <c r="G1764" i="2"/>
  <c r="F1764" i="2"/>
  <c r="E1764" i="2"/>
  <c r="D1764" i="2"/>
  <c r="H3677" i="2"/>
  <c r="G3677" i="2"/>
  <c r="F3677" i="2"/>
  <c r="E3677" i="2"/>
  <c r="D3677" i="2"/>
  <c r="H3618" i="2"/>
  <c r="G3618" i="2"/>
  <c r="F3618" i="2"/>
  <c r="E3618" i="2"/>
  <c r="D3618" i="2"/>
  <c r="H3617" i="2"/>
  <c r="G3617" i="2"/>
  <c r="F3617" i="2"/>
  <c r="E3617" i="2"/>
  <c r="D3617" i="2"/>
  <c r="H3616" i="2"/>
  <c r="G3616" i="2"/>
  <c r="F3616" i="2"/>
  <c r="E3616" i="2"/>
  <c r="D3616" i="2"/>
  <c r="H3615" i="2"/>
  <c r="G3615" i="2"/>
  <c r="F3615" i="2"/>
  <c r="E3615" i="2"/>
  <c r="D3615" i="2"/>
  <c r="H3614" i="2"/>
  <c r="G3614" i="2"/>
  <c r="F3614" i="2"/>
  <c r="E3614" i="2"/>
  <c r="D3614" i="2"/>
  <c r="H732" i="2"/>
  <c r="G732" i="2"/>
  <c r="F732" i="2"/>
  <c r="E732" i="2"/>
  <c r="D732" i="2"/>
  <c r="H731" i="2"/>
  <c r="G731" i="2"/>
  <c r="F731" i="2"/>
  <c r="E731" i="2"/>
  <c r="D731" i="2"/>
  <c r="H1824" i="2"/>
  <c r="G1824" i="2"/>
  <c r="F1824" i="2"/>
  <c r="E1824" i="2"/>
  <c r="D1824" i="2"/>
  <c r="H3565" i="2"/>
  <c r="G3565" i="2"/>
  <c r="F3565" i="2"/>
  <c r="E3565" i="2"/>
  <c r="D3565" i="2"/>
  <c r="H3564" i="2"/>
  <c r="G3564" i="2"/>
  <c r="F3564" i="2"/>
  <c r="E3564" i="2"/>
  <c r="D3564" i="2"/>
  <c r="H3312" i="2"/>
  <c r="G3312" i="2"/>
  <c r="F3312" i="2"/>
  <c r="E3312" i="2"/>
  <c r="D3312" i="2"/>
  <c r="H2164" i="2"/>
  <c r="G2164" i="2"/>
  <c r="F2164" i="2"/>
  <c r="E2164" i="2"/>
  <c r="D2164" i="2"/>
  <c r="H842" i="2"/>
  <c r="G842" i="2"/>
  <c r="F842" i="2"/>
  <c r="E842" i="2"/>
  <c r="D842" i="2"/>
  <c r="H841" i="2"/>
  <c r="G841" i="2"/>
  <c r="F841" i="2"/>
  <c r="E841" i="2"/>
  <c r="D841" i="2"/>
  <c r="H840" i="2"/>
  <c r="G840" i="2"/>
  <c r="F840" i="2"/>
  <c r="E840" i="2"/>
  <c r="D840" i="2"/>
  <c r="H1354" i="2"/>
  <c r="G1354" i="2"/>
  <c r="F1354" i="2"/>
  <c r="E1354" i="2"/>
  <c r="D1354" i="2"/>
  <c r="H1353" i="2"/>
  <c r="G1353" i="2"/>
  <c r="F1353" i="2"/>
  <c r="E1353" i="2"/>
  <c r="D1353" i="2"/>
  <c r="H1816" i="2"/>
  <c r="G1816" i="2"/>
  <c r="F1816" i="2"/>
  <c r="E1816" i="2"/>
  <c r="D1816" i="2"/>
  <c r="H1055" i="2"/>
  <c r="G1055" i="2"/>
  <c r="F1055" i="2"/>
  <c r="E1055" i="2"/>
  <c r="D1055" i="2"/>
  <c r="H1054" i="2"/>
  <c r="G1054" i="2"/>
  <c r="F1054" i="2"/>
  <c r="E1054" i="2"/>
  <c r="D1054" i="2"/>
  <c r="H1053" i="2"/>
  <c r="G1053" i="2"/>
  <c r="F1053" i="2"/>
  <c r="E1053" i="2"/>
  <c r="D1053" i="2"/>
  <c r="H3641" i="2"/>
  <c r="G3641" i="2"/>
  <c r="F3641" i="2"/>
  <c r="E3641" i="2"/>
  <c r="D3641" i="2"/>
  <c r="H3640" i="2"/>
  <c r="G3640" i="2"/>
  <c r="F3640" i="2"/>
  <c r="E3640" i="2"/>
  <c r="D3640" i="2"/>
  <c r="H3639" i="2"/>
  <c r="G3639" i="2"/>
  <c r="F3639" i="2"/>
  <c r="E3639" i="2"/>
  <c r="D3639" i="2"/>
  <c r="H3638" i="2"/>
  <c r="G3638" i="2"/>
  <c r="F3638" i="2"/>
  <c r="E3638" i="2"/>
  <c r="D3638" i="2"/>
  <c r="H1796" i="2"/>
  <c r="G1796" i="2"/>
  <c r="F1796" i="2"/>
  <c r="E1796" i="2"/>
  <c r="D1796" i="2"/>
  <c r="H1795" i="2"/>
  <c r="G1795" i="2"/>
  <c r="F1795" i="2"/>
  <c r="E1795" i="2"/>
  <c r="D1795" i="2"/>
  <c r="H1794" i="2"/>
  <c r="G1794" i="2"/>
  <c r="F1794" i="2"/>
  <c r="E1794" i="2"/>
  <c r="D1794" i="2"/>
  <c r="H1102" i="2"/>
  <c r="G1102" i="2"/>
  <c r="F1102" i="2"/>
  <c r="E1102" i="2"/>
  <c r="D1102" i="2"/>
  <c r="H1101" i="2"/>
  <c r="G1101" i="2"/>
  <c r="F1101" i="2"/>
  <c r="E1101" i="2"/>
  <c r="D1101" i="2"/>
  <c r="H2273" i="2"/>
  <c r="G2273" i="2"/>
  <c r="F2273" i="2"/>
  <c r="E2273" i="2"/>
  <c r="D2273" i="2"/>
  <c r="H2918" i="2"/>
  <c r="G2918" i="2"/>
  <c r="F2918" i="2"/>
  <c r="E2918" i="2"/>
  <c r="D2918" i="2"/>
  <c r="H1892" i="2"/>
  <c r="G1892" i="2"/>
  <c r="F1892" i="2"/>
  <c r="E1892" i="2"/>
  <c r="D1892" i="2"/>
  <c r="H3790" i="2"/>
  <c r="G3790" i="2"/>
  <c r="F3790" i="2"/>
  <c r="E3790" i="2"/>
  <c r="D3790" i="2"/>
  <c r="H3789" i="2"/>
  <c r="G3789" i="2"/>
  <c r="F3789" i="2"/>
  <c r="E3789" i="2"/>
  <c r="D3789" i="2"/>
  <c r="H850" i="2"/>
  <c r="G850" i="2"/>
  <c r="F850" i="2"/>
  <c r="E850" i="2"/>
  <c r="D850" i="2"/>
  <c r="H849" i="2"/>
  <c r="G849" i="2"/>
  <c r="F849" i="2"/>
  <c r="E849" i="2"/>
  <c r="D849" i="2"/>
  <c r="H848" i="2"/>
  <c r="G848" i="2"/>
  <c r="F848" i="2"/>
  <c r="E848" i="2"/>
  <c r="D848" i="2"/>
  <c r="H847" i="2"/>
  <c r="G847" i="2"/>
  <c r="F847" i="2"/>
  <c r="E847" i="2"/>
  <c r="D847" i="2"/>
  <c r="H846" i="2"/>
  <c r="G846" i="2"/>
  <c r="F846" i="2"/>
  <c r="E846" i="2"/>
  <c r="D846" i="2"/>
  <c r="H845" i="2"/>
  <c r="G845" i="2"/>
  <c r="F845" i="2"/>
  <c r="E845" i="2"/>
  <c r="D845" i="2"/>
  <c r="H1868" i="2"/>
  <c r="G1868" i="2"/>
  <c r="F1868" i="2"/>
  <c r="E1868" i="2"/>
  <c r="D1868" i="2"/>
  <c r="H3550" i="2"/>
  <c r="G3550" i="2"/>
  <c r="F3550" i="2"/>
  <c r="E3550" i="2"/>
  <c r="D3550" i="2"/>
  <c r="H885" i="2"/>
  <c r="G885" i="2"/>
  <c r="F885" i="2"/>
  <c r="E885" i="2"/>
  <c r="D885" i="2"/>
  <c r="H2487" i="2"/>
  <c r="G2487" i="2"/>
  <c r="F2487" i="2"/>
  <c r="E2487" i="2"/>
  <c r="D2487" i="2"/>
  <c r="H1161" i="2"/>
  <c r="G1161" i="2"/>
  <c r="F1161" i="2"/>
  <c r="E1161" i="2"/>
  <c r="D1161" i="2"/>
  <c r="H1160" i="2"/>
  <c r="G1160" i="2"/>
  <c r="F1160" i="2"/>
  <c r="E1160" i="2"/>
  <c r="D1160" i="2"/>
  <c r="H2774" i="2"/>
  <c r="G2774" i="2"/>
  <c r="F2774" i="2"/>
  <c r="E2774" i="2"/>
  <c r="D2774" i="2"/>
  <c r="H2533" i="2"/>
  <c r="G2533" i="2"/>
  <c r="F2533" i="2"/>
  <c r="E2533" i="2"/>
  <c r="D2533" i="2"/>
  <c r="H2179" i="2"/>
  <c r="G2179" i="2"/>
  <c r="F2179" i="2"/>
  <c r="E2179" i="2"/>
  <c r="D2179" i="2"/>
  <c r="H2178" i="2"/>
  <c r="G2178" i="2"/>
  <c r="F2178" i="2"/>
  <c r="E2178" i="2"/>
  <c r="D2178" i="2"/>
  <c r="H2177" i="2"/>
  <c r="G2177" i="2"/>
  <c r="F2177" i="2"/>
  <c r="E2177" i="2"/>
  <c r="D2177" i="2"/>
  <c r="H2176" i="2"/>
  <c r="G2176" i="2"/>
  <c r="F2176" i="2"/>
  <c r="E2176" i="2"/>
  <c r="D2176" i="2"/>
  <c r="H441" i="2"/>
  <c r="G441" i="2"/>
  <c r="F441" i="2"/>
  <c r="E441" i="2"/>
  <c r="D441" i="2"/>
  <c r="H900" i="2"/>
  <c r="G900" i="2"/>
  <c r="F900" i="2"/>
  <c r="E900" i="2"/>
  <c r="D900" i="2"/>
  <c r="H899" i="2"/>
  <c r="G899" i="2"/>
  <c r="F899" i="2"/>
  <c r="E899" i="2"/>
  <c r="D899" i="2"/>
  <c r="H1656" i="2"/>
  <c r="G1656" i="2"/>
  <c r="F1656" i="2"/>
  <c r="E1656" i="2"/>
  <c r="D1656" i="2"/>
  <c r="H2325" i="2"/>
  <c r="G2325" i="2"/>
  <c r="F2325" i="2"/>
  <c r="E2325" i="2"/>
  <c r="D2325" i="2"/>
  <c r="H2324" i="2"/>
  <c r="G2324" i="2"/>
  <c r="F2324" i="2"/>
  <c r="E2324" i="2"/>
  <c r="D2324" i="2"/>
  <c r="H1458" i="2"/>
  <c r="G1458" i="2"/>
  <c r="F1458" i="2"/>
  <c r="E1458" i="2"/>
  <c r="D1458" i="2"/>
  <c r="H2980" i="2"/>
  <c r="G2980" i="2"/>
  <c r="F2980" i="2"/>
  <c r="E2980" i="2"/>
  <c r="D2980" i="2"/>
  <c r="H2979" i="2"/>
  <c r="G2979" i="2"/>
  <c r="F2979" i="2"/>
  <c r="E2979" i="2"/>
  <c r="D2979" i="2"/>
  <c r="H1370" i="2"/>
  <c r="G1370" i="2"/>
  <c r="F1370" i="2"/>
  <c r="E1370" i="2"/>
  <c r="D1370" i="2"/>
  <c r="H1369" i="2"/>
  <c r="G1369" i="2"/>
  <c r="F1369" i="2"/>
  <c r="E1369" i="2"/>
  <c r="D1369" i="2"/>
  <c r="H1368" i="2"/>
  <c r="G1368" i="2"/>
  <c r="F1368" i="2"/>
  <c r="E1368" i="2"/>
  <c r="D1368" i="2"/>
  <c r="H3537" i="2"/>
  <c r="G3537" i="2"/>
  <c r="F3537" i="2"/>
  <c r="E3537" i="2"/>
  <c r="D3537" i="2"/>
  <c r="H1254" i="2"/>
  <c r="G1254" i="2"/>
  <c r="F1254" i="2"/>
  <c r="E1254" i="2"/>
  <c r="D1254" i="2"/>
  <c r="H3625" i="2"/>
  <c r="G3625" i="2"/>
  <c r="F3625" i="2"/>
  <c r="E3625" i="2"/>
  <c r="D3625" i="2"/>
  <c r="H3624" i="2"/>
  <c r="G3624" i="2"/>
  <c r="F3624" i="2"/>
  <c r="E3624" i="2"/>
  <c r="D3624" i="2"/>
  <c r="H2507" i="2"/>
  <c r="G2507" i="2"/>
  <c r="F2507" i="2"/>
  <c r="E2507" i="2"/>
  <c r="D2507" i="2"/>
  <c r="H1586" i="2"/>
  <c r="G1586" i="2"/>
  <c r="F1586" i="2"/>
  <c r="E1586" i="2"/>
  <c r="D1586" i="2"/>
  <c r="H1585" i="2"/>
  <c r="G1585" i="2"/>
  <c r="F1585" i="2"/>
  <c r="E1585" i="2"/>
  <c r="D1585" i="2"/>
  <c r="H1584" i="2"/>
  <c r="G1584" i="2"/>
  <c r="F1584" i="2"/>
  <c r="E1584" i="2"/>
  <c r="D1584" i="2"/>
  <c r="H1583" i="2"/>
  <c r="G1583" i="2"/>
  <c r="F1583" i="2"/>
  <c r="E1583" i="2"/>
  <c r="D1583" i="2"/>
  <c r="H965" i="2"/>
  <c r="G965" i="2"/>
  <c r="F965" i="2"/>
  <c r="E965" i="2"/>
  <c r="D965" i="2"/>
  <c r="H3236" i="2"/>
  <c r="G3236" i="2"/>
  <c r="F3236" i="2"/>
  <c r="E3236" i="2"/>
  <c r="D3236" i="2"/>
  <c r="H3235" i="2"/>
  <c r="G3235" i="2"/>
  <c r="F3235" i="2"/>
  <c r="E3235" i="2"/>
  <c r="D3235" i="2"/>
  <c r="H541" i="2"/>
  <c r="G541" i="2"/>
  <c r="F541" i="2"/>
  <c r="E541" i="2"/>
  <c r="D541" i="2"/>
  <c r="H1788" i="2"/>
  <c r="G1788" i="2"/>
  <c r="F1788" i="2"/>
  <c r="E1788" i="2"/>
  <c r="D1788" i="2"/>
  <c r="H1787" i="2"/>
  <c r="G1787" i="2"/>
  <c r="F1787" i="2"/>
  <c r="E1787" i="2"/>
  <c r="D1787" i="2"/>
  <c r="H1977" i="2"/>
  <c r="G1977" i="2"/>
  <c r="F1977" i="2"/>
  <c r="E1977" i="2"/>
  <c r="D1977" i="2"/>
  <c r="H1976" i="2"/>
  <c r="G1976" i="2"/>
  <c r="F1976" i="2"/>
  <c r="E1976" i="2"/>
  <c r="D1976" i="2"/>
  <c r="H1975" i="2"/>
  <c r="G1975" i="2"/>
  <c r="F1975" i="2"/>
  <c r="E1975" i="2"/>
  <c r="D1975" i="2"/>
  <c r="H1974" i="2"/>
  <c r="G1974" i="2"/>
  <c r="F1974" i="2"/>
  <c r="E1974" i="2"/>
  <c r="D1974" i="2"/>
  <c r="H1973" i="2"/>
  <c r="G1973" i="2"/>
  <c r="F1973" i="2"/>
  <c r="E1973" i="2"/>
  <c r="D1973" i="2"/>
  <c r="H1972" i="2"/>
  <c r="G1972" i="2"/>
  <c r="F1972" i="2"/>
  <c r="E1972" i="2"/>
  <c r="D1972" i="2"/>
  <c r="H1971" i="2"/>
  <c r="G1971" i="2"/>
  <c r="F1971" i="2"/>
  <c r="E1971" i="2"/>
  <c r="D1971" i="2"/>
  <c r="H1003" i="2"/>
  <c r="G1003" i="2"/>
  <c r="F1003" i="2"/>
  <c r="E1003" i="2"/>
  <c r="D1003" i="2"/>
  <c r="H1002" i="2"/>
  <c r="G1002" i="2"/>
  <c r="F1002" i="2"/>
  <c r="E1002" i="2"/>
  <c r="D1002" i="2"/>
  <c r="H1001" i="2"/>
  <c r="G1001" i="2"/>
  <c r="F1001" i="2"/>
  <c r="E1001" i="2"/>
  <c r="D1001" i="2"/>
  <c r="H1151" i="2"/>
  <c r="G1151" i="2"/>
  <c r="F1151" i="2"/>
  <c r="E1151" i="2"/>
  <c r="D1151" i="2"/>
  <c r="H3690" i="2"/>
  <c r="G3690" i="2"/>
  <c r="F3690" i="2"/>
  <c r="E3690" i="2"/>
  <c r="D3690" i="2"/>
  <c r="H3689" i="2"/>
  <c r="G3689" i="2"/>
  <c r="F3689" i="2"/>
  <c r="E3689" i="2"/>
  <c r="D3689" i="2"/>
  <c r="H3688" i="2"/>
  <c r="G3688" i="2"/>
  <c r="F3688" i="2"/>
  <c r="E3688" i="2"/>
  <c r="D3688" i="2"/>
  <c r="H3687" i="2"/>
  <c r="G3687" i="2"/>
  <c r="F3687" i="2"/>
  <c r="E3687" i="2"/>
  <c r="D3687" i="2"/>
  <c r="H3686" i="2"/>
  <c r="G3686" i="2"/>
  <c r="F3686" i="2"/>
  <c r="E3686" i="2"/>
  <c r="D3686" i="2"/>
  <c r="H3659" i="2"/>
  <c r="G3659" i="2"/>
  <c r="F3659" i="2"/>
  <c r="E3659" i="2"/>
  <c r="D3659" i="2"/>
  <c r="H592" i="2"/>
  <c r="G592" i="2"/>
  <c r="F592" i="2"/>
  <c r="E592" i="2"/>
  <c r="D592" i="2"/>
  <c r="H3674" i="2"/>
  <c r="G3674" i="2"/>
  <c r="F3674" i="2"/>
  <c r="E3674" i="2"/>
  <c r="D3674" i="2"/>
  <c r="H2853" i="2"/>
  <c r="G2853" i="2"/>
  <c r="F2853" i="2"/>
  <c r="E2853" i="2"/>
  <c r="D2853" i="2"/>
  <c r="H2852" i="2"/>
  <c r="G2852" i="2"/>
  <c r="F2852" i="2"/>
  <c r="E2852" i="2"/>
  <c r="D2852" i="2"/>
  <c r="H2707" i="2"/>
  <c r="G2707" i="2"/>
  <c r="F2707" i="2"/>
  <c r="E2707" i="2"/>
  <c r="D2707" i="2"/>
  <c r="H2706" i="2"/>
  <c r="G2706" i="2"/>
  <c r="F2706" i="2"/>
  <c r="E2706" i="2"/>
  <c r="D2706" i="2"/>
  <c r="H821" i="2"/>
  <c r="G821" i="2"/>
  <c r="F821" i="2"/>
  <c r="E821" i="2"/>
  <c r="D821" i="2"/>
  <c r="H1540" i="2"/>
  <c r="G1540" i="2"/>
  <c r="F1540" i="2"/>
  <c r="E1540" i="2"/>
  <c r="D1540" i="2"/>
  <c r="H3885" i="2"/>
  <c r="G3885" i="2"/>
  <c r="F3885" i="2"/>
  <c r="E3885" i="2"/>
  <c r="D3885" i="2"/>
  <c r="H919" i="2"/>
  <c r="G919" i="2"/>
  <c r="F919" i="2"/>
  <c r="E919" i="2"/>
  <c r="D919" i="2"/>
  <c r="H797" i="2"/>
  <c r="G797" i="2"/>
  <c r="F797" i="2"/>
  <c r="E797" i="2"/>
  <c r="D797" i="2"/>
  <c r="H1992" i="2"/>
  <c r="G1992" i="2"/>
  <c r="F1992" i="2"/>
  <c r="E1992" i="2"/>
  <c r="D1992" i="2"/>
  <c r="H1991" i="2"/>
  <c r="G1991" i="2"/>
  <c r="F1991" i="2"/>
  <c r="E1991" i="2"/>
  <c r="D1991" i="2"/>
  <c r="H1990" i="2"/>
  <c r="G1990" i="2"/>
  <c r="F1990" i="2"/>
  <c r="E1990" i="2"/>
  <c r="D1990" i="2"/>
  <c r="H1073" i="2"/>
  <c r="G1073" i="2"/>
  <c r="F1073" i="2"/>
  <c r="E1073" i="2"/>
  <c r="D1073" i="2"/>
  <c r="H535" i="2"/>
  <c r="G535" i="2"/>
  <c r="F535" i="2"/>
  <c r="E535" i="2"/>
  <c r="D535" i="2"/>
  <c r="H3154" i="2"/>
  <c r="G3154" i="2"/>
  <c r="F3154" i="2"/>
  <c r="E3154" i="2"/>
  <c r="D3154" i="2"/>
  <c r="H3153" i="2"/>
  <c r="G3153" i="2"/>
  <c r="F3153" i="2"/>
  <c r="E3153" i="2"/>
  <c r="D3153" i="2"/>
  <c r="H2516" i="2"/>
  <c r="G2516" i="2"/>
  <c r="F2516" i="2"/>
  <c r="E2516" i="2"/>
  <c r="D2516" i="2"/>
  <c r="H2515" i="2"/>
  <c r="G2515" i="2"/>
  <c r="F2515" i="2"/>
  <c r="E2515" i="2"/>
  <c r="D2515" i="2"/>
  <c r="H1081" i="2"/>
  <c r="G1081" i="2"/>
  <c r="F1081" i="2"/>
  <c r="E1081" i="2"/>
  <c r="D1081" i="2"/>
  <c r="H1080" i="2"/>
  <c r="G1080" i="2"/>
  <c r="F1080" i="2"/>
  <c r="E1080" i="2"/>
  <c r="D1080" i="2"/>
  <c r="H2934" i="2"/>
  <c r="G2934" i="2"/>
  <c r="F2934" i="2"/>
  <c r="E2934" i="2"/>
  <c r="D2934" i="2"/>
  <c r="H2933" i="2"/>
  <c r="G2933" i="2"/>
  <c r="F2933" i="2"/>
  <c r="E2933" i="2"/>
  <c r="D2933" i="2"/>
  <c r="H162" i="2"/>
  <c r="G162" i="2"/>
  <c r="F162" i="2"/>
  <c r="E162" i="2"/>
  <c r="D162" i="2"/>
  <c r="H161" i="2"/>
  <c r="G161" i="2"/>
  <c r="F161" i="2"/>
  <c r="E161" i="2"/>
  <c r="D161" i="2"/>
  <c r="H2483" i="2"/>
  <c r="G2483" i="2"/>
  <c r="F2483" i="2"/>
  <c r="E2483" i="2"/>
  <c r="D2483" i="2"/>
  <c r="H168" i="2"/>
  <c r="G168" i="2"/>
  <c r="F168" i="2"/>
  <c r="E168" i="2"/>
  <c r="D168" i="2"/>
  <c r="H167" i="2"/>
  <c r="G167" i="2"/>
  <c r="F167" i="2"/>
  <c r="E167" i="2"/>
  <c r="D167" i="2"/>
  <c r="H2270" i="2"/>
  <c r="G2270" i="2"/>
  <c r="F2270" i="2"/>
  <c r="E2270" i="2"/>
  <c r="D2270" i="2"/>
  <c r="H2269" i="2"/>
  <c r="G2269" i="2"/>
  <c r="F2269" i="2"/>
  <c r="E2269" i="2"/>
  <c r="D2269" i="2"/>
  <c r="H2268" i="2"/>
  <c r="G2268" i="2"/>
  <c r="F2268" i="2"/>
  <c r="E2268" i="2"/>
  <c r="D2268" i="2"/>
  <c r="H3124" i="2"/>
  <c r="G3124" i="2"/>
  <c r="F3124" i="2"/>
  <c r="E3124" i="2"/>
  <c r="D3124" i="2"/>
  <c r="H2563" i="2"/>
  <c r="G2563" i="2"/>
  <c r="F2563" i="2"/>
  <c r="E2563" i="2"/>
  <c r="D2563" i="2"/>
  <c r="H3838" i="2"/>
  <c r="G3838" i="2"/>
  <c r="F3838" i="2"/>
  <c r="E3838" i="2"/>
  <c r="D3838" i="2"/>
  <c r="H2484" i="2"/>
  <c r="G2484" i="2"/>
  <c r="F2484" i="2"/>
  <c r="E2484" i="2"/>
  <c r="D2484" i="2"/>
  <c r="H751" i="2"/>
  <c r="G751" i="2"/>
  <c r="F751" i="2"/>
  <c r="E751" i="2"/>
  <c r="D751" i="2"/>
  <c r="H887" i="2"/>
  <c r="G887" i="2"/>
  <c r="F887" i="2"/>
  <c r="E887" i="2"/>
  <c r="D887" i="2"/>
  <c r="H231" i="2"/>
  <c r="G231" i="2"/>
  <c r="F231" i="2"/>
  <c r="E231" i="2"/>
  <c r="D231" i="2"/>
  <c r="H1253" i="2"/>
  <c r="G1253" i="2"/>
  <c r="F1253" i="2"/>
  <c r="E1253" i="2"/>
  <c r="D1253" i="2"/>
  <c r="H907" i="2"/>
  <c r="G907" i="2"/>
  <c r="F907" i="2"/>
  <c r="E907" i="2"/>
  <c r="D907" i="2"/>
  <c r="H906" i="2"/>
  <c r="G906" i="2"/>
  <c r="F906" i="2"/>
  <c r="E906" i="2"/>
  <c r="D906" i="2"/>
  <c r="H1551" i="2"/>
  <c r="G1551" i="2"/>
  <c r="F1551" i="2"/>
  <c r="E1551" i="2"/>
  <c r="D1551" i="2"/>
  <c r="H3180" i="2"/>
  <c r="G3180" i="2"/>
  <c r="F3180" i="2"/>
  <c r="E3180" i="2"/>
  <c r="D3180" i="2"/>
  <c r="H3179" i="2"/>
  <c r="G3179" i="2"/>
  <c r="F3179" i="2"/>
  <c r="E3179" i="2"/>
  <c r="D3179" i="2"/>
  <c r="H3178" i="2"/>
  <c r="G3178" i="2"/>
  <c r="F3178" i="2"/>
  <c r="E3178" i="2"/>
  <c r="D3178" i="2"/>
  <c r="H3715" i="2"/>
  <c r="G3715" i="2"/>
  <c r="F3715" i="2"/>
  <c r="E3715" i="2"/>
  <c r="D3715" i="2"/>
  <c r="H3714" i="2"/>
  <c r="G3714" i="2"/>
  <c r="F3714" i="2"/>
  <c r="E3714" i="2"/>
  <c r="D3714" i="2"/>
  <c r="H2729" i="2"/>
  <c r="G2729" i="2"/>
  <c r="F2729" i="2"/>
  <c r="E2729" i="2"/>
  <c r="D2729" i="2"/>
  <c r="H2728" i="2"/>
  <c r="G2728" i="2"/>
  <c r="F2728" i="2"/>
  <c r="E2728" i="2"/>
  <c r="D2728" i="2"/>
  <c r="H3699" i="2"/>
  <c r="G3699" i="2"/>
  <c r="F3699" i="2"/>
  <c r="E3699" i="2"/>
  <c r="D3699" i="2"/>
  <c r="H3698" i="2"/>
  <c r="G3698" i="2"/>
  <c r="F3698" i="2"/>
  <c r="E3698" i="2"/>
  <c r="D3698" i="2"/>
  <c r="H3697" i="2"/>
  <c r="G3697" i="2"/>
  <c r="F3697" i="2"/>
  <c r="E3697" i="2"/>
  <c r="D3697" i="2"/>
  <c r="H3176" i="2"/>
  <c r="G3176" i="2"/>
  <c r="F3176" i="2"/>
  <c r="E3176" i="2"/>
  <c r="D3176" i="2"/>
  <c r="H3175" i="2"/>
  <c r="G3175" i="2"/>
  <c r="F3175" i="2"/>
  <c r="E3175" i="2"/>
  <c r="D3175" i="2"/>
  <c r="H3174" i="2"/>
  <c r="G3174" i="2"/>
  <c r="F3174" i="2"/>
  <c r="E3174" i="2"/>
  <c r="D3174" i="2"/>
  <c r="H3173" i="2"/>
  <c r="G3173" i="2"/>
  <c r="F3173" i="2"/>
  <c r="E3173" i="2"/>
  <c r="D3173" i="2"/>
  <c r="H2751" i="2"/>
  <c r="G2751" i="2"/>
  <c r="F2751" i="2"/>
  <c r="E2751" i="2"/>
  <c r="D2751" i="2"/>
  <c r="H1478" i="2"/>
  <c r="G1478" i="2"/>
  <c r="F1478" i="2"/>
  <c r="E1478" i="2"/>
  <c r="D1478" i="2"/>
  <c r="H1477" i="2"/>
  <c r="G1477" i="2"/>
  <c r="F1477" i="2"/>
  <c r="E1477" i="2"/>
  <c r="D1477" i="2"/>
  <c r="H1476" i="2"/>
  <c r="G1476" i="2"/>
  <c r="F1476" i="2"/>
  <c r="E1476" i="2"/>
  <c r="D1476" i="2"/>
  <c r="H1475" i="2"/>
  <c r="G1475" i="2"/>
  <c r="F1475" i="2"/>
  <c r="E1475" i="2"/>
  <c r="D1475" i="2"/>
  <c r="H2772" i="2"/>
  <c r="G2772" i="2"/>
  <c r="F2772" i="2"/>
  <c r="E2772" i="2"/>
  <c r="D2772" i="2"/>
  <c r="H2771" i="2"/>
  <c r="G2771" i="2"/>
  <c r="F2771" i="2"/>
  <c r="E2771" i="2"/>
  <c r="D2771" i="2"/>
  <c r="H729" i="2"/>
  <c r="G729" i="2"/>
  <c r="F729" i="2"/>
  <c r="E729" i="2"/>
  <c r="D729" i="2"/>
  <c r="H1279" i="2"/>
  <c r="G1279" i="2"/>
  <c r="F1279" i="2"/>
  <c r="E1279" i="2"/>
  <c r="D1279" i="2"/>
  <c r="H1278" i="2"/>
  <c r="G1278" i="2"/>
  <c r="F1278" i="2"/>
  <c r="E1278" i="2"/>
  <c r="D1278" i="2"/>
  <c r="H1277" i="2"/>
  <c r="G1277" i="2"/>
  <c r="F1277" i="2"/>
  <c r="E1277" i="2"/>
  <c r="D1277" i="2"/>
  <c r="H1276" i="2"/>
  <c r="G1276" i="2"/>
  <c r="F1276" i="2"/>
  <c r="E1276" i="2"/>
  <c r="D1276" i="2"/>
  <c r="H2383" i="2"/>
  <c r="G2383" i="2"/>
  <c r="F2383" i="2"/>
  <c r="E2383" i="2"/>
  <c r="D2383" i="2"/>
  <c r="H1327" i="2"/>
  <c r="G1327" i="2"/>
  <c r="F1327" i="2"/>
  <c r="E1327" i="2"/>
  <c r="D1327" i="2"/>
  <c r="H1326" i="2"/>
  <c r="G1326" i="2"/>
  <c r="F1326" i="2"/>
  <c r="E1326" i="2"/>
  <c r="D1326" i="2"/>
  <c r="H1325" i="2"/>
  <c r="G1325" i="2"/>
  <c r="F1325" i="2"/>
  <c r="E1325" i="2"/>
  <c r="D1325" i="2"/>
  <c r="H910" i="2"/>
  <c r="G910" i="2"/>
  <c r="F910" i="2"/>
  <c r="E910" i="2"/>
  <c r="D910" i="2"/>
  <c r="H909" i="2"/>
  <c r="G909" i="2"/>
  <c r="F909" i="2"/>
  <c r="E909" i="2"/>
  <c r="D909" i="2"/>
  <c r="H908" i="2"/>
  <c r="G908" i="2"/>
  <c r="F908" i="2"/>
  <c r="E908" i="2"/>
  <c r="D908" i="2"/>
  <c r="H160" i="2"/>
  <c r="G160" i="2"/>
  <c r="F160" i="2"/>
  <c r="E160" i="2"/>
  <c r="D160" i="2"/>
  <c r="H159" i="2"/>
  <c r="G159" i="2"/>
  <c r="F159" i="2"/>
  <c r="E159" i="2"/>
  <c r="D159" i="2"/>
  <c r="H2945" i="2"/>
  <c r="G2945" i="2"/>
  <c r="F2945" i="2"/>
  <c r="E2945" i="2"/>
  <c r="D2945" i="2"/>
  <c r="H2944" i="2"/>
  <c r="G2944" i="2"/>
  <c r="F2944" i="2"/>
  <c r="E2944" i="2"/>
  <c r="D2944" i="2"/>
  <c r="H131" i="2"/>
  <c r="G131" i="2"/>
  <c r="F131" i="2"/>
  <c r="E131" i="2"/>
  <c r="D131" i="2"/>
  <c r="H89" i="2"/>
  <c r="G89" i="2"/>
  <c r="F89" i="2"/>
  <c r="E89" i="2"/>
  <c r="D89" i="2"/>
  <c r="H2705" i="2"/>
  <c r="G2705" i="2"/>
  <c r="F2705" i="2"/>
  <c r="E2705" i="2"/>
  <c r="D2705" i="2"/>
  <c r="H2704" i="2"/>
  <c r="G2704" i="2"/>
  <c r="F2704" i="2"/>
  <c r="E2704" i="2"/>
  <c r="D2704" i="2"/>
  <c r="H2495" i="2"/>
  <c r="G2495" i="2"/>
  <c r="F2495" i="2"/>
  <c r="E2495" i="2"/>
  <c r="D2495" i="2"/>
  <c r="H2494" i="2"/>
  <c r="G2494" i="2"/>
  <c r="F2494" i="2"/>
  <c r="E2494" i="2"/>
  <c r="D2494" i="2"/>
  <c r="H2493" i="2"/>
  <c r="G2493" i="2"/>
  <c r="F2493" i="2"/>
  <c r="E2493" i="2"/>
  <c r="D2493" i="2"/>
  <c r="H2492" i="2"/>
  <c r="G2492" i="2"/>
  <c r="F2492" i="2"/>
  <c r="E2492" i="2"/>
  <c r="D2492" i="2"/>
  <c r="H2491" i="2"/>
  <c r="G2491" i="2"/>
  <c r="F2491" i="2"/>
  <c r="E2491" i="2"/>
  <c r="D2491" i="2"/>
  <c r="H2490" i="2"/>
  <c r="G2490" i="2"/>
  <c r="F2490" i="2"/>
  <c r="E2490" i="2"/>
  <c r="D2490" i="2"/>
  <c r="H2489" i="2"/>
  <c r="G2489" i="2"/>
  <c r="F2489" i="2"/>
  <c r="E2489" i="2"/>
  <c r="D2489" i="2"/>
  <c r="H830" i="2"/>
  <c r="G830" i="2"/>
  <c r="F830" i="2"/>
  <c r="E830" i="2"/>
  <c r="D830" i="2"/>
  <c r="H829" i="2"/>
  <c r="G829" i="2"/>
  <c r="F829" i="2"/>
  <c r="E829" i="2"/>
  <c r="D829" i="2"/>
  <c r="H828" i="2"/>
  <c r="G828" i="2"/>
  <c r="F828" i="2"/>
  <c r="E828" i="2"/>
  <c r="D828" i="2"/>
  <c r="H1501" i="2"/>
  <c r="G1501" i="2"/>
  <c r="F1501" i="2"/>
  <c r="E1501" i="2"/>
  <c r="D1501" i="2"/>
  <c r="H1500" i="2"/>
  <c r="G1500" i="2"/>
  <c r="F1500" i="2"/>
  <c r="E1500" i="2"/>
  <c r="D1500" i="2"/>
  <c r="H814" i="2"/>
  <c r="G814" i="2"/>
  <c r="F814" i="2"/>
  <c r="E814" i="2"/>
  <c r="D814" i="2"/>
  <c r="H604" i="2"/>
  <c r="G604" i="2"/>
  <c r="F604" i="2"/>
  <c r="E604" i="2"/>
  <c r="D604" i="2"/>
  <c r="H1773" i="2"/>
  <c r="G1773" i="2"/>
  <c r="F1773" i="2"/>
  <c r="E1773" i="2"/>
  <c r="D1773" i="2"/>
  <c r="H244" i="2"/>
  <c r="G244" i="2"/>
  <c r="F244" i="2"/>
  <c r="E244" i="2"/>
  <c r="D244" i="2"/>
  <c r="H3693" i="2"/>
  <c r="G3693" i="2"/>
  <c r="F3693" i="2"/>
  <c r="E3693" i="2"/>
  <c r="D3693" i="2"/>
  <c r="H3692" i="2"/>
  <c r="G3692" i="2"/>
  <c r="F3692" i="2"/>
  <c r="E3692" i="2"/>
  <c r="D3692" i="2"/>
  <c r="H3691" i="2"/>
  <c r="G3691" i="2"/>
  <c r="F3691" i="2"/>
  <c r="E3691" i="2"/>
  <c r="D3691" i="2"/>
  <c r="H3263" i="2"/>
  <c r="G3263" i="2"/>
  <c r="F3263" i="2"/>
  <c r="E3263" i="2"/>
  <c r="D3263" i="2"/>
  <c r="H3262" i="2"/>
  <c r="G3262" i="2"/>
  <c r="F3262" i="2"/>
  <c r="E3262" i="2"/>
  <c r="D3262" i="2"/>
  <c r="H3261" i="2"/>
  <c r="G3261" i="2"/>
  <c r="F3261" i="2"/>
  <c r="E3261" i="2"/>
  <c r="D3261" i="2"/>
  <c r="H3260" i="2"/>
  <c r="G3260" i="2"/>
  <c r="F3260" i="2"/>
  <c r="E3260" i="2"/>
  <c r="D3260" i="2"/>
  <c r="H1468" i="2"/>
  <c r="G1468" i="2"/>
  <c r="F1468" i="2"/>
  <c r="E1468" i="2"/>
  <c r="D1468" i="2"/>
  <c r="H801" i="2"/>
  <c r="G801" i="2"/>
  <c r="F801" i="2"/>
  <c r="E801" i="2"/>
  <c r="D801" i="2"/>
  <c r="H1669" i="2"/>
  <c r="G1669" i="2"/>
  <c r="F1669" i="2"/>
  <c r="E1669" i="2"/>
  <c r="D1669" i="2"/>
  <c r="H1668" i="2"/>
  <c r="G1668" i="2"/>
  <c r="F1668" i="2"/>
  <c r="E1668" i="2"/>
  <c r="D1668" i="2"/>
  <c r="H1667" i="2"/>
  <c r="G1667" i="2"/>
  <c r="F1667" i="2"/>
  <c r="E1667" i="2"/>
  <c r="D1667" i="2"/>
  <c r="H1666" i="2"/>
  <c r="G1666" i="2"/>
  <c r="F1666" i="2"/>
  <c r="E1666" i="2"/>
  <c r="D1666" i="2"/>
  <c r="H1665" i="2"/>
  <c r="G1665" i="2"/>
  <c r="F1665" i="2"/>
  <c r="E1665" i="2"/>
  <c r="D1665" i="2"/>
  <c r="H1664" i="2"/>
  <c r="G1664" i="2"/>
  <c r="F1664" i="2"/>
  <c r="E1664" i="2"/>
  <c r="D1664" i="2"/>
  <c r="H1663" i="2"/>
  <c r="G1663" i="2"/>
  <c r="F1663" i="2"/>
  <c r="E1663" i="2"/>
  <c r="D1663" i="2"/>
  <c r="H1662" i="2"/>
  <c r="G1662" i="2"/>
  <c r="F1662" i="2"/>
  <c r="E1662" i="2"/>
  <c r="D1662" i="2"/>
  <c r="H1377" i="2"/>
  <c r="G1377" i="2"/>
  <c r="F1377" i="2"/>
  <c r="E1377" i="2"/>
  <c r="D1377" i="2"/>
  <c r="H1376" i="2"/>
  <c r="G1376" i="2"/>
  <c r="F1376" i="2"/>
  <c r="E1376" i="2"/>
  <c r="D1376" i="2"/>
  <c r="H1375" i="2"/>
  <c r="G1375" i="2"/>
  <c r="F1375" i="2"/>
  <c r="E1375" i="2"/>
  <c r="D1375" i="2"/>
  <c r="H1374" i="2"/>
  <c r="G1374" i="2"/>
  <c r="F1374" i="2"/>
  <c r="E1374" i="2"/>
  <c r="D1374" i="2"/>
  <c r="H2648" i="2"/>
  <c r="G2648" i="2"/>
  <c r="F2648" i="2"/>
  <c r="E2648" i="2"/>
  <c r="D2648" i="2"/>
  <c r="H2647" i="2"/>
  <c r="G2647" i="2"/>
  <c r="F2647" i="2"/>
  <c r="E2647" i="2"/>
  <c r="D2647" i="2"/>
  <c r="H2646" i="2"/>
  <c r="G2646" i="2"/>
  <c r="F2646" i="2"/>
  <c r="E2646" i="2"/>
  <c r="D2646" i="2"/>
  <c r="H2645" i="2"/>
  <c r="G2645" i="2"/>
  <c r="F2645" i="2"/>
  <c r="E2645" i="2"/>
  <c r="D2645" i="2"/>
  <c r="H2644" i="2"/>
  <c r="G2644" i="2"/>
  <c r="F2644" i="2"/>
  <c r="E2644" i="2"/>
  <c r="D2644" i="2"/>
  <c r="H2643" i="2"/>
  <c r="G2643" i="2"/>
  <c r="F2643" i="2"/>
  <c r="E2643" i="2"/>
  <c r="D2643" i="2"/>
  <c r="H2629" i="2"/>
  <c r="G2629" i="2"/>
  <c r="F2629" i="2"/>
  <c r="E2629" i="2"/>
  <c r="D2629" i="2"/>
  <c r="H2628" i="2"/>
  <c r="G2628" i="2"/>
  <c r="F2628" i="2"/>
  <c r="E2628" i="2"/>
  <c r="D2628" i="2"/>
  <c r="H2627" i="2"/>
  <c r="G2627" i="2"/>
  <c r="F2627" i="2"/>
  <c r="E2627" i="2"/>
  <c r="D2627" i="2"/>
  <c r="H2626" i="2"/>
  <c r="G2626" i="2"/>
  <c r="F2626" i="2"/>
  <c r="E2626" i="2"/>
  <c r="D2626" i="2"/>
  <c r="H2625" i="2"/>
  <c r="G2625" i="2"/>
  <c r="F2625" i="2"/>
  <c r="E2625" i="2"/>
  <c r="D2625" i="2"/>
  <c r="H2624" i="2"/>
  <c r="G2624" i="2"/>
  <c r="F2624" i="2"/>
  <c r="E2624" i="2"/>
  <c r="D2624" i="2"/>
  <c r="H2623" i="2"/>
  <c r="G2623" i="2"/>
  <c r="F2623" i="2"/>
  <c r="E2623" i="2"/>
  <c r="D2623" i="2"/>
  <c r="H2380" i="2"/>
  <c r="G2380" i="2"/>
  <c r="F2380" i="2"/>
  <c r="E2380" i="2"/>
  <c r="D2380" i="2"/>
  <c r="H2379" i="2"/>
  <c r="G2379" i="2"/>
  <c r="F2379" i="2"/>
  <c r="E2379" i="2"/>
  <c r="D2379" i="2"/>
  <c r="H699" i="2"/>
  <c r="G699" i="2"/>
  <c r="F699" i="2"/>
  <c r="E699" i="2"/>
  <c r="D699" i="2"/>
  <c r="H698" i="2"/>
  <c r="G698" i="2"/>
  <c r="F698" i="2"/>
  <c r="E698" i="2"/>
  <c r="D698" i="2"/>
  <c r="H697" i="2"/>
  <c r="G697" i="2"/>
  <c r="F697" i="2"/>
  <c r="E697" i="2"/>
  <c r="D697" i="2"/>
  <c r="H696" i="2"/>
  <c r="G696" i="2"/>
  <c r="F696" i="2"/>
  <c r="E696" i="2"/>
  <c r="D696" i="2"/>
  <c r="H695" i="2"/>
  <c r="G695" i="2"/>
  <c r="F695" i="2"/>
  <c r="E695" i="2"/>
  <c r="D695" i="2"/>
  <c r="H1457" i="2"/>
  <c r="G1457" i="2"/>
  <c r="F1457" i="2"/>
  <c r="E1457" i="2"/>
  <c r="D1457" i="2"/>
  <c r="H1456" i="2"/>
  <c r="G1456" i="2"/>
  <c r="F1456" i="2"/>
  <c r="E1456" i="2"/>
  <c r="D1456" i="2"/>
  <c r="H1455" i="2"/>
  <c r="G1455" i="2"/>
  <c r="F1455" i="2"/>
  <c r="E1455" i="2"/>
  <c r="D1455" i="2"/>
  <c r="H1454" i="2"/>
  <c r="G1454" i="2"/>
  <c r="F1454" i="2"/>
  <c r="E1454" i="2"/>
  <c r="D1454" i="2"/>
  <c r="H2096" i="2"/>
  <c r="G2096" i="2"/>
  <c r="F2096" i="2"/>
  <c r="E2096" i="2"/>
  <c r="D2096" i="2"/>
  <c r="H2095" i="2"/>
  <c r="G2095" i="2"/>
  <c r="F2095" i="2"/>
  <c r="E2095" i="2"/>
  <c r="D2095" i="2"/>
  <c r="H2094" i="2"/>
  <c r="G2094" i="2"/>
  <c r="F2094" i="2"/>
  <c r="E2094" i="2"/>
  <c r="D2094" i="2"/>
  <c r="H2093" i="2"/>
  <c r="G2093" i="2"/>
  <c r="F2093" i="2"/>
  <c r="E2093" i="2"/>
  <c r="D2093" i="2"/>
  <c r="H2092" i="2"/>
  <c r="G2092" i="2"/>
  <c r="F2092" i="2"/>
  <c r="E2092" i="2"/>
  <c r="D2092" i="2"/>
  <c r="H2091" i="2"/>
  <c r="G2091" i="2"/>
  <c r="F2091" i="2"/>
  <c r="E2091" i="2"/>
  <c r="D2091" i="2"/>
  <c r="H2478" i="2"/>
  <c r="G2478" i="2"/>
  <c r="F2478" i="2"/>
  <c r="E2478" i="2"/>
  <c r="D2478" i="2"/>
  <c r="H1961" i="2"/>
  <c r="G1961" i="2"/>
  <c r="F1961" i="2"/>
  <c r="E1961" i="2"/>
  <c r="D1961" i="2"/>
  <c r="H1960" i="2"/>
  <c r="G1960" i="2"/>
  <c r="F1960" i="2"/>
  <c r="E1960" i="2"/>
  <c r="D1960" i="2"/>
  <c r="H1959" i="2"/>
  <c r="G1959" i="2"/>
  <c r="F1959" i="2"/>
  <c r="E1959" i="2"/>
  <c r="D1959" i="2"/>
  <c r="H1958" i="2"/>
  <c r="G1958" i="2"/>
  <c r="F1958" i="2"/>
  <c r="E1958" i="2"/>
  <c r="D1958" i="2"/>
  <c r="H35" i="2"/>
  <c r="G35" i="2"/>
  <c r="F35" i="2"/>
  <c r="E35" i="2"/>
  <c r="D35" i="2"/>
  <c r="H34" i="2"/>
  <c r="G34" i="2"/>
  <c r="F34" i="2"/>
  <c r="E34" i="2"/>
  <c r="D34" i="2"/>
  <c r="H33" i="2"/>
  <c r="G33" i="2"/>
  <c r="F33" i="2"/>
  <c r="E33" i="2"/>
  <c r="D33" i="2"/>
  <c r="H1889" i="2"/>
  <c r="G1889" i="2"/>
  <c r="F1889" i="2"/>
  <c r="E1889" i="2"/>
  <c r="D1889" i="2"/>
  <c r="H1888" i="2"/>
  <c r="G1888" i="2"/>
  <c r="F1888" i="2"/>
  <c r="E1888" i="2"/>
  <c r="D1888" i="2"/>
  <c r="H1887" i="2"/>
  <c r="G1887" i="2"/>
  <c r="F1887" i="2"/>
  <c r="E1887" i="2"/>
  <c r="D1887" i="2"/>
  <c r="H1886" i="2"/>
  <c r="G1886" i="2"/>
  <c r="F1886" i="2"/>
  <c r="E1886" i="2"/>
  <c r="D1886" i="2"/>
  <c r="H1885" i="2"/>
  <c r="G1885" i="2"/>
  <c r="F1885" i="2"/>
  <c r="E1885" i="2"/>
  <c r="D1885" i="2"/>
  <c r="H1884" i="2"/>
  <c r="G1884" i="2"/>
  <c r="F1884" i="2"/>
  <c r="E1884" i="2"/>
  <c r="D1884" i="2"/>
  <c r="H2239" i="2"/>
  <c r="G2239" i="2"/>
  <c r="F2239" i="2"/>
  <c r="E2239" i="2"/>
  <c r="D2239" i="2"/>
  <c r="H2238" i="2"/>
  <c r="G2238" i="2"/>
  <c r="F2238" i="2"/>
  <c r="E2238" i="2"/>
  <c r="D2238" i="2"/>
  <c r="H85" i="2"/>
  <c r="G85" i="2"/>
  <c r="F85" i="2"/>
  <c r="E85" i="2"/>
  <c r="D85" i="2"/>
  <c r="H84" i="2"/>
  <c r="G84" i="2"/>
  <c r="F84" i="2"/>
  <c r="E84" i="2"/>
  <c r="D84" i="2"/>
  <c r="H83" i="2"/>
  <c r="G83" i="2"/>
  <c r="F83" i="2"/>
  <c r="E83" i="2"/>
  <c r="D83" i="2"/>
  <c r="H1093" i="2"/>
  <c r="G1093" i="2"/>
  <c r="F1093" i="2"/>
  <c r="E1093" i="2"/>
  <c r="D1093" i="2"/>
  <c r="H1147" i="2"/>
  <c r="G1147" i="2"/>
  <c r="F1147" i="2"/>
  <c r="E1147" i="2"/>
  <c r="D1147" i="2"/>
  <c r="H1146" i="2"/>
  <c r="G1146" i="2"/>
  <c r="F1146" i="2"/>
  <c r="E1146" i="2"/>
  <c r="D1146" i="2"/>
  <c r="H1145" i="2"/>
  <c r="G1145" i="2"/>
  <c r="F1145" i="2"/>
  <c r="E1145" i="2"/>
  <c r="D1145" i="2"/>
  <c r="H1144" i="2"/>
  <c r="G1144" i="2"/>
  <c r="F1144" i="2"/>
  <c r="E1144" i="2"/>
  <c r="D1144" i="2"/>
  <c r="H2117" i="2"/>
  <c r="G2117" i="2"/>
  <c r="F2117" i="2"/>
  <c r="E2117" i="2"/>
  <c r="D2117" i="2"/>
  <c r="H2116" i="2"/>
  <c r="G2116" i="2"/>
  <c r="F2116" i="2"/>
  <c r="E2116" i="2"/>
  <c r="D2116" i="2"/>
  <c r="H2115" i="2"/>
  <c r="G2115" i="2"/>
  <c r="F2115" i="2"/>
  <c r="E2115" i="2"/>
  <c r="D2115" i="2"/>
  <c r="H2114" i="2"/>
  <c r="G2114" i="2"/>
  <c r="F2114" i="2"/>
  <c r="E2114" i="2"/>
  <c r="D2114" i="2"/>
  <c r="H2113" i="2"/>
  <c r="G2113" i="2"/>
  <c r="F2113" i="2"/>
  <c r="E2113" i="2"/>
  <c r="D2113" i="2"/>
  <c r="H2112" i="2"/>
  <c r="G2112" i="2"/>
  <c r="F2112" i="2"/>
  <c r="E2112" i="2"/>
  <c r="D2112" i="2"/>
  <c r="H2111" i="2"/>
  <c r="G2111" i="2"/>
  <c r="F2111" i="2"/>
  <c r="E2111" i="2"/>
  <c r="D2111" i="2"/>
  <c r="H2110" i="2"/>
  <c r="G2110" i="2"/>
  <c r="F2110" i="2"/>
  <c r="E2110" i="2"/>
  <c r="D2110" i="2"/>
  <c r="H2109" i="2"/>
  <c r="G2109" i="2"/>
  <c r="F2109" i="2"/>
  <c r="E2109" i="2"/>
  <c r="D2109" i="2"/>
  <c r="H2108" i="2"/>
  <c r="G2108" i="2"/>
  <c r="F2108" i="2"/>
  <c r="E2108" i="2"/>
  <c r="D2108" i="2"/>
  <c r="H2107" i="2"/>
  <c r="G2107" i="2"/>
  <c r="F2107" i="2"/>
  <c r="E2107" i="2"/>
  <c r="D2107" i="2"/>
  <c r="H2106" i="2"/>
  <c r="G2106" i="2"/>
  <c r="F2106" i="2"/>
  <c r="E2106" i="2"/>
  <c r="D2106" i="2"/>
  <c r="H492" i="2"/>
  <c r="G492" i="2"/>
  <c r="F492" i="2"/>
  <c r="E492" i="2"/>
  <c r="D492" i="2"/>
  <c r="H491" i="2"/>
  <c r="G491" i="2"/>
  <c r="F491" i="2"/>
  <c r="E491" i="2"/>
  <c r="D491" i="2"/>
  <c r="H490" i="2"/>
  <c r="G490" i="2"/>
  <c r="F490" i="2"/>
  <c r="E490" i="2"/>
  <c r="D490" i="2"/>
  <c r="H489" i="2"/>
  <c r="G489" i="2"/>
  <c r="F489" i="2"/>
  <c r="E489" i="2"/>
  <c r="D489" i="2"/>
  <c r="H488" i="2"/>
  <c r="G488" i="2"/>
  <c r="F488" i="2"/>
  <c r="E488" i="2"/>
  <c r="D488" i="2"/>
  <c r="H487" i="2"/>
  <c r="G487" i="2"/>
  <c r="F487" i="2"/>
  <c r="E487" i="2"/>
  <c r="D487" i="2"/>
  <c r="H450" i="2"/>
  <c r="G450" i="2"/>
  <c r="F450" i="2"/>
  <c r="E450" i="2"/>
  <c r="D450" i="2"/>
  <c r="H3338" i="2"/>
  <c r="G3338" i="2"/>
  <c r="F3338" i="2"/>
  <c r="E3338" i="2"/>
  <c r="D3338" i="2"/>
  <c r="H1891" i="2"/>
  <c r="G1891" i="2"/>
  <c r="F1891" i="2"/>
  <c r="E1891" i="2"/>
  <c r="D1891" i="2"/>
  <c r="H1890" i="2"/>
  <c r="G1890" i="2"/>
  <c r="F1890" i="2"/>
  <c r="E1890" i="2"/>
  <c r="D1890" i="2"/>
  <c r="H3736" i="2"/>
  <c r="G3736" i="2"/>
  <c r="F3736" i="2"/>
  <c r="E3736" i="2"/>
  <c r="D3736" i="2"/>
  <c r="H3735" i="2"/>
  <c r="G3735" i="2"/>
  <c r="F3735" i="2"/>
  <c r="E3735" i="2"/>
  <c r="D3735" i="2"/>
  <c r="H3734" i="2"/>
  <c r="G3734" i="2"/>
  <c r="F3734" i="2"/>
  <c r="E3734" i="2"/>
  <c r="D3734" i="2"/>
  <c r="H3733" i="2"/>
  <c r="G3733" i="2"/>
  <c r="F3733" i="2"/>
  <c r="E3733" i="2"/>
  <c r="D3733" i="2"/>
  <c r="H3732" i="2"/>
  <c r="G3732" i="2"/>
  <c r="F3732" i="2"/>
  <c r="E3732" i="2"/>
  <c r="D3732" i="2"/>
  <c r="H3731" i="2"/>
  <c r="G3731" i="2"/>
  <c r="F3731" i="2"/>
  <c r="E3731" i="2"/>
  <c r="D3731" i="2"/>
  <c r="H3730" i="2"/>
  <c r="G3730" i="2"/>
  <c r="F3730" i="2"/>
  <c r="E3730" i="2"/>
  <c r="D3730" i="2"/>
  <c r="H3181" i="2"/>
  <c r="G3181" i="2"/>
  <c r="F3181" i="2"/>
  <c r="E3181" i="2"/>
  <c r="D3181" i="2"/>
  <c r="H144" i="2"/>
  <c r="G144" i="2"/>
  <c r="F144" i="2"/>
  <c r="E144" i="2"/>
  <c r="D144" i="2"/>
  <c r="H3090" i="2"/>
  <c r="G3090" i="2"/>
  <c r="F3090" i="2"/>
  <c r="E3090" i="2"/>
  <c r="D3090" i="2"/>
  <c r="H1070" i="2"/>
  <c r="G1070" i="2"/>
  <c r="F1070" i="2"/>
  <c r="E1070" i="2"/>
  <c r="D1070" i="2"/>
  <c r="H1069" i="2"/>
  <c r="G1069" i="2"/>
  <c r="F1069" i="2"/>
  <c r="E1069" i="2"/>
  <c r="D1069" i="2"/>
  <c r="H1068" i="2"/>
  <c r="G1068" i="2"/>
  <c r="F1068" i="2"/>
  <c r="E1068" i="2"/>
  <c r="D1068" i="2"/>
  <c r="H1582" i="2"/>
  <c r="G1582" i="2"/>
  <c r="F1582" i="2"/>
  <c r="E1582" i="2"/>
  <c r="D1582" i="2"/>
  <c r="H3403" i="2"/>
  <c r="G3403" i="2"/>
  <c r="F3403" i="2"/>
  <c r="E3403" i="2"/>
  <c r="D3403" i="2"/>
  <c r="H3402" i="2"/>
  <c r="G3402" i="2"/>
  <c r="F3402" i="2"/>
  <c r="E3402" i="2"/>
  <c r="D3402" i="2"/>
  <c r="H3393" i="2"/>
  <c r="G3393" i="2"/>
  <c r="F3393" i="2"/>
  <c r="E3393" i="2"/>
  <c r="D3393" i="2"/>
  <c r="H3392" i="2"/>
  <c r="G3392" i="2"/>
  <c r="F3392" i="2"/>
  <c r="E3392" i="2"/>
  <c r="D3392" i="2"/>
  <c r="H250" i="2"/>
  <c r="G250" i="2"/>
  <c r="F250" i="2"/>
  <c r="E250" i="2"/>
  <c r="D250" i="2"/>
  <c r="H249" i="2"/>
  <c r="G249" i="2"/>
  <c r="F249" i="2"/>
  <c r="E249" i="2"/>
  <c r="D249" i="2"/>
  <c r="H248" i="2"/>
  <c r="G248" i="2"/>
  <c r="F248" i="2"/>
  <c r="E248" i="2"/>
  <c r="D248" i="2"/>
  <c r="H1989" i="2"/>
  <c r="G1989" i="2"/>
  <c r="F1989" i="2"/>
  <c r="E1989" i="2"/>
  <c r="D1989" i="2"/>
  <c r="H1988" i="2"/>
  <c r="G1988" i="2"/>
  <c r="F1988" i="2"/>
  <c r="E1988" i="2"/>
  <c r="D1988" i="2"/>
  <c r="H1987" i="2"/>
  <c r="G1987" i="2"/>
  <c r="F1987" i="2"/>
  <c r="E1987" i="2"/>
  <c r="D1987" i="2"/>
  <c r="H1986" i="2"/>
  <c r="G1986" i="2"/>
  <c r="F1986" i="2"/>
  <c r="E1986" i="2"/>
  <c r="D1986" i="2"/>
  <c r="H1474" i="2"/>
  <c r="G1474" i="2"/>
  <c r="F1474" i="2"/>
  <c r="E1474" i="2"/>
  <c r="D1474" i="2"/>
  <c r="H618" i="2"/>
  <c r="G618" i="2"/>
  <c r="F618" i="2"/>
  <c r="E618" i="2"/>
  <c r="D618" i="2"/>
  <c r="H617" i="2"/>
  <c r="G617" i="2"/>
  <c r="F617" i="2"/>
  <c r="E617" i="2"/>
  <c r="D617" i="2"/>
  <c r="H616" i="2"/>
  <c r="G616" i="2"/>
  <c r="F616" i="2"/>
  <c r="E616" i="2"/>
  <c r="D616" i="2"/>
  <c r="H615" i="2"/>
  <c r="G615" i="2"/>
  <c r="F615" i="2"/>
  <c r="E615" i="2"/>
  <c r="D615" i="2"/>
  <c r="H614" i="2"/>
  <c r="G614" i="2"/>
  <c r="F614" i="2"/>
  <c r="E614" i="2"/>
  <c r="D614" i="2"/>
  <c r="H612" i="2"/>
  <c r="G612" i="2"/>
  <c r="F612" i="2"/>
  <c r="E612" i="2"/>
  <c r="D612" i="2"/>
  <c r="H611" i="2"/>
  <c r="G611" i="2"/>
  <c r="F611" i="2"/>
  <c r="E611" i="2"/>
  <c r="D611" i="2"/>
  <c r="H515" i="2"/>
  <c r="G515" i="2"/>
  <c r="F515" i="2"/>
  <c r="E515" i="2"/>
  <c r="D515" i="2"/>
  <c r="H1382" i="2"/>
  <c r="G1382" i="2"/>
  <c r="F1382" i="2"/>
  <c r="E1382" i="2"/>
  <c r="D1382" i="2"/>
  <c r="H1381" i="2"/>
  <c r="G1381" i="2"/>
  <c r="F1381" i="2"/>
  <c r="E1381" i="2"/>
  <c r="D1381" i="2"/>
  <c r="H1380" i="2"/>
  <c r="G1380" i="2"/>
  <c r="F1380" i="2"/>
  <c r="E1380" i="2"/>
  <c r="D1380" i="2"/>
  <c r="H2997" i="2"/>
  <c r="G2997" i="2"/>
  <c r="F2997" i="2"/>
  <c r="E2997" i="2"/>
  <c r="D2997" i="2"/>
  <c r="H2996" i="2"/>
  <c r="G2996" i="2"/>
  <c r="F2996" i="2"/>
  <c r="E2996" i="2"/>
  <c r="D2996" i="2"/>
  <c r="H2995" i="2"/>
  <c r="G2995" i="2"/>
  <c r="F2995" i="2"/>
  <c r="E2995" i="2"/>
  <c r="D2995" i="2"/>
  <c r="H2994" i="2"/>
  <c r="G2994" i="2"/>
  <c r="F2994" i="2"/>
  <c r="E2994" i="2"/>
  <c r="D2994" i="2"/>
  <c r="H2993" i="2"/>
  <c r="G2993" i="2"/>
  <c r="F2993" i="2"/>
  <c r="E2993" i="2"/>
  <c r="D2993" i="2"/>
  <c r="H2992" i="2"/>
  <c r="G2992" i="2"/>
  <c r="F2992" i="2"/>
  <c r="E2992" i="2"/>
  <c r="D2992" i="2"/>
  <c r="H2991" i="2"/>
  <c r="G2991" i="2"/>
  <c r="F2991" i="2"/>
  <c r="E2991" i="2"/>
  <c r="D2991" i="2"/>
  <c r="H2990" i="2"/>
  <c r="G2990" i="2"/>
  <c r="F2990" i="2"/>
  <c r="E2990" i="2"/>
  <c r="D2990" i="2"/>
  <c r="H2989" i="2"/>
  <c r="G2989" i="2"/>
  <c r="F2989" i="2"/>
  <c r="E2989" i="2"/>
  <c r="D2989" i="2"/>
  <c r="H2988" i="2"/>
  <c r="G2988" i="2"/>
  <c r="F2988" i="2"/>
  <c r="E2988" i="2"/>
  <c r="D2988" i="2"/>
  <c r="H2987" i="2"/>
  <c r="G2987" i="2"/>
  <c r="F2987" i="2"/>
  <c r="E2987" i="2"/>
  <c r="D2987" i="2"/>
  <c r="H1140" i="2"/>
  <c r="G1140" i="2"/>
  <c r="F1140" i="2"/>
  <c r="E1140" i="2"/>
  <c r="D1140" i="2"/>
  <c r="H1139" i="2"/>
  <c r="G1139" i="2"/>
  <c r="F1139" i="2"/>
  <c r="E1139" i="2"/>
  <c r="D1139" i="2"/>
  <c r="H294" i="2"/>
  <c r="G294" i="2"/>
  <c r="F294" i="2"/>
  <c r="E294" i="2"/>
  <c r="D294" i="2"/>
  <c r="H293" i="2"/>
  <c r="G293" i="2"/>
  <c r="F293" i="2"/>
  <c r="E293" i="2"/>
  <c r="D293" i="2"/>
  <c r="H292" i="2"/>
  <c r="G292" i="2"/>
  <c r="F292" i="2"/>
  <c r="E292" i="2"/>
  <c r="D292" i="2"/>
  <c r="H291" i="2"/>
  <c r="G291" i="2"/>
  <c r="F291" i="2"/>
  <c r="E291" i="2"/>
  <c r="D291" i="2"/>
  <c r="H290" i="2"/>
  <c r="G290" i="2"/>
  <c r="F290" i="2"/>
  <c r="E290" i="2"/>
  <c r="D290" i="2"/>
  <c r="H289" i="2"/>
  <c r="G289" i="2"/>
  <c r="F289" i="2"/>
  <c r="E289" i="2"/>
  <c r="D289" i="2"/>
  <c r="H3594" i="2"/>
  <c r="G3594" i="2"/>
  <c r="F3594" i="2"/>
  <c r="E3594" i="2"/>
  <c r="D3594" i="2"/>
  <c r="H3593" i="2"/>
  <c r="G3593" i="2"/>
  <c r="F3593" i="2"/>
  <c r="E3593" i="2"/>
  <c r="D3593" i="2"/>
  <c r="H3592" i="2"/>
  <c r="G3592" i="2"/>
  <c r="F3592" i="2"/>
  <c r="E3592" i="2"/>
  <c r="D3592" i="2"/>
  <c r="H3591" i="2"/>
  <c r="G3591" i="2"/>
  <c r="F3591" i="2"/>
  <c r="E3591" i="2"/>
  <c r="D3591" i="2"/>
  <c r="H2102" i="2"/>
  <c r="G2102" i="2"/>
  <c r="F2102" i="2"/>
  <c r="E2102" i="2"/>
  <c r="D2102" i="2"/>
  <c r="H2101" i="2"/>
  <c r="G2101" i="2"/>
  <c r="F2101" i="2"/>
  <c r="E2101" i="2"/>
  <c r="D2101" i="2"/>
  <c r="H2100" i="2"/>
  <c r="G2100" i="2"/>
  <c r="F2100" i="2"/>
  <c r="E2100" i="2"/>
  <c r="D2100" i="2"/>
  <c r="H1742" i="2"/>
  <c r="G1742" i="2"/>
  <c r="F1742" i="2"/>
  <c r="E1742" i="2"/>
  <c r="D1742" i="2"/>
  <c r="H1075" i="2"/>
  <c r="G1075" i="2"/>
  <c r="F1075" i="2"/>
  <c r="E1075" i="2"/>
  <c r="D1075" i="2"/>
  <c r="H1074" i="2"/>
  <c r="G1074" i="2"/>
  <c r="F1074" i="2"/>
  <c r="E1074" i="2"/>
  <c r="D1074" i="2"/>
  <c r="H839" i="2"/>
  <c r="G839" i="2"/>
  <c r="F839" i="2"/>
  <c r="E839" i="2"/>
  <c r="D839" i="2"/>
  <c r="H838" i="2"/>
  <c r="G838" i="2"/>
  <c r="F838" i="2"/>
  <c r="E838" i="2"/>
  <c r="D838" i="2"/>
  <c r="H837" i="2"/>
  <c r="G837" i="2"/>
  <c r="F837" i="2"/>
  <c r="E837" i="2"/>
  <c r="D837" i="2"/>
  <c r="H836" i="2"/>
  <c r="G836" i="2"/>
  <c r="F836" i="2"/>
  <c r="E836" i="2"/>
  <c r="D836" i="2"/>
</calcChain>
</file>

<file path=xl/sharedStrings.xml><?xml version="1.0" encoding="utf-8"?>
<sst xmlns="http://schemas.openxmlformats.org/spreadsheetml/2006/main" count="7778" uniqueCount="5257">
  <si>
    <t>Filename</t>
  </si>
  <si>
    <t>Acadian_Flycatcher_2313.jpg</t>
  </si>
  <si>
    <t>Acorn_Woodpecker_2305.jpg</t>
  </si>
  <si>
    <t>Acorn_Woodpecker_5803.jpg</t>
  </si>
  <si>
    <t>Acorn_woodpecker_2152.jpg</t>
  </si>
  <si>
    <t>African_Black-headed_Oriole_3391.jpg</t>
  </si>
  <si>
    <t>African_Openbill_1935.jpg</t>
  </si>
  <si>
    <t>African_Openbill_6970.jpg</t>
  </si>
  <si>
    <t>African_Paradise-Flycatcher_3580.jpg</t>
  </si>
  <si>
    <t>African_Pied_Wagtail_118.jpg</t>
  </si>
  <si>
    <t>African_Pied_Wagtail_6783.jpg</t>
  </si>
  <si>
    <t>African_Pipit_2927.jpg</t>
  </si>
  <si>
    <t>African_Silverbill_9903.jpg</t>
  </si>
  <si>
    <t>African_Skimmer_8405.jpg</t>
  </si>
  <si>
    <t>African_Spoonbill_7924.jpg</t>
  </si>
  <si>
    <t>African_Stonechat_2848.jpg</t>
  </si>
  <si>
    <t>Agami_Heron_7409.jpg</t>
  </si>
  <si>
    <t>Akiapolaau_0901.jpg</t>
  </si>
  <si>
    <t>Alder_Flycatcher.jpg</t>
  </si>
  <si>
    <t>Amazon_Kingfisher_7123.jpg</t>
  </si>
  <si>
    <t>American_Avocet_1077.jpg</t>
  </si>
  <si>
    <t>American_Barn_Owl_3904.jpg</t>
  </si>
  <si>
    <t>American_Bittern.jpg</t>
  </si>
  <si>
    <t>American_Bittern_2804.jpg</t>
  </si>
  <si>
    <t>American_Bittern_6940MF.jpg</t>
  </si>
  <si>
    <t>American_Bittern_9918.jpg</t>
  </si>
  <si>
    <t>American_Black_Duck_0305.jpg</t>
  </si>
  <si>
    <t>American_Black_Duck_26634.jpg</t>
  </si>
  <si>
    <t>American_Black_Duck_9041.jpg</t>
  </si>
  <si>
    <t>American_Coot_1815.jpg</t>
  </si>
  <si>
    <t>American_Coot_3444.jpg</t>
  </si>
  <si>
    <t>American_Coot_7331.jpg</t>
  </si>
  <si>
    <t>American_Crow_7774.jpg</t>
  </si>
  <si>
    <t>American_Dipper_1727MF.jpg</t>
  </si>
  <si>
    <t>American_Dipper_9078.jpg</t>
  </si>
  <si>
    <t>American_Flamingo_5674.jpg</t>
  </si>
  <si>
    <t>American_Flamingo_6193.jpg</t>
  </si>
  <si>
    <t>American_Flamingo_6544.jpg</t>
  </si>
  <si>
    <t>American_Flamingo_6583.jpg</t>
  </si>
  <si>
    <t>American_Golden-Plover_7631.jpg</t>
  </si>
  <si>
    <t>American_Goldfinch.jpg</t>
  </si>
  <si>
    <t>American_Goldfinch_7166MF.jpg</t>
  </si>
  <si>
    <t>American_Goldfinch_9264.jpg</t>
  </si>
  <si>
    <t>American_Goldfinch_9277.jpg</t>
  </si>
  <si>
    <t>American_Goldfinch_9378.jpg</t>
  </si>
  <si>
    <t>American_Herring_Gull_1497MF.jpg</t>
  </si>
  <si>
    <t>American_Herring_Gull_1615.jpg</t>
  </si>
  <si>
    <t>American_Herring_Gull_2404.jpg</t>
  </si>
  <si>
    <t>American_Kestrel_0882.jpg</t>
  </si>
  <si>
    <t>American_Kestrel_2799.jpg</t>
  </si>
  <si>
    <t>American_Kestrel_7580MF.jpg</t>
  </si>
  <si>
    <t>American_Oystercatcher_2017_3611-Edit.jpg</t>
  </si>
  <si>
    <t>American_Oystercatcher_20187.jpg</t>
  </si>
  <si>
    <t>American_Oystercatcher_22567.jpg</t>
  </si>
  <si>
    <t>American_Oystercatcher_6498.jpg</t>
  </si>
  <si>
    <t>American_Oystercatcher_6500.jpg</t>
  </si>
  <si>
    <t>American_Oystercatcher_7706MF.jpg</t>
  </si>
  <si>
    <t>American_Pipit_991.jpg</t>
  </si>
  <si>
    <t>American_Pygmy_Kingfisher_7384.jpg</t>
  </si>
  <si>
    <t>American_Pygmy_Kingfisher_8916.jpg</t>
  </si>
  <si>
    <t>American_Redstart_1421.jpg</t>
  </si>
  <si>
    <t>American_Redstart_20644.jpg</t>
  </si>
  <si>
    <t>American_Redstart_2599.jpg</t>
  </si>
  <si>
    <t>American_Redstart_2840.jpg</t>
  </si>
  <si>
    <t>American_Redstart_6352.jpg</t>
  </si>
  <si>
    <t>American_Redstart_6428.jpg</t>
  </si>
  <si>
    <t>American_Redstart_8238.jpg</t>
  </si>
  <si>
    <t>American_Robin_on_nest_1776MF.jpg</t>
  </si>
  <si>
    <t>American_Three-toed_Woodpecker_6939.jpg</t>
  </si>
  <si>
    <t>American_Tree_Sparrow_1905.jpg</t>
  </si>
  <si>
    <t>American_Tree_Sparrow_9143.jpg</t>
  </si>
  <si>
    <t>American_Tree_Sparrow_9179.jpg</t>
  </si>
  <si>
    <t>American_White_Pelican_1366.jpg</t>
  </si>
  <si>
    <t>American_White_Pelican_3471.jpg</t>
  </si>
  <si>
    <t>American_White_Pelican_7130MF.jpg</t>
  </si>
  <si>
    <t>American_Wigeon_2161.jpg</t>
  </si>
  <si>
    <t>American_Wigeon_2906.jpg</t>
  </si>
  <si>
    <t>American_Wigeon_8995.jpg</t>
  </si>
  <si>
    <t>American_redstart_1003.jpg</t>
  </si>
  <si>
    <t>Andean_Cock-of-the-Rock_6555.jpg</t>
  </si>
  <si>
    <t>Andean_Condor_6812.jpg</t>
  </si>
  <si>
    <t>Andean_Condor_7121.jpg</t>
  </si>
  <si>
    <t>Andean_Duck_7065.jpg</t>
  </si>
  <si>
    <t>Andean_Emerald_5215.jpg</t>
  </si>
  <si>
    <t>Andean_Emerald_6062.jpg</t>
  </si>
  <si>
    <t>Andean_Gull_6973.jpg</t>
  </si>
  <si>
    <t>Andean_Gull_6981.jpg</t>
  </si>
  <si>
    <t>Andean_Ibis_6966.jpg</t>
  </si>
  <si>
    <t>Andean_Motmot_3307.jpg</t>
  </si>
  <si>
    <t>Andean_Motmot_5971.jpg</t>
  </si>
  <si>
    <t>Andean_Pygmy-owl_5185.jpg</t>
  </si>
  <si>
    <t>Andean_Tit-Spinetail_421.jpg</t>
  </si>
  <si>
    <t>Anhinga_0317.jpg</t>
  </si>
  <si>
    <t>Anhinga_034.jpg</t>
  </si>
  <si>
    <t>Anhinga_0997.jpg</t>
  </si>
  <si>
    <t>Anhinga_20543.jpg</t>
  </si>
  <si>
    <t>Anhinga_2216.jpg</t>
  </si>
  <si>
    <t>Anhinga_2792.jpg</t>
  </si>
  <si>
    <t>Anhinga_3256.jpg</t>
  </si>
  <si>
    <t>Anhinga_3258.jpg</t>
  </si>
  <si>
    <t>Anhinga_6822MF.jpg</t>
  </si>
  <si>
    <t>Anhinga_8593MF.jpg</t>
  </si>
  <si>
    <t>Anhinga_9728.jpg</t>
  </si>
  <si>
    <t>Anhinga_with_fish_4550.jpg</t>
  </si>
  <si>
    <t>Apapane_0584.jpg</t>
  </si>
  <si>
    <t>Apapane_1565.jpg</t>
  </si>
  <si>
    <t>Apical_Flycatcher.jpg</t>
  </si>
  <si>
    <t>Arctic_Tern_3352.jpg</t>
  </si>
  <si>
    <t>Arctic_tern_2230.jpg</t>
  </si>
  <si>
    <t>Arrow-marked_Babbler_9840.jpg</t>
  </si>
  <si>
    <t>Ashy_Starling_163.jpg</t>
  </si>
  <si>
    <t>Atlantic_Puffin_9688.jpg</t>
  </si>
  <si>
    <t>Augur_Buzzard_285.jpg</t>
  </si>
  <si>
    <t>Australasian_Gannet_9546.jpg</t>
  </si>
  <si>
    <t>Australasian_Gannet_9550.jpg</t>
  </si>
  <si>
    <t>Australasian_Grebe_8279.jpg</t>
  </si>
  <si>
    <t>Australasian_Swamphen_8154.jpg</t>
  </si>
  <si>
    <t>Australian_Brushturkey_7950.jpg</t>
  </si>
  <si>
    <t>Australian_Crake_4885MF.jpg</t>
  </si>
  <si>
    <t>Australian_Ibis_2344.jpg</t>
  </si>
  <si>
    <t>Australian_King-Parrot.jpg</t>
  </si>
  <si>
    <t>Australian_King-Parrot_2507MF.jpg</t>
  </si>
  <si>
    <t>Australian_Magpie_0144.jpg</t>
  </si>
  <si>
    <t>Australian_Pelican_3562MF.jpg</t>
  </si>
  <si>
    <t>Australian_Pelican_8249.jpg</t>
  </si>
  <si>
    <t>Australian_Pipit_0158.jpg</t>
  </si>
  <si>
    <t>Australian_Pipit_4436MF.jpg</t>
  </si>
  <si>
    <t>Australian_Reed_Warbler_0750.jpg</t>
  </si>
  <si>
    <t>Australian_Rufous_Fantail_2492MF.jpg</t>
  </si>
  <si>
    <t>Australian_Shelduck_0277.jpg</t>
  </si>
  <si>
    <t>Australian_magpie_1505.jpg</t>
  </si>
  <si>
    <t>Bald_Eagle_0765.jpg</t>
  </si>
  <si>
    <t>Bald_Eagle_2014-003.jpg</t>
  </si>
  <si>
    <t>Bald_Eagle_21110.jpg</t>
  </si>
  <si>
    <t>Bald_Eagle_2654.jpg</t>
  </si>
  <si>
    <t>Bald_Eagle_6702.jpg</t>
  </si>
  <si>
    <t>Bald_eagle_7646.jpg</t>
  </si>
  <si>
    <t>Baltimore_Oriole_3190MF.jpg</t>
  </si>
  <si>
    <t>Baltimore_Oriole_3215.jpg</t>
  </si>
  <si>
    <t>Baltimore_Oriole_5627.jpg</t>
  </si>
  <si>
    <t>Baltimore_Oriole_6836MF.jpg</t>
  </si>
  <si>
    <t>Bananaquit_3649.jpg</t>
  </si>
  <si>
    <t>Bananaquit_5414.jpg</t>
  </si>
  <si>
    <t>Bananaquit_5967.jpg</t>
  </si>
  <si>
    <t>Band-backed_Wren_6998.jpg</t>
  </si>
  <si>
    <t>Band-tailed_Guan_4613.jpg</t>
  </si>
  <si>
    <t>Band-tailed_Guan_4650.jpg</t>
  </si>
  <si>
    <t>Band-tailed_Pigeon.jpg</t>
  </si>
  <si>
    <t>Band-tailed_Pigeon_3216MF.jpg</t>
  </si>
  <si>
    <t>Bar-tailed_Godwit_3588MF.jpg</t>
  </si>
  <si>
    <t>Bar-throated_Apalis_2642.jpg</t>
  </si>
  <si>
    <t>Bare-crowned_Antbird_1905.jpg</t>
  </si>
  <si>
    <t>Bare-crowned_Antbird_7095.jpg</t>
  </si>
  <si>
    <t>Bare-eyed_Pigeon_4448MF.jpg</t>
  </si>
  <si>
    <t>Bare-eyed_Pigeon_5353.jpg</t>
  </si>
  <si>
    <t>Bare-faced_Ibis_1073.jpg</t>
  </si>
  <si>
    <t>Bare-faced_Ibis_2114MF.jpg</t>
  </si>
  <si>
    <t>Bare-faced_Ibis_2277MF.jpg</t>
  </si>
  <si>
    <t>Bare-throated_Tiger-Heron_6301.jpg</t>
  </si>
  <si>
    <t>Bare-throated_Tiger-Heron_7508.jpg</t>
  </si>
  <si>
    <t>Barn_Swallow_1408.jpg</t>
  </si>
  <si>
    <t>Barn_Swallow_1419.jpg</t>
  </si>
  <si>
    <t>Barn_Swallow_8915.jpg</t>
  </si>
  <si>
    <t>Barred_Antshrike.jpg</t>
  </si>
  <si>
    <t>Barred_Antshrike_6389.jpg</t>
  </si>
  <si>
    <t>Barred_Antshrike_6398.jpg</t>
  </si>
  <si>
    <t>Barred_Antshrike_7146.jpg</t>
  </si>
  <si>
    <t>Barred_Owl_159.jpg</t>
  </si>
  <si>
    <t>Barred_Owl_5924.jpg</t>
  </si>
  <si>
    <t>Barred_Owl_7313MF.jpg</t>
  </si>
  <si>
    <t>Barred_Owl_7944.jpg</t>
  </si>
  <si>
    <t>Barred_Owl_7953.jpg</t>
  </si>
  <si>
    <t>Barred_Puffbird.jpg</t>
  </si>
  <si>
    <t>Barred_Puffbird_1874.jpg</t>
  </si>
  <si>
    <t>Barred_Puffbird_3328.jpg</t>
  </si>
  <si>
    <t>Barred_Puffbird_5786.jpg</t>
  </si>
  <si>
    <t>Bassian_Thrush.jpg</t>
  </si>
  <si>
    <t>Bat_Falcon_3538.jpg</t>
  </si>
  <si>
    <t>Bat_falcon.jpg</t>
  </si>
  <si>
    <t>Bateleur.jpg</t>
  </si>
  <si>
    <t>Bateleur_278.jpg</t>
  </si>
  <si>
    <t>Bay-breasted_Warbler_0718.jpg</t>
  </si>
  <si>
    <t>Bay-breasted_Warbler_0742.jpg</t>
  </si>
  <si>
    <t>Bay-breasted_Warbler_1279.jpg</t>
  </si>
  <si>
    <t>Bay-breasted_Warbler_1575MF.jpg</t>
  </si>
  <si>
    <t>Bay-breasted_Warbler_2498.jpg</t>
  </si>
  <si>
    <t>Bay-breasted_Warbler_2883.jpg</t>
  </si>
  <si>
    <t>Bay-breasted_Warbler_3022.jpg</t>
  </si>
  <si>
    <t>Bay-breasted_Warbler_4285MF.jpg</t>
  </si>
  <si>
    <t>Bay-breasted_Warbler_4324.jpg</t>
  </si>
  <si>
    <t>Bay-breasted_Warbler_4707MF.jpg</t>
  </si>
  <si>
    <t>Bay-breasted_Warbler_4726MF.jpg</t>
  </si>
  <si>
    <t>Bay-breasted_Warbler_4911.jpg</t>
  </si>
  <si>
    <t>Bay-breasted_warbler_1629MF.jpg</t>
  </si>
  <si>
    <t>Bay-headed_Tanager_4676.jpg</t>
  </si>
  <si>
    <t>Bay-headed_Tanager_4736.jpg</t>
  </si>
  <si>
    <t>Bay_Wren-2.jpg</t>
  </si>
  <si>
    <t>Bay_Wren.jpg</t>
  </si>
  <si>
    <t>Bell_Miner_2143.jpg</t>
  </si>
  <si>
    <t>Belted_Kingfisher_0616.jpg</t>
  </si>
  <si>
    <t>Belted_Kingfisher_1425.jpg</t>
  </si>
  <si>
    <t>Belted_Kingfisher_6345.jpg</t>
  </si>
  <si>
    <t>Belted_Kingfisher_7254.jpg</t>
  </si>
  <si>
    <t>Belted_Kingfisher_9466.jpg</t>
  </si>
  <si>
    <t>Beryl-spangled_Tanager_3780.jpg</t>
  </si>
  <si>
    <t>Beryl-spangled_Tanager_5326.jpg</t>
  </si>
  <si>
    <t>Bicolored_Antbird_4097.jpg</t>
  </si>
  <si>
    <t>Bicolored_Antbird_8562.jpg</t>
  </si>
  <si>
    <t>Bicolored_Antbird_juvenile_4144.jpg</t>
  </si>
  <si>
    <t>Bicolored_Antpitta_3769.jpg</t>
  </si>
  <si>
    <t>Bicolored_Antpitta_4897.jpg</t>
  </si>
  <si>
    <t>Bicolored_Antpitta_4899.jpg</t>
  </si>
  <si>
    <t>Bicolored_Conebill_23112.jpg</t>
  </si>
  <si>
    <t>Bicolored_Wren_6107.jpg</t>
  </si>
  <si>
    <t>Bicolored_antbird_6272.jpg</t>
  </si>
  <si>
    <t>Black-and-white_Owl_6428.jpg</t>
  </si>
  <si>
    <t>Black-and-white_Warbler_0355.jpg</t>
  </si>
  <si>
    <t>Black-and-white_Warbler_1900.jpg</t>
  </si>
  <si>
    <t>Black-and-white_Warbler_2014-003.jpg</t>
  </si>
  <si>
    <t>Black-and-white_Warbler_20479.jpg</t>
  </si>
  <si>
    <t>Black-and-white_Warbler_2145.jpg</t>
  </si>
  <si>
    <t>Black-and-white_Warbler_2336.jpg</t>
  </si>
  <si>
    <t>Black-and-white_Warbler_2359.jpg</t>
  </si>
  <si>
    <t>Black-and-white_Warbler_4757.jpg</t>
  </si>
  <si>
    <t>Black-and-white_Warbler_4759.jpg</t>
  </si>
  <si>
    <t>Black-and-white_Warbler_7787.jpg</t>
  </si>
  <si>
    <t>Black-and-white_Warbler_8037.jpg</t>
  </si>
  <si>
    <t>Black-and-yellow_Silky-flycatcher_3856.jpg</t>
  </si>
  <si>
    <t>Black-backed_Antshrike_5924.jpg</t>
  </si>
  <si>
    <t>Black-backed_Antshrike_5928.jpg</t>
  </si>
  <si>
    <t>Black-backed_Grosbeak_4371.jpg</t>
  </si>
  <si>
    <t>Black-backed_Woodpecker_7099.jpg</t>
  </si>
  <si>
    <t>Black-bellied_Hummingbird_6284.jpg</t>
  </si>
  <si>
    <t>Black-bellied_Plover_1380.jpg</t>
  </si>
  <si>
    <t>Black-bellied_Plover_1817.jpg</t>
  </si>
  <si>
    <t>Black-bellied_Plover_20077.jpg</t>
  </si>
  <si>
    <t>Black-bellied_Plover_2240MF.jpg</t>
  </si>
  <si>
    <t>Black-bellied_Plover_6049.jpg</t>
  </si>
  <si>
    <t>Black-bellied_Plover_6218.jpg</t>
  </si>
  <si>
    <t>Black-bellied_Plover_6285.jpg</t>
  </si>
  <si>
    <t>Black-bellied_Plover_6932.jpg</t>
  </si>
  <si>
    <t>Black-bellied_Plover_6953.jpg</t>
  </si>
  <si>
    <t>Black-bellied_Whistling-Duck.jpg</t>
  </si>
  <si>
    <t>Black-bellied_Whistling-Duck_1058.jpg</t>
  </si>
  <si>
    <t>Black-bellied_Whistling-Duck_22291.jpg</t>
  </si>
  <si>
    <t>Black-bellied_Whistling-Duck_4437.jpg</t>
  </si>
  <si>
    <t>Black-bellied_Whistling-Duck_8237.jpg</t>
  </si>
  <si>
    <t>Black-bellied_Whistling-Duck_9985.jpg</t>
  </si>
  <si>
    <t>Black-billed_Mountain-toucan.jpg</t>
  </si>
  <si>
    <t>Black-billed_Mountain-toucan_5100.jpg</t>
  </si>
  <si>
    <t>Black-billed_Nightingale-Thrush_1757.jpg</t>
  </si>
  <si>
    <t>Black-billed_Shrike-Tyrant_6821.jpg</t>
  </si>
  <si>
    <t>Black-billed_Thrush_7171.jpg</t>
  </si>
  <si>
    <t>Black-billed_Thrush_7876.jpg</t>
  </si>
  <si>
    <t>Black-breasted_Puffbird_3915.jpg</t>
  </si>
  <si>
    <t>Black-breasted_Puffbird_6288.jpg</t>
  </si>
  <si>
    <t>Black-capped_Chickadee_9240.jpg</t>
  </si>
  <si>
    <t>Black-capped_Chickadee_9435.jpg</t>
  </si>
  <si>
    <t>Black-capped_Donacobius.jpg</t>
  </si>
  <si>
    <t>Black-capped_Tanager_3429.jpg</t>
  </si>
  <si>
    <t>Black-capped_Tanager_3585.jpg</t>
  </si>
  <si>
    <t>Black-capped_Tanager_5403.jpg</t>
  </si>
  <si>
    <t>Black-capped_Tyrannulet_5285.jpg</t>
  </si>
  <si>
    <t>Black-capped_chickadee_1730.jpg</t>
  </si>
  <si>
    <t>Black-capped_chickadee_9233.jpg</t>
  </si>
  <si>
    <t>Black-cheeked_Mountain_Tanager_23770.jpg</t>
  </si>
  <si>
    <t>Black-cheeked_Mountain_Tanager_23801.jpg</t>
  </si>
  <si>
    <t>Black-cheeked_Mountain_Tanager_23960.jpg</t>
  </si>
  <si>
    <t>Black-cheeked_Mountain_Tanager_3195MF.jpg</t>
  </si>
  <si>
    <t>Black-cheeked_Warbler_1656MF.jpg</t>
  </si>
  <si>
    <t>Black-cheeked_Warbler_6018.jpg</t>
  </si>
  <si>
    <t>Black-cheeked_Warbler_6068.jpg</t>
  </si>
  <si>
    <t>Black-cheeked_Woodpecker_1048.jpg</t>
  </si>
  <si>
    <t>Black-cheeked_Woodpecker_2579.jpg</t>
  </si>
  <si>
    <t>Black-cheeked_Woodpecker_3519.jpg</t>
  </si>
  <si>
    <t>Black-cheeked_Woodpecker_MF4122.jpg</t>
  </si>
  <si>
    <t>Black-chested_Buzzard-Eagle.jpg</t>
  </si>
  <si>
    <t>Black-chested_Buzzard-Eagle_3419.jpg</t>
  </si>
  <si>
    <t>Black-chested_Jay.jpg</t>
  </si>
  <si>
    <t>Black-chested_Jay_21139.jpg</t>
  </si>
  <si>
    <t>Black-chested_Jay_2901.jpg</t>
  </si>
  <si>
    <t>Black-collared_Barbet_6212.jpg</t>
  </si>
  <si>
    <t>Black-collared_Hawk_332.jpg</t>
  </si>
  <si>
    <t>Black-collared_Hawk_7329.jpg</t>
  </si>
  <si>
    <t>Black-cowled_Oriole_5972.jpg</t>
  </si>
  <si>
    <t>Black-crested_Antshrike_1899MF.jpg</t>
  </si>
  <si>
    <t>Black-crested_Antshrike_21464.jpg</t>
  </si>
  <si>
    <t>Black-crested_Antshrike_4757.jpg</t>
  </si>
  <si>
    <t>Black-crested_Coquette_6719.jpg</t>
  </si>
  <si>
    <t>Black-crested_Coquette_6751.jpg</t>
  </si>
  <si>
    <t>Black-crested_Coquette_MF4729.jpg</t>
  </si>
  <si>
    <t>Black-crested_Warbler.jpg</t>
  </si>
  <si>
    <t>Black-crowned_Antshrike_0062.jpg</t>
  </si>
  <si>
    <t>Black-crowned_Antshrike_5615.jpg</t>
  </si>
  <si>
    <t>Black-crowned_Night_Heron.jpg</t>
  </si>
  <si>
    <t>Black-crowned_Night_Heron_0117.jpg</t>
  </si>
  <si>
    <t>Black-crowned_Night_Heron_1693.jpg</t>
  </si>
  <si>
    <t>Black-crowned_Night_Heron_291.jpg</t>
  </si>
  <si>
    <t>Black-crowned_Night_Heron_4932.jpg</t>
  </si>
  <si>
    <t>Black-crowned_Night_Heron_6304.jpg</t>
  </si>
  <si>
    <t>Black-crowned_Night_Heron_9336.jpg</t>
  </si>
  <si>
    <t>Black-crowned_Tityra_0368.jpg</t>
  </si>
  <si>
    <t>Black-crowned_Tityra_1059.jpg</t>
  </si>
  <si>
    <t>Black-faced_Cuckooshrike_4219MF.jpg</t>
  </si>
  <si>
    <t>Black-faced_Grassquit_5032.jpg</t>
  </si>
  <si>
    <t>Black-faced_Grassquit_5590.jpg</t>
  </si>
  <si>
    <t>Black-faced_Grosbeak_5362.jpg</t>
  </si>
  <si>
    <t>Black-faced_Solitaire_2419.jpg</t>
  </si>
  <si>
    <t>Black-faced_Solitaire_8017.jpg</t>
  </si>
  <si>
    <t>Black-fronted_Bulbul_10.jpg</t>
  </si>
  <si>
    <t>Black-fronted_Bulbul_398.jpg</t>
  </si>
  <si>
    <t>Black-fronted_Dotterel_1733.jpg</t>
  </si>
  <si>
    <t>Black-fronted_Dotterel_3101MF.jpg</t>
  </si>
  <si>
    <t>Black-fronted_Dotterel_4865MF.jpg</t>
  </si>
  <si>
    <t>Black-fronted_Nunbird.jpg</t>
  </si>
  <si>
    <t>Black-headed_Heron_235.jpg</t>
  </si>
  <si>
    <t>Black-headed_Heron_6627.jpg</t>
  </si>
  <si>
    <t>Black-headed_Honeyeater_4234MF.jpg</t>
  </si>
  <si>
    <t>Black-headed_Nightingale-Thrush_4271.jpg</t>
  </si>
  <si>
    <t>Black-headed_Saltator.jpg</t>
  </si>
  <si>
    <t>Black-headed_Saltator_4078.jpg</t>
  </si>
  <si>
    <t>Black-headed_Tody-Flycatcher_20891.jpg</t>
  </si>
  <si>
    <t>Black-headed_Tody-Flycatcher_5675.jpg</t>
  </si>
  <si>
    <t>Black-hooded_Thrush_23395.jpg</t>
  </si>
  <si>
    <t>Black-legged_Kittiwake_9354.jpg</t>
  </si>
  <si>
    <t>Black-necked_Stilt_1305.jpg</t>
  </si>
  <si>
    <t>Black-necked_Stilt_2382MF.jpg</t>
  </si>
  <si>
    <t>Black-necked_Stilt_3580.jpg</t>
  </si>
  <si>
    <t>Black-necked_Stilt_4198MF.jpg</t>
  </si>
  <si>
    <t>Black-necked_Stilt_5528MF.jpg</t>
  </si>
  <si>
    <t>Black-necked_Stilt_6514.jpg</t>
  </si>
  <si>
    <t>Black-necked_Stilt_7264MF.jpg</t>
  </si>
  <si>
    <t>Black-shouldered_Kite_0113.jpg</t>
  </si>
  <si>
    <t>Black-striped_Sparrow_2078.jpg</t>
  </si>
  <si>
    <t>Black-striped_Sparrow_2603.jpg</t>
  </si>
  <si>
    <t>Black-striped_Sparrow_MF3160.jpg</t>
  </si>
  <si>
    <t>Black-striped_Woodcreeper_4534.jpg</t>
  </si>
  <si>
    <t>Black-tailed_Trainbearer.jpg</t>
  </si>
  <si>
    <t>Black-tailed_Trogon_2394.jpg</t>
  </si>
  <si>
    <t>Black-tailed_Trogon_9884.jpg</t>
  </si>
  <si>
    <t>Black-thighed_Grosbeak_1983.jpg</t>
  </si>
  <si>
    <t>Black-thighed_Grosbeak_6049.jpg</t>
  </si>
  <si>
    <t>Black-throated_Blue_Warbler_0127MF.jpg</t>
  </si>
  <si>
    <t>Black-throated_Blue_Warbler_0212.jpg</t>
  </si>
  <si>
    <t>Black-throated_Blue_Warbler_0866.jpg</t>
  </si>
  <si>
    <t>Black-throated_Blue_Warbler_1273MF.jpg</t>
  </si>
  <si>
    <t>Black-throated_Blue_Warbler_2063.jpg</t>
  </si>
  <si>
    <t>Black-throated_Blue_Warbler_4417MF.jpg</t>
  </si>
  <si>
    <t>Black-throated_Blue_Warbler_4528.jpg</t>
  </si>
  <si>
    <t>Black-throated_Blue_Warbler_4887.jpg</t>
  </si>
  <si>
    <t>Black-throated_Blue_Warbler_6270MF.jpg</t>
  </si>
  <si>
    <t>Black-throated_Blue_Warbler_CAO_2014-002.jpg</t>
  </si>
  <si>
    <t>Black-throated_Gray_Warbler_2441.jpg</t>
  </si>
  <si>
    <t>Black-throated_Gray_Warbler_2540.jpg</t>
  </si>
  <si>
    <t>Black-throated_Green_Warbler_0644MF.jpg</t>
  </si>
  <si>
    <t>Black-throated_Green_Warbler_1388MF.jpg</t>
  </si>
  <si>
    <t>Black-throated_Green_Warbler_2855.jpg</t>
  </si>
  <si>
    <t>Black-throated_Green_Warbler_3795.jpg</t>
  </si>
  <si>
    <t>Black-throated_Green_Warbler_4882.jpg</t>
  </si>
  <si>
    <t>Black-throated_Green_Warbler_6047MF.jpg</t>
  </si>
  <si>
    <t>Black-throated_Green_Warbler_8789.jpg</t>
  </si>
  <si>
    <t>Black-throated_Mango_0217.jpg</t>
  </si>
  <si>
    <t>Black-throated_Mango_0322.jpg</t>
  </si>
  <si>
    <t>Black-throated_Mango_6222.jpg</t>
  </si>
  <si>
    <t>Black-throated_Mango_7428.jpg</t>
  </si>
  <si>
    <t>Black-throated_Wren_6391.jpg</t>
  </si>
  <si>
    <t>Black-winged_Kite_8890.jpg</t>
  </si>
  <si>
    <t>Black-winged_Saltator_5685.jpg</t>
  </si>
  <si>
    <t>Black-winged_Stilt_-_Echasse_blanche_8415.jpg</t>
  </si>
  <si>
    <t>Black-winged_Stilt_-_Echasse_blanche_8459.jpg</t>
  </si>
  <si>
    <t>Black-winged_Stilt_-_Echasse_blanche_8687.jpg</t>
  </si>
  <si>
    <t>Black-winged_Stilt_254.jpg</t>
  </si>
  <si>
    <t>Black-winged_Stilt_7994.jpg</t>
  </si>
  <si>
    <t>Black_Crake_8948.jpg</t>
  </si>
  <si>
    <t>Black_Francolin_0753.jpg</t>
  </si>
  <si>
    <t>Black_Guillemot.jpg</t>
  </si>
  <si>
    <t>Black_Heron_-_Aigrette_ardoisee_9897.jpg</t>
  </si>
  <si>
    <t>Black_Heron_-_Aigrette_ardoisee_9920.jpg</t>
  </si>
  <si>
    <t>Black_Heron_-_Aigrette_ardoisee_9944.jpg</t>
  </si>
  <si>
    <t>Black_Heron_-_Aigrette_ardoisee_9956.jpg</t>
  </si>
  <si>
    <t>Black_Kite_-_Milan_noir_8495.jpg</t>
  </si>
  <si>
    <t>Black_Kite_-_Milan_noir_9152MF.jpg</t>
  </si>
  <si>
    <t>Black_Kite_-_Milan_noir_9158MF.jpg</t>
  </si>
  <si>
    <t>Black_Kite_1805.jpg</t>
  </si>
  <si>
    <t>Black_Kite_3594.jpg</t>
  </si>
  <si>
    <t>Black_Kite_9114.jpg</t>
  </si>
  <si>
    <t>Black_Oropendola_1577.jpg</t>
  </si>
  <si>
    <t>Black_Scoter_4029.jpg</t>
  </si>
  <si>
    <t>Black_Skimmer_0103.jpg</t>
  </si>
  <si>
    <t>Black_Skimmer_4818.jpg</t>
  </si>
  <si>
    <t>Black_Skimmer_6861.jpg</t>
  </si>
  <si>
    <t>Black_Swan_1578.jpg</t>
  </si>
  <si>
    <t>Black_Swan_3502MF.jpg</t>
  </si>
  <si>
    <t>Black_Swan_3640MF.jpg</t>
  </si>
  <si>
    <t>Black_Tern_1240.jpg</t>
  </si>
  <si>
    <t>Black_Tern_1406.jpg</t>
  </si>
  <si>
    <t>Black_Tern_1483.jpg</t>
  </si>
  <si>
    <t>Black_Turnstone_9643.jpg</t>
  </si>
  <si>
    <t>Black_Vulture.jpg</t>
  </si>
  <si>
    <t>Black_Vulture_213.jpg</t>
  </si>
  <si>
    <t>Black_Vulture_21834.jpg</t>
  </si>
  <si>
    <t>Black_Vulture_2205.jpg</t>
  </si>
  <si>
    <t>Black_Vulture_3766.jpg</t>
  </si>
  <si>
    <t>Black_Vulture_7095.jpg</t>
  </si>
  <si>
    <t>Blackburnian_Warbler_021.jpg</t>
  </si>
  <si>
    <t>Blackburnian_Warbler_0644.jpg</t>
  </si>
  <si>
    <t>Blackburnian_Warbler_1693.jpg</t>
  </si>
  <si>
    <t>Blackburnian_Warbler_2874.jpg</t>
  </si>
  <si>
    <t>Blackburnian_Warbler_3865.jpg</t>
  </si>
  <si>
    <t>Blackburnian_Warbler_5939MF.jpg</t>
  </si>
  <si>
    <t>Blackburnian_Warbler_6527.jpg</t>
  </si>
  <si>
    <t>Blackburnian_Warbler_8844.jpg</t>
  </si>
  <si>
    <t>Blackpoll_Warbler_0559.jpg</t>
  </si>
  <si>
    <t>Blackpoll_Warbler_0747.jpg</t>
  </si>
  <si>
    <t>Blackpoll_Warbler_0855.jpg</t>
  </si>
  <si>
    <t>Blackpoll_Warbler_2569.jpg</t>
  </si>
  <si>
    <t>Blackpoll_Warbler_9187.jpg</t>
  </si>
  <si>
    <t>Blacksmith_Lapwing_114.jpg</t>
  </si>
  <si>
    <t>Blacksmith_Lapwing_2158.jpg</t>
  </si>
  <si>
    <t>Blacksmith_Lapwing_277.jpg</t>
  </si>
  <si>
    <t>Blacksmith_Lapwing_347.jpg</t>
  </si>
  <si>
    <t>Blue-Gray_Tanager.jpg</t>
  </si>
  <si>
    <t>Blue-Gray_Tanager_1491.jpg</t>
  </si>
  <si>
    <t>Blue-Gray_Tanager_2155.jpg</t>
  </si>
  <si>
    <t>Blue-Gray_Tanager_2355.jpg</t>
  </si>
  <si>
    <t>Blue-and-Yellow_Macaw_4812.jpg</t>
  </si>
  <si>
    <t>Blue-and-black_Tanager_3131.jpg</t>
  </si>
  <si>
    <t>Blue-billed_Teal_9414.jpg</t>
  </si>
  <si>
    <t>Blue-black_Grassquit.jpg</t>
  </si>
  <si>
    <t>Blue-black_Grassquit_1563MF.jpg</t>
  </si>
  <si>
    <t>Blue-black_Grassquit_MF3705.jpg</t>
  </si>
  <si>
    <t>Blue-chested_Hummingbird_4704.jpg</t>
  </si>
  <si>
    <t>Blue-chested_Hummingbird_6340.jpg</t>
  </si>
  <si>
    <t>Blue-crowned_Parakeet_0619.jpg</t>
  </si>
  <si>
    <t>Blue-crowned_Parakeet_0638.jpg</t>
  </si>
  <si>
    <t>Blue-crowned_Parakeet_0652.jpg</t>
  </si>
  <si>
    <t>Blue-footed_Booby_230.jpg</t>
  </si>
  <si>
    <t>Blue-footed_Booby_56.jpg</t>
  </si>
  <si>
    <t>Blue-fronted_parrotlet_6194.jpg</t>
  </si>
  <si>
    <t>Blue-fronted_parrotlet_6203.jpg</t>
  </si>
  <si>
    <t>Blue-gray_Gnatcatcher._7332.jpg</t>
  </si>
  <si>
    <t>Blue-gray_Gnatcatcher_0494.jpg</t>
  </si>
  <si>
    <t>Blue-gray_Gnatcatcher_5534.jpg</t>
  </si>
  <si>
    <t>Blue-gray_Gnatcatcher_7039.jpg</t>
  </si>
  <si>
    <t>Blue-gray_Gnatcatcher_7391.jpg</t>
  </si>
  <si>
    <t>Blue-headed_Parrot_3841.jpg</t>
  </si>
  <si>
    <t>Blue-headed_Vireo_0665MF.jpg</t>
  </si>
  <si>
    <t>Blue-headed_Vireo_1261.jpg</t>
  </si>
  <si>
    <t>Blue-headed_Vireo_4307MF.jpg</t>
  </si>
  <si>
    <t>Blue-naped_Chlorophonia_4519.jpg</t>
  </si>
  <si>
    <t>Blue-naped_Chlorophonia_4574.jpg</t>
  </si>
  <si>
    <t>Blue-necked_Tanager_5621.jpg</t>
  </si>
  <si>
    <t>Blue-necked_Tanager_7294.jpg</t>
  </si>
  <si>
    <t>Blue-vented_Hummingbird_7600.jpg</t>
  </si>
  <si>
    <t>Blue-vented_Hummingbird_7705.jpg</t>
  </si>
  <si>
    <t>Blue-vented_Hummingbird_MF4814.jpg</t>
  </si>
  <si>
    <t>Blue-vented_Hummingbird_MF5401.jpg</t>
  </si>
  <si>
    <t>Blue-vented_Hummingbird_MF5435.jpg</t>
  </si>
  <si>
    <t>Blue-winged_Mountain_Tanager_3529.jpg</t>
  </si>
  <si>
    <t>Blue-winged_Parrot_3368MF.jpg</t>
  </si>
  <si>
    <t>Blue-winged_Teal_21134.jpg</t>
  </si>
  <si>
    <t>Blue-winged_Teal_3142.jpg</t>
  </si>
  <si>
    <t>Blue-winged_Teal_4070.jpg</t>
  </si>
  <si>
    <t>Blue-winged_Teal_6559.jpg</t>
  </si>
  <si>
    <t>Blue-winged_Teal_7012MF.jpg</t>
  </si>
  <si>
    <t>Blue-winged_Teal_9617.jpg</t>
  </si>
  <si>
    <t>Blue-winged_Warbler_4579.jpg</t>
  </si>
  <si>
    <t>Blue-winged_Warbler_4634MF.jpg</t>
  </si>
  <si>
    <t>Blue-winged_Warbler_8693.jpg</t>
  </si>
  <si>
    <t>Blue_Cotinga_1190.jpg</t>
  </si>
  <si>
    <t>Blue_Coua_-_Coua_bleu_8849MF.jpg</t>
  </si>
  <si>
    <t>Blue_Crane_140.jpg</t>
  </si>
  <si>
    <t>Blue_Dacnis_5954.jpg</t>
  </si>
  <si>
    <t>Blue_Grosbeak_MF6103.jpg</t>
  </si>
  <si>
    <t>Blue_Jay_0520.jpg</t>
  </si>
  <si>
    <t>Blue_Jay_4577.jpg</t>
  </si>
  <si>
    <t>Boat-billed_Flycatcher_0551.jpg</t>
  </si>
  <si>
    <t>Boat-billed_Flycatcher_20685.jpg</t>
  </si>
  <si>
    <t>Boat-billed_Flycatcher_21030.jpg</t>
  </si>
  <si>
    <t>Boat-billed_Flycatcher_4784.jpg</t>
  </si>
  <si>
    <t>Boat-billed_Flycatcher_4790.jpg</t>
  </si>
  <si>
    <t>Boat-billed_Heron_296.jpg</t>
  </si>
  <si>
    <t>Boat-billed_Heron_5622.jpg</t>
  </si>
  <si>
    <t>Boat-tailed_Grackle_1110.jpg</t>
  </si>
  <si>
    <t>Boat-tailed_Grackle_4496.jpg</t>
  </si>
  <si>
    <t>Bobolink_0123.jpg</t>
  </si>
  <si>
    <t>Bobolink_1515.jpg</t>
  </si>
  <si>
    <t>Bobolink_2014-004.jpg</t>
  </si>
  <si>
    <t>Brant_2014-033.jpg</t>
  </si>
  <si>
    <t>Bright-rumped_Attila.jpg</t>
  </si>
  <si>
    <t>Bright-rumped_Attila_3286.jpg</t>
  </si>
  <si>
    <t>Broad-billed_Motmot_2.jpg</t>
  </si>
  <si>
    <t>Broad-billed_Roller_9442.jpg</t>
  </si>
  <si>
    <t>Broad-billed_motmot-2.jpg</t>
  </si>
  <si>
    <t>Broad-billed_motmot.jpg</t>
  </si>
  <si>
    <t>Broad-winged_Hawk_1216.jpg</t>
  </si>
  <si>
    <t>Broad-winged_Hawk_2774MF.jpg</t>
  </si>
  <si>
    <t>Broad-winged_Hawk_7004.jpg</t>
  </si>
  <si>
    <t>Bronze-tailed_Plumeleteer_2635.jpg</t>
  </si>
  <si>
    <t>Bronze-tailed_Plumeleteer_5051.jpg</t>
  </si>
  <si>
    <t>Bronze-tailed_Thornbill_4766.jpg</t>
  </si>
  <si>
    <t>Bronze-tailed_Thornbill_4778.jpg</t>
  </si>
  <si>
    <t>Bronze-winged_Parrot_5174.jpg</t>
  </si>
  <si>
    <t>Bronzed_Cowbird_7276.jpg</t>
  </si>
  <si>
    <t>Brown-backed_Chat-Tyrant.jpg</t>
  </si>
  <si>
    <t>Brown-backed_Chat-tyrant_2527.jpg</t>
  </si>
  <si>
    <t>Brown-backed_Chat-tyrant_6058.jpg</t>
  </si>
  <si>
    <t>Brown-banded_Antpitta_3658.jpg</t>
  </si>
  <si>
    <t>Brown-banded_Antpitta_4850.jpg</t>
  </si>
  <si>
    <t>Brown-capped_Tyrannulet_9268.jpg</t>
  </si>
  <si>
    <t>Brown-capped_Vireo_319.jpg</t>
  </si>
  <si>
    <t>Brown-capped_Vireo_3567MF.jpg</t>
  </si>
  <si>
    <t>Brown-capped_Vireo_5951.jpg</t>
  </si>
  <si>
    <t>Brown-crested_Flycatcher_1552MF.jpg</t>
  </si>
  <si>
    <t>Brown-crested_Flycatcher_21219.jpg</t>
  </si>
  <si>
    <t>Brown-crested_Flycatcher_4399MF.jpg</t>
  </si>
  <si>
    <t>Brown-crested_Flycatcher_5270.jpg</t>
  </si>
  <si>
    <t>Brown-crested_Flycatcher_8305MF.jpg</t>
  </si>
  <si>
    <t>Brown-crested_Flycatcher_MF6358.jpg</t>
  </si>
  <si>
    <t>Brown-headed_Cowbird_0708.jpg</t>
  </si>
  <si>
    <t>Brown-headed_Cowbird_4455.jpg</t>
  </si>
  <si>
    <t>Brown-headed_Cowbird_4908.jpg</t>
  </si>
  <si>
    <t>Brown-headed_Cowbird_8652MF.jpg</t>
  </si>
  <si>
    <t>Brown-hooded_Kingfisher_7757.jpg</t>
  </si>
  <si>
    <t>Brown-hooded_Parrot_5504.jpg</t>
  </si>
  <si>
    <t>Brown-throated_Parakeet.jpg</t>
  </si>
  <si>
    <t>Brown-throated_Parakeet_22881.jpg</t>
  </si>
  <si>
    <t>Brown-throated_Parakeet_3239.jpg</t>
  </si>
  <si>
    <t>Brown-throated_Parakeet_5021.jpg</t>
  </si>
  <si>
    <t>Brown-throated_Parakeet_5060.jpg</t>
  </si>
  <si>
    <t>Brown_Booby_6812.jpg</t>
  </si>
  <si>
    <t>Brown_Creeper_1214MF.jpg</t>
  </si>
  <si>
    <t>Brown_Creeper_8548MF.jpg</t>
  </si>
  <si>
    <t>Brown_Cuckoo-Dove_8110.jpg</t>
  </si>
  <si>
    <t>Brown_Falcon_0173.jpg</t>
  </si>
  <si>
    <t>Brown_Jay_147.jpg</t>
  </si>
  <si>
    <t>Brown_Jay_4541.jpg</t>
  </si>
  <si>
    <t>Brown_Jay_5688.jpg</t>
  </si>
  <si>
    <t>Brown_Jay_7005.jpg</t>
  </si>
  <si>
    <t>Brown_Mesite_-_Mesite_unicolore_6283.jpg</t>
  </si>
  <si>
    <t>Brown_Pelican_5089MF.jpg</t>
  </si>
  <si>
    <t>Brown_Pelican_5258.jpg</t>
  </si>
  <si>
    <t>Brown_Pelican_6536.jpg</t>
  </si>
  <si>
    <t>Brown_Pelican_6919.jpg</t>
  </si>
  <si>
    <t>Brown_Pelican_9603.jpg</t>
  </si>
  <si>
    <t>Brown_Thornbill_0640.jpg</t>
  </si>
  <si>
    <t>Brown_Thornbill_2370.jpg</t>
  </si>
  <si>
    <t>Brown_Thornbill_3893MF.jpg</t>
  </si>
  <si>
    <t>Brown_Thornbill_7893.jpg</t>
  </si>
  <si>
    <t>Brown_Thrasher_0088.jpg</t>
  </si>
  <si>
    <t>Brown_Thrasher_0095.jpg</t>
  </si>
  <si>
    <t>Brown_Thrasher_4687MF.jpg</t>
  </si>
  <si>
    <t>Brown_Thrasher_4688MF.jpg</t>
  </si>
  <si>
    <t>Brown_Thrasher_5805MF.jpg</t>
  </si>
  <si>
    <t>Brown_Thrasher_9490.jpg</t>
  </si>
  <si>
    <t>Brown_Treecreeper_1100.jpg</t>
  </si>
  <si>
    <t>Brown_Violetear_23459.jpg</t>
  </si>
  <si>
    <t>Brown_Violetear_3783.jpg</t>
  </si>
  <si>
    <t>Brown_Violetear_4295.jpg</t>
  </si>
  <si>
    <t>Brown_Violetear_5484.jpg</t>
  </si>
  <si>
    <t>Brown_Violetear_MF3357.jpg</t>
  </si>
  <si>
    <t>Brown_creeper_9395.jpg</t>
  </si>
  <si>
    <t>Buff-breasted_Wren_21368.jpg</t>
  </si>
  <si>
    <t>Buff-fronted_Foliage-gleaner_5996.jpg</t>
  </si>
  <si>
    <t>Buff-fronted_Quail-Dove_2647.jpg</t>
  </si>
  <si>
    <t>Buff-necked_Ibis_2014-017.jpg</t>
  </si>
  <si>
    <t>Buff-rumped_Warbler_1137.jpg</t>
  </si>
  <si>
    <t>Buff-rumped_warbler_6276.jpg</t>
  </si>
  <si>
    <t>Buff-tailed_Coronet_3405.jpg</t>
  </si>
  <si>
    <t>Buff-throated_Saltator.jpg</t>
  </si>
  <si>
    <t>Buff-throated_Saltator_3575MF.jpg</t>
  </si>
  <si>
    <t>Buff-throated_Saltator_4170.jpg</t>
  </si>
  <si>
    <t>Buff-throated_Saltator_5240.jpg</t>
  </si>
  <si>
    <t>Buff-throated_Saltator_6462.jpg</t>
  </si>
  <si>
    <t>Buff-throated_Saltator_7864.jpg</t>
  </si>
  <si>
    <t>Buff-winged_Starfrontlet_2742.jpg</t>
  </si>
  <si>
    <t>Bufflehead_2195MF.jpg</t>
  </si>
  <si>
    <t>Buffy_Helmetcrest_2563.jpg</t>
  </si>
  <si>
    <t>Buffy_Hummingbird_5384.jpg</t>
  </si>
  <si>
    <t>Burrowing_Owl_2211.jpg</t>
  </si>
  <si>
    <t>Burrowing_Owl_2304.jpg</t>
  </si>
  <si>
    <t>Cackling_Goose_2047.jpg</t>
  </si>
  <si>
    <t>Cackling_Goose_9291.jpg</t>
  </si>
  <si>
    <t>California_Scrub-Jay_2135.jpg</t>
  </si>
  <si>
    <t>Canada_Goose_1313.jpg</t>
  </si>
  <si>
    <t>Canada_Goose_1441.jpg</t>
  </si>
  <si>
    <t>Canada_Goose_2719.jpg</t>
  </si>
  <si>
    <t>Canada_Goose_4668.jpg</t>
  </si>
  <si>
    <t>Canada_Goose_Flying.jpg</t>
  </si>
  <si>
    <t>Canada_Warbler.jpg</t>
  </si>
  <si>
    <t>Canada_Warbler_0425.jpg</t>
  </si>
  <si>
    <t>Canada_Warbler_1236.jpg</t>
  </si>
  <si>
    <t>Canada_Warbler_1983.jpg</t>
  </si>
  <si>
    <t>Canada_Warbler_5786.jpg</t>
  </si>
  <si>
    <t>Canada_Warbler_6188.jpg</t>
  </si>
  <si>
    <t>Canada_Warbler_9198.jpg</t>
  </si>
  <si>
    <t>Canada_Warbler_9217.jpg</t>
  </si>
  <si>
    <t>Canebrake_Wren_5221.jpg</t>
  </si>
  <si>
    <t>Canebrake_Wren_5229.jpg</t>
  </si>
  <si>
    <t>Canebrake_Wren_MF3670.jpg</t>
  </si>
  <si>
    <t>Cape_Bunting_51.jpg</t>
  </si>
  <si>
    <t>Cape_May_Warbler.jpg</t>
  </si>
  <si>
    <t>Cape_May_Warbler_0305.jpg</t>
  </si>
  <si>
    <t>Cape_May_Warbler_1169.jpg</t>
  </si>
  <si>
    <t>Cape_May_Warbler_2014-003.jpg</t>
  </si>
  <si>
    <t>Cape_May_Warbler_3159MF.jpg</t>
  </si>
  <si>
    <t>Cape_May_Warbler_3813.jpg</t>
  </si>
  <si>
    <t>Cape_May_Warbler_4871.jpg</t>
  </si>
  <si>
    <t>Cape_May_Warbler_4872.jpg</t>
  </si>
  <si>
    <t>Cape_May_Warbler_5958MF.jpg</t>
  </si>
  <si>
    <t>Cape_May_Warbler_6205MF.jpg</t>
  </si>
  <si>
    <t>Cape_May_Warbler_6496.jpg</t>
  </si>
  <si>
    <t>Cape_May_Warbler_7293.jpg</t>
  </si>
  <si>
    <t>Cape_May_Warbler_7352MF.jpg</t>
  </si>
  <si>
    <t>Cape_May_Warbler_7504.jpg</t>
  </si>
  <si>
    <t>Cape_May_Warbler_7710.jpg</t>
  </si>
  <si>
    <t>Cape_May_Warbler_9275.jpg</t>
  </si>
  <si>
    <t>Cape_Robin-Chat_2395.jpg</t>
  </si>
  <si>
    <t>Cape_Rock-thrush_3398.jpg</t>
  </si>
  <si>
    <t>Cape_Sparrow_163.jpg</t>
  </si>
  <si>
    <t>Cape_Starling_366.jpg</t>
  </si>
  <si>
    <t>Cape_Wagtail_2727.jpg</t>
  </si>
  <si>
    <t>Cape_Weaver_2441.jpg</t>
  </si>
  <si>
    <t>Cape_Weaver_2462.jpg</t>
  </si>
  <si>
    <t>Cape_Weaver_2465.jpg</t>
  </si>
  <si>
    <t>Cape_White-eye_2585.jpg</t>
  </si>
  <si>
    <t>Capped_Conebill.jpg</t>
  </si>
  <si>
    <t>Capped_Conebill_4101.jpg</t>
  </si>
  <si>
    <t>Cardinal_Woodpecker_2694.jpg</t>
  </si>
  <si>
    <t>Carib_Grackle_4924.jpg</t>
  </si>
  <si>
    <t>Carib_Grackle_6037.jpg</t>
  </si>
  <si>
    <t>Caribbean_Hornero_1779MF.jpg</t>
  </si>
  <si>
    <t>Caribbean_Hornero_21079.jpg</t>
  </si>
  <si>
    <t>Carolina_Wren_5546.jpg</t>
  </si>
  <si>
    <t>Carolina_Wren_6031.jpg</t>
  </si>
  <si>
    <t>Carolina_Wren_7554.jpg</t>
  </si>
  <si>
    <t>Carolina_Wren_8372.jpg</t>
  </si>
  <si>
    <t>Carunculated_Caracara_6695.jpg</t>
  </si>
  <si>
    <t>Carunculated_Caracara_6915.jpg</t>
  </si>
  <si>
    <t>Caspian_Tern_3365MF.jpg</t>
  </si>
  <si>
    <t>Caspian_Tern_3967.jpg</t>
  </si>
  <si>
    <t>Caspian_Tern_6522.jpg</t>
  </si>
  <si>
    <t>Caspian_Tern_7034MF.jpg</t>
  </si>
  <si>
    <t>Cattle_Tyrant_1494.jpg</t>
  </si>
  <si>
    <t>Cattle_Tyrant_22915.jpg</t>
  </si>
  <si>
    <t>Cattle_Tyrant_4095MF.jpg</t>
  </si>
  <si>
    <t>Cattle_Tyrant_4896.jpg</t>
  </si>
  <si>
    <t>Cedar_Waxwing.jpg</t>
  </si>
  <si>
    <t>Cedar_Waxwing_006.jpg</t>
  </si>
  <si>
    <t>Cedar_Waxwing_0585.jpg</t>
  </si>
  <si>
    <t>Cedar_Waxwing_0704MF.jpg</t>
  </si>
  <si>
    <t>Cedar_Waxwing_1667.jpg</t>
  </si>
  <si>
    <t>Cedar_Waxwing_3934.jpg</t>
  </si>
  <si>
    <t>Cerulean_Warbler_1164.jpg</t>
  </si>
  <si>
    <t>Cerulean_Warbler_1188.jpg</t>
  </si>
  <si>
    <t>Chabert_Vanga_-_Artamie_chabert_7037.jpg</t>
  </si>
  <si>
    <t>Chabert_Vanga_-_Artamie_chabert_7050.jpg</t>
  </si>
  <si>
    <t>Chabert_Vanga_-_Artamie_chabert_7854.jpg</t>
  </si>
  <si>
    <t>Chabert_Vanga_-_Artamie_chabert_7880-2.jpg</t>
  </si>
  <si>
    <t>Chabert_Vanga_-_Artamie_chabert_7880.jpg</t>
  </si>
  <si>
    <t>Chestnut-backed_Antbird_8666.jpg</t>
  </si>
  <si>
    <t>Chestnut-backed_Chickadee_-9108.jpg</t>
  </si>
  <si>
    <t>Chestnut-capped_Brushfinch_3426.jpg</t>
  </si>
  <si>
    <t>Chestnut-capped_Warbler.jpg</t>
  </si>
  <si>
    <t>Chestnut-capped_Warbler_23253.jpg</t>
  </si>
  <si>
    <t>Chestnut-capped_Warbler_3285MF.jpg</t>
  </si>
  <si>
    <t>Chestnut-capped_Warbler_3440MF.jpg</t>
  </si>
  <si>
    <t>Chestnut-capped_Warbler_5661.jpg</t>
  </si>
  <si>
    <t>Chestnut-capped_Warbler_5670.jpg</t>
  </si>
  <si>
    <t>Chestnut-colored_Woodpecker.jpg</t>
  </si>
  <si>
    <t>Chestnut-colored_Woodpecker_5643.jpg</t>
  </si>
  <si>
    <t>Chestnut-crowned_Antpitta_3585.jpg</t>
  </si>
  <si>
    <t>Chestnut-fronted_Macaw_8798MF.jpg</t>
  </si>
  <si>
    <t>Chestnut-fronted_Macaw_8815MF.jpg</t>
  </si>
  <si>
    <t>Chestnut-sided_Warbler-2.jpg</t>
  </si>
  <si>
    <t>Chestnut-sided_Warbler_2014-006.jpg</t>
  </si>
  <si>
    <t>Chestnut-sided_Warbler_3082.jpg</t>
  </si>
  <si>
    <t>Chestnut-sided_Warbler_3226MF.jpg</t>
  </si>
  <si>
    <t>Chestnut-sided_Warbler_3342.jpg</t>
  </si>
  <si>
    <t>Chestnut-sided_Warbler_3613MF.jpg</t>
  </si>
  <si>
    <t>Chestnut-sided_Warbler_3768.jpg</t>
  </si>
  <si>
    <t>Chestnut-sided_Warbler_4711MF.jpg</t>
  </si>
  <si>
    <t>Chestnut-sided_Warbler_4877.jpg</t>
  </si>
  <si>
    <t>Chestnut-sided_Warbler_5705.jpg</t>
  </si>
  <si>
    <t>Chestnut-sided_Warbler_7399.jpg</t>
  </si>
  <si>
    <t>Chestnut-sided_Warbler_8310.jpg</t>
  </si>
  <si>
    <t>Chestnut-sided_Warbler_8427.jpg</t>
  </si>
  <si>
    <t>Chestnut-sided_Warbler_8737.jpg</t>
  </si>
  <si>
    <t>Chestnut-winged_Chachalaca_21193.jpg</t>
  </si>
  <si>
    <t>Chestnut-winged_Cinclodes_6995.jpg</t>
  </si>
  <si>
    <t>Chestnut_Piculet_22941.jpg</t>
  </si>
  <si>
    <t>Chestnut_Piculet_22942.jpg</t>
  </si>
  <si>
    <t>Chestnut_Piculet_22949.jpg</t>
  </si>
  <si>
    <t>Chestnut_Teal_0027.jpg</t>
  </si>
  <si>
    <t>Chestnut_Teal_0985.jpg</t>
  </si>
  <si>
    <t>Chestnut_Teal_2864MF.jpg</t>
  </si>
  <si>
    <t>Chestnut_Teal_3120MF.jpg</t>
  </si>
  <si>
    <t>Chestnut_Teal_8178.jpg</t>
  </si>
  <si>
    <t>Chimney_Swift_4474.jpg</t>
  </si>
  <si>
    <t>Chimney_Swift_4508.jpg</t>
  </si>
  <si>
    <t>Chipping_Sparrow.jpg</t>
  </si>
  <si>
    <t>Chipping_Sparrow_0072MF.jpg</t>
  </si>
  <si>
    <t>Chipping_Sparrow_0898.jpg</t>
  </si>
  <si>
    <t>Chipping_Sparrow_3156MF.jpg</t>
  </si>
  <si>
    <t>Chipping_Sparrow_362.jpg</t>
  </si>
  <si>
    <t>Chipping_Sparrow_5434.jpg</t>
  </si>
  <si>
    <t>Chipping_Sparrow_6593MF.jpg</t>
  </si>
  <si>
    <t>Chipping_Sparrow_7139MF.jpg</t>
  </si>
  <si>
    <t>Chipping_Sparrow_7367MF.jpg</t>
  </si>
  <si>
    <t>Chipping_Sparrow_juvenile_1878.jpg</t>
  </si>
  <si>
    <t>Choco_Sirystes_1902.jpg</t>
  </si>
  <si>
    <t>Choco_Toucan_5625.jpg</t>
  </si>
  <si>
    <t>Choco_Warbler_5616.jpg</t>
  </si>
  <si>
    <t>Chukar_1486.jpg</t>
  </si>
  <si>
    <t>Cinereous_Becard_7272.jpg</t>
  </si>
  <si>
    <t>Cinnamon-bellied_Saltator_385.jpg</t>
  </si>
  <si>
    <t>Cinnamon-bellied_Saltator_6354.jpg</t>
  </si>
  <si>
    <t>Cinnamon-bellied_Saltator_MF3725.jpg</t>
  </si>
  <si>
    <t>Cinnamon_Becard.jpg</t>
  </si>
  <si>
    <t>Cinnamon_Becard_4738.jpg</t>
  </si>
  <si>
    <t>Cinnamon_Flycatcher_3905.jpg</t>
  </si>
  <si>
    <t>Cinnamon_Flycatcher_6847.jpg</t>
  </si>
  <si>
    <t>Cinnamon_Hummingbird_MF5934.jpg</t>
  </si>
  <si>
    <t>Cinnamon_Woodpecker_7634.jpg</t>
  </si>
  <si>
    <t>Cinnamon_Woodpecker_9338.jpg</t>
  </si>
  <si>
    <t>Clay-colored_Sparrow_1913.jpg</t>
  </si>
  <si>
    <t>Clay-colored_Sparrow_3824.jpg</t>
  </si>
  <si>
    <t>Clay-colored_Sparrow_7624.jpg</t>
  </si>
  <si>
    <t>Clay-colored_Thrush_1489.jpg</t>
  </si>
  <si>
    <t>Clay-colored_Thrush_1640.jpg</t>
  </si>
  <si>
    <t>Clay-colored_Thrush_21226.jpg</t>
  </si>
  <si>
    <t>Clay-colored_Thrush_3637.jpg</t>
  </si>
  <si>
    <t>Clay-colored_Thrush_5614.jpg</t>
  </si>
  <si>
    <t>Cliff_Swallow_2059.jpg</t>
  </si>
  <si>
    <t>Cocoa_Woodcreeper_20961.jpg</t>
  </si>
  <si>
    <t>Cocoa_Woodcreeper_2148.jpg</t>
  </si>
  <si>
    <t>Cocoa_Woodcreeper_3879.jpg</t>
  </si>
  <si>
    <t>Cocoa_Woodcreeper_4056.jpg</t>
  </si>
  <si>
    <t>Cocoa_Woodcreeper_6980.jpg</t>
  </si>
  <si>
    <t>Cocoa_Woodcreeper_9046.jpg</t>
  </si>
  <si>
    <t>Cocoa_woodcreeper_MF3137.jpg</t>
  </si>
  <si>
    <t>Cocoi_Heron_2014-019.jpg</t>
  </si>
  <si>
    <t>Cocoi_Heron_22085.jpg</t>
  </si>
  <si>
    <t>Collared_Aracari_2364.jpg</t>
  </si>
  <si>
    <t>Collared_Aracari_5835.jpg</t>
  </si>
  <si>
    <t>Collared_Inca_403.jpg</t>
  </si>
  <si>
    <t>Collared_Plover_8182.jpg</t>
  </si>
  <si>
    <t>Collared_Plover_MF5716.jpg</t>
  </si>
  <si>
    <t>Collared_Redstart_2764.jpg</t>
  </si>
  <si>
    <t>Collared_Redstart_5761.jpg</t>
  </si>
  <si>
    <t>Collared_Trogon-2.jpg</t>
  </si>
  <si>
    <t>Collared_Trogon-3.jpg</t>
  </si>
  <si>
    <t>Collared_aracari_3859.jpg</t>
  </si>
  <si>
    <t>Collared_trogon.jpg</t>
  </si>
  <si>
    <t>Common_Black_Hawk_1535.jpg</t>
  </si>
  <si>
    <t>Common_Black_Hawk_2734MF.jpg</t>
  </si>
  <si>
    <t>Common_Black_Hawk_6363.jpg</t>
  </si>
  <si>
    <t>Common_Black_Hawk_8116.jpg</t>
  </si>
  <si>
    <t>Common_Bronzewing_2259.jpg</t>
  </si>
  <si>
    <t>Common_Bulbul_1900.jpg</t>
  </si>
  <si>
    <t>Common_Bulbul_2863.jpg</t>
  </si>
  <si>
    <t>Common_Chlorospingus_4161.jpg</t>
  </si>
  <si>
    <t>Common_Eider_964.jpg</t>
  </si>
  <si>
    <t>Common_Gallinule_1426.jpg</t>
  </si>
  <si>
    <t>Common_Gallinule_1878.jpg</t>
  </si>
  <si>
    <t>Common_Gallinule_1948.jpg</t>
  </si>
  <si>
    <t>Common_Gallinule_21057.jpg</t>
  </si>
  <si>
    <t>Common_Gallinule_21388.jpg</t>
  </si>
  <si>
    <t>Common_Gallinule_3902.jpg</t>
  </si>
  <si>
    <t>Common_Gallinule_6922MF.jpg</t>
  </si>
  <si>
    <t>Common_Gallinule_7207MF.jpg</t>
  </si>
  <si>
    <t>Common_Gallinule_7229.jpg</t>
  </si>
  <si>
    <t>Common_Gallinule_9479MF.jpg</t>
  </si>
  <si>
    <t>Common_Gallinule_9835.jpg</t>
  </si>
  <si>
    <t>Common_Goldeneye_3991.jpg</t>
  </si>
  <si>
    <t>Common_Grackle_1539.jpg</t>
  </si>
  <si>
    <t>Common_Grackle_5867MF.jpg</t>
  </si>
  <si>
    <t>Common_Grackle_7956.jpg</t>
  </si>
  <si>
    <t>Common_Grackle_9221.jpg</t>
  </si>
  <si>
    <t>Common_Grackle_929.jpg</t>
  </si>
  <si>
    <t>Common_Ground_Dove_7944MF.jpg</t>
  </si>
  <si>
    <t>Common_Hoopoe_0454.jpg</t>
  </si>
  <si>
    <t>Common_Hoopoe_2915.jpg</t>
  </si>
  <si>
    <t>Common_Hoopoe_378.jpg</t>
  </si>
  <si>
    <t>Common_Jery_-_Petite_Eroesse_5254P.jpg</t>
  </si>
  <si>
    <t>Common_Loon_4945.jpg</t>
  </si>
  <si>
    <t>Common_Loon_8558.jpg</t>
  </si>
  <si>
    <t>Common_Myna_4594.jpg</t>
  </si>
  <si>
    <t>Common_Myna_7973.jpg</t>
  </si>
  <si>
    <t>Common_Myna_9599.jpg</t>
  </si>
  <si>
    <t>Common_Myna_9998.jpg</t>
  </si>
  <si>
    <t>Common_Newtonia_-_Newtonie_commune_5484.jpg</t>
  </si>
  <si>
    <t>Common_Ostrich_161.jpg</t>
  </si>
  <si>
    <t>Common_Ostrich_239.jpg</t>
  </si>
  <si>
    <t>Common_Ostrich_3048.jpg</t>
  </si>
  <si>
    <t>Common_Ostrich_9236.jpg</t>
  </si>
  <si>
    <t>Common_Potoo_4139.jpg</t>
  </si>
  <si>
    <t>Common_Potoo_4145.jpg</t>
  </si>
  <si>
    <t>Common_Potoo_6564.jpg</t>
  </si>
  <si>
    <t>Common_Sandpiper_-_Chevalier_guignette_5744.jpg</t>
  </si>
  <si>
    <t>Common_Sandpiper_7798.jpg</t>
  </si>
  <si>
    <t>Common_Squirrel-Cuckoo-2.jpg</t>
  </si>
  <si>
    <t>Common_Squirrel-Cuckoo.jpg</t>
  </si>
  <si>
    <t>Common_Squirrel-Cuckoo_2.jpg</t>
  </si>
  <si>
    <t>Common_Squirrel-Cuckoo_5859.jpg</t>
  </si>
  <si>
    <t>Common_Squirrel-Cuckoo_6708.jpg</t>
  </si>
  <si>
    <t>Common_Squirrel-Cuckoo_MF4957.jpg</t>
  </si>
  <si>
    <t>Common_Tern_1872MF.jpg</t>
  </si>
  <si>
    <t>Common_Tern_5212MF.jpg</t>
  </si>
  <si>
    <t>Common_Tody-Flycatcher_1443.jpg</t>
  </si>
  <si>
    <t>Common_Tody-Flycatcher_3031.jpg</t>
  </si>
  <si>
    <t>Common_Tody-Flycatcher_MF4353.jpg</t>
  </si>
  <si>
    <t>Common_Waxbill_0353.jpg</t>
  </si>
  <si>
    <t>Common_Yellowthroat.jpg</t>
  </si>
  <si>
    <t>Common_Yellowthroat_0247MF.jpg</t>
  </si>
  <si>
    <t>Common_Yellowthroat_0541.jpg</t>
  </si>
  <si>
    <t>Common_Yellowthroat_1723.jpg</t>
  </si>
  <si>
    <t>Common_Yellowthroat_2014-308.jpg</t>
  </si>
  <si>
    <t>Common_Yellowthroat_2233.jpg</t>
  </si>
  <si>
    <t>Common_Yellowthroat_2587.jpg</t>
  </si>
  <si>
    <t>Common_Yellowthroat_2600.jpg</t>
  </si>
  <si>
    <t>Common_Yellowthroat_2835.jpg</t>
  </si>
  <si>
    <t>Common_Yellowthroat_2843.jpg</t>
  </si>
  <si>
    <t>Common_Yellowthroat_4649.jpg</t>
  </si>
  <si>
    <t>Common_Yellowthroat_7081MF.jpg</t>
  </si>
  <si>
    <t>Common_Yellowthroat_7382.jpg</t>
  </si>
  <si>
    <t>Common_Yellowthroat_7916.jpg</t>
  </si>
  <si>
    <t>Common_Yellowthroat_7977.jpg</t>
  </si>
  <si>
    <t>Common_Yellowthroat_9759.jpg</t>
  </si>
  <si>
    <t>Common_Yellowthroat_FIXED.jpg</t>
  </si>
  <si>
    <t>Common_gallinule.jpg</t>
  </si>
  <si>
    <t>Common_merganser_0287.jpg</t>
  </si>
  <si>
    <t>Common_merganser_1631.jpg</t>
  </si>
  <si>
    <t>Common_merganser_1780.jpg</t>
  </si>
  <si>
    <t>Common_tern_1431.jpg</t>
  </si>
  <si>
    <t>Common_tern_8084.jpg</t>
  </si>
  <si>
    <t>Copper-rumped_Hummingbird_4089.jpg</t>
  </si>
  <si>
    <t>Coppery-headed_Emerald_3003MF.jpg</t>
  </si>
  <si>
    <t>Coppery-headed_Emerald_3026MF.jpg</t>
  </si>
  <si>
    <t>Coppery-headed_Emerald_6245.jpg</t>
  </si>
  <si>
    <t>Coppery-headed_Emerald_7146.jpg</t>
  </si>
  <si>
    <t>Coppery-tailed_Coucal_6450.jpg</t>
  </si>
  <si>
    <t>Coqui_Francolin_209.jpg</t>
  </si>
  <si>
    <t>Costa_Rican_Warbler_MF5574.jpg</t>
  </si>
  <si>
    <t>Crab-plover_-_Drome_ardeole_8100.jpg</t>
  </si>
  <si>
    <t>Crab-plover_-_Drome_ardeole_8126.jpg</t>
  </si>
  <si>
    <t>Crescent_Honeyeater_4676MF.jpg</t>
  </si>
  <si>
    <t>Crested_Barbet_7951.jpg</t>
  </si>
  <si>
    <t>Crested_Caracara_0828.jpg</t>
  </si>
  <si>
    <t>Crested_Caracara_21838.jpg</t>
  </si>
  <si>
    <t>Crested_Caracara_4917MF.jpg</t>
  </si>
  <si>
    <t>Crested_Caracara_5200.jpg</t>
  </si>
  <si>
    <t>Crested_Caracara_6546.jpg</t>
  </si>
  <si>
    <t>Crested_Caracara_7591MF.jpg</t>
  </si>
  <si>
    <t>Crested_Coua_-_Coua_huppe_0004.jpg</t>
  </si>
  <si>
    <t>Crested_Coua_-_Coua_huppe_9995.jpg</t>
  </si>
  <si>
    <t>Crested_Drongo_-_Drongo_malgache_5710.jpg</t>
  </si>
  <si>
    <t>Crested_Drongo_8741.jpg</t>
  </si>
  <si>
    <t>Crested_Drongo_8745.jpg</t>
  </si>
  <si>
    <t>Crested_Eagle_1995.jpg</t>
  </si>
  <si>
    <t>Crested_Eagle_2115.jpg</t>
  </si>
  <si>
    <t>Crested_Francolin_218.jpg</t>
  </si>
  <si>
    <t>Crested_Francolin_8914.jpg</t>
  </si>
  <si>
    <t>Crested_Guan_5364.jpg</t>
  </si>
  <si>
    <t>Crested_Guan_6644.jpg</t>
  </si>
  <si>
    <t>Crested_Guan_MF4789.jpg</t>
  </si>
  <si>
    <t>Crested_Oropendola.jpg</t>
  </si>
  <si>
    <t>Crested_Oropendola_1631MF.jpg</t>
  </si>
  <si>
    <t>Crested_Oropendola_20784.jpg</t>
  </si>
  <si>
    <t>Crested_Oropendola_2703.jpg</t>
  </si>
  <si>
    <t>Crested_Oropendola_3385.jpg</t>
  </si>
  <si>
    <t>Crested_Oropendola_4316.jpg</t>
  </si>
  <si>
    <t>Crested_Oropendola_4802.jpg</t>
  </si>
  <si>
    <t>Crested_Owl_4865.jpg</t>
  </si>
  <si>
    <t>Crested_Pigeon_2229.jpg</t>
  </si>
  <si>
    <t>Crimson-backed_Tanager_3586.jpg</t>
  </si>
  <si>
    <t>Crimson-backed_Tanager_3640.jpg</t>
  </si>
  <si>
    <t>Crimson-backed_Tanager_6362.jpg</t>
  </si>
  <si>
    <t>Crimson-backed_Tanager_7173.jpg</t>
  </si>
  <si>
    <t>Crimson-backed_Tanager_9924.jpg</t>
  </si>
  <si>
    <t>Crimson-breasted_Gonolek_399.jpg</t>
  </si>
  <si>
    <t>Crimson-breasted_Gonolek_52.jpg</t>
  </si>
  <si>
    <t>Crimson-collared_Tanager_7771.jpg</t>
  </si>
  <si>
    <t>Crimson-crested_Woodpecker.jpg</t>
  </si>
  <si>
    <t>Crimson-crested_Woodpecker_1653MF.jpg</t>
  </si>
  <si>
    <t>Crimson-crested_Woodpecker_1677.jpg</t>
  </si>
  <si>
    <t>Crimson-crested_Woodpecker_20841.jpg</t>
  </si>
  <si>
    <t>Crimson-crested_Woodpecker_4715.jpg</t>
  </si>
  <si>
    <t>Crimson-crested_Woodpecker_7577.jpg</t>
  </si>
  <si>
    <t>Crimson-crested_Woodpecker_8973.jpg</t>
  </si>
  <si>
    <t>Crimson-fronted_Parakeet_3882.jpg</t>
  </si>
  <si>
    <t>Crimson-mantled_Woodpecker.jpg</t>
  </si>
  <si>
    <t>Crimson-mantled_Woodpecker_3091.jpg</t>
  </si>
  <si>
    <t>Crimson-mantled_Woodpecker_3949.jpg</t>
  </si>
  <si>
    <t>Crimson-mantled_Woodpecker_5332.jpg</t>
  </si>
  <si>
    <t>Crimson-rumped_Toucanet_3434.jpg</t>
  </si>
  <si>
    <t>Crimson_Rosella_1048.jpg</t>
  </si>
  <si>
    <t>Crimson_Rosella_2320.jpg</t>
  </si>
  <si>
    <t>Crimson_Rosella_2500MF.jpg</t>
  </si>
  <si>
    <t>Crimson_Rosella_7870.jpg</t>
  </si>
  <si>
    <t>Crowned_Hornbill_3577.jpg</t>
  </si>
  <si>
    <t>Crowned_Lapwing_193.jpg</t>
  </si>
  <si>
    <t>Crowned_Lapwing_9216.jpg</t>
  </si>
  <si>
    <t>Crowned_Woodnymph_24019.jpg</t>
  </si>
  <si>
    <t>Crowned_Woodnymph_3420MF.jpg</t>
  </si>
  <si>
    <t>Crowned_Woodnymph_4073.jpg</t>
  </si>
  <si>
    <t>Crowned_Woodnymph_4275.jpg</t>
  </si>
  <si>
    <t>Crowned_Woodnymph_4462MF.jpg</t>
  </si>
  <si>
    <t>Crowned_Woodnymph_6057.jpg</t>
  </si>
  <si>
    <t>Crowned_Woodnymph_6220.jpg</t>
  </si>
  <si>
    <t>Cuckoo-roller_-_Courol_vouroudriou_6473.jpg</t>
  </si>
  <si>
    <t>Curlew_Sandpiper_-_Becasseau_cocorli_8704.jpg</t>
  </si>
  <si>
    <t>Curlew_Sandpiper_3548MF.jpg</t>
  </si>
  <si>
    <t>Dark-eyed_Junco_9083.jpg</t>
  </si>
  <si>
    <t>Dark_Pewee_2827.jpg</t>
  </si>
  <si>
    <t>Dollarbird.jpg</t>
  </si>
  <si>
    <t>Dot-winged_Antwren_4410.jpg</t>
  </si>
  <si>
    <t>Dot-winged_antwren_4778.jpg</t>
  </si>
  <si>
    <t>Dot-winged_antwren_4788.jpg</t>
  </si>
  <si>
    <t>Dot-winged_antwren_4791.jpg</t>
  </si>
  <si>
    <t>Double-banded_Sandgrouse_9819.jpg</t>
  </si>
  <si>
    <t>Double-crested_Cormorant.jpg</t>
  </si>
  <si>
    <t>Double-crested_Cormorant_0338.jpg</t>
  </si>
  <si>
    <t>Double-crested_Cormorant_0346.jpg</t>
  </si>
  <si>
    <t>Double-crested_Cormorant_1592.jpg</t>
  </si>
  <si>
    <t>Double-crested_Cormorant_6038MF.jpg</t>
  </si>
  <si>
    <t>Double-crested_Cormorant_8390MF.jpg</t>
  </si>
  <si>
    <t>Double-crested_Cormorant_8839.jpg</t>
  </si>
  <si>
    <t>Double-crested_Cormorant_9752MF.jpg</t>
  </si>
  <si>
    <t>Double-crested_cormorant-2.jpg</t>
  </si>
  <si>
    <t>Double-striped_Thick-knee_6686.jpg</t>
  </si>
  <si>
    <t>Double-striped_Thick-knee_8147.jpg</t>
  </si>
  <si>
    <t>Double-striped_Thick-knee_MF5789.jpg</t>
  </si>
  <si>
    <t>Downy_Woodpecker_1487.jpg</t>
  </si>
  <si>
    <t>Downy_Woodpecker_4115.jpg</t>
  </si>
  <si>
    <t>Dull-colored_Grassquit_2975MF.jpg</t>
  </si>
  <si>
    <t>Dull-mantled_Antbird_6580.jpg</t>
  </si>
  <si>
    <t>Dunlin_20033.jpg</t>
  </si>
  <si>
    <t>Dunlin_2697.jpg</t>
  </si>
  <si>
    <t>Dunlin_2705.jpg</t>
  </si>
  <si>
    <t>Dunlin_5556MF.jpg</t>
  </si>
  <si>
    <t>Dunlin_6120.jpg</t>
  </si>
  <si>
    <t>Dunlin_7676.jpg</t>
  </si>
  <si>
    <t>Dunlin_7963.jpg</t>
  </si>
  <si>
    <t>Dusky-backed_Jacamar_0865.jpg</t>
  </si>
  <si>
    <t>Dusky-capped_Flycatcher_1641.jpg</t>
  </si>
  <si>
    <t>Dusky-capped_Flycatcher_3911MF.jpg</t>
  </si>
  <si>
    <t>Dusky-capped_Flycatcher_4037.jpg</t>
  </si>
  <si>
    <t>Dusky-capped_Flycatcher_4109.jpg</t>
  </si>
  <si>
    <t>Dusky-capped_Flycatcher_6167.jpg</t>
  </si>
  <si>
    <t>Dusky-faced_Tanager.jpg</t>
  </si>
  <si>
    <t>Dusky_Antbird_5747-Dusky_Antbird_5747.jpg</t>
  </si>
  <si>
    <t>Dusky_Moorhen_8123.jpg</t>
  </si>
  <si>
    <t>Dusky_Moorhen_8909.jpg</t>
  </si>
  <si>
    <t>Dusky_Robin_4193MF.jpg</t>
  </si>
  <si>
    <t>Eared_Dove_5733.jpg</t>
  </si>
  <si>
    <t>Eared_Dove_5927.jpg</t>
  </si>
  <si>
    <t>Eared_Dove_6112.jpg</t>
  </si>
  <si>
    <t>Eastern_Bluebird_4094.jpg</t>
  </si>
  <si>
    <t>Eastern_Bluebird_5584.jpg</t>
  </si>
  <si>
    <t>Eastern_Cattle-egret_269.jpg</t>
  </si>
  <si>
    <t>Eastern_Cattle-egret_4338.jpg</t>
  </si>
  <si>
    <t>Eastern_Cattle-egret_7049MF.jpg</t>
  </si>
  <si>
    <t>Eastern_Cattle-egret_8482.jpg</t>
  </si>
  <si>
    <t>Eastern_Cattle-egret_9586.jpg</t>
  </si>
  <si>
    <t>Eastern_Cattle-egret_9859.jpg</t>
  </si>
  <si>
    <t>Eastern_Kingbird.jpg</t>
  </si>
  <si>
    <t>Eastern_Kingbird_0329.jpg</t>
  </si>
  <si>
    <t>Eastern_Kingbird_0572.jpg</t>
  </si>
  <si>
    <t>Eastern_Kingbird_1209.jpg</t>
  </si>
  <si>
    <t>Eastern_Kingbird_1386.jpg</t>
  </si>
  <si>
    <t>Eastern_Kingbird_1785.jpg</t>
  </si>
  <si>
    <t>Eastern_Kingbird_2647.jpg</t>
  </si>
  <si>
    <t>Eastern_Kingbird_5944MF.jpg</t>
  </si>
  <si>
    <t>Eastern_Kingbird_7250.jpg</t>
  </si>
  <si>
    <t>Eastern_Kingbird_7557.jpg</t>
  </si>
  <si>
    <t>Eastern_Kingbird_8511MF.jpg</t>
  </si>
  <si>
    <t>Eastern_Meadowlark_0890.jpg</t>
  </si>
  <si>
    <t>Eastern_Meadowlark_2034MF.jpg</t>
  </si>
  <si>
    <t>Eastern_Meadowlark_21774.jpg</t>
  </si>
  <si>
    <t>Eastern_Meadowlark_3063.jpg</t>
  </si>
  <si>
    <t>Eastern_Phoebe_20437.jpg</t>
  </si>
  <si>
    <t>Eastern_Phoebe_2317.jpg</t>
  </si>
  <si>
    <t>Eastern_Phoebe_2919.jpg</t>
  </si>
  <si>
    <t>Eastern_Phoebe_7742.jpg</t>
  </si>
  <si>
    <t>Eastern_Phoebe_7965MF.jpg</t>
  </si>
  <si>
    <t>Eastern_Phoebe_8986.jpg</t>
  </si>
  <si>
    <t>Eastern_Rosella_3797MF.jpg</t>
  </si>
  <si>
    <t>Eastern_Rosella_8932.jpg</t>
  </si>
  <si>
    <t>Eastern_Screech-Owl_1280.jpg</t>
  </si>
  <si>
    <t>Eastern_Screech-Owl_4214MF.jpg</t>
  </si>
  <si>
    <t>Eastern_Screech-Owl_4236MF.jpg</t>
  </si>
  <si>
    <t>Eastern_Spinebill_7836.jpg</t>
  </si>
  <si>
    <t>Eastern_Spinebill_9329.jpg</t>
  </si>
  <si>
    <t>Eastern_Towhee_4438MF.jpg</t>
  </si>
  <si>
    <t>Eastern_Towhee_9624.jpg</t>
  </si>
  <si>
    <t>Eastern_Warbling_Vireo_0270.jpg</t>
  </si>
  <si>
    <t>Eastern_Warbling_Vireo_0573MF.jpg</t>
  </si>
  <si>
    <t>Eastern_Warbling_Vireo_0653.jpg</t>
  </si>
  <si>
    <t>Eastern_Warbling_Vireo_1877.jpg</t>
  </si>
  <si>
    <t>Eastern_Warbling_Vireo_4410MF.jpg</t>
  </si>
  <si>
    <t>Eastern_Warbling_Vireo_5008MF.jpg</t>
  </si>
  <si>
    <t>Eastern_Warbling_Vireo_5853MF.jpg</t>
  </si>
  <si>
    <t>Eastern_Warbling_Vireo_6874.jpg</t>
  </si>
  <si>
    <t>Eastern_Warbling_Vireo_7225MF.jpg</t>
  </si>
  <si>
    <t>Eastern_Warbling_vireo_3947MF.jpg</t>
  </si>
  <si>
    <t>Eastern_Whip-poor-will_4335MF.jpg</t>
  </si>
  <si>
    <t>Eastern_Whip-poor-will_6802.jpg</t>
  </si>
  <si>
    <t>Eastern_Whip-poor-will_7482.jpg</t>
  </si>
  <si>
    <t>Eastern_Wood-Pewee.jpg</t>
  </si>
  <si>
    <t>Eastern_Wood-Pewee_0687.jpg</t>
  </si>
  <si>
    <t>Eastern_Wood-Pewee_1713.jpg</t>
  </si>
  <si>
    <t>Eastern_Wood-Pewee_1900.jpg</t>
  </si>
  <si>
    <t>Eastern_Wood-Pewee_2262.jpg</t>
  </si>
  <si>
    <t>Eastern_Wood-Pewee_2792.jpg</t>
  </si>
  <si>
    <t>Eastern_Wood-Pewee_7812.jpg</t>
  </si>
  <si>
    <t>Eastern_Wood-Pewee_7831.jpg</t>
  </si>
  <si>
    <t>Eastern_Yellow_Robin.jpg</t>
  </si>
  <si>
    <t>Ecuadorian_Hillstar_6841.jpg</t>
  </si>
  <si>
    <t>Ecuadorian_Hillstar_7082.jpg</t>
  </si>
  <si>
    <t>Ecuadorian_Thrush_5574.jpg</t>
  </si>
  <si>
    <t>Egyptian_Goose_161.jpg</t>
  </si>
  <si>
    <t>Egyptian_Goose_2607.jpg</t>
  </si>
  <si>
    <t>Egyptian_Goose_355.jpg</t>
  </si>
  <si>
    <t>Emerald-spotted_Wood-Dove_9196.jpg</t>
  </si>
  <si>
    <t>Emerald_Tanager.jpg</t>
  </si>
  <si>
    <t>Emerald_Tanager_3738MF.jpg</t>
  </si>
  <si>
    <t>Emu_9743.jpg</t>
  </si>
  <si>
    <t>Emu_9889DR.jpg</t>
  </si>
  <si>
    <t>Equatorial_Antpitta_3347.jpg</t>
  </si>
  <si>
    <t>Eurasian_Blackbird_0288.jpg</t>
  </si>
  <si>
    <t>Eurasian_Blackbird_2250.jpg</t>
  </si>
  <si>
    <t>Eurasian_Collared-Dove_4624.jpg</t>
  </si>
  <si>
    <t>Eurasian_Collared-Dove_7578.jpg</t>
  </si>
  <si>
    <t>Eurasian_Moorhen_0041.jpg</t>
  </si>
  <si>
    <t>Eurasian_Moorhen_0050.jpg</t>
  </si>
  <si>
    <t>Eurasian_Moorhen_9611.jpg</t>
  </si>
  <si>
    <t>Eurasian_Skylark_0865.jpg</t>
  </si>
  <si>
    <t>Eurasian_Skylark_3439MF.jpg</t>
  </si>
  <si>
    <t>Eurasian_Whimbrel_1453.jpg</t>
  </si>
  <si>
    <t>Eurasian_Whimbrel_2090MF.jpg</t>
  </si>
  <si>
    <t>Eurasian_Whimbrel_3575.jpg</t>
  </si>
  <si>
    <t>Eurasian_Whimbrel_7275.jpg</t>
  </si>
  <si>
    <t>Eurasian_Whimbrel_7280.jpg</t>
  </si>
  <si>
    <t>Eurasian_Whimbrel_9624.jpg</t>
  </si>
  <si>
    <t>Eurasian_Wigeon.jpg</t>
  </si>
  <si>
    <t>European_Goldfinch_2254.jpg</t>
  </si>
  <si>
    <t>European_Starling_4909MF.jpg</t>
  </si>
  <si>
    <t>Eye-ringed_Flatbill_8079.jpg</t>
  </si>
  <si>
    <t>Eye-ringed_Flatbill_8080.jpg</t>
  </si>
  <si>
    <t>Eye-ringed_Flatbill_MF5583.jpg</t>
  </si>
  <si>
    <t>Familiar_Chat_2701.jpg</t>
  </si>
  <si>
    <t>Familiar_Chat_6347.jpg</t>
  </si>
  <si>
    <t>Fan-tailed_Cuckoo_3214MF.jpg</t>
  </si>
  <si>
    <t>Fan-tailed_Cuckoo_3695MF.jpg</t>
  </si>
  <si>
    <t>Fasciated_Antshrike_4826.jpg</t>
  </si>
  <si>
    <t>Fasciated_Antshrike_5528.jpg</t>
  </si>
  <si>
    <t>Fawn-breasted_Brilliant_6477.jpg</t>
  </si>
  <si>
    <t>Ferruginous_Pygmy-Owl_1707.jpg</t>
  </si>
  <si>
    <t>Ferruginous_Pygmy-Owl_4023MF.jpg</t>
  </si>
  <si>
    <t>Ferruginous_Pygmy-Owl_4920.jpg</t>
  </si>
  <si>
    <t>Field_Sparrow_0039MF.jpg</t>
  </si>
  <si>
    <t>Field_Sparrow_1901.jpg</t>
  </si>
  <si>
    <t>Field_Sparrow_5175.jpg</t>
  </si>
  <si>
    <t>Fiery-throated_Hummingbird_1867.jpg</t>
  </si>
  <si>
    <t>Fiery-throated_Hummingbird_MF2206.jpg</t>
  </si>
  <si>
    <t>Flame-colored_Tanager_2477.jpg</t>
  </si>
  <si>
    <t>Flame-colored_Tanager_3790.jpg</t>
  </si>
  <si>
    <t>Flame-colored_Tanager_5811.jpg</t>
  </si>
  <si>
    <t>Flame-faced_Tanager_4547.jpg</t>
  </si>
  <si>
    <t>Flame-rumped_Tanager_1451.jpg</t>
  </si>
  <si>
    <t>Flame-rumped_Tanager_2237.jpg</t>
  </si>
  <si>
    <t>Flame-rumped_Tanager_4551.jpg</t>
  </si>
  <si>
    <t>Flame-rumped_Tanager_6350.jpg</t>
  </si>
  <si>
    <t>Flame-throated_Warbler_1373MF.jpg</t>
  </si>
  <si>
    <t>Flame-throated_Warbler_3794.jpg</t>
  </si>
  <si>
    <t>Flame-throated_Warbler_MF2947.jpg</t>
  </si>
  <si>
    <t>Flame_Robin_4539MF.jpg</t>
  </si>
  <si>
    <t>Forest_Elaenia_0559.jpg</t>
  </si>
  <si>
    <t>Forest_Rock-thrush_-_Monticole_de_foret_5894.jpg</t>
  </si>
  <si>
    <t>Fork-tailed_Drongo_255.jpg</t>
  </si>
  <si>
    <t>Fork-tailed_Drongo_367.jpg</t>
  </si>
  <si>
    <t>Fork-tailed_Drongo_8154.jpg</t>
  </si>
  <si>
    <t>Fork-tailed_Flycatcher_0583.jpg</t>
  </si>
  <si>
    <t>Fork-tailed_Flycatcher_21809.jpg</t>
  </si>
  <si>
    <t>Forty-spotted_Pardalote_4273MF.jpg</t>
  </si>
  <si>
    <t>Fox_Sparrow_6337.jpg</t>
  </si>
  <si>
    <t>Fox_Sparrow_9183.jpg</t>
  </si>
  <si>
    <t>Fulvous-vented_Euphonia_6192.jpg</t>
  </si>
  <si>
    <t>Fulvous_Whistling-Duck_21195.jpg</t>
  </si>
  <si>
    <t>Fulvous_Whistling-Duck_21465.jpg</t>
  </si>
  <si>
    <t>Gabar_Goshawk_342.jpg</t>
  </si>
  <si>
    <t>Gabon_Boubou_0503.jpg</t>
  </si>
  <si>
    <t>Gadwall_1196.jpg</t>
  </si>
  <si>
    <t>Gadwall_1290MF.jpg</t>
  </si>
  <si>
    <t>Gadwall_5541MF.jpg</t>
  </si>
  <si>
    <t>Gadwall_7265.jpg</t>
  </si>
  <si>
    <t>Galah_0348.jpg</t>
  </si>
  <si>
    <t>Galah_3750MF.jpg</t>
  </si>
  <si>
    <t>Galah_9715.jpg</t>
  </si>
  <si>
    <t>Galapagos_Dove_52.jpg</t>
  </si>
  <si>
    <t>Galapagos_Hawk.jpg</t>
  </si>
  <si>
    <t>Galapagos_Penguin_206.jpg</t>
  </si>
  <si>
    <t>Galapagos_mockingbird_26.jpg</t>
  </si>
  <si>
    <t>Gang-gang_Cockatoo_3141MF.jpg</t>
  </si>
  <si>
    <t>Gang-gang_Cockatoo_9767.jpg</t>
  </si>
  <si>
    <t>Gartered_Violaceous_Trogon_5571.jpg</t>
  </si>
  <si>
    <t>Gartered_Violaceous_Trogon_7458.jpg</t>
  </si>
  <si>
    <t>Gartered_Violaceous_Trogon_9000.jpg</t>
  </si>
  <si>
    <t>Giant_Coua_-_Coua_geant_6295.jpg</t>
  </si>
  <si>
    <t>Giant_Coua_-_Coua_geant_6302.jpg</t>
  </si>
  <si>
    <t>Giant_Cowbird_21971.jpg</t>
  </si>
  <si>
    <t>Giant_Kingfisher_6914.jpg</t>
  </si>
  <si>
    <t>Giant_hummingbird_7138.jpg</t>
  </si>
  <si>
    <t>Glaucous-winged_Gull_8615.jpg</t>
  </si>
  <si>
    <t>Glaucous_Tanager_21325.jpg</t>
  </si>
  <si>
    <t>Glistening-green_Tanager_4543.jpg</t>
  </si>
  <si>
    <t>Glossy_Ibis_0991.jpg</t>
  </si>
  <si>
    <t>Glossy_Ibis_1627.jpg</t>
  </si>
  <si>
    <t>Glossy_Ibis_1649.jpg</t>
  </si>
  <si>
    <t>Glossy_Ibis_21073.jpg</t>
  </si>
  <si>
    <t>Glossy_Ibis_3106.jpg</t>
  </si>
  <si>
    <t>Glossy_Ibis_349.jpg</t>
  </si>
  <si>
    <t>Glossy_Ibis_349g.jpg</t>
  </si>
  <si>
    <t>Glossy_Ibis_4576.jpg</t>
  </si>
  <si>
    <t>Glossy_Ibis_9708.jpg</t>
  </si>
  <si>
    <t>Glossy_Ibis_9792.jpg</t>
  </si>
  <si>
    <t>Glossy_Ibis_9877.jpg</t>
  </si>
  <si>
    <t>Glowing_Puffleg_4729.jpg</t>
  </si>
  <si>
    <t>Golden-bellied_Flycatcher_24070.jpg</t>
  </si>
  <si>
    <t>Golden-bellied_Flycatcher_2933.jpg</t>
  </si>
  <si>
    <t>Golden-bellied_Flycatcher_2972.jpg</t>
  </si>
  <si>
    <t>Golden-browed_Chlorophonia_2719.jpg</t>
  </si>
  <si>
    <t>Golden-collared_Honeycreeper_4480.jpg</t>
  </si>
  <si>
    <t>Golden-collared_Manakin.jpg</t>
  </si>
  <si>
    <t>Golden-collared_Manakin_0753.jpg</t>
  </si>
  <si>
    <t>Golden-collared_Manakin_9725.jpg</t>
  </si>
  <si>
    <t>Golden-crowned_Kinglet_7089.jpg</t>
  </si>
  <si>
    <t>Golden-crowned_Kinglet_7092.jpg</t>
  </si>
  <si>
    <t>Golden-crowned_Sparrow_2122.jpg</t>
  </si>
  <si>
    <t>Golden-faced_Tyrannulet_23211.jpg</t>
  </si>
  <si>
    <t>Golden-faced_Tyrannulet_4150.jpg</t>
  </si>
  <si>
    <t>Golden-faced_Tyrannulet_4421.jpg</t>
  </si>
  <si>
    <t>Golden-fronted_Greenlet_0425.jpg</t>
  </si>
  <si>
    <t>Golden-fronted_Redstart.jpg</t>
  </si>
  <si>
    <t>Golden-fronted_Redstart_3796.jpg</t>
  </si>
  <si>
    <t>Golden-fronted_Redstart_5172.jpg</t>
  </si>
  <si>
    <t>Golden-green_Woodpecker_0601.jpg</t>
  </si>
  <si>
    <t>Golden-green_Woodpecker_23093.jpg</t>
  </si>
  <si>
    <t>Golden-headed_Manakin_1274.jpg</t>
  </si>
  <si>
    <t>Golden-headed_Manakin_5296.jpg</t>
  </si>
  <si>
    <t>Golden-hooded_Tanager.jpg</t>
  </si>
  <si>
    <t>Golden-hooded_Tanager_3557MF.jpg</t>
  </si>
  <si>
    <t>Golden-hooded_Tanager_3608MF.jpg</t>
  </si>
  <si>
    <t>Golden-hooded_Tanager_4014.jpg</t>
  </si>
  <si>
    <t>Golden-naped_Tanager_4604.jpg</t>
  </si>
  <si>
    <t>Golden-olive_Woodpecker_24091.jpg</t>
  </si>
  <si>
    <t>Golden-olive_Woodpecker_5963.jpg</t>
  </si>
  <si>
    <t>Golden-olive_Woodpecker_6640.jpg</t>
  </si>
  <si>
    <t>Golden-olive_Woodpecker_7039.jpg</t>
  </si>
  <si>
    <t>Golden-plumed_Parakeet_4802.jpg</t>
  </si>
  <si>
    <t>Golden-plumed_Parakeet_6146.jpg</t>
  </si>
  <si>
    <t>Golden-winged_Warbler_0325.jpg</t>
  </si>
  <si>
    <t>Golden-winged_Warbler_0516.jpg</t>
  </si>
  <si>
    <t>Golden-winged_Warbler_4146.jpg</t>
  </si>
  <si>
    <t>Golden-winged_Warbler_4162.jpg</t>
  </si>
  <si>
    <t>Golden-winged_Warbler_5834.jpg</t>
  </si>
  <si>
    <t>Golden_Grosbeak_2752.jpg</t>
  </si>
  <si>
    <t>Golden_Grosbeak_2904.jpg</t>
  </si>
  <si>
    <t>Golden_Whistler_5293MF.jpg</t>
  </si>
  <si>
    <t>Golden_tanager_3717.jpg</t>
  </si>
  <si>
    <t>Goliath_Heron_1984.jpg</t>
  </si>
  <si>
    <t>Gorgeted_Woodstar_5954.jpg</t>
  </si>
  <si>
    <t>Graceful_Black-throated_Trogon.jpg</t>
  </si>
  <si>
    <t>Graceful_Black-throated_Trogon_2627.jpg</t>
  </si>
  <si>
    <t>Graceful_Black-throated_Trogon_5732.jpg</t>
  </si>
  <si>
    <t>Grass_Wren.jpg</t>
  </si>
  <si>
    <t>Grass_Wren_2118.jpg</t>
  </si>
  <si>
    <t>Grasshopper_Sparrow_2744.jpg</t>
  </si>
  <si>
    <t>Grasshopper_Sparrow_2787.jpg</t>
  </si>
  <si>
    <t>Gray-backed_Fiscal_170.jpg</t>
  </si>
  <si>
    <t>Gray-backed_Sparrow-Lark_123.jpg</t>
  </si>
  <si>
    <t>Gray-breasted_Wood-Wren_3337.jpg</t>
  </si>
  <si>
    <t>Gray-breasted_Wood-Wren_4772.jpg</t>
  </si>
  <si>
    <t>Gray-browed_Brushfinch_3877.jpg</t>
  </si>
  <si>
    <t>Gray-browed_Brushfinch_4940.jpg</t>
  </si>
  <si>
    <t>Gray-capped_Flycatcher_3921.jpg</t>
  </si>
  <si>
    <t>Gray-cheeked_Nunlet_0762.jpg</t>
  </si>
  <si>
    <t>Gray-cowled_Wood-Rail_2570.jpg</t>
  </si>
  <si>
    <t>Gray-headed_Chachalaca_4700.jpg</t>
  </si>
  <si>
    <t>Gray-headed_Chachalaca_4831.jpg</t>
  </si>
  <si>
    <t>Gray-headed_Chachalaca_4838.jpg</t>
  </si>
  <si>
    <t>Gray-headed_Chachalaca_MF5294.jpg</t>
  </si>
  <si>
    <t>Gray-headed_Kingfisher_319.jpg</t>
  </si>
  <si>
    <t>Gray-headed_Lovebird_-_Inseparable_a_tete_grise_6661-2.jpg.jpg</t>
  </si>
  <si>
    <t>Gray-headed_Lovebird_-_Inseparable_a_tete_grise_6661.jpg</t>
  </si>
  <si>
    <t>Gray-headed_Swamphen_1144.jpg</t>
  </si>
  <si>
    <t>Gray-headed_Swamphen_20396.jpg</t>
  </si>
  <si>
    <t>Gray-headed_Swamphen_21446.jpg</t>
  </si>
  <si>
    <t>Gray-headed_Swamphen_3133.jpg</t>
  </si>
  <si>
    <t>Gray-headed_Swamphen_4400.jpg</t>
  </si>
  <si>
    <t>Gray-headed_Swamphen_6623.jpg</t>
  </si>
  <si>
    <t>Gray-headed_Tanager_4280.jpg</t>
  </si>
  <si>
    <t>Gray-headed_Tanager_4326.jpg</t>
  </si>
  <si>
    <t>Gray-headed_Tanager_8495.jpg</t>
  </si>
  <si>
    <t>Gray-headed_Tanager_8507.jpg</t>
  </si>
  <si>
    <t>Gray-lined_Hawk_1605.jpg</t>
  </si>
  <si>
    <t>Gray-lined_Hawk_2094.jpg</t>
  </si>
  <si>
    <t>Gray-lined_hawk_4899.jpg</t>
  </si>
  <si>
    <t>Gray_Butcherbird_4020.jpg</t>
  </si>
  <si>
    <t>Gray_Catbird-2.jpg</t>
  </si>
  <si>
    <t>Gray_Catbird.jpg</t>
  </si>
  <si>
    <t>Gray_Catbird_0380.jpg</t>
  </si>
  <si>
    <t>Gray_Catbird_3023.jpg</t>
  </si>
  <si>
    <t>Gray_Catbird_3477.jpg</t>
  </si>
  <si>
    <t>Gray_Catbird_4443MF.jpg</t>
  </si>
  <si>
    <t>Gray_Catbird_4991.jpg</t>
  </si>
  <si>
    <t>Gray_Catbird_5460MF.jpg</t>
  </si>
  <si>
    <t>Gray_Catbird_5594.jpg</t>
  </si>
  <si>
    <t>Gray_Catbird_6399.jpg</t>
  </si>
  <si>
    <t>Gray_Catbird_7029.jpg</t>
  </si>
  <si>
    <t>Gray_Catbird_7186.jpg</t>
  </si>
  <si>
    <t>Gray_Catbird_8859.jpg</t>
  </si>
  <si>
    <t>Gray_Catbird_8890MF.jpg</t>
  </si>
  <si>
    <t>Gray_Catbird_9581.jpg</t>
  </si>
  <si>
    <t>Gray_Catbird_9859.jpg</t>
  </si>
  <si>
    <t>Gray_Crowned-crane_272.jpg</t>
  </si>
  <si>
    <t>Gray_Crowned-crane_273.jpg</t>
  </si>
  <si>
    <t>Gray_Fantail_0585.jpg</t>
  </si>
  <si>
    <t>Gray_Fantail_4370MF.jpg</t>
  </si>
  <si>
    <t>Gray_Francolin_0350.jpg</t>
  </si>
  <si>
    <t>Gray_Hawk_2428MF.jpg</t>
  </si>
  <si>
    <t>Gray_Hawk_7970.jpg</t>
  </si>
  <si>
    <t>Gray_Hawk_MF5531.jpg</t>
  </si>
  <si>
    <t>Gray_Hawk_MF6283.jpg</t>
  </si>
  <si>
    <t>Gray_Heron_-_Heron_cendre_7112.jpg</t>
  </si>
  <si>
    <t>Gray_Heron_1993.jpg</t>
  </si>
  <si>
    <t>Gray_Kingbird_20614.jpg</t>
  </si>
  <si>
    <t>Gray_Kingbird_4960.jpg</t>
  </si>
  <si>
    <t>Gray_Kingbird_4986.jpg</t>
  </si>
  <si>
    <t>Gray_Kingbird_5044.jpg</t>
  </si>
  <si>
    <t>Gray_Kingbird_5889.jpg</t>
  </si>
  <si>
    <t>Gray_Shrikethrush_4576MF.jpg</t>
  </si>
  <si>
    <t>Grayish_Piculet_1258.jpg</t>
  </si>
  <si>
    <t>Great-tailed_Grackle_1422MF.jpg</t>
  </si>
  <si>
    <t>Great-tailed_Grackle_4880.jpg</t>
  </si>
  <si>
    <t>Great-tailed_Grackle_6482.jpg</t>
  </si>
  <si>
    <t>Great-tailed_Grackle_770.jpg</t>
  </si>
  <si>
    <t>Great_Antshrike_4673.jpg</t>
  </si>
  <si>
    <t>Great_Black-backed_Gull_2193.jpg</t>
  </si>
  <si>
    <t>Great_Black_Hawk_090.jpg</t>
  </si>
  <si>
    <t>Great_Black_Hawk_6728.jpg</t>
  </si>
  <si>
    <t>Great_Blue_Heron_0089.jpg</t>
  </si>
  <si>
    <t>Great_Blue_Heron_0397.jpg</t>
  </si>
  <si>
    <t>Great_Blue_Heron_1693.jpg</t>
  </si>
  <si>
    <t>Great_Blue_Heron_21514.jpg</t>
  </si>
  <si>
    <t>Great_Blue_Heron_2221.jpg</t>
  </si>
  <si>
    <t>Great_Blue_Heron_4033.jpg</t>
  </si>
  <si>
    <t>Great_Blue_Heron_4724MF.jpg</t>
  </si>
  <si>
    <t>Great_Blue_Heron_6312.jpg</t>
  </si>
  <si>
    <t>Great_Blue_Heron_7267.jpg</t>
  </si>
  <si>
    <t>Great_Blue_Heron_9823.jpg</t>
  </si>
  <si>
    <t>Great_Blue_Heron_9847.jpg</t>
  </si>
  <si>
    <t>Great_Blue_Heron_9942.jpg</t>
  </si>
  <si>
    <t>Great_Blue_Heron_Courtship_7326.jpg</t>
  </si>
  <si>
    <t>Great_Cormorant.jpg</t>
  </si>
  <si>
    <t>Great_Crested_Flycatcher_2184.jpg</t>
  </si>
  <si>
    <t>Great_Crested_Flycatcher_2440.jpg</t>
  </si>
  <si>
    <t>Great_Crested_Flycatcher_3973.jpg</t>
  </si>
  <si>
    <t>Great_Crested_Flycatcher_5688.jpg</t>
  </si>
  <si>
    <t>Great_Crested_Flycatcher_9998.jpg</t>
  </si>
  <si>
    <t>Great_Crested_Grebe_1379.jpg</t>
  </si>
  <si>
    <t>Great_Crested_Tern_3455MF.jpg</t>
  </si>
  <si>
    <t>Great_Crested_Tern_9803.jpg</t>
  </si>
  <si>
    <t>Great_Curassow_3795MF.jpg</t>
  </si>
  <si>
    <t>Great_Curassow_6586.jpg</t>
  </si>
  <si>
    <t>Great_Curassow_6595.jpg</t>
  </si>
  <si>
    <t>Great_Egret_-_Grande_aigrette_8475.jpg</t>
  </si>
  <si>
    <t>Great_Egret_0971.jpg</t>
  </si>
  <si>
    <t>Great_Egret_1301.jpg</t>
  </si>
  <si>
    <t>Great_Egret_21154.jpg</t>
  </si>
  <si>
    <t>Great_Egret_2903.jpg</t>
  </si>
  <si>
    <t>Great_Egret_3559MF.jpg</t>
  </si>
  <si>
    <t>Great_Egret_6042.jpg</t>
  </si>
  <si>
    <t>Great_Egret_6349.jpg</t>
  </si>
  <si>
    <t>Great_Egret_6837MF.jpg</t>
  </si>
  <si>
    <t>Great_Egret_9350.jpg</t>
  </si>
  <si>
    <t>Great_Egret_9641.jpg</t>
  </si>
  <si>
    <t>Great_Egret_on_Nest_4456.jpg</t>
  </si>
  <si>
    <t>Great_Gray_Owl_008.jpg</t>
  </si>
  <si>
    <t>Great_Green_Macaw_5266.jpg</t>
  </si>
  <si>
    <t>Great_Green_Macaw_5270.jpg</t>
  </si>
  <si>
    <t>Great_Green_Macaw_5986.jpg</t>
  </si>
  <si>
    <t>Great_Green_Macaw_5992.jpg</t>
  </si>
  <si>
    <t>Great_Green_Macaw_MF4207.jpg</t>
  </si>
  <si>
    <t>Great_Horned_Owl_0125.jpg</t>
  </si>
  <si>
    <t>Great_Horned_Owl_2122MF.jpg</t>
  </si>
  <si>
    <t>Great_Kiskadee_2418.jpg</t>
  </si>
  <si>
    <t>Great_Kiskadee_407.jpg</t>
  </si>
  <si>
    <t>Great_Kiskadee_5329.jpg</t>
  </si>
  <si>
    <t>Great_Kiskadee_8742.jpg</t>
  </si>
  <si>
    <t>Great_Potoo.jpg</t>
  </si>
  <si>
    <t>Great_Potoo_7533.jpg</t>
  </si>
  <si>
    <t>Great_Rufous_Sparrow_50.jpg</t>
  </si>
  <si>
    <t>Great_Sapphirewing_2471.jpg</t>
  </si>
  <si>
    <t>Great_Sapphirewing_2891.jpg</t>
  </si>
  <si>
    <t>Great_Sapphirewing_3041.jpg</t>
  </si>
  <si>
    <t>Great_Thrush_23853.jpg</t>
  </si>
  <si>
    <t>Great_Thrush_23934.jpg</t>
  </si>
  <si>
    <t>Great_Thrush_7191.jpg</t>
  </si>
  <si>
    <t>Great_White_Pelican_43.jpg</t>
  </si>
  <si>
    <t>Great_White_Pelican_8967.jpg</t>
  </si>
  <si>
    <t>Great_black-backed_Gull_9034.jpg</t>
  </si>
  <si>
    <t>Greater_Ani_1796.jpg</t>
  </si>
  <si>
    <t>Greater_Ani_6959.jpg</t>
  </si>
  <si>
    <t>Greater_Ani_8862.jpg</t>
  </si>
  <si>
    <t>Greater_Double-collared_Sunbird_2299.jpg</t>
  </si>
  <si>
    <t>Greater_Kestrel_353.jpg</t>
  </si>
  <si>
    <t>Greater_Painted-Snipe_9504.jpg</t>
  </si>
  <si>
    <t>Greater_Scaup_0253.jpg</t>
  </si>
  <si>
    <t>Greater_Scaup_2014-077.jpg</t>
  </si>
  <si>
    <t>Greater_Scaup_7437.jpg</t>
  </si>
  <si>
    <t>Greater_Vasa_Parrot_-_Grand_Vasa_7004.jpg</t>
  </si>
  <si>
    <t>Greater_Vasa_Parrot_-_Grand_vaza_7013.jpg</t>
  </si>
  <si>
    <t>Greater_White-Fronted_Goose_2714.jpg</t>
  </si>
  <si>
    <t>Greater_White-fronted_Goose_8829.jpg</t>
  </si>
  <si>
    <t>Greater_Yellowlegs_1034.jpg</t>
  </si>
  <si>
    <t>Greater_Yellowlegs_2245MF.jpg</t>
  </si>
  <si>
    <t>Greater_Yellowlegs_22548.jpg</t>
  </si>
  <si>
    <t>Greater_Yellowlegs_2449MF.jpg</t>
  </si>
  <si>
    <t>Greater_Yellowlegs_3577.jpg</t>
  </si>
  <si>
    <t>Greater_Yellowlegs_4120.jpg</t>
  </si>
  <si>
    <t>Greater_Yellowlegs_8900.jpg</t>
  </si>
  <si>
    <t>Greater_Yellowlegs_9826.jpg</t>
  </si>
  <si>
    <t>Greater_scaup_1908.jpg</t>
  </si>
  <si>
    <t>Greater_white-fronted_Goose_8782.jpg</t>
  </si>
  <si>
    <t>Greater_yellowlegs_0923MF.jpg</t>
  </si>
  <si>
    <t>Green-and-black_Fruiteater_5032.jpg</t>
  </si>
  <si>
    <t>Green-and-rufous_Kingfisher_1760.jpg</t>
  </si>
  <si>
    <t>Green-backed_Camaroptera_14.jpg</t>
  </si>
  <si>
    <t>Green-backed_Camaroptera_2641.jpg</t>
  </si>
  <si>
    <t>Green-breasted_Mango_4643.jpg</t>
  </si>
  <si>
    <t>Green-crowned_Brilliant_3958MF.jpg</t>
  </si>
  <si>
    <t>Green-crowned_Brilliant_3979MF.jpg</t>
  </si>
  <si>
    <t>Green-crowned_Brilliant_5181.jpg</t>
  </si>
  <si>
    <t>Green-crowned_Brilliant_5220.jpg</t>
  </si>
  <si>
    <t>Green-crowned_Brilliant_6183.jpg</t>
  </si>
  <si>
    <t>Green-crowned_Brilliant_6650.jpg</t>
  </si>
  <si>
    <t>Green-crowned_Brilliant_7891.jpg</t>
  </si>
  <si>
    <t>Green-crowned_Brilliant_7915.jpg</t>
  </si>
  <si>
    <t>Green-crowned_Brilliant_MF4382.jpg</t>
  </si>
  <si>
    <t>Green-crowned_Brilliant_MF4403.jpg</t>
  </si>
  <si>
    <t>Green-fronted_Lancebill_3272.jpg</t>
  </si>
  <si>
    <t>Green-rumped_Parrotlet_4972.jpg</t>
  </si>
  <si>
    <t>Green-rumped_Parrotlet_5066.jpg</t>
  </si>
  <si>
    <t>Green-rumped_Parrotlet_5183.jpg</t>
  </si>
  <si>
    <t>Green-winged_Pytilia_16.jpg</t>
  </si>
  <si>
    <t>Green-winged_Pytilia_83.jpg</t>
  </si>
  <si>
    <t>Green-winged_Teal.jpg</t>
  </si>
  <si>
    <t>Green-winged_Teal_5830MF.jpg</t>
  </si>
  <si>
    <t>Green-winged_teal_8368.jpg</t>
  </si>
  <si>
    <t>Green_Catbird_9050.jpg</t>
  </si>
  <si>
    <t>Green_Heron-2.jpg</t>
  </si>
  <si>
    <t>Green_Heron_1681.jpg</t>
  </si>
  <si>
    <t>Green_Heron_1960.jpg</t>
  </si>
  <si>
    <t>Green_Heron_2.jpg</t>
  </si>
  <si>
    <t>Green_Heron_2181.jpg</t>
  </si>
  <si>
    <t>Green_Heron_220904.jpg</t>
  </si>
  <si>
    <t>Green_Heron_228.jpg</t>
  </si>
  <si>
    <t>Green_Heron_2321.jpg</t>
  </si>
  <si>
    <t>Green_Heron_2451.jpg</t>
  </si>
  <si>
    <t>Green_Heron_4424.jpg</t>
  </si>
  <si>
    <t>Green_Heron_5793.jpg</t>
  </si>
  <si>
    <t>Green_Heron_5800.jpg</t>
  </si>
  <si>
    <t>Green_Heron_6020.jpg</t>
  </si>
  <si>
    <t>Green_Heron_6145MF.jpg</t>
  </si>
  <si>
    <t>Green_Heron_6525.jpg</t>
  </si>
  <si>
    <t>Green_Heron_6606.jpg</t>
  </si>
  <si>
    <t>Green_Heron_7298.jpg</t>
  </si>
  <si>
    <t>Green_Heron_7392MF.jpg</t>
  </si>
  <si>
    <t>Green_Heron_8403.jpg</t>
  </si>
  <si>
    <t>Green_Heron_MF5848.jpg</t>
  </si>
  <si>
    <t>Green_Honeycreeper_2147.jpg</t>
  </si>
  <si>
    <t>Green_Honeycreeper_2222.jpg</t>
  </si>
  <si>
    <t>Green_Honeycreeper_3919MF.jpg</t>
  </si>
  <si>
    <t>Green_Honeycreeper_4057.jpg</t>
  </si>
  <si>
    <t>Green_Ibis_4510.jpg</t>
  </si>
  <si>
    <t>Green_Ibis_MF4900.jpg</t>
  </si>
  <si>
    <t>Green_Kingfisher.jpg</t>
  </si>
  <si>
    <t>Green_Kingfisher_21568.jpg</t>
  </si>
  <si>
    <t>Green_Kingfisher_7205.jpg</t>
  </si>
  <si>
    <t>Green_Kingfisher_9117.jpg</t>
  </si>
  <si>
    <t>Green_Rosella_4184MF.jpg</t>
  </si>
  <si>
    <t>Green_Shrike-vireo_9218.jpg</t>
  </si>
  <si>
    <t>Green_Thorntail_4659.jpg</t>
  </si>
  <si>
    <t>Green_Thorntail_6664.jpg</t>
  </si>
  <si>
    <t>Green_Thorntail_7568.jpg</t>
  </si>
  <si>
    <t>Green_Thorntail_MF4466.jpg</t>
  </si>
  <si>
    <t>Green_Woodhoopoe_8256.jpg</t>
  </si>
  <si>
    <t>Green_heron_with_frog.jpg</t>
  </si>
  <si>
    <t>Groove-billed_Ani_284.jpg</t>
  </si>
  <si>
    <t>Groove-billed_Toucanet_4228.jpg</t>
  </si>
  <si>
    <t>Groundscraper_Thrush_18.jpg</t>
  </si>
  <si>
    <t>Hairy_Woodpecker_1899.jpg</t>
  </si>
  <si>
    <t>Hairy_Woodpecker_Costa_Rica_1533MF.jpg</t>
  </si>
  <si>
    <t>Hamerkop_-_Ombrette_africaine_8820MF.jpg</t>
  </si>
  <si>
    <t>Hamerkop_-_Ombrette_africaine_9228MF.jpg</t>
  </si>
  <si>
    <t>Hamerkop_-_Ombrette_africaine_9232MF.jpg</t>
  </si>
  <si>
    <t>Hamerkop_366.jpg</t>
  </si>
  <si>
    <t>Hamerkop_8515.jpg</t>
  </si>
  <si>
    <t>Harlequin_Duck_8803.jpg</t>
  </si>
  <si>
    <t>Hawaii_Amakihi_1558.jpg</t>
  </si>
  <si>
    <t>Hawaiian_Coot_0438.jpg</t>
  </si>
  <si>
    <t>Helmeted_Guineafowl_103.jpg</t>
  </si>
  <si>
    <t>Helmeted_Guineafowl_20.jpg</t>
  </si>
  <si>
    <t>Helmeted_Guineafowl_254.jpg</t>
  </si>
  <si>
    <t>Helmeted_Guineafowl_7825.jpg</t>
  </si>
  <si>
    <t>Hepatic_Tanager_6640.jpg</t>
  </si>
  <si>
    <t>Hepatic_Tanager_6976.jpg</t>
  </si>
  <si>
    <t>Hepatic_Tanager_MF4766.jpg</t>
  </si>
  <si>
    <t>Hermit_Thrush_2006.jpg</t>
  </si>
  <si>
    <t>Hermit_Thrush_5597MF.jpg</t>
  </si>
  <si>
    <t>Hermit_Thrush_6379.jpg</t>
  </si>
  <si>
    <t>Hermit_Thrush_7021.jpg</t>
  </si>
  <si>
    <t>Hermit_Thrush_9941.jpg</t>
  </si>
  <si>
    <t>Hermit_Wood-Wren_23683.jpg</t>
  </si>
  <si>
    <t>Hoary-headed_Grebe_0875.jpg</t>
  </si>
  <si>
    <t>Hoary-headed_Grebe_5232MF.jpg</t>
  </si>
  <si>
    <t>Hooded_Merganser_2151.jpg</t>
  </si>
  <si>
    <t>Hooded_Merganser_7286.jpg</t>
  </si>
  <si>
    <t>Hooded_Mountain_Tanager_5481.jpg</t>
  </si>
  <si>
    <t>Hooded_Mountain_Tanager_5617.jpg</t>
  </si>
  <si>
    <t>Hooded_Plover_3241MF.jpg</t>
  </si>
  <si>
    <t>Hooded_Vulture.jpg</t>
  </si>
  <si>
    <t>Hooded_Vulture_7715.jpg</t>
  </si>
  <si>
    <t>Hooded_Vulture_8049.jpg</t>
  </si>
  <si>
    <t>Hooded_Warbler_0821.jpg</t>
  </si>
  <si>
    <t>Hooded_Warbler_0973MF.jpg</t>
  </si>
  <si>
    <t>Hooded_Warbler_3759.jpg</t>
  </si>
  <si>
    <t>Hooded_Warbler_5872.jpg</t>
  </si>
  <si>
    <t>Hooded_Warbler_8253.jpg</t>
  </si>
  <si>
    <t>Hooded_Warbler_8587.jpg</t>
  </si>
  <si>
    <t>Hooded_Warbler_9320.jpg</t>
  </si>
  <si>
    <t>Hooded_Warbler_9390.jpg</t>
  </si>
  <si>
    <t>Hooded_Warbler_9398.jpg</t>
  </si>
  <si>
    <t>Hook-billed_Kite_21737.jpg</t>
  </si>
  <si>
    <t>Hook-billed_Kite_4786.jpg</t>
  </si>
  <si>
    <t>Hook-billed_Vanga_-_Vanga_ecorcheur_6183.jpg</t>
  </si>
  <si>
    <t>Hook-billed_Vanga_-_Vanga_ecorcheur_6339.jpg</t>
  </si>
  <si>
    <t>Hook-billed_Vanga_-_Vanga_ecorcheur_9132MF.jpg</t>
  </si>
  <si>
    <t>Horned_Grebe_1946.jpg</t>
  </si>
  <si>
    <t>Horned_Grebe_3876.jpg</t>
  </si>
  <si>
    <t>Horned_Grebe_8111.jpg</t>
  </si>
  <si>
    <t>Horned_Lark_4700MF.jpg</t>
  </si>
  <si>
    <t>Horned_Lark_7609.jpg</t>
  </si>
  <si>
    <t>Horned_Lark_8941.jpg</t>
  </si>
  <si>
    <t>House_Finch.jpg</t>
  </si>
  <si>
    <t>House_Finch_2.jpg</t>
  </si>
  <si>
    <t>House_Finch_8636.jpg</t>
  </si>
  <si>
    <t>House_Finch_9497.jpg</t>
  </si>
  <si>
    <t>House_Sparrow_1952.jpg</t>
  </si>
  <si>
    <t>House_Sparrow_4886.jpg</t>
  </si>
  <si>
    <t>House_Sparrow_4891.jpg</t>
  </si>
  <si>
    <t>House_finch_7630.jpg</t>
  </si>
  <si>
    <t>Hudsonian_Godwit_3476.jpg</t>
  </si>
  <si>
    <t>Hudsonian_godwit_6000S.jpg</t>
  </si>
  <si>
    <t>Iiwi_1546.jpg</t>
  </si>
  <si>
    <t>Inca_Dove_MF6097.jpg</t>
  </si>
  <si>
    <t>Indigo-capped_Hummingbird_7376.jpg</t>
  </si>
  <si>
    <t>Indigo_Bunting_0731.jpg</t>
  </si>
  <si>
    <t>Indigo_Bunting_8885.jpg</t>
  </si>
  <si>
    <t>Indigo_Bunting_9961MF.jpg</t>
  </si>
  <si>
    <t>Indigo_Bunting_9985MF.jpg</t>
  </si>
  <si>
    <t>Isthmian_Wren_2800.jpg</t>
  </si>
  <si>
    <t>Ivory-billed_Woodcreeper_359.jpg</t>
  </si>
  <si>
    <t>Jabiru_Stork_377.jpg</t>
  </si>
  <si>
    <t>Jackal_Buzzard_2761.jpg</t>
  </si>
  <si>
    <t>Java_sparrow_0317.jpg</t>
  </si>
  <si>
    <t>Kalij_Pheasant_0625A.jpg</t>
  </si>
  <si>
    <t>Keel-billed_Motmot_5916.jpg</t>
  </si>
  <si>
    <t>Keel-billed_Toucan_1895.jpg</t>
  </si>
  <si>
    <t>Keel-billed_Toucan_20903.jpg</t>
  </si>
  <si>
    <t>Keel-billed_Toucan_2920MF.jpg</t>
  </si>
  <si>
    <t>Keel-billed_Toucan_4041.jpg</t>
  </si>
  <si>
    <t>Keel-billed_Toucan_4315.jpg</t>
  </si>
  <si>
    <t>Keel-billed_Toucan_5484.jpg</t>
  </si>
  <si>
    <t>Keel-billed_Toucan_6953.jpg</t>
  </si>
  <si>
    <t>Keel-billed_Toucan_9164.jpg</t>
  </si>
  <si>
    <t>Keel-billed_Toucan_MF3818.jpg</t>
  </si>
  <si>
    <t>Kelp_Gull_3931MF.jpg</t>
  </si>
  <si>
    <t>Kelp_Gull_3975MF.jpg</t>
  </si>
  <si>
    <t>Kentucky_Warbler_4142.jpg</t>
  </si>
  <si>
    <t>Killdeer_0466.jpg</t>
  </si>
  <si>
    <t>Killdeer_1393.jpg</t>
  </si>
  <si>
    <t>Killdeer_1836.jpg</t>
  </si>
  <si>
    <t>Killdeer_2162.jpg</t>
  </si>
  <si>
    <t>Killdeer_2931.jpg</t>
  </si>
  <si>
    <t>Killdeer_5668MF.jpg</t>
  </si>
  <si>
    <t>Killdeer_6540.jpg</t>
  </si>
  <si>
    <t>Killdeer_6556.jpg</t>
  </si>
  <si>
    <t>Killdeer_6568.jpg</t>
  </si>
  <si>
    <t>Killdeer_6580.jpg</t>
  </si>
  <si>
    <t>Killdeer_7970.jpg</t>
  </si>
  <si>
    <t>Knob-billed_Duck_8339.jpg</t>
  </si>
  <si>
    <t>Kori_Bustard_124.jpg</t>
  </si>
  <si>
    <t>Kori_Bustard_163.jpg</t>
  </si>
  <si>
    <t>Kori_Bustard_28.jpg</t>
  </si>
  <si>
    <t>Kori_Bustard_9088.jpg</t>
  </si>
  <si>
    <t>Lance-tailed_Manakin.jpg</t>
  </si>
  <si>
    <t>Lance-tailed_Manakin_21254.jpg</t>
  </si>
  <si>
    <t>Lance-tailed_Manakin_21276.jpg</t>
  </si>
  <si>
    <t>Lapland_Longspur_8976.jpg</t>
  </si>
  <si>
    <t>Lappet-faced_Vulture_223.jpg</t>
  </si>
  <si>
    <t>Lappet-faced_Vulture_8025.jpg</t>
  </si>
  <si>
    <t>Large-footed_Finch_3842.jpg</t>
  </si>
  <si>
    <t>Large-footed_Finch_3846.jpg</t>
  </si>
  <si>
    <t>Large-footed_Finch_5860.jpg</t>
  </si>
  <si>
    <t>Lark-like_Bunting_258.jpg</t>
  </si>
  <si>
    <t>Laughing_Falcon_4003.jpg</t>
  </si>
  <si>
    <t>Laughing_Falcon_6600.jpg</t>
  </si>
  <si>
    <t>Laughing_Gull_20013.jpg</t>
  </si>
  <si>
    <t>Laughing_Gull_2211MF.jpg</t>
  </si>
  <si>
    <t>Laughing_Gull_22711.jpg</t>
  </si>
  <si>
    <t>Laughing_Gull_5871.jpg</t>
  </si>
  <si>
    <t>Laughing_Gull_6103.jpg</t>
  </si>
  <si>
    <t>Laughing_Gull_7723MF.jpg</t>
  </si>
  <si>
    <t>Laughing_Kookaburra_1326.jpg</t>
  </si>
  <si>
    <t>Laughing_Kookaburra_2342.jpg</t>
  </si>
  <si>
    <t>Laughing_Kookaburra_5237MF.jpg</t>
  </si>
  <si>
    <t>Laughing_Kookaburra_8049.jpg</t>
  </si>
  <si>
    <t>Laughing_Kookaburra_9837.jpg</t>
  </si>
  <si>
    <t>Lava_Heron_210.jpg</t>
  </si>
  <si>
    <t>Lazuline_Sabrewing_5715.jpg</t>
  </si>
  <si>
    <t>Least_Bittern_0107.jpg</t>
  </si>
  <si>
    <t>Least_Bittern_2051.jpg</t>
  </si>
  <si>
    <t>Least_Bittern_4485.jpg</t>
  </si>
  <si>
    <t>Least_Bittern_6761.jpg</t>
  </si>
  <si>
    <t>Least_Bittern_6812.jpg</t>
  </si>
  <si>
    <t>Least_Flycatcher_005.jpg</t>
  </si>
  <si>
    <t>Least_Flycatcher_0466MF.jpg</t>
  </si>
  <si>
    <t>Least_Flycatcher_1996.jpg</t>
  </si>
  <si>
    <t>Least_Flycatcher_3321.jpg</t>
  </si>
  <si>
    <t>Least_Flycatcher_422.jpg</t>
  </si>
  <si>
    <t>Least_Flycatcher_4829.jpg</t>
  </si>
  <si>
    <t>Least_Flycatcher_5342.jpg</t>
  </si>
  <si>
    <t>Least_Flycatcher_7392.jpg</t>
  </si>
  <si>
    <t>Least_Flycatcher_7787.jpg</t>
  </si>
  <si>
    <t>Least_Flycatcher_8465.jpg</t>
  </si>
  <si>
    <t>Least_Flycatcher_9145.jpg</t>
  </si>
  <si>
    <t>Least_Grebe_1475.jpg</t>
  </si>
  <si>
    <t>Least_Grebe_5948.jpg</t>
  </si>
  <si>
    <t>Least_Sandpiper.jpg</t>
  </si>
  <si>
    <t>Least_Sandpiper_2.jpg</t>
  </si>
  <si>
    <t>Least_Sandpiper_2071.jpg</t>
  </si>
  <si>
    <t>Least_Sandpiper_2130.jpg</t>
  </si>
  <si>
    <t>Least_Sandpiper_2628.jpg</t>
  </si>
  <si>
    <t>Least_Sandpiper_2981.jpg</t>
  </si>
  <si>
    <t>Least_Sandpiper_3.jpg</t>
  </si>
  <si>
    <t>Least_Sandpiper_3337.jpg</t>
  </si>
  <si>
    <t>Least_Sandpiper_4084.jpg</t>
  </si>
  <si>
    <t>Least_Sandpiper_4444.jpg</t>
  </si>
  <si>
    <t>Least_Sandpiper_4926MF.jpg</t>
  </si>
  <si>
    <t>Least_Sandpiper_4977MF.jpg</t>
  </si>
  <si>
    <t>Least_Sandpiper_4994MF.jpg</t>
  </si>
  <si>
    <t>Least_Sandpiper_6137.jpg</t>
  </si>
  <si>
    <t>Least_Sandpiper_6295.jpg</t>
  </si>
  <si>
    <t>Least_Sandpiper_7799MF.jpg</t>
  </si>
  <si>
    <t>Least_Sandpiper_900.jpg</t>
  </si>
  <si>
    <t>Least_Sandpiper_9574MF.jpg</t>
  </si>
  <si>
    <t>Least_Sandpiper_9841.jpg</t>
  </si>
  <si>
    <t>Least_flycatcher_2014-002.jpg</t>
  </si>
  <si>
    <t>Lesser_Black-backed_Gull_20131.jpg</t>
  </si>
  <si>
    <t>Lesser_Crested_Tern_-_Sterne_voyageuse_7924.jpg</t>
  </si>
  <si>
    <t>Lesser_Crested_Tern_-_Sterne_voyageuse_8139.jpg</t>
  </si>
  <si>
    <t>Lesser_Ground-Cuckoo_9154.jpg</t>
  </si>
  <si>
    <t>Lesser_Kiskadee_1908MF.jpg</t>
  </si>
  <si>
    <t>Lesser_Kiskadee_21299.jpg</t>
  </si>
  <si>
    <t>Lesser_Kiskadee_4645.jpg</t>
  </si>
  <si>
    <t>Lesser_Kiskadee_6279.jpg</t>
  </si>
  <si>
    <t>Lesser_Kiskadee_8829.jpg</t>
  </si>
  <si>
    <t>Lesser_Scaup.jpg</t>
  </si>
  <si>
    <t>Lesser_Scaup_1131.jpg</t>
  </si>
  <si>
    <t>Lesser_Scaup_1132.jpg</t>
  </si>
  <si>
    <t>Lesser_Scaup_1321.jpg</t>
  </si>
  <si>
    <t>Lesser_Scaup_2670.jpg</t>
  </si>
  <si>
    <t>Lesser_Scaup_2695.jpg</t>
  </si>
  <si>
    <t>Lesser_Scaup_7764MF.jpg</t>
  </si>
  <si>
    <t>Lesser_Violetear_3364.jpg</t>
  </si>
  <si>
    <t>Lesser_Violetear_4278.jpg</t>
  </si>
  <si>
    <t>Lesser_Violetear_5809.jpg</t>
  </si>
  <si>
    <t>Lesser_Violetear_7904.jpg</t>
  </si>
  <si>
    <t>Lesser_Yellow-headed_Vulture_22527.jpg</t>
  </si>
  <si>
    <t>Lesser_Yellow-headed_Vulture_2533.jpg</t>
  </si>
  <si>
    <t>Lesser_Yellowlegs_0167.jpg</t>
  </si>
  <si>
    <t>Lesser_Yellowlegs_1518.jpg</t>
  </si>
  <si>
    <t>Lesser_Yellowlegs_1598.jpg</t>
  </si>
  <si>
    <t>Lesser_Yellowlegs_2014-041.jpg</t>
  </si>
  <si>
    <t>Lesser_Yellowlegs_2890.jpg</t>
  </si>
  <si>
    <t>Lesser_Yellowlegs_2943.jpg</t>
  </si>
  <si>
    <t>Lesser_Yellowlegs_5662MF.jpg</t>
  </si>
  <si>
    <t>Lesser_Yellowlegs_5677MF.jpg</t>
  </si>
  <si>
    <t>Lesser_scaup_8220.jpg</t>
  </si>
  <si>
    <t>Lilac-breasted_Roller_147.jpg</t>
  </si>
  <si>
    <t>Lilac-breasted_Roller_206.jpg</t>
  </si>
  <si>
    <t>Lilac-breasted_Roller_263.jpg</t>
  </si>
  <si>
    <t>Lilac-breasted_Roller_8003.jpg</t>
  </si>
  <si>
    <t>Limpkin_20511.jpg</t>
  </si>
  <si>
    <t>Limpkin_21899.jpg</t>
  </si>
  <si>
    <t>Limpkin_2434MF.jpg</t>
  </si>
  <si>
    <t>Limpkin_2699.jpg</t>
  </si>
  <si>
    <t>Limpkin_2716.jpg</t>
  </si>
  <si>
    <t>Limpkin_301.jpg</t>
  </si>
  <si>
    <t>Limpkin_3748.jpg</t>
  </si>
  <si>
    <t>Limpkin_3789.jpg</t>
  </si>
  <si>
    <t>Limpkin_3790.jpg</t>
  </si>
  <si>
    <t>Limpkin_3879.jpg</t>
  </si>
  <si>
    <t>Limpkin_7382MF.jpg</t>
  </si>
  <si>
    <t>Limpkin_8128MF.jpg</t>
  </si>
  <si>
    <t>Limpkin_9979.jpg</t>
  </si>
  <si>
    <t>Lineated_Woodpecker_2187.jpg</t>
  </si>
  <si>
    <t>Lineated_Woodpecker_460.jpg</t>
  </si>
  <si>
    <t>Lineated_Woodpecker_5803.jpg</t>
  </si>
  <si>
    <t>Lineated_Woodpecker_MF6125.jpg</t>
  </si>
  <si>
    <t>Little_Bee-eater.jpg</t>
  </si>
  <si>
    <t>Little_Black_Cormorant.jpg</t>
  </si>
  <si>
    <t>Little_Black_Cormorant_3923MF.jpg</t>
  </si>
  <si>
    <t>Little_Black_Cormorant_7367.jpg</t>
  </si>
  <si>
    <t>Little_Blue_Heron_1102.jpg</t>
  </si>
  <si>
    <t>Little_Blue_Heron_1528.jpg</t>
  </si>
  <si>
    <t>Little_Blue_Heron_1778.jpg</t>
  </si>
  <si>
    <t>Little_Blue_Heron_20890.jpg</t>
  </si>
  <si>
    <t>Little_Blue_Heron_2105MF.jpg</t>
  </si>
  <si>
    <t>Little_Blue_Heron_21319.jpg</t>
  </si>
  <si>
    <t>Little_Blue_Heron_3453.jpg</t>
  </si>
  <si>
    <t>Little_Blue_Heron_4125.jpg</t>
  </si>
  <si>
    <t>Little_Blue_Heron_7123MF_7123MF.jpg</t>
  </si>
  <si>
    <t>Little_Blue_Heron_9250.jpg</t>
  </si>
  <si>
    <t>Little_Blue_Heron_9255.jpg</t>
  </si>
  <si>
    <t>Little_Blue_Heron_9590.jpg</t>
  </si>
  <si>
    <t>Little_Blue_Heron_9714.jpg</t>
  </si>
  <si>
    <t>Little_Blue_Heron_9923.jpg</t>
  </si>
  <si>
    <t>Little_Corella_2271.jpg</t>
  </si>
  <si>
    <t>Little_Egret_-_Aigrette_Garzette_9605.jpg</t>
  </si>
  <si>
    <t>Little_Egret_1947.jpg</t>
  </si>
  <si>
    <t>Little_Gull_0686.jpg</t>
  </si>
  <si>
    <t>Little_Gull_4260.jpg</t>
  </si>
  <si>
    <t>Little_Gull_4270.jpg</t>
  </si>
  <si>
    <t>Little_Gull_4301.jpg</t>
  </si>
  <si>
    <t>Little_Penguin_0081.jpg</t>
  </si>
  <si>
    <t>Little_Pied_Cormorant_8127.jpg</t>
  </si>
  <si>
    <t>Little_Raven_0972.jpg</t>
  </si>
  <si>
    <t>Little_Tinamou_0137.jpg</t>
  </si>
  <si>
    <t>Little_Wattlebird.jpg</t>
  </si>
  <si>
    <t>Little_Wattlebird_0515.jpg</t>
  </si>
  <si>
    <t>Little_Wattlebird_3711MF.jpg</t>
  </si>
  <si>
    <t>Little_Wattlebird_3712MF.jpg</t>
  </si>
  <si>
    <t>Little_Wattlebird_3900MF.jpg</t>
  </si>
  <si>
    <t>Little_sparrowhawk_220.jpg</t>
  </si>
  <si>
    <t>Littoral_Rock-Thrush_-_Monticole_du_littoral_8293.jpg</t>
  </si>
  <si>
    <t>Littoral_Rock-Thrush_-_Monticole_du_littoral_8320.jpg</t>
  </si>
  <si>
    <t>Littoral_Rock-Thrush_-_Monticole_du_littoral_8347.jpg</t>
  </si>
  <si>
    <t>Loggerhead_Shrike_0799.jpg</t>
  </si>
  <si>
    <t>Loggerhead_Shrike_21065.jpg</t>
  </si>
  <si>
    <t>Loggerhead_Shrike_3336.jpg</t>
  </si>
  <si>
    <t>Loggerhead_Shrike_4243.jpg</t>
  </si>
  <si>
    <t>Loggerhead_Shrike_4654.jpg</t>
  </si>
  <si>
    <t>Loggerhead_Shrike_7543MF.jpg</t>
  </si>
  <si>
    <t>Loggerhead_Shrike_7606MF.jpg</t>
  </si>
  <si>
    <t>Loggerhead_Shrike_767.jpg</t>
  </si>
  <si>
    <t>Loggerhead_Shrike_7710MF.jpg</t>
  </si>
  <si>
    <t>Long-billed_Corella_0991.jpg</t>
  </si>
  <si>
    <t>Long-billed_Curlew_9629.jpg</t>
  </si>
  <si>
    <t>Long-billed_Dowitcher_1754.jpg</t>
  </si>
  <si>
    <t>Long-billed_Dowitcher_8375.jpg</t>
  </si>
  <si>
    <t>Long-billed_Hermit.jpg</t>
  </si>
  <si>
    <t>Long-billed_Hermit_2.jpg</t>
  </si>
  <si>
    <t>Long-billed_Hermit_3974.jpg</t>
  </si>
  <si>
    <t>Long-billed_Hermit_4945.jpg</t>
  </si>
  <si>
    <t>Long-billed_Starthroat_0434.jpg</t>
  </si>
  <si>
    <t>Long-billed_Starthroat_0924.jpg</t>
  </si>
  <si>
    <t>Long-billed_Starthroat_23224.jpg</t>
  </si>
  <si>
    <t>Long-billed_Starthroat_6033.jpg</t>
  </si>
  <si>
    <t>Long-eared_Owl_4495.jpg</t>
  </si>
  <si>
    <t>Long-tailed_Duck_3089MF.jpg</t>
  </si>
  <si>
    <t>Long-tailed_Fiscal_258.jpg</t>
  </si>
  <si>
    <t>Long-tailed_Ground-Roller_-_Brachypterolle_a_longue_queue_6623.jpg</t>
  </si>
  <si>
    <t>Long-tailed_Ground-Roller_-_Brachypterolle_a_longue_queue_9401MF.jpg</t>
  </si>
  <si>
    <t>Long-tailed_Silky-flycatcher_2166.jpg</t>
  </si>
  <si>
    <t>Long-tailed_Sylph_4275.jpg</t>
  </si>
  <si>
    <t>Long-tailed_Tyrant_1032.jpg</t>
  </si>
  <si>
    <t>Long-tailed_Tyrant_MF4232.jpg</t>
  </si>
  <si>
    <t>Long-toed_Lapwing_7209.jpg</t>
  </si>
  <si>
    <t>Long-winged_Harrier_5597.jpg</t>
  </si>
  <si>
    <t>Louisiana_Waterthrush_5975.jpg</t>
  </si>
  <si>
    <t>Luapula_Cisticola_7589.jpg</t>
  </si>
  <si>
    <t>Madagascar_Blue-Pigeon_-_Founingo_bleu_5546.jpg</t>
  </si>
  <si>
    <t>Madagascar_Blue-Pigeon_-_Founingo_bleu_5673.jpg</t>
  </si>
  <si>
    <t>Madagascar_Blue_Vanga_-_Artamie_azuree_6098.jpg</t>
  </si>
  <si>
    <t>Madagascar_Buttonquail_-_Turnix_de_Madagascar_6834.jpg</t>
  </si>
  <si>
    <t>Madagascar_Buttonquail_-_Turnix_de_Madagascar_6857.jpg</t>
  </si>
  <si>
    <t>Madagascar_Buttonquail_-_Turnix_de_Madagascar_9553MF.jpg</t>
  </si>
  <si>
    <t>Madagascar_Buzzard_7641.jpg</t>
  </si>
  <si>
    <t>Madagascar_Cisticola_-_Cisticole_malgache_8502.jpg</t>
  </si>
  <si>
    <t>Madagascar_Cuckoo.jpg</t>
  </si>
  <si>
    <t>Madagascar_Cuckoo_-_Coucou_de_Madagascar_5402.jpg</t>
  </si>
  <si>
    <t>Madagascar_Cuckoo_Ry.jpg</t>
  </si>
  <si>
    <t>Madagascar_Harrier-Hawk_-_Gymnogene_de_Madagascar_5474.jpg</t>
  </si>
  <si>
    <t>Madagascar_Harrier-Hawk_-_Gymnogene_de_Madagascar_7516.jpg</t>
  </si>
  <si>
    <t>Madagascar_Harrier-Hawk_-_Gymnogene_de_Madagascar_7540.jpg</t>
  </si>
  <si>
    <t>Madagascar_Harrier-Hawk_-_Gymnogene_de_Madagascar_9906MF.jpg</t>
  </si>
  <si>
    <t>Madagascar_Hoopoe_-_Huppe_de_Madagascar_6718.jpg</t>
  </si>
  <si>
    <t>Madagascar_Hoopoe_-_Huppe_de_Madagascar_6728.jpg</t>
  </si>
  <si>
    <t>Madagascar_Hoopoe_-_Huppe_de_Madagascar_9483MF.jpg</t>
  </si>
  <si>
    <t>Madagascar_Ibis_-_Ibis_huppe_5600.jpg</t>
  </si>
  <si>
    <t>Madagascar_Lark_7450.jpg</t>
  </si>
  <si>
    <t>Madagascar_Lark_7464.jpg</t>
  </si>
  <si>
    <t>Madagascar_Lark_7464red.jpg</t>
  </si>
  <si>
    <t>Madagascar_Lark_8759.jpg</t>
  </si>
  <si>
    <t>Madagascar_Lark_8776.jpg</t>
  </si>
  <si>
    <t>Madagascar_Magpie-Robin_-_Shama_de_Madagascar_5725.jpg</t>
  </si>
  <si>
    <t>Madagascar_Magpie-Robin_-_Shama_de_Madagascar_6119.jpg</t>
  </si>
  <si>
    <t>Madagascar_Magpie-Robin_-_Shama_de_Madagascar_6508-2.jpg</t>
  </si>
  <si>
    <t>Madagascar_Magpie-Robin_-_Shama_de_Madagascar_9405MF.jpg</t>
  </si>
  <si>
    <t>Madagascar_Magpie-robin_7739.jpg</t>
  </si>
  <si>
    <t>Madagascar_Martin_MF.jpg</t>
  </si>
  <si>
    <t>Madagascar_Nightjar_-_Engoulevent_malgache_6824.jpg</t>
  </si>
  <si>
    <t>Madagascar_Owl_-_Hibou_malgache_5171.jpg</t>
  </si>
  <si>
    <t>Madagascar_Pratincole.jpg</t>
  </si>
  <si>
    <t>Madagascar_Pratincole_5768.jpg</t>
  </si>
  <si>
    <t>Madagascar_Pratincole_5786.jpg</t>
  </si>
  <si>
    <t>Madagascar_Pygmy_Kingfisher_-_Martin-pecheur_malgache_8840MF.jpg</t>
  </si>
  <si>
    <t>Madagascar_Pygmy_Kingfisher_4842.jpg</t>
  </si>
  <si>
    <t>Madagascar_Scops-Owl_-_Petit-duc_malgache.jpg</t>
  </si>
  <si>
    <t>Madagascar_Spinetail_5885.jpg</t>
  </si>
  <si>
    <t>Madagascar_Starling_-_Etourneau_de_Malgache_5356.jpg</t>
  </si>
  <si>
    <t>Madagascar_Starling_-_Etourneau_de_Malgache_9022MF.jpg</t>
  </si>
  <si>
    <t>Madagascar_Starling_-_Etourneau_malgache.jpg</t>
  </si>
  <si>
    <t>Madagascar_Swamp_Warbler_-_Rousserolle_de_Newton_5234.jpg</t>
  </si>
  <si>
    <t>Madagascar_Wagtail_-_Bergeronnette_malgache_8779MF.jpg</t>
  </si>
  <si>
    <t>Magenta-throated_Woodstar_2882MF.jpg</t>
  </si>
  <si>
    <t>Magenta-throated_Woodstar_6941.jpg</t>
  </si>
  <si>
    <t>Magnificent_Frigatebird_21212.jpg</t>
  </si>
  <si>
    <t>Magnificent_Frigatebird_3050.jpg</t>
  </si>
  <si>
    <t>Magnificent_Frigatebird_5096.jpg</t>
  </si>
  <si>
    <t>Magnificent_Frigatebird_5992.jpg</t>
  </si>
  <si>
    <t>Magnificent_Frigatebird_6472.jpg</t>
  </si>
  <si>
    <t>Magnificent_Frigatebird_6490.jpg</t>
  </si>
  <si>
    <t>Magnificent_Frigatebird_6613.jpg</t>
  </si>
  <si>
    <t>Magnificent_Frigatebird_736.jpg</t>
  </si>
  <si>
    <t>Magnificent_Frigatebird_7749MF.jpg</t>
  </si>
  <si>
    <t>Magnificent_Frigatebird_MF6388.jpg</t>
  </si>
  <si>
    <t>Magnificent_Frigatebird_MF6392.jpg</t>
  </si>
  <si>
    <t>Magnolia_Warbler3749MF.jpg</t>
  </si>
  <si>
    <t>Magnolia_Warbler_0190.jpg</t>
  </si>
  <si>
    <t>Magnolia_Warbler_2014-001.jpg</t>
  </si>
  <si>
    <t>Magnolia_Warbler_2014-003.jpg</t>
  </si>
  <si>
    <t>Magnolia_Warbler_2879.jpg</t>
  </si>
  <si>
    <t>Magnolia_Warbler_3311MF.jpg</t>
  </si>
  <si>
    <t>Magnolia_Warbler_3317MF.jpg</t>
  </si>
  <si>
    <t>Magnolia_Warbler_3775.jpg</t>
  </si>
  <si>
    <t>Magnolia_Warbler_3844.jpg</t>
  </si>
  <si>
    <t>Magnolia_Warbler_7594.jpg</t>
  </si>
  <si>
    <t>Magnolia_Warbler_7612.jpg</t>
  </si>
  <si>
    <t>Magnolia_Warbler_8181.jpg</t>
  </si>
  <si>
    <t>Magnolia_Warbler_8627.jpg</t>
  </si>
  <si>
    <t>Magnolia_Warbler_8746.jpg</t>
  </si>
  <si>
    <t>Magnolia_warbler_0336MF.jpg</t>
  </si>
  <si>
    <t>Magnolia_warbler_0407.jpg</t>
  </si>
  <si>
    <t>Magnolia_warbler_1378.jpg</t>
  </si>
  <si>
    <t>Magnolia_warbler_4199MF.jpg</t>
  </si>
  <si>
    <t>Magnolia_warbler_5045.jpg</t>
  </si>
  <si>
    <t>Magnolia_warbler_7439MF.jpg</t>
  </si>
  <si>
    <t>Magpie-lark.jpg</t>
  </si>
  <si>
    <t>Magpie_Shrike_269.jpg</t>
  </si>
  <si>
    <t>Magpie_Shrike_9350.jpg</t>
  </si>
  <si>
    <t>Malachite_Kingfisher_7671.jpg</t>
  </si>
  <si>
    <t>Malagasy_Bulbul_-_Bulbul_de_Madagascar_5909.jpg</t>
  </si>
  <si>
    <t>Malagasy_Coucal_-_Coucal_toulou_9453MF.jpg</t>
  </si>
  <si>
    <t>Malagasy_Kestrel_-_Crecerelle_malgache_5846.jpg</t>
  </si>
  <si>
    <t>Malagasy_Kestrel_-_Crecerelle_malgache_9090MF.jpg</t>
  </si>
  <si>
    <t>Malagasy_Kingfisher_9316.jpg</t>
  </si>
  <si>
    <t>Malagasy_Kingfisher_vintsi_8741MF.jpg</t>
  </si>
  <si>
    <t>Malagasy_Paradise-Flycatcher_-_Tchitrec_malgache_6371.jpg</t>
  </si>
  <si>
    <t>Malagasy_Paradise-Flycatcher_-_Tchitrec_malgache_9296MF.jpg</t>
  </si>
  <si>
    <t>Malagasy_Pond-Heron_20223.jpg</t>
  </si>
  <si>
    <t>Malagasy_Pond-Heron_20321.jpg</t>
  </si>
  <si>
    <t>Malagasy_Pond-Heron_20321G.jpg</t>
  </si>
  <si>
    <t>Malagasy_Pond-heron.jpg</t>
  </si>
  <si>
    <t>Malagasy_Pond-heron_0312.jpg</t>
  </si>
  <si>
    <t>Malagasy_Pond-heron_0321G.jpg</t>
  </si>
  <si>
    <t>Malagasy_Pond-heron_0321G2.jpg</t>
  </si>
  <si>
    <t>Malagasy_Pond-heron_9859.jpg</t>
  </si>
  <si>
    <t>Malagasy_Pond-heron_9868.jpg</t>
  </si>
  <si>
    <t>Mallard_0242.jpg</t>
  </si>
  <si>
    <t>Mallard_1548.jpg</t>
  </si>
  <si>
    <t>Mallard_2367.jpg</t>
  </si>
  <si>
    <t>Mallard_2508.jpg</t>
  </si>
  <si>
    <t>Mallard_4552.jpg</t>
  </si>
  <si>
    <t>Mallard_9233.jpg</t>
  </si>
  <si>
    <t>Maned_Duck_8066.jpg</t>
  </si>
  <si>
    <t>Maned_duck_1933.jpg</t>
  </si>
  <si>
    <t>Mangrove_Cuckoo-Mangrove_Cuckoo_5984.jpg</t>
  </si>
  <si>
    <t>Mangrove_Swallow_MF5154.jpg</t>
  </si>
  <si>
    <t>Marabou_Stork_318.jpg</t>
  </si>
  <si>
    <t>Marabou_Stork_7292.jpg</t>
  </si>
  <si>
    <t>Marbled_Godwit_0643.jpg</t>
  </si>
  <si>
    <t>Marbled_Godwit_1102.jpg</t>
  </si>
  <si>
    <t>Marbled_Godwit_9363.jpg</t>
  </si>
  <si>
    <t>Marbled_Godwit_9568.jpg</t>
  </si>
  <si>
    <t>Marsh_Sandpiper_2929MF.jpg</t>
  </si>
  <si>
    <t>Marsh_Wren_1470.jpg</t>
  </si>
  <si>
    <t>Marsh_Wren_2174.jpg</t>
  </si>
  <si>
    <t>Martial_Eagle_9395.jpg</t>
  </si>
  <si>
    <t>Masked_Cardinal_5574.jpg</t>
  </si>
  <si>
    <t>Masked_Flowerpiercer_4668.jpg</t>
  </si>
  <si>
    <t>Masked_Lapwing_8914.jpg</t>
  </si>
  <si>
    <t>Masked_Tityra_24027.jpg</t>
  </si>
  <si>
    <t>Masked_Tityra_3679.jpg</t>
  </si>
  <si>
    <t>Masked_Tityra_7543.jpg</t>
  </si>
  <si>
    <t>Masked_Tityra_7865.jpg</t>
  </si>
  <si>
    <t>Masked_Trogon_3754.jpg</t>
  </si>
  <si>
    <t>Masked_Trogon_4217.jpg</t>
  </si>
  <si>
    <t>Masked_Yellowthroat_4967.jpg</t>
  </si>
  <si>
    <t>Mealy_Amazon_38.jpg</t>
  </si>
  <si>
    <t>Mealy_Amazon_436.jpg</t>
  </si>
  <si>
    <t>Mealy_Amazon_7161.jpg</t>
  </si>
  <si>
    <t>Medium_Ground-Finch_13.jpg</t>
  </si>
  <si>
    <t>Melodious_Blackbird_1647.jpg</t>
  </si>
  <si>
    <t>Melodious_Blackbird_3647.jpg</t>
  </si>
  <si>
    <t>Melodious_blackbird_2498MF.jpg</t>
  </si>
  <si>
    <t>Merlin_0513.jpg</t>
  </si>
  <si>
    <t>Merlin_1577.jpg</t>
  </si>
  <si>
    <t>Merlin_1772.jpg</t>
  </si>
  <si>
    <t>Merlin_193338.jpg</t>
  </si>
  <si>
    <t>Merlin_1991.jpg</t>
  </si>
  <si>
    <t>Merlin_2493.jpg</t>
  </si>
  <si>
    <t>Merlin_2542.jpg</t>
  </si>
  <si>
    <t>Merlin_2555.jpg</t>
  </si>
  <si>
    <t>Merlin_6855MF.jpg</t>
  </si>
  <si>
    <t>Merlin_8721MF-Studio.jpeg</t>
  </si>
  <si>
    <t>Merlin_8721MF.jpg</t>
  </si>
  <si>
    <t>Metallic-green_Tanager_3504.jpg</t>
  </si>
  <si>
    <t>Mississippi_Kite_1514.jpg</t>
  </si>
  <si>
    <t>Mississippi_Kite_1515.jpg</t>
  </si>
  <si>
    <t>Mississippi_Kite_1520.jpg</t>
  </si>
  <si>
    <t>Mitred_Parakeet_8152.jpg</t>
  </si>
  <si>
    <t>Mitred_Parakeet_8182.jpg</t>
  </si>
  <si>
    <t>Mocking_Cliff-Chat_231.jpg</t>
  </si>
  <si>
    <t>Mocking_Cliff-Chat_3523.jpg</t>
  </si>
  <si>
    <t>Mocking_Cliff-chat_2824.jpg</t>
  </si>
  <si>
    <t>Monk_Parakeet_7942.jpg</t>
  </si>
  <si>
    <t>Monk_Parakeet_7970.jpg</t>
  </si>
  <si>
    <t>Monk_Parakeet_8026.jpg</t>
  </si>
  <si>
    <t>Monk_Parakeet_8045.jpg</t>
  </si>
  <si>
    <t>Monk_Parakeet_8175.jpg</t>
  </si>
  <si>
    <t>Montane_Woodcreeper_23908.jpg</t>
  </si>
  <si>
    <t>Montane_Woodcreeper_3768.jpg</t>
  </si>
  <si>
    <t>Montane_Woodcreeper_3935.jpg</t>
  </si>
  <si>
    <t>Montane_Woodcreeper_4104.jpg</t>
  </si>
  <si>
    <t>Montane_Woodcreeper_5859.jpg</t>
  </si>
  <si>
    <t>Montezuma_Oropendola_4807.jpg</t>
  </si>
  <si>
    <t>Montezuma_Oropendola_7495.jpg</t>
  </si>
  <si>
    <t>Moss-backed_Tanager_4927.jpg</t>
  </si>
  <si>
    <t>Mottled_Duck_2202.jpg</t>
  </si>
  <si>
    <t>Mottled_Duck_4077.jpg</t>
  </si>
  <si>
    <t>Mottled_Duck_7023MF.jpg</t>
  </si>
  <si>
    <t>Mottled_Duck_7917MF.jpg</t>
  </si>
  <si>
    <t>Mottled_Owl_1221.jpg</t>
  </si>
  <si>
    <t>Mottled_Owl_1567.jpg</t>
  </si>
  <si>
    <t>Mountain_Cacique_4977.jpg</t>
  </si>
  <si>
    <t>Mountain_Cacique_5053.jpg</t>
  </si>
  <si>
    <t>Mountain_Chat.jpg</t>
  </si>
  <si>
    <t>Mountain_Elaenia_2391.jpg</t>
  </si>
  <si>
    <t>Mountain_Elaenia_5937.jpg</t>
  </si>
  <si>
    <t>Mountain_Thrush_2580.jpg</t>
  </si>
  <si>
    <t>Mountain_Wren_3831.jpg</t>
  </si>
  <si>
    <t>Mourning_Dove_1264.jpg</t>
  </si>
  <si>
    <t>Mourning_Dove_2522.jpg</t>
  </si>
  <si>
    <t>Mourning_Dove_7079.jpg</t>
  </si>
  <si>
    <t>Mourning_Dove_8003MF.jpg</t>
  </si>
  <si>
    <t>Mourning_Dove_8637.jpg</t>
  </si>
  <si>
    <t>Mourning_Dove_8967.jpg</t>
  </si>
  <si>
    <t>Mourning_Dove_9281.jpg</t>
  </si>
  <si>
    <t>Mourning_Warbler_0217.jpg</t>
  </si>
  <si>
    <t>Mourning_Warbler_0226.jpg</t>
  </si>
  <si>
    <t>Mourning_Warbler_0483.jpg</t>
  </si>
  <si>
    <t>Mourning_Warbler_1416MF.jpg</t>
  </si>
  <si>
    <t>Moustached_Antwren.jpg</t>
  </si>
  <si>
    <t>Moustached_Brushfinch_6861.jpg</t>
  </si>
  <si>
    <t>Musk_Lorikeet_3844MF.jpg</t>
  </si>
  <si>
    <t>Musk_Lorikeet_5285MF.jpg</t>
  </si>
  <si>
    <t>Mute_Swan_0384.jpg</t>
  </si>
  <si>
    <t>Mute_Swan_1510.jpg</t>
  </si>
  <si>
    <t>Mute_Swan_2853.jpg</t>
  </si>
  <si>
    <t>Mute_Swan_7631.jpg</t>
  </si>
  <si>
    <t>Namaqua_Dove_-_Tourtelette_masquee-6529.jpg</t>
  </si>
  <si>
    <t>Namaqua_Dove_-_Tourtelette_masquee_9330MF.jpg</t>
  </si>
  <si>
    <t>Namaqua_Dove_258.jpg</t>
  </si>
  <si>
    <t>Nanday_Parakeet_20292.jpg</t>
  </si>
  <si>
    <t>Nanday_Parakeet_20322.jpg</t>
  </si>
  <si>
    <t>Nanday_Parakeet_20329.jpg</t>
  </si>
  <si>
    <t>Nanday_Parakeet_7937MF.jpg</t>
  </si>
  <si>
    <t>Nanday_Parakeet_9536MF.jpg</t>
  </si>
  <si>
    <t>Nankeen_Kestrel_0478.jpg</t>
  </si>
  <si>
    <t>Nankeen_Kestrel_0977.jpg</t>
  </si>
  <si>
    <t>Nashville_Warbler_0167.jpg</t>
  </si>
  <si>
    <t>Nashville_Warbler_2030.jpg</t>
  </si>
  <si>
    <t>Nashville_Warbler_2442.jpg</t>
  </si>
  <si>
    <t>Nashville_Warbler_2489.jpg</t>
  </si>
  <si>
    <t>Nashville_Warbler_2591.jpg</t>
  </si>
  <si>
    <t>Nashville_Warbler_3124.jpg</t>
  </si>
  <si>
    <t>Nashville_Warbler_3249MF.jpg</t>
  </si>
  <si>
    <t>Nashville_Warbler_4020.jpg</t>
  </si>
  <si>
    <t>Nashville_Warbler_6517MF.jpg</t>
  </si>
  <si>
    <t>Nashville_Warbler_6831.jpg</t>
  </si>
  <si>
    <t>Nashville_Warbler_6903.jpg</t>
  </si>
  <si>
    <t>Nashville_Warbler_7444.jpg</t>
  </si>
  <si>
    <t>Nashville_Warbler_7722.jpg</t>
  </si>
  <si>
    <t>Nashville_Warbler_9958.jpg</t>
  </si>
  <si>
    <t>Nashville_Warbler_CAO.jpg</t>
  </si>
  <si>
    <t>Nazca_Booby_63.jpg</t>
  </si>
  <si>
    <t>Neotropic_Cormorant_5048MF.jpg</t>
  </si>
  <si>
    <t>Neotropic_Cormorant_6508.jpg</t>
  </si>
  <si>
    <t>Neotropic_Cormorant_7371.jpg</t>
  </si>
  <si>
    <t>New_Holland_Honeyeater_1044.jpg</t>
  </si>
  <si>
    <t>New_Holland_Honeyeater_2248.jpg</t>
  </si>
  <si>
    <t>New_Holland_Honeyeater_2610MF.jpg</t>
  </si>
  <si>
    <t>New_Holland_Honeyeater_3182MF.jpg</t>
  </si>
  <si>
    <t>New_Holland_Honeyeater_3384MF.jpg</t>
  </si>
  <si>
    <t>New_Holland_Honeyeater_8056.jpg</t>
  </si>
  <si>
    <t>Nicaraguan_Grackle_725.jpg</t>
  </si>
  <si>
    <t>Noisy_Friarbird_8038.jpg</t>
  </si>
  <si>
    <t>Noisy_Friarbird_9262.jpg</t>
  </si>
  <si>
    <t>Noisy_Miner.jpg</t>
  </si>
  <si>
    <t>Noisy_Miner_2287.jpg</t>
  </si>
  <si>
    <t>Northern_Barred-Woodcreeper_6063.jpg</t>
  </si>
  <si>
    <t>Northern_Cardinal_1465.jpg</t>
  </si>
  <si>
    <t>Northern_Cardinal_2.jpg</t>
  </si>
  <si>
    <t>Northern_Cardinal_20340.jpg</t>
  </si>
  <si>
    <t>Northern_Cardinal_2413.jpg</t>
  </si>
  <si>
    <t>Northern_Cardinal_9483.jpg</t>
  </si>
  <si>
    <t>Northern_Cardinal_9486.jpg</t>
  </si>
  <si>
    <t>Northern_Emerald-Toucanet_2486.jpg</t>
  </si>
  <si>
    <t>Northern_Emerald-Toucanet_2486_2.jpg</t>
  </si>
  <si>
    <t>Northern_Emerald-Toucanet_5850.jpg</t>
  </si>
  <si>
    <t>Northern_Flicker_0482.jpg</t>
  </si>
  <si>
    <t>Northern_Flicker_2402MF.jpg</t>
  </si>
  <si>
    <t>Northern_Flicker_2897.jpg</t>
  </si>
  <si>
    <t>Northern_Flicker_4618MF.jpg</t>
  </si>
  <si>
    <t>Northern_Flicker_5917MF.jpg</t>
  </si>
  <si>
    <t>Northern_Flicker_7832.jpg</t>
  </si>
  <si>
    <t>Northern_Flicker_8033.jpg</t>
  </si>
  <si>
    <t>Northern_Harrier_0096.jpg</t>
  </si>
  <si>
    <t>Northern_Harrier_0570.jpg</t>
  </si>
  <si>
    <t>Northern_Harrier_1997.jpg</t>
  </si>
  <si>
    <t>Northern_Harrier_20927.jpg</t>
  </si>
  <si>
    <t>Northern_Harrier_4539.jpg</t>
  </si>
  <si>
    <t>Northern_Hawk_Owl_7023.jpg</t>
  </si>
  <si>
    <t>Northern_House_Wren_1860.jpg</t>
  </si>
  <si>
    <t>Northern_House_Wren_21421.jpg</t>
  </si>
  <si>
    <t>Northern_House_Wren_5500MF.jpg</t>
  </si>
  <si>
    <t>Northern_House_Wren_6973.jpg</t>
  </si>
  <si>
    <t>Northern_House_Wren_MF3625.jpg</t>
  </si>
  <si>
    <t>Northern_Jacana_165.jpg</t>
  </si>
  <si>
    <t>Northern_Jacana_346.jpg</t>
  </si>
  <si>
    <t>Northern_Mockingbird_0136.jpg</t>
  </si>
  <si>
    <t>Northern_Mockingbird_0524.jpg</t>
  </si>
  <si>
    <t>Northern_Mockingbird_9690.jpg</t>
  </si>
  <si>
    <t>Northern_Parula.jpg</t>
  </si>
  <si>
    <t>Northern_Parula_0412.jpg</t>
  </si>
  <si>
    <t>Northern_Parula_0447.jpg</t>
  </si>
  <si>
    <t>Northern_Parula_1590.jpg</t>
  </si>
  <si>
    <t>Northern_Parula_1591.jpg</t>
  </si>
  <si>
    <t>Northern_Parula_1613.jpg</t>
  </si>
  <si>
    <t>Northern_Parula_2.jpg</t>
  </si>
  <si>
    <t>Northern_Parula_20599.jpg</t>
  </si>
  <si>
    <t>Northern_Parula_2390.jpg</t>
  </si>
  <si>
    <t>Northern_Parula_2499.jpg</t>
  </si>
  <si>
    <t>Northern_Parula_2500.jpg</t>
  </si>
  <si>
    <t>Northern_Parula_3193.jpg</t>
  </si>
  <si>
    <t>Northern_Parula_3239MF.jpg</t>
  </si>
  <si>
    <t>Northern_Parula_4361MF.jpg</t>
  </si>
  <si>
    <t>Northern_Parula_4374MF.jpg</t>
  </si>
  <si>
    <t>Northern_Parula_4887.jpg</t>
  </si>
  <si>
    <t>Northern_Parula_5569MF.jpg</t>
  </si>
  <si>
    <t>Northern_Parula_5745.jpg</t>
  </si>
  <si>
    <t>Northern_Parula_6076MF.jpg</t>
  </si>
  <si>
    <t>Northern_Parula_7011.jpg</t>
  </si>
  <si>
    <t>Northern_Parula_7369MF.jpg</t>
  </si>
  <si>
    <t>Northern_Parula_8127MF.jpg</t>
  </si>
  <si>
    <t>Northern_Parula_9368.jpg</t>
  </si>
  <si>
    <t>Northern_Parula_Bloom.jpeg</t>
  </si>
  <si>
    <t>Northern_Pintail.jpg</t>
  </si>
  <si>
    <t>Northern_Pintail_0221.jpg</t>
  </si>
  <si>
    <t>Northern_Pintail_2018.jpg</t>
  </si>
  <si>
    <t>Northern_Plain-Xenops_1636.jpg</t>
  </si>
  <si>
    <t>Northern_Plain-Xenops_MF3517.jpg</t>
  </si>
  <si>
    <t>Northern_Rough-winged_Swallow_7948.jpg</t>
  </si>
  <si>
    <t>Northern_Screamer_21227.jpg</t>
  </si>
  <si>
    <t>Northern_Screamer_22257.jpg</t>
  </si>
  <si>
    <t>Northern_Screamer_22511.jpg</t>
  </si>
  <si>
    <t>Northern_Scrub-Flycatcher.jpg</t>
  </si>
  <si>
    <t>Northern_Scrub-Flycatcher_23174.jpg</t>
  </si>
  <si>
    <t>Northern_Scrub-Flycatcher_5958.jpg</t>
  </si>
  <si>
    <t>Northern_Shoveler.jpg</t>
  </si>
  <si>
    <t>Northern_Shoveler_0250.jpg</t>
  </si>
  <si>
    <t>Northern_Shoveler_1291.jpg</t>
  </si>
  <si>
    <t>Northern_Shoveler_1400.jpg</t>
  </si>
  <si>
    <t>Northern_Shoveler_2608.jpg</t>
  </si>
  <si>
    <t>Northern_Shoveler_3429.jpg</t>
  </si>
  <si>
    <t>Northern_Shoveler_5626MF.jpg</t>
  </si>
  <si>
    <t>Northern_Shoveler_7002MF.jpg</t>
  </si>
  <si>
    <t>Northern_Shoveler_7005MF.jpg</t>
  </si>
  <si>
    <t>Northern_Shoveler_7830.jpg</t>
  </si>
  <si>
    <t>Northern_Shoveler_8536.jpg</t>
  </si>
  <si>
    <t>Northern_Shoveler_9676.jpg</t>
  </si>
  <si>
    <t>Northern_Tropical_Pewee_2139MF.jpg</t>
  </si>
  <si>
    <t>Northern_Tropical_Pewee_5251.jpg</t>
  </si>
  <si>
    <t>Northern_Tropical_Pewee_8350.jpg</t>
  </si>
  <si>
    <t>Northern_Waterthrush.jpg</t>
  </si>
  <si>
    <t>Northern_Waterthrush_2108.jpg</t>
  </si>
  <si>
    <t>Northern_Waterthrush_2780.jpg</t>
  </si>
  <si>
    <t>Northern_Waterthrush_5610.jpg</t>
  </si>
  <si>
    <t>Northern_Waterthrush_5617.jpg</t>
  </si>
  <si>
    <t>Northern_Waterthrush_5819.jpg</t>
  </si>
  <si>
    <t>Northern_Waterthrush_5840.jpg</t>
  </si>
  <si>
    <t>Northern_Waterthrush_6103MF.jpg</t>
  </si>
  <si>
    <t>Northern_Waterthrush_7182.jpg</t>
  </si>
  <si>
    <t>Northern_Yellow_Warbler.jpg</t>
  </si>
  <si>
    <t>Northern_Yellow_Warbler_007.jpg</t>
  </si>
  <si>
    <t>Northern_Yellow_Warbler_0180MF.jpg</t>
  </si>
  <si>
    <t>Northern_Yellow_Warbler_1105.jpg</t>
  </si>
  <si>
    <t>Northern_Yellow_Warbler_1151.jpg</t>
  </si>
  <si>
    <t>Northern_Yellow_Warbler_2053.jpg</t>
  </si>
  <si>
    <t>Northern_Yellow_Warbler_2109.jpg</t>
  </si>
  <si>
    <t>Northern_Yellow_Warbler_2259MF.jpg</t>
  </si>
  <si>
    <t>Northern_Yellow_Warbler_2437.jpg</t>
  </si>
  <si>
    <t>Northern_Yellow_Warbler_2550.jpg</t>
  </si>
  <si>
    <t>Northern_Yellow_Warbler_2861.jpg</t>
  </si>
  <si>
    <t>Northern_Yellow_Warbler_2881MF.jpg</t>
  </si>
  <si>
    <t>Northern_Yellow_Warbler_3710MF.jpg</t>
  </si>
  <si>
    <t>Northern_Yellow_Warbler_4183.jpg</t>
  </si>
  <si>
    <t>Northern_Yellow_Warbler_5295.jpg</t>
  </si>
  <si>
    <t>Northern_Yellow_Warbler_6419MF.jpg</t>
  </si>
  <si>
    <t>Northern_Yellow_Warbler_6555MF.jpg</t>
  </si>
  <si>
    <t>Northern_Yellow_Warbler_6914.jpg</t>
  </si>
  <si>
    <t>Northern_Yellow_Warbler_7170MF.jpg</t>
  </si>
  <si>
    <t>Northern_Yellow_Warbler_7220MF.jpg</t>
  </si>
  <si>
    <t>Northern_Yellow_Warbler_7656.jpg</t>
  </si>
  <si>
    <t>Northern_Yellow_Warbler_7813.jpg</t>
  </si>
  <si>
    <t>Northern_Yellow_Warbler_8016.jpg</t>
  </si>
  <si>
    <t>Northern_Yellow_Warbler_9930.jpg</t>
  </si>
  <si>
    <t>Northern_Yellow_warbler_2317MF.jpg</t>
  </si>
  <si>
    <t>Northern_Yellow_warbler_5580.jpg</t>
  </si>
  <si>
    <t>Northern_gannet_9833TIF.jpg</t>
  </si>
  <si>
    <t>Northern_pintail_1300MF.jpg</t>
  </si>
  <si>
    <t>Northern_pintail_1837MF.jpg</t>
  </si>
  <si>
    <t>Northern_pintail_7467.jpg</t>
  </si>
  <si>
    <t>Oak_Titmouse_2251.jpg</t>
  </si>
  <si>
    <t>Ochraceous_Wren_8038.jpg</t>
  </si>
  <si>
    <t>Ochre-lored_Flatbill_1568MF.jpg</t>
  </si>
  <si>
    <t>Ochre-lored_Flatbill_21009.jpg</t>
  </si>
  <si>
    <t>Ochre-throated_Foliage-gleaner_2654.jpg</t>
  </si>
  <si>
    <t>Oilbird_5417.jpg</t>
  </si>
  <si>
    <t>Olivaceous_Piculet_0685.jpg</t>
  </si>
  <si>
    <t>Olivaceous_Piculet_6439.jpg</t>
  </si>
  <si>
    <t>Olivaceous_Piculet_7157.jpg</t>
  </si>
  <si>
    <t>Olive-backed_Euphonia_3265.jpg</t>
  </si>
  <si>
    <t>Olive-backed_Euphonia_4412.jpg</t>
  </si>
  <si>
    <t>Olive-backed_Euphonia_5439.jpg</t>
  </si>
  <si>
    <t>Olive-backed_Euphonia_MF3753.jpg</t>
  </si>
  <si>
    <t>Olive-capped_Coua_-_Coua_a_tete_olive_9615MF.jpg</t>
  </si>
  <si>
    <t>Olive-capped_Coua_6971.jpg</t>
  </si>
  <si>
    <t>Olive-capped_Coua_8796.jpg</t>
  </si>
  <si>
    <t>Olive-capped_Coua_8820.jpg</t>
  </si>
  <si>
    <t>Olive-crowned_Yellowthroat_7059.jpg</t>
  </si>
  <si>
    <t>Olive-gray_Saltator_22906.jpg</t>
  </si>
  <si>
    <t>Olive-gray_Saltator_385.jpg</t>
  </si>
  <si>
    <t>Olive-gray_Saltator_4916.jpg</t>
  </si>
  <si>
    <t>Olive-gray_Saltator_5105.jpg</t>
  </si>
  <si>
    <t>Olive-throated_Parakeet_175.jpg</t>
  </si>
  <si>
    <t>Olive-throated_Parakeet_413.jpg</t>
  </si>
  <si>
    <t>Olive-throated_Parakeet_7022.jpg</t>
  </si>
  <si>
    <t>Olive_Bee-eater_-_Guepier_de_Madagascar_5494.jpg</t>
  </si>
  <si>
    <t>Olive_Bee-eater_-_Guepier_de_Madagascar_7031.jpg</t>
  </si>
  <si>
    <t>Olive_Bee-eater_-_Guepier_de_Madagascar_7814.jpg</t>
  </si>
  <si>
    <t>Olive_Bee-eater_-_Guepier_de_Madagascar_8529.jpg</t>
  </si>
  <si>
    <t>Omao_0916.jpg</t>
  </si>
  <si>
    <t>Orange-billed_Sparrow_6358.jpg</t>
  </si>
  <si>
    <t>Orange-billed_Sparrow_MF3143.jpg</t>
  </si>
  <si>
    <t>Orange-breasted_Fruiteater-.jpg</t>
  </si>
  <si>
    <t>Orange-chinned_Parakeet_6110.jpg</t>
  </si>
  <si>
    <t>Orange-chinned_Parakeet_MF5900.jpg</t>
  </si>
  <si>
    <t>Orange-chinned_Parakeet_MF629.jpg</t>
  </si>
  <si>
    <t>Orange-crowned_Warbler_1570.jpg</t>
  </si>
  <si>
    <t>Orange-crowned_Warbler_5353MF.jpg</t>
  </si>
  <si>
    <t>Orange-fronted_Parakeet_2110MF.jpg</t>
  </si>
  <si>
    <t>Orange-winged_Amazon_5144.jpg</t>
  </si>
  <si>
    <t>Orchard_Oriole_0468.jpg</t>
  </si>
  <si>
    <t>Orchard_Oriole_0600.jpg</t>
  </si>
  <si>
    <t>Orchard_Oriole_1356.jpg</t>
  </si>
  <si>
    <t>Orchard_Oriole_1st_spring_male_0613.jpg</t>
  </si>
  <si>
    <t>Orchard_Oriole_4553MF.jpg</t>
  </si>
  <si>
    <t>Orchard_Oriole_4554MF.jpg</t>
  </si>
  <si>
    <t>Orchard_Oriole_5881MF.jpg</t>
  </si>
  <si>
    <t>Orchard_Oriole_618.jpg</t>
  </si>
  <si>
    <t>Orchard_Oriole_7933.jpg</t>
  </si>
  <si>
    <t>Orchard_Oriole_8480.jpg</t>
  </si>
  <si>
    <t>Orinocan_Saltator_5493.jpg</t>
  </si>
  <si>
    <t>Osprey_0249.jpg</t>
  </si>
  <si>
    <t>Osprey_0776MF.jpg</t>
  </si>
  <si>
    <t>Osprey_1684.jpg</t>
  </si>
  <si>
    <t>Osprey_20507.jpg</t>
  </si>
  <si>
    <t>Osprey_2052.jpg</t>
  </si>
  <si>
    <t>Osprey_219.jpg</t>
  </si>
  <si>
    <t>Osprey_2389.jpg</t>
  </si>
  <si>
    <t>Osprey_2407.jpg</t>
  </si>
  <si>
    <t>Osprey_3039.jpg</t>
  </si>
  <si>
    <t>Osprey_4527.jpg</t>
  </si>
  <si>
    <t>Osprey_4952MF.jpg</t>
  </si>
  <si>
    <t>Osprey_5450.jpg</t>
  </si>
  <si>
    <t>Osprey_5474.jpg</t>
  </si>
  <si>
    <t>Osprey_5601MF.jpg</t>
  </si>
  <si>
    <t>Osprey_6370.jpg</t>
  </si>
  <si>
    <t>Osprey_7359.jpg</t>
  </si>
  <si>
    <t>Osprey_8528MF.jpg</t>
  </si>
  <si>
    <t>Ovenbird_0428.jpg</t>
  </si>
  <si>
    <t>Ovenbird_196.jpg</t>
  </si>
  <si>
    <t>Ovenbird_3337MF.jpg</t>
  </si>
  <si>
    <t>Ovenbird_3384.jpg</t>
  </si>
  <si>
    <t>Ovenbird_5733MF.jpg</t>
  </si>
  <si>
    <t>Ovenbird_6189MF.jpg</t>
  </si>
  <si>
    <t>Ovenbird_6301.jpg</t>
  </si>
  <si>
    <t>Ovenbird_7101.jpg</t>
  </si>
  <si>
    <t>Ovenbird_8000.jpg</t>
  </si>
  <si>
    <t>Ovenbird_8006.jpg</t>
  </si>
  <si>
    <t>Pacific_Antwren_2520.jpg</t>
  </si>
  <si>
    <t>Pacific_Black_Duck_8179.jpg</t>
  </si>
  <si>
    <t>Pacific_Golden-Plover.jpg</t>
  </si>
  <si>
    <t>Pacific_Gull.jpg</t>
  </si>
  <si>
    <t>Pacific_Gull_3403MF.jpg</t>
  </si>
  <si>
    <t>Pacific_Heron_1600.jpg</t>
  </si>
  <si>
    <t>Pacific_Hornero_5889.jpg</t>
  </si>
  <si>
    <t>Pacific_Loon_2567.jpg</t>
  </si>
  <si>
    <t>Pacific_Screech-Owl_MF4887.jpg</t>
  </si>
  <si>
    <t>Pacific_Wren_9214.jpg</t>
  </si>
  <si>
    <t>Pacific_black_duck_9265.jpg</t>
  </si>
  <si>
    <t>Painted_Bunting_1724.jpg</t>
  </si>
  <si>
    <t>Painted_Bunting_1734.jpg</t>
  </si>
  <si>
    <t>Painted_Bunting_1747.jpg</t>
  </si>
  <si>
    <t>Painted_Bunting_20805.jpg</t>
  </si>
  <si>
    <t>Painted_Bunting_3152.jpg</t>
  </si>
  <si>
    <t>Painted_Bunting_7051.jpg</t>
  </si>
  <si>
    <t>Pale-billed_Woodpecker_6658.jpg</t>
  </si>
  <si>
    <t>Pale-billed_Woodpecker_6742.jpg</t>
  </si>
  <si>
    <t>Pale-breasted_Spinetail_1361.jpg</t>
  </si>
  <si>
    <t>Pale-breasted_Spinetail_1364.jpg</t>
  </si>
  <si>
    <t>Pale-breasted_Thrush.jpg</t>
  </si>
  <si>
    <t>Pale-breasted_Thrush_23239.jpg</t>
  </si>
  <si>
    <t>Pale-breasted_Thrush_23251.jpg</t>
  </si>
  <si>
    <t>Pale-breasted_Thrush_3385MF.jpg</t>
  </si>
  <si>
    <t>Pale-breasted_Thrush_4592.jpg</t>
  </si>
  <si>
    <t>Pale-vented_Pigeon_20681.jpg</t>
  </si>
  <si>
    <t>Pale-vented_Pigeon_21553.jpg</t>
  </si>
  <si>
    <t>Pale-vented_Pigeon_22873.jpg</t>
  </si>
  <si>
    <t>Pale-winged_Starling_112.jpg</t>
  </si>
  <si>
    <t>Pale_Chanting-goshawk_155.jpg</t>
  </si>
  <si>
    <t>Pale_Chanting-goshawk_348.jpg</t>
  </si>
  <si>
    <t>Pale_Chanting-goshawk_85.jpg</t>
  </si>
  <si>
    <t>Palila_0855.jpg</t>
  </si>
  <si>
    <t>Pallid_Cuckoo_0124.jpg</t>
  </si>
  <si>
    <t>Palm_Tanager_2956.jpg</t>
  </si>
  <si>
    <t>Palm_Tanager_5262.jpg</t>
  </si>
  <si>
    <t>Palm_Tanager_7078.jpg</t>
  </si>
  <si>
    <t>Palm_Warbler.jpg</t>
  </si>
  <si>
    <t>Palm_Warbler_0727.jpg</t>
  </si>
  <si>
    <t>Palm_Warbler_1353.jpg</t>
  </si>
  <si>
    <t>Palm_Warbler_1782MF.jpg</t>
  </si>
  <si>
    <t>Palm_Warbler_2026.jpg</t>
  </si>
  <si>
    <t>Palm_Warbler_2277MF.jpg</t>
  </si>
  <si>
    <t>Palm_Warbler_2510MF.jpg</t>
  </si>
  <si>
    <t>Palm_Warbler_4518MF.jpg</t>
  </si>
  <si>
    <t>Palm_Warbler_4946MF.jpg</t>
  </si>
  <si>
    <t>Palm_Warbler_5344MF.jpg</t>
  </si>
  <si>
    <t>Palm_Warbler_5863MF.jpg</t>
  </si>
  <si>
    <t>Palm_Warbler_6788.jpg</t>
  </si>
  <si>
    <t>Palm_Warbler_6987.jpg</t>
  </si>
  <si>
    <t>Palm_Warbler_7310MF.jpg</t>
  </si>
  <si>
    <t>Palm_Warbler_8222.jpg</t>
  </si>
  <si>
    <t>Palm_Warbler_8922.jpg</t>
  </si>
  <si>
    <t>Palm_Warbler_9086.jpg</t>
  </si>
  <si>
    <t>Palm_Warbler_9963.jpg</t>
  </si>
  <si>
    <t>Palm_Warbler_MF.jpg</t>
  </si>
  <si>
    <t>Panama_Flycatcher.jpg</t>
  </si>
  <si>
    <t>Panama_Flycatcher_22798.jpg</t>
  </si>
  <si>
    <t>Panama_Flycatcher_22988.jpg</t>
  </si>
  <si>
    <t>Paramo_Seedeater_2019.jpg</t>
  </si>
  <si>
    <t>Pearl_Kite_1833.jpg</t>
  </si>
  <si>
    <t>Pearled_Treerunner_3980.jpg</t>
  </si>
  <si>
    <t>Pearly-vented_Tody-Tyrant_5672.jpg</t>
  </si>
  <si>
    <t>Pearly-vented_Tody-Tyrant_5685.jpg</t>
  </si>
  <si>
    <t>Pearly-vented_Tody-Tyrant_6044.jpg</t>
  </si>
  <si>
    <t>Pectoral_Sandpiper_2095.jpg</t>
  </si>
  <si>
    <t>Pectoral_Sandpiper_2098.jpg</t>
  </si>
  <si>
    <t>Pectoral_Sandpiper_2300.jpg</t>
  </si>
  <si>
    <t>Pectoral_Sandpiper_2309.jpg</t>
  </si>
  <si>
    <t>Pectoral_Sandpiper_4469.jpg</t>
  </si>
  <si>
    <t>Pectoral_Sandpiper_6126.jpg</t>
  </si>
  <si>
    <t>Pelagic_Cormorant_8834.jpg</t>
  </si>
  <si>
    <t>Peregrine_Falcon.jpg</t>
  </si>
  <si>
    <t>Peregrine_Falcon_0507.jpg</t>
  </si>
  <si>
    <t>Peregrine_Falcon_0522.jpg</t>
  </si>
  <si>
    <t>Peregrine_Falcon_26742.jpg</t>
  </si>
  <si>
    <t>Peregrine_Falcon_7163.jpg</t>
  </si>
  <si>
    <t>Peregrine_Falcon_7163_2.jpg</t>
  </si>
  <si>
    <t>Peregrine_Falcon_728-2.jpg</t>
  </si>
  <si>
    <t>Peregrine_Falcon_728.jpg</t>
  </si>
  <si>
    <t>Peregrine_Falcon_791.jpg</t>
  </si>
  <si>
    <t>Peregrine_Falcon_830.jpg</t>
  </si>
  <si>
    <t>Peregrine_Falcon_834.jpg</t>
  </si>
  <si>
    <t>Peregrine_Falcons_741.jpg</t>
  </si>
  <si>
    <t>Pheasant_Cuckoo_0006.jpg</t>
  </si>
  <si>
    <t>Pheasant_Cuckoo_9990.jpg</t>
  </si>
  <si>
    <t>Philadelphia_Vireo_0832MF.jpg</t>
  </si>
  <si>
    <t>Philadelphia_Vireo_3628.jpg</t>
  </si>
  <si>
    <t>Philadelphia_Vireo_9092.jpg</t>
  </si>
  <si>
    <t>Pied-billed_Grebe_0281.jpg</t>
  </si>
  <si>
    <t>Pied-billed_Grebe_1125.jpg</t>
  </si>
  <si>
    <t>Pied-billed_Grebe_1813.jpg</t>
  </si>
  <si>
    <t>Pied-billed_Grebe_20702.jpg</t>
  </si>
  <si>
    <t>Pied-billed_Grebe_2406.jpg</t>
  </si>
  <si>
    <t>Pied-billed_Grebe_2935.jpg</t>
  </si>
  <si>
    <t>Pied-billed_Grebe_5284.jpg</t>
  </si>
  <si>
    <t>Pied-billed_Grebe_6508MF.jpg</t>
  </si>
  <si>
    <t>Pied-billed_Grebe_7310.jpg</t>
  </si>
  <si>
    <t>Pied-billed_Grebe_7649.jpg</t>
  </si>
  <si>
    <t>Pied-billed_grebe.jpg</t>
  </si>
  <si>
    <t>Pied_Avocet_249.jpg</t>
  </si>
  <si>
    <t>Pied_Barbet.jpg</t>
  </si>
  <si>
    <t>Pied_Barbet_383.jpg</t>
  </si>
  <si>
    <t>Pied_Crow_252.jpg</t>
  </si>
  <si>
    <t>Pied_Currawong_7959.jpg</t>
  </si>
  <si>
    <t>Pied_Currawong_8114.jpg</t>
  </si>
  <si>
    <t>Pied_Kingfisher_6677.jpg</t>
  </si>
  <si>
    <t>Pied_Oystercatcher.jpg</t>
  </si>
  <si>
    <t>Pied_Oystercatcher_9220.jpg</t>
  </si>
  <si>
    <t>Pied_Puffbird_22865.jpg</t>
  </si>
  <si>
    <t>Pied_Puffbird_2604.jpg</t>
  </si>
  <si>
    <t>Pied_Puffbird_5190.jpg</t>
  </si>
  <si>
    <t>Pied_Stilt_0945.jpg</t>
  </si>
  <si>
    <t>Pied_Stilt_2934MF.jpg</t>
  </si>
  <si>
    <t>Pied_Stilt_3647MF.jpg</t>
  </si>
  <si>
    <t>Pied_Water-Tyrant_1482.jpg</t>
  </si>
  <si>
    <t>Pied_Water-Tyrant_22126.jpg</t>
  </si>
  <si>
    <t>Pied_Water-Tyrant_4868.jpg</t>
  </si>
  <si>
    <t>Pied_Water-tyrant_22962.jpg</t>
  </si>
  <si>
    <t>Pileated_Finch_5545.jpg</t>
  </si>
  <si>
    <t>Pileated_Woodpecker_2084.jpg</t>
  </si>
  <si>
    <t>Pileated_Woodpecker_2504.jpg</t>
  </si>
  <si>
    <t>Pileated_Woodpecker_6963.jpg</t>
  </si>
  <si>
    <t>Pileated_Woodpecker_9708MF.jpg</t>
  </si>
  <si>
    <t>Pin-tailed_Whydah_3126.jpg</t>
  </si>
  <si>
    <t>Pine_Grosbeak_4360.jpg</t>
  </si>
  <si>
    <t>Pine_Grosbeak_4371.jpg</t>
  </si>
  <si>
    <t>Pine_Siskin_9286.jpg</t>
  </si>
  <si>
    <t>Pine_Siskin_9355.jpg</t>
  </si>
  <si>
    <t>Pine_Warbler.jpg</t>
  </si>
  <si>
    <t>Pine_Warbler_1153.jpg</t>
  </si>
  <si>
    <t>Pine_Warbler_2059.jpg</t>
  </si>
  <si>
    <t>Pine_Warbler_20620.jpg</t>
  </si>
  <si>
    <t>Pine_Warbler_4721MF.jpg</t>
  </si>
  <si>
    <t>Pine_Warbler_7164MF.jpg</t>
  </si>
  <si>
    <t>Pine_siskin_9144.jpg</t>
  </si>
  <si>
    <t>Pink-billed_Cnemoscopus_4063.jpg</t>
  </si>
  <si>
    <t>Pink-eared_Duck_1926.jpg</t>
  </si>
  <si>
    <t>Pink-eared_Duck_3483MF.jpg</t>
  </si>
  <si>
    <t>Pink_Robin_4357MF.jpg</t>
  </si>
  <si>
    <t>Piratic_Flycatcher_4107.jpg</t>
  </si>
  <si>
    <t>Plain-brown_Woodcreeper_0706.jpg</t>
  </si>
  <si>
    <t>Plain-brown_Woodcreeper_2259.jpg</t>
  </si>
  <si>
    <t>Plain-brown_Woodcreeper_5899.jpg</t>
  </si>
  <si>
    <t>Plain-brown_woodcreeper_5757.jpg</t>
  </si>
  <si>
    <t>Plain-colored_Tanager_6096.jpg</t>
  </si>
  <si>
    <t>Plain-colored_Tanager_7975.jpg</t>
  </si>
  <si>
    <t>Plain_Antvireo_1135.jpg</t>
  </si>
  <si>
    <t>Plain_Chachalaca_418.jpg</t>
  </si>
  <si>
    <t>Plumbeous_Kite_0909.jpg</t>
  </si>
  <si>
    <t>Plumbeous_Kite_8677.jpg</t>
  </si>
  <si>
    <t>Plumbeous_Sierra_Finch_2997.jpg</t>
  </si>
  <si>
    <t>Plumbeous_Sierra_Finch_6703.jpg</t>
  </si>
  <si>
    <t>Plumbeous_Sierra_Finch_7018.jpg</t>
  </si>
  <si>
    <t>Powerful_Woodpecker_5115.jpg</t>
  </si>
  <si>
    <t>Prairie_Warbler_0102.jpg</t>
  </si>
  <si>
    <t>Prairie_Warbler_2320.jpg</t>
  </si>
  <si>
    <t>Prairie_Warbler_2399.jpg</t>
  </si>
  <si>
    <t>Prairie_Warbler_2445.jpg</t>
  </si>
  <si>
    <t>Prairie_Warbler_3809.jpg</t>
  </si>
  <si>
    <t>Prairie_Warbler_4372.jpg</t>
  </si>
  <si>
    <t>Prairie_Warbler_4811.jpg</t>
  </si>
  <si>
    <t>Prong-billed_Barbet_6340.jpg</t>
  </si>
  <si>
    <t>Prothonotary_Warbler_1080.jpg</t>
  </si>
  <si>
    <t>Prothonotary_Warbler_1110.jpg</t>
  </si>
  <si>
    <t>Prothonotary_Warbler_1717MF.jpg</t>
  </si>
  <si>
    <t>Prothonotary_Warbler_20942.jpg</t>
  </si>
  <si>
    <t>Prothonotary_Warbler_2133MF.jpg</t>
  </si>
  <si>
    <t>Prothonotary_Warbler_3989.jpg</t>
  </si>
  <si>
    <t>Prothonotary_Warbler_4044.jpg</t>
  </si>
  <si>
    <t>Prothonotary_Warbler_4044A.jpg</t>
  </si>
  <si>
    <t>Prothonotary_Warbler_4309MF.jpg</t>
  </si>
  <si>
    <t>Prothonotary_Warbler_5976MF.jpg</t>
  </si>
  <si>
    <t>Prothonotary_Warbler_7327.jpg</t>
  </si>
  <si>
    <t>Prothonotary_Warbler_7481.jpg</t>
  </si>
  <si>
    <t>Prothonotary_Warbler_7506.jpg</t>
  </si>
  <si>
    <t>Prothonotary_Warbler_7649.jpg</t>
  </si>
  <si>
    <t>Prothonotary_Warbler_8211.jpg</t>
  </si>
  <si>
    <t>Prothonotary_Warbler_8272.jpg</t>
  </si>
  <si>
    <t>Prothonotary_Warbler_9344.jpg</t>
  </si>
  <si>
    <t>Purple-backed_Thornbill.jpg</t>
  </si>
  <si>
    <t>Purple-bibbed_Whitetip_3474.jpg</t>
  </si>
  <si>
    <t>Purple-crowned_Fairy_4188.jpg</t>
  </si>
  <si>
    <t>Purple-crowned_Fairy_421.jpg</t>
  </si>
  <si>
    <t>Purple-crowned_Fairy_4225.jpg</t>
  </si>
  <si>
    <t>Purple-crowned_Fairy_5318.jpg</t>
  </si>
  <si>
    <t>Purple-throated_Fruitcrow_1943.jpg</t>
  </si>
  <si>
    <t>Purple-throated_Fruitcrow_6026.jpg</t>
  </si>
  <si>
    <t>Purple-throated_Mountain-gem_2962MF.jpg</t>
  </si>
  <si>
    <t>Purple-throated_Mountain-gem_2966MF.jpg</t>
  </si>
  <si>
    <t>Purple-throated_Woodstar_3437.jpg</t>
  </si>
  <si>
    <t>Purple_Finch_1781.jpg</t>
  </si>
  <si>
    <t>Purple_Finch_1800.jpg</t>
  </si>
  <si>
    <t>Purple_Finch_2022A.jpg</t>
  </si>
  <si>
    <t>Purple_Finch_9515.jpg</t>
  </si>
  <si>
    <t>Purple_Finch_9556.jpg</t>
  </si>
  <si>
    <t>Purple_Gallinule_20557.jpg</t>
  </si>
  <si>
    <t>Purple_Gallinule_2104.jpg</t>
  </si>
  <si>
    <t>Purple_Gallinule_21456.jpg</t>
  </si>
  <si>
    <t>Purple_Gallinule_2289.jpg</t>
  </si>
  <si>
    <t>Purple_Gallinule_2632MF.jpg</t>
  </si>
  <si>
    <t>Purple_Gallinule_4327.jpg</t>
  </si>
  <si>
    <t>Purple_Gallinule_6658.jpg</t>
  </si>
  <si>
    <t>Purple_Gallinule_9653MF.jpg</t>
  </si>
  <si>
    <t>Purple_Heron_7410.jpg</t>
  </si>
  <si>
    <t>Purple_Honeycreeper_4048.jpg</t>
  </si>
  <si>
    <t>Purple_Martin_5395MF.jpg</t>
  </si>
  <si>
    <t>Purple_finch_9459.jpg</t>
  </si>
  <si>
    <t>Pygmy_Falcon_214.jpg</t>
  </si>
  <si>
    <t>Pygmy_Falcon_291.jpg</t>
  </si>
  <si>
    <t>Rainbow_Lorikeet_2314.jpg</t>
  </si>
  <si>
    <t>Rainbow_Lorikeet_3745MF.jpg</t>
  </si>
  <si>
    <t>Rainbow_Lorikeet_5258MF.jpg</t>
  </si>
  <si>
    <t>Red-and-yellow_Barbet_234.jpg</t>
  </si>
  <si>
    <t>Red-and-yellow_Barbet_240.jpg</t>
  </si>
  <si>
    <t>Red-bellied_Woodpecker_0012MF.jpg</t>
  </si>
  <si>
    <t>Red-bellied_Woodpecker_0256.jpg</t>
  </si>
  <si>
    <t>Red-bellied_Woodpecker_0540.jpg</t>
  </si>
  <si>
    <t>Red-bellied_Woodpecker_1178.jpg</t>
  </si>
  <si>
    <t>Red-bellied_Woodpecker_20469.jpg</t>
  </si>
  <si>
    <t>Red-bellied_Woodpecker_4768.jpg</t>
  </si>
  <si>
    <t>Red-bellied_Woodpecker_5740MF.jpg</t>
  </si>
  <si>
    <t>Red-bellied_Woodpecker_9688.jpg</t>
  </si>
  <si>
    <t>Red-billed_Buffalo-Weaver_299.jpg</t>
  </si>
  <si>
    <t>Red-billed_Buffalo-Weaver_373.jpg</t>
  </si>
  <si>
    <t>Red-billed_Duck_9385.jpg</t>
  </si>
  <si>
    <t>Red-billed_Emerald_5706.jpg</t>
  </si>
  <si>
    <t>Red-billed_Leiothrix_1028.jpg</t>
  </si>
  <si>
    <t>Red-billed_Parrot_3739MF.jpg</t>
  </si>
  <si>
    <t>Red-billed_Parrot_4469.jpg</t>
  </si>
  <si>
    <t>Red-billed_Pigeon_4500.jpg</t>
  </si>
  <si>
    <t>Red-billed_Spurfowl_8684.jpg</t>
  </si>
  <si>
    <t>Red-billed_Tropicbird_6772.jpg</t>
  </si>
  <si>
    <t>Red-billed_Tropicbird_6801.jpg</t>
  </si>
  <si>
    <t>Red-breasted_Coua_-_Coua_de_Serres_5615.jpg</t>
  </si>
  <si>
    <t>Red-breasted_Meadowlark_1611.jpg</t>
  </si>
  <si>
    <t>Red-breasted_Merganser_0282.jpg</t>
  </si>
  <si>
    <t>Red-breasted_Merganser_8100.jpg</t>
  </si>
  <si>
    <t>Red-breasted_Merganser_8493.jpg</t>
  </si>
  <si>
    <t>Red-breasted_Merganser_8942.jpg</t>
  </si>
  <si>
    <t>Red-breasted_Merganser_8946.jpg</t>
  </si>
  <si>
    <t>Red-breasted_Merganser_8947.jpg</t>
  </si>
  <si>
    <t>Red-breasted_Nuthatch_1895.jpg</t>
  </si>
  <si>
    <t>Red-breasted_Nuthatch_4855.jpg</t>
  </si>
  <si>
    <t>Red-breasted_Nuthatch_9092.jpg</t>
  </si>
  <si>
    <t>Red-breasted_Nuthatch_9523.jpg</t>
  </si>
  <si>
    <t>Red-breasted_merganser.jpg</t>
  </si>
  <si>
    <t>Red-browed_Firetail_0685.jpg</t>
  </si>
  <si>
    <t>Red-browed_Firetail_2744MF.jpg</t>
  </si>
  <si>
    <t>Red-capped_Lark_270.jpg</t>
  </si>
  <si>
    <t>Red-capped_Manakin_4186.jpg</t>
  </si>
  <si>
    <t>Red-capped_Plover_2848MF.jpg</t>
  </si>
  <si>
    <t>Red-capped_Robin-Chat_3494.jpg</t>
  </si>
  <si>
    <t>Red-crested_Bustard_8886.jpg</t>
  </si>
  <si>
    <t>Red-crowned_Ant-tanager_5398.jpg</t>
  </si>
  <si>
    <t>Red-crowned_Woodpecker.jpg</t>
  </si>
  <si>
    <t>Red-crowned_Woodpecker_20261.jpg</t>
  </si>
  <si>
    <t>Red-crowned_Woodpecker_2180.jpg</t>
  </si>
  <si>
    <t>Red-crowned_Woodpecker_5440.jpg</t>
  </si>
  <si>
    <t>Red-crowned_Woodpecker_6100.jpg</t>
  </si>
  <si>
    <t>Red-crowned_Woodpecker_6558.jpg</t>
  </si>
  <si>
    <t>Red-eyed_Dove_0499.jpg</t>
  </si>
  <si>
    <t>Red-eyed_Dove_6272.jpg</t>
  </si>
  <si>
    <t>Red-eyed_Vireo.jpg</t>
  </si>
  <si>
    <t>Red-eyed_Vireo_1707.jpg</t>
  </si>
  <si>
    <t>Red-eyed_Vireo_1892.jpg</t>
  </si>
  <si>
    <t>Red-eyed_Vireo_1972.jpg</t>
  </si>
  <si>
    <t>Red-eyed_Vireo_2014.jpg</t>
  </si>
  <si>
    <t>Red-eyed_Vireo_20637.jpg</t>
  </si>
  <si>
    <t>Red-eyed_Vireo_2472.jpg</t>
  </si>
  <si>
    <t>Red-eyed_Vireo_2542.jpg</t>
  </si>
  <si>
    <t>Red-eyed_Vireo_4351MF.jpg</t>
  </si>
  <si>
    <t>Red-eyed_Vireo_6118.jpg</t>
  </si>
  <si>
    <t>Red-eyed_Vireo_7793.jpg</t>
  </si>
  <si>
    <t>Red-eyed_Vireo_7824.jpg</t>
  </si>
  <si>
    <t>Red-eyed_Vireo_8727.jpg</t>
  </si>
  <si>
    <t>Red-eyed_Vireo_8794.jpg</t>
  </si>
  <si>
    <t>Red-faced_Spinetail_6126.jpg</t>
  </si>
  <si>
    <t>Red-footed_Booby_6764.jpg</t>
  </si>
  <si>
    <t>Red-fronted_Coua_-_Coua_de_Reynaud_5632.jpg</t>
  </si>
  <si>
    <t>Red-headed_Barbet_3751.jpg</t>
  </si>
  <si>
    <t>Red-headed_Finch_133.jpg</t>
  </si>
  <si>
    <t>Red-headed_Woodpecker_0018.jpg</t>
  </si>
  <si>
    <t>Red-headed_Woodpecker_0557.jpg</t>
  </si>
  <si>
    <t>Red-headed_Woodpecker_0583.jpg</t>
  </si>
  <si>
    <t>Red-headed_Woodpecker_4355MF.jpg</t>
  </si>
  <si>
    <t>Red-headed_Woodpecker_7214.jpg</t>
  </si>
  <si>
    <t>Red-headed_Woodpecker_7215.jpg</t>
  </si>
  <si>
    <t>Red-headed_Woodpecker_7236B.jpg</t>
  </si>
  <si>
    <t>Red-headed_Woodpecker_7361.jpg</t>
  </si>
  <si>
    <t>Red-headed_Woodpecker_7722.jpg</t>
  </si>
  <si>
    <t>Red-headed_Woodpecker_8085.jpg</t>
  </si>
  <si>
    <t>Red-headed_Woodpecker_9880.jpg</t>
  </si>
  <si>
    <t>Red-headed_Woodpecker_9915.jpg</t>
  </si>
  <si>
    <t>Red-headed_Woodpecker_9919MF.jpg</t>
  </si>
  <si>
    <t>Red-legged_Honeycreeper_6164.jpg</t>
  </si>
  <si>
    <t>Red-legged_Honeycreeper_6535.jpg</t>
  </si>
  <si>
    <t>Red-legged_Honeycreeper_MF4561.jpg</t>
  </si>
  <si>
    <t>Red-lored_Amazon_240.jpg</t>
  </si>
  <si>
    <t>Red-lored_Amazon_2704MF.jpg</t>
  </si>
  <si>
    <t>Red-lored_Amazon_3930.jpg</t>
  </si>
  <si>
    <t>Red-lored_Amazon_6297.jpg</t>
  </si>
  <si>
    <t>Red-lored_Amazon_7071.jpg</t>
  </si>
  <si>
    <t>Red-lored_Amazon_7368.jpg</t>
  </si>
  <si>
    <t>Red-necked_Avocet_1217.jpg</t>
  </si>
  <si>
    <t>Red-necked_Falcon.jpg</t>
  </si>
  <si>
    <t>Red-necked_Phalarope_4304.jpg</t>
  </si>
  <si>
    <t>Red-necked_Phalarope_7605.jpg</t>
  </si>
  <si>
    <t>Red-necked_Spurfowl_257.jpg</t>
  </si>
  <si>
    <t>Red-necked_Stint_3285MF.jpg</t>
  </si>
  <si>
    <t>Red-necked_Stint_3533MF.jpg</t>
  </si>
  <si>
    <t>Red-rumped_Parrot.jpg</t>
  </si>
  <si>
    <t>Red-rumped_Parrot_2631MF.jpg</t>
  </si>
  <si>
    <t>Red-rumped_Woodpecker.jpg</t>
  </si>
  <si>
    <t>Red-rumped_Woodpecker_23145.jpg</t>
  </si>
  <si>
    <t>Red-rumped_Woodpecker_2763MF.jpg</t>
  </si>
  <si>
    <t>Red-rumped_Woodpecker_7132.jpg</t>
  </si>
  <si>
    <t>Red-shouldered_Hawk_0753.jpg</t>
  </si>
  <si>
    <t>Red-shouldered_Hawk_20501.jpg</t>
  </si>
  <si>
    <t>Red-shouldered_Hawk_221043.jpg</t>
  </si>
  <si>
    <t>Red-shouldered_Hawk_4111.jpg</t>
  </si>
  <si>
    <t>Red-shouldered_Hawk_4258.jpg</t>
  </si>
  <si>
    <t>Red-shouldered_Hawk_5776.jpg</t>
  </si>
  <si>
    <t>Red-shouldered_Hawk_5784.jpg</t>
  </si>
  <si>
    <t>Red-shouldered_Hawk_6044.jpg</t>
  </si>
  <si>
    <t>Red-shouldered_Hawk_7238.jpg</t>
  </si>
  <si>
    <t>Red-shouldered_Hawk_Immature_8595MF.jpg</t>
  </si>
  <si>
    <t>Red-shouldered_Vanga_-_Calicalic_a_epaulettes_0042.jpg</t>
  </si>
  <si>
    <t>Red-shouldered_Vanga_7706.jpg</t>
  </si>
  <si>
    <t>Red-shouldered_hawk_9585.jpg</t>
  </si>
  <si>
    <t>Red-tailed_Hawk_1920MF.jpg</t>
  </si>
  <si>
    <t>Red-tailed_Hawk_5208MF.jpg</t>
  </si>
  <si>
    <t>Red-tailed_Hawk_9036.jpg</t>
  </si>
  <si>
    <t>Red-tailed_Tropicbird_-_Phaeton_a_brins_rouges_8248.jpg</t>
  </si>
  <si>
    <t>Red-tailed_Tropicbird_-_Phaeton_a_brins_rouges_8254.jpg</t>
  </si>
  <si>
    <t>Red-tailed_Tropicbird_-_Phaeton_a_brins_rouges_8263.jpg</t>
  </si>
  <si>
    <t>Red-tailed_Vanga_-_Calicalic_malgache.jpg</t>
  </si>
  <si>
    <t>Red-tailed_Vanga_-_Calicalic_malgache_8859MF.jpg</t>
  </si>
  <si>
    <t>Red-throated_Ant-Tanager_21238.jpg</t>
  </si>
  <si>
    <t>Red-throated_Ant-Tanager_4855.jpg</t>
  </si>
  <si>
    <t>Red-throated_Ant-tanager.jpg</t>
  </si>
  <si>
    <t>Red-throated_Ant-tanager_0145.jpg</t>
  </si>
  <si>
    <t>Red-throated_Loon_848.jpg</t>
  </si>
  <si>
    <t>Red-throated_Loon_8977.jpg</t>
  </si>
  <si>
    <t>Red-throated_Wryneck_3566.jpg</t>
  </si>
  <si>
    <t>Red-winged_Blackbird_0285MF.jpg</t>
  </si>
  <si>
    <t>Red-winged_Blackbird_0326.jpg</t>
  </si>
  <si>
    <t>Red-winged_Blackbird_1535.jpg</t>
  </si>
  <si>
    <t>Red-winged_Blackbird_1555.jpg</t>
  </si>
  <si>
    <t>Red-winged_Blackbird_1872MF.jpg</t>
  </si>
  <si>
    <t>Red-winged_Blackbird_1949.jpg</t>
  </si>
  <si>
    <t>Red-winged_Blackbird_2831.jpg</t>
  </si>
  <si>
    <t>Red-winged_Blackbird_7404MF.jpg</t>
  </si>
  <si>
    <t>Red-winged_Blackbird_8037.jpg</t>
  </si>
  <si>
    <t>Red-winged_Blackbird_8088.jpg</t>
  </si>
  <si>
    <t>Red-winged_Blackbird_9220.jpg</t>
  </si>
  <si>
    <t>Red-winged_Blackbird_9231.jpg</t>
  </si>
  <si>
    <t>Red_Fody_-_Foudi_rouge_0549.jpg</t>
  </si>
  <si>
    <t>Red_Fody_-_Foudi_rouge_8704MF.jpg</t>
  </si>
  <si>
    <t>Red_Fody_-_Foudi_rouge_8712MF.jpg</t>
  </si>
  <si>
    <t>Red_Fody_0025.jpg</t>
  </si>
  <si>
    <t>Red_Fody_0087.jpg</t>
  </si>
  <si>
    <t>Red_Fody_9026.jpg</t>
  </si>
  <si>
    <t>Red_Fody_9840.jpg</t>
  </si>
  <si>
    <t>Red_Fody_9876.jpg</t>
  </si>
  <si>
    <t>Red_Fody_9999.jpg</t>
  </si>
  <si>
    <t>Red_Wattlebird.jpg</t>
  </si>
  <si>
    <t>Red_Wattlebird_2038.jpg</t>
  </si>
  <si>
    <t>Red_Wattlebird_3307MF.jpg</t>
  </si>
  <si>
    <t>Reddish_Egret_0226.jpg</t>
  </si>
  <si>
    <t>Reddish_Egret_1713.jpg</t>
  </si>
  <si>
    <t>Reddish_Egret_4230.jpg</t>
  </si>
  <si>
    <t>Reddish_Egret_4236.jpg</t>
  </si>
  <si>
    <t>Reddish_Egret_4604.jpg</t>
  </si>
  <si>
    <t>Reddish_Egret_6653MF.jpg</t>
  </si>
  <si>
    <t>Reddish_Egret_6886MF.jpg</t>
  </si>
  <si>
    <t>Reddish_Egret_7628MF.jpg</t>
  </si>
  <si>
    <t>Reddish_Egret_9975.jpg</t>
  </si>
  <si>
    <t>Redhead.jpg</t>
  </si>
  <si>
    <t>Redhead_1209.jpg</t>
  </si>
  <si>
    <t>Redhead_1249.jpg</t>
  </si>
  <si>
    <t>Redhead_2009MF.jpg</t>
  </si>
  <si>
    <t>Redhead_26703.jpg</t>
  </si>
  <si>
    <t>Redhead_3320.jpg</t>
  </si>
  <si>
    <t>Redhead_7512.jpg</t>
  </si>
  <si>
    <t>Redpoll_9301.jpg</t>
  </si>
  <si>
    <t>Redpoll_9501.jpg</t>
  </si>
  <si>
    <t>Reed_Cormorant_2002.jpg</t>
  </si>
  <si>
    <t>Resplendent_Quetzal.jpg</t>
  </si>
  <si>
    <t>Resplendent_Quetzal_1809MF.jpg</t>
  </si>
  <si>
    <t>Resplendent_Quetzal_3253.jpg</t>
  </si>
  <si>
    <t>Resplendent_Quetzal_6114.jpg</t>
  </si>
  <si>
    <t>Resplendent_Quetzal_6233.jpg</t>
  </si>
  <si>
    <t>Ring-billed_Gull.jpg</t>
  </si>
  <si>
    <t>Ring-billed_Gull_1498.jpg</t>
  </si>
  <si>
    <t>Ring-billed_Gull_2170.jpg</t>
  </si>
  <si>
    <t>Ring-billed_Gull_2173.jpg</t>
  </si>
  <si>
    <t>Ring-billed_Gull_2191MF.jpg</t>
  </si>
  <si>
    <t>Ring-necked_Duck.jpg</t>
  </si>
  <si>
    <t>Ring-necked_Duck_2.jpg</t>
  </si>
  <si>
    <t>Ring-necked_Duck_21267.jpg</t>
  </si>
  <si>
    <t>Ring-necked_Duck_26707.jpg</t>
  </si>
  <si>
    <t>Ring-necked_Duck_7103MF.jpg</t>
  </si>
  <si>
    <t>Ring-necked_Duck_8853MF.jpg</t>
  </si>
  <si>
    <t>Ringed_Kingfisher1778.jpg</t>
  </si>
  <si>
    <t>Ringed_Kingfisher_23121.jpg</t>
  </si>
  <si>
    <t>Ringed_Kingfisher_2723MF.jpg</t>
  </si>
  <si>
    <t>Ringed_Kingfisher_7217.jpg</t>
  </si>
  <si>
    <t>Roadside_Hawk_1025.jpg</t>
  </si>
  <si>
    <t>Roadside_Hawk_20951.jpg</t>
  </si>
  <si>
    <t>Roadside_Hawk_548.jpg</t>
  </si>
  <si>
    <t>Roadside_Hawk_6064.jpg</t>
  </si>
  <si>
    <t>Rock_Kestrel.jpg</t>
  </si>
  <si>
    <t>Rock_Pratincole_6552.jpg</t>
  </si>
  <si>
    <t>Rose-breasted_Grosbeak_1293.jpg</t>
  </si>
  <si>
    <t>Rose-breasted_Grosbeak_3470.jpg</t>
  </si>
  <si>
    <t>Rose-breasted_Grosbeak_4244MF.jpg</t>
  </si>
  <si>
    <t>Rose-breasted_Grosbeak_5435MF.jpg</t>
  </si>
  <si>
    <t>Rose-breasted_Grosbeak_8146.jpg</t>
  </si>
  <si>
    <t>Rose-breasted_Grosbeak_954.jpg</t>
  </si>
  <si>
    <t>Rose-breasted_grosbeak_3774.jpg</t>
  </si>
  <si>
    <t>Rose-throated_Becard_2139.jpg</t>
  </si>
  <si>
    <t>Rose-throated_Becard_MF5947.jpg</t>
  </si>
  <si>
    <t>Roseate_Spoonbill_1208.jpg</t>
  </si>
  <si>
    <t>Roseate_Spoonbill_2077MF.jpg</t>
  </si>
  <si>
    <t>Roseate_Spoonbill_21087.jpg</t>
  </si>
  <si>
    <t>Roseate_Spoonbill_2703.jpg</t>
  </si>
  <si>
    <t>Roseate_Spoonbill_3681.jpg</t>
  </si>
  <si>
    <t>Roseate_Spoonbill_4477.jpg</t>
  </si>
  <si>
    <t>Roseate_Spoonbill_6325.jpg</t>
  </si>
  <si>
    <t>Roseate_Spoonbill_6457MF.jpg</t>
  </si>
  <si>
    <t>Roseate_Spoonbill_9242.jpg</t>
  </si>
  <si>
    <t>Roseate_Spoonbill_9622.jpg</t>
  </si>
  <si>
    <t>Roseate_Spoonbill_9645.jpg</t>
  </si>
  <si>
    <t>Rosy-faced_Lovebird_113.jpg</t>
  </si>
  <si>
    <t>Rosy-faced_Lovebird_64.jpg</t>
  </si>
  <si>
    <t>Rosy_Thrush-Tanager_9848.jpg</t>
  </si>
  <si>
    <t>Rough-legged_Hawk.jpg</t>
  </si>
  <si>
    <t>Rough-legged_Hawk_26659.jpg</t>
  </si>
  <si>
    <t>Royal_Spoonbill_1555.jpg</t>
  </si>
  <si>
    <t>Royal_Spoonbill_2861MF.jpg</t>
  </si>
  <si>
    <t>Royal_Tern_20016.jpg</t>
  </si>
  <si>
    <t>Royal_Tern_20211.jpg</t>
  </si>
  <si>
    <t>Royal_Tern_2206MF.jpg</t>
  </si>
  <si>
    <t>Royal_Tern_3048.jpg</t>
  </si>
  <si>
    <t>Royal_Tern_6516.jpg</t>
  </si>
  <si>
    <t>Ruby-crowned_Kinglet.jpg</t>
  </si>
  <si>
    <t>Ruby-crowned_Kinglet_0268MF.jpg</t>
  </si>
  <si>
    <t>Ruby-crowned_Kinglet_1694.jpg</t>
  </si>
  <si>
    <t>Ruby-crowned_Kinglet_3514.jpg</t>
  </si>
  <si>
    <t>Ruby-crowned_Kinglet_7146.jpg</t>
  </si>
  <si>
    <t>Ruby-crowned_Kinglet_7840.jpg</t>
  </si>
  <si>
    <t>Ruby-crowned_Kinglet_7998.jpg</t>
  </si>
  <si>
    <t>Ruby-throated_Hummingbird_0523MF.jpg</t>
  </si>
  <si>
    <t>Ruby-throated_Hummingbird_1974.jpg</t>
  </si>
  <si>
    <t>Ruby-throated_Hummingbird_8614.jpg</t>
  </si>
  <si>
    <t>Ruby-throated_Hummingbird_9828.jpg</t>
  </si>
  <si>
    <t>Ruby-topaz_Hummingbird_6132.jpg</t>
  </si>
  <si>
    <t>Ruby-topaz_Hummingbird_6177.jpg</t>
  </si>
  <si>
    <t>Ruddy-capped_Nightingale-Thrush_3333.jpg</t>
  </si>
  <si>
    <t>Ruddy-capped_Nightingale-Thrush_3512.jpg</t>
  </si>
  <si>
    <t>Ruddy-capped_Nightingale-Thrush_MF2250.jpg</t>
  </si>
  <si>
    <t>Ruddy-tailed_Flycatcher_4346.jpg</t>
  </si>
  <si>
    <t>Ruddy-tailed_Flycatcher_5880.jpg</t>
  </si>
  <si>
    <t>Ruddy-tailed_Flycatcher_5882.jpg</t>
  </si>
  <si>
    <t>Ruddy_Duck_2036.jpg</t>
  </si>
  <si>
    <t>Ruddy_Duck_7565.jpg</t>
  </si>
  <si>
    <t>Ruddy_Ground_Dove_1731MF.jpg</t>
  </si>
  <si>
    <t>Ruddy_Ground_Dove_358.jpg</t>
  </si>
  <si>
    <t>Ruddy_Treerunner_5971.jpg</t>
  </si>
  <si>
    <t>Ruddy_Turnstone_0361.jpg</t>
  </si>
  <si>
    <t>Ruddy_Turnstone_1444.jpg</t>
  </si>
  <si>
    <t>Ruddy_Turnstone_1501.jpg</t>
  </si>
  <si>
    <t>Ruddy_Turnstone_6979MF.jpg</t>
  </si>
  <si>
    <t>Ruddy_Turnstone_7288MF.jpg</t>
  </si>
  <si>
    <t>Ruddy_Turnstone_7707MF.jpg</t>
  </si>
  <si>
    <t>Ruddy_Turnstone_9400.jpg</t>
  </si>
  <si>
    <t>Ruddy_Turnstone_9405MF.jpg</t>
  </si>
  <si>
    <t>Ruddy_Woodcreeper_576.jpg</t>
  </si>
  <si>
    <t>Rufescent_Tiger-Heron_1706.jpg</t>
  </si>
  <si>
    <t>Rufescent_Tiger-Heron_22089.jpg</t>
  </si>
  <si>
    <t>Rufescent_Tiger-Heron_22286.jpg</t>
  </si>
  <si>
    <t>Rufescent_Tiger-Heron_2238MF.jpg</t>
  </si>
  <si>
    <t>Ruffed_Grouse_9015.jpg</t>
  </si>
  <si>
    <t>Ruffed_grouse_7270MF.jpg</t>
  </si>
  <si>
    <t>Rufous-backed_Wren_1681.jpg</t>
  </si>
  <si>
    <t>Rufous-backed_Wren_5608.jpg</t>
  </si>
  <si>
    <t>Rufous-backed_Wren_8455.jpg</t>
  </si>
  <si>
    <t>Rufous-backed_Wren_8475.jpg</t>
  </si>
  <si>
    <t>Rufous-browed_Conebill_4577.jpg</t>
  </si>
  <si>
    <t>Rufous-browed_Conebill_4600.jpg</t>
  </si>
  <si>
    <t>Rufous-browed_Peppershrike.jpg</t>
  </si>
  <si>
    <t>Rufous-browed_Peppershrike_2742.jpg</t>
  </si>
  <si>
    <t>Rufous-collared_Sparrow_1399MF.jpg</t>
  </si>
  <si>
    <t>Rufous-collared_Sparrow_23924.jpg</t>
  </si>
  <si>
    <t>Rufous-collared_Sparrow_2530.jpg</t>
  </si>
  <si>
    <t>Rufous-collared_Sparrow_3156.jpg</t>
  </si>
  <si>
    <t>Rufous-collared_Sparrow_4940.jpg</t>
  </si>
  <si>
    <t>Rufous-collared_Sparrow_6550.jpg</t>
  </si>
  <si>
    <t>Rufous-collared_Sparrow_7198.jpg</t>
  </si>
  <si>
    <t>Rufous-collared_Sparrow_MF2773.jpg</t>
  </si>
  <si>
    <t>Rufous-crowned_Tody-Flycatcher_6110.jpg</t>
  </si>
  <si>
    <t>Rufous-fronted_Wood-Quail_6402.jpg</t>
  </si>
  <si>
    <t>Rufous-headed_Ground-roller_-_Brachypterolle_de_Crossley_5418.jpg</t>
  </si>
  <si>
    <t>Rufous-headed_Ground-roller_-_Brachypterolle_de_Crossley_9078MF.jpg</t>
  </si>
  <si>
    <t>Rufous-naped_Lark_154.jpg</t>
  </si>
  <si>
    <t>Rufous-naped_Lark_2718.jpg</t>
  </si>
  <si>
    <t>Rufous-tailed_Hummingbird_0212.jpg</t>
  </si>
  <si>
    <t>Rufous-tailed_Hummingbird_1631.jpg</t>
  </si>
  <si>
    <t>Rufous-tailed_Hummingbird_2483MF.jpg</t>
  </si>
  <si>
    <t>Rufous-tailed_Hummingbird_2891.jpg</t>
  </si>
  <si>
    <t>Rufous-tailed_Hummingbird_3123.jpg</t>
  </si>
  <si>
    <t>Rufous-tailed_Hummingbird_3598MF.jpg</t>
  </si>
  <si>
    <t>Rufous-tailed_Hummingbird_373.jpg</t>
  </si>
  <si>
    <t>Rufous-tailed_Hummingbird_MF5431.jpg</t>
  </si>
  <si>
    <t>Rufous-tailed_Jacamar_1964MF.jpg</t>
  </si>
  <si>
    <t>Rufous-tailed_Jacamar_21285.jpg</t>
  </si>
  <si>
    <t>Rufous-tailed_Jacamar_2457.jpg</t>
  </si>
  <si>
    <t>Rufous-tailed_Jacamar_4596.jpg</t>
  </si>
  <si>
    <t>Rufous-tailed_Jacamar_4644.jpg</t>
  </si>
  <si>
    <t>Rufous-tailed_Jacamar_586.jpg</t>
  </si>
  <si>
    <t>Rufous-throated_Tanager_4616.jpg</t>
  </si>
  <si>
    <t>Rufous-vented_Chachalaca_6378.jpg</t>
  </si>
  <si>
    <t>Rufous-vented_Chachalaca_6450.jpg</t>
  </si>
  <si>
    <t>Rufous-winged_Woodpecker_5328.jpg</t>
  </si>
  <si>
    <t>Rufous_Motmot_5123.jpg</t>
  </si>
  <si>
    <t>Rufous_Motmot_5153.jpg</t>
  </si>
  <si>
    <t>Rufous_bristlebird.jpg</t>
  </si>
  <si>
    <t>Rufous_bristlebird_2956MF.jpg</t>
  </si>
  <si>
    <t>Running_Coua_-_Coua_coureur_6895.jpg</t>
  </si>
  <si>
    <t>Russet-crowned_Warbler_3853.jpg</t>
  </si>
  <si>
    <t>Russet-naped_Wood-Rail_5040.jpg</t>
  </si>
  <si>
    <t>Russet-throated_Puffbird_20765.jpg</t>
  </si>
  <si>
    <t>Russet-throated_Puffbird_3995.jpg</t>
  </si>
  <si>
    <t>Russet-throated_Puffbird_4843.jpg</t>
  </si>
  <si>
    <t>Rusty-margined_Flycatcher_1402.jpg</t>
  </si>
  <si>
    <t>Rusty-margined_Flycatcher_4672.jpg</t>
  </si>
  <si>
    <t>Rusty-margined_Flycatcher_6261.jpg</t>
  </si>
  <si>
    <t>Rusty-margined_Flycatcher_6263.jpg</t>
  </si>
  <si>
    <t>Rusty-margined_Flycatcher_7173.jpg</t>
  </si>
  <si>
    <t>Rusty-winged_Antwren_2158.jpg</t>
  </si>
  <si>
    <t>Rusty_Blackbird_7998.jpg</t>
  </si>
  <si>
    <t>Rusty_Flowerpiercer_4142.jpg</t>
  </si>
  <si>
    <t>Rusty_Flowerpiercer_4305.jpg</t>
  </si>
  <si>
    <t>Rusty_blackbird_0851MF.jpg</t>
  </si>
  <si>
    <t>Sacred_Kingfisher_8203.jpg</t>
  </si>
  <si>
    <t>Saffron_Finch.jpg</t>
  </si>
  <si>
    <t>Saffron_Finch_1507.jpg</t>
  </si>
  <si>
    <t>Saffron_Finch_3836.jpg</t>
  </si>
  <si>
    <t>Saffron_Finch_7461.jpg</t>
  </si>
  <si>
    <t>Saffron_Finch_9891-.jpg</t>
  </si>
  <si>
    <t>Sakalava_Weaver_-_Tisserin_sakalave_7079.jpg</t>
  </si>
  <si>
    <t>Sakalava_Weaver_-_Tisserin_sakalave_8371.jpg</t>
  </si>
  <si>
    <t>Sakalava_Weaver_-_Tisserin_sakalave_9437MF.jpg</t>
  </si>
  <si>
    <t>Sakalava_Weaver_-_Tisserin_sakalave_9443MF.jpg</t>
  </si>
  <si>
    <t>Sanderling_2803MF.jpg</t>
  </si>
  <si>
    <t>Sanderling_4440.jpg</t>
  </si>
  <si>
    <t>Sanderling_6192.jpg</t>
  </si>
  <si>
    <t>Sanderling_6367.jpg</t>
  </si>
  <si>
    <t>Sanderling_6874.jpg</t>
  </si>
  <si>
    <t>Sanderling_8137.jpg</t>
  </si>
  <si>
    <t>Sanderling_9792.jpg</t>
  </si>
  <si>
    <t>Sandhill_Crane_0781.jpg</t>
  </si>
  <si>
    <t>Sandhill_Crane_1516.jpg</t>
  </si>
  <si>
    <t>Sandhill_Crane_20456.jpg</t>
  </si>
  <si>
    <t>Sandhill_Crane_2643.jpg</t>
  </si>
  <si>
    <t>Sandhill_Crane_2873.jpg</t>
  </si>
  <si>
    <t>Sandhill_Crane_3844.jpg</t>
  </si>
  <si>
    <t>Sandhill_Crane_4053.jpg</t>
  </si>
  <si>
    <t>Sandhill_Crane_4053A.jpg</t>
  </si>
  <si>
    <t>Sandhill_Crane_5841MF.jpg</t>
  </si>
  <si>
    <t>Sandhill_Crane_7240.jpg</t>
  </si>
  <si>
    <t>Sandhill_Crane_7699.jpg</t>
  </si>
  <si>
    <t>Sandhill_Crane_7937.jpg</t>
  </si>
  <si>
    <t>Sandhill_Crane_9948.jpg</t>
  </si>
  <si>
    <t>Sandwich_Tern.jpg</t>
  </si>
  <si>
    <t>Sandwich_Tern_6340.jpg</t>
  </si>
  <si>
    <t>Santa_Marta_Antpitta_23585.jpg</t>
  </si>
  <si>
    <t>Santa_Marta_Brushfinch_23493.jpg</t>
  </si>
  <si>
    <t>Santa_Marta_Brushfinch_23498.jpg</t>
  </si>
  <si>
    <t>Santa_Marta_Brushfinch_24051.jpg</t>
  </si>
  <si>
    <t>Santa_Marta_Bush-Tyrant_23977.jpg</t>
  </si>
  <si>
    <t>Santa_Marta_Parakeet_23525.jpg</t>
  </si>
  <si>
    <t>Santa_Marta_Parakeet_3039MF.jpg</t>
  </si>
  <si>
    <t>Sapphire-bellied_Hummingbird_22822.jpg</t>
  </si>
  <si>
    <t>Sapphire-bellied_Hummingbird_22831.jpg</t>
  </si>
  <si>
    <t>Sapphire-throated_Hummingbird_0518.jpg</t>
  </si>
  <si>
    <t>Satin_Bowerbird_3348MF.jpg</t>
  </si>
  <si>
    <t>Savanna_Hawk.jpg</t>
  </si>
  <si>
    <t>Savanna_Hawk_2077MF.jpg</t>
  </si>
  <si>
    <t>Savanna_Hawk_2082MF.jpg</t>
  </si>
  <si>
    <t>Savanna_Hawk_21723.jpg</t>
  </si>
  <si>
    <t>Savannah_Sparrow_0028.jpg</t>
  </si>
  <si>
    <t>Savannah_Sparrow_00xx.jpg</t>
  </si>
  <si>
    <t>Savannah_Sparrow_0289.jpg</t>
  </si>
  <si>
    <t>Savannah_Sparrow_1724.jpg</t>
  </si>
  <si>
    <t>Savannah_Sparrow_2989.jpg</t>
  </si>
  <si>
    <t>Savannah_Sparrow_4017.jpg</t>
  </si>
  <si>
    <t>Savannah_Sparrow_4431.jpg</t>
  </si>
  <si>
    <t>Savannah_Sparrow_4506.jpg</t>
  </si>
  <si>
    <t>Savannah_Sparrow_4715MF.jpg</t>
  </si>
  <si>
    <t>Savannah_Sparrow_4894.jpg</t>
  </si>
  <si>
    <t>Savannah_Sparrow_7521MF.jpg</t>
  </si>
  <si>
    <t>Savannah_Sparrow_9899.jpg</t>
  </si>
  <si>
    <t>Scaled_Dove_4853.jpg</t>
  </si>
  <si>
    <t>Scaled_Dove_5245.jpg</t>
  </si>
  <si>
    <t>Scaled_fruiteater_3619.jpg</t>
  </si>
  <si>
    <t>Scaly-breasted_Hummingbird_0267.jpg</t>
  </si>
  <si>
    <t>Scaly-throated_Foliage-gleaner_5335.jpg</t>
  </si>
  <si>
    <t>Scaly-throated_Foliage-gleaner_6079.jpg</t>
  </si>
  <si>
    <t>Scaly_Ground-Roller_-_Brachypterolle_ecaille_6222.jpg</t>
  </si>
  <si>
    <t>Scaly_Weaver_75.jpg</t>
  </si>
  <si>
    <t>Scarlet-bellied_Mountain_tanager.jpg</t>
  </si>
  <si>
    <t>Scarlet-fronted_Parakeet_23642.jpg</t>
  </si>
  <si>
    <t>Scarlet-fronted_Parakeet_23862.jpg</t>
  </si>
  <si>
    <t>Scarlet-fronted_Parakeet_4336.jpg</t>
  </si>
  <si>
    <t>Scarlet-rumped_Tanager_3528MF.jpg</t>
  </si>
  <si>
    <t>Scarlet-rumped_Tanager_3582MF.jpg</t>
  </si>
  <si>
    <t>Scarlet-rumped_Tanager_7655.jpg</t>
  </si>
  <si>
    <t>Scarlet-rumped_Tanager_MF3435.jpg</t>
  </si>
  <si>
    <t>Scarlet-rumped_Tanager_MF4084.jpg</t>
  </si>
  <si>
    <t>Scarlet-rumped_Tanager_MF4092.jpg</t>
  </si>
  <si>
    <t>Scarlet_Ibis_5749.jpg</t>
  </si>
  <si>
    <t>Scarlet_Ibis_6206.jpg</t>
  </si>
  <si>
    <t>Scarlet_Ibis_6271.jpg</t>
  </si>
  <si>
    <t>Scarlet_Macaw_2515MF.jpg</t>
  </si>
  <si>
    <t>Scarlet_Macaw_6719.jpg</t>
  </si>
  <si>
    <t>Scarlet_Macaw_8203.jpg</t>
  </si>
  <si>
    <t>Scarlet_Macaw_MF5734.jpg</t>
  </si>
  <si>
    <t>Scarlet_Macaw_MF5739.jpg</t>
  </si>
  <si>
    <t>Scarlet_Macaw_MF6140.jpg</t>
  </si>
  <si>
    <t>Scarlet_Robin_1037.jpg</t>
  </si>
  <si>
    <t>Scarlet_Tanager_0332.jpg</t>
  </si>
  <si>
    <t>Scarlet_Tanager_20735.jpg</t>
  </si>
  <si>
    <t>Scarlet_Tanager_4203MF.jpg</t>
  </si>
  <si>
    <t>Scarlet_Tanager_7150.jpg</t>
  </si>
  <si>
    <t>Scarlet_Tanager_8658.jpg</t>
  </si>
  <si>
    <t>Scarlet_tanager_2818.jpg</t>
  </si>
  <si>
    <t>Scissor-tailed_Flycatcher_8374MF.jpg</t>
  </si>
  <si>
    <t>Scissor-tailed_Flycatcher_8523MF.jpg</t>
  </si>
  <si>
    <t>Scrub_Greenlet.jpg</t>
  </si>
  <si>
    <t>Scrub_Greenlet_7227.jpg</t>
  </si>
  <si>
    <t>Scrub_Tanager_3739.jpg</t>
  </si>
  <si>
    <t>Scrub_Tanager_6756.jpg</t>
  </si>
  <si>
    <t>Secretarybird_202.jpg</t>
  </si>
  <si>
    <t>Secretarybird_208.jpg</t>
  </si>
  <si>
    <t>Secretarybird_241.jpg</t>
  </si>
  <si>
    <t>Secretarybird_277.jpg</t>
  </si>
  <si>
    <t>Secretarybird_3211.jpg</t>
  </si>
  <si>
    <t>Sedge_Wren_1703.jpg</t>
  </si>
  <si>
    <t>Sedge_Wren_1932.jpg</t>
  </si>
  <si>
    <t>Sedge_Wren_9194.jpg</t>
  </si>
  <si>
    <t>Semipalmated_Plover-2.jpg</t>
  </si>
  <si>
    <t>Semipalmated_Plover.jpg</t>
  </si>
  <si>
    <t>Semipalmated_Plover_1475.jpg</t>
  </si>
  <si>
    <t>Semipalmated_Plover_1529.jpg</t>
  </si>
  <si>
    <t>Semipalmated_Plover_20004.jpg</t>
  </si>
  <si>
    <t>Semipalmated_Plover_2057.jpg</t>
  </si>
  <si>
    <t>Semipalmated_Plover_3281.jpg</t>
  </si>
  <si>
    <t>Semipalmated_Plover_4191.jpg</t>
  </si>
  <si>
    <t>Semipalmated_Plover_6184.jpg</t>
  </si>
  <si>
    <t>Semipalmated_Plover_6986.jpg</t>
  </si>
  <si>
    <t>Semipalmated_Plover_9422.jpg</t>
  </si>
  <si>
    <t>Semipalmated_Sandpiper_1469.jpg</t>
  </si>
  <si>
    <t>Semipalmated_Sandpiper_1533.jpg</t>
  </si>
  <si>
    <t>Semipalmated_Sandpiper_1798.jpg</t>
  </si>
  <si>
    <t>Semipalmated_Sandpiper_9893.jpg</t>
  </si>
  <si>
    <t>Sharp-tailed_Sandpiper_3514MF.jpg</t>
  </si>
  <si>
    <t>Shining_Bronze-Cuckoo_2583MF.jpg</t>
  </si>
  <si>
    <t>Shining_Honeycreeper_5157.jpg</t>
  </si>
  <si>
    <t>Shining_Sunbeam_2781.jpg</t>
  </si>
  <si>
    <t>Shining_Sunbeam_2998.jpg</t>
  </si>
  <si>
    <t>Shiny_Cowbird.jpg</t>
  </si>
  <si>
    <t>Shiny_Cowbird_2400.jpg</t>
  </si>
  <si>
    <t>Shiny_Cowbird_4947.jpg</t>
  </si>
  <si>
    <t>Short-billed_Dowitcher.jpg</t>
  </si>
  <si>
    <t>Short-billed_Dowitcher_4172.jpg</t>
  </si>
  <si>
    <t>Short-billed_Dowitcher_4178.jpg</t>
  </si>
  <si>
    <t>Short-billed_Dowitcher_6213.jpg</t>
  </si>
  <si>
    <t>Short-billed_Dowitcher_6289.jpg</t>
  </si>
  <si>
    <t>Short-billed_Dowitcher_6322.jpg</t>
  </si>
  <si>
    <t>Short-billed_Dowitcher_6562.jpg</t>
  </si>
  <si>
    <t>Short-billed_Dowitcher_7774MF.jpg</t>
  </si>
  <si>
    <t>Short-billed_pigeon_528.jpg</t>
  </si>
  <si>
    <t>Short-billed_pigeon_5816.jpg</t>
  </si>
  <si>
    <t>Short-eared_Owl_0922.jpg</t>
  </si>
  <si>
    <t>Short-tailed_Hawk_22777.jpg</t>
  </si>
  <si>
    <t>Short-tailed_Hawk_4552.jpg</t>
  </si>
  <si>
    <t>Short-tailed_Hawk_7651.jpg</t>
  </si>
  <si>
    <t>Short-toed_Rock-Thrush_88.jpg</t>
  </si>
  <si>
    <t>Sickle-billed_Vanga_-_Falculie_mantelee_7600.jpg</t>
  </si>
  <si>
    <t>Sickle-billed_Vanga_-_Falculie_mantelee_7609.jpg</t>
  </si>
  <si>
    <t>Sickle-billed_Vanga_-_Falculie_mantelee_9943MF.jpg</t>
  </si>
  <si>
    <t>Sickle-billed_Vanga_7581.jpg</t>
  </si>
  <si>
    <t>Sickle-winged_Guan_6042.jpg</t>
  </si>
  <si>
    <t>Sickle-winged_Guan_6372.jpg</t>
  </si>
  <si>
    <t>Sierra_Nevada_Brushfinch_4191.jpg</t>
  </si>
  <si>
    <t>Sierra_Nevada_Brushfinch_4664.jpg</t>
  </si>
  <si>
    <t>Silver-beaked_Tanager_5205.jpg</t>
  </si>
  <si>
    <t>Silver-throated_Tanager.jpg</t>
  </si>
  <si>
    <t>Silver-throated_Tanager_2542.jpg</t>
  </si>
  <si>
    <t>Silver-throated_Tanager_6620.jpg</t>
  </si>
  <si>
    <t>Silver_Gull_3408MF.jpg</t>
  </si>
  <si>
    <t>Silver_Gull_9577.jpg</t>
  </si>
  <si>
    <t>Silver_Gull_9790.jpg</t>
  </si>
  <si>
    <t>Silvereye_0322.jpg</t>
  </si>
  <si>
    <t>Silvereye_3053MF.jpg</t>
  </si>
  <si>
    <t>Silvereye_3068MF.jpg</t>
  </si>
  <si>
    <t>Silvery-cheeked_Hornbill_203.jpg</t>
  </si>
  <si>
    <t>Silvery_Grebe_7038.jpg</t>
  </si>
  <si>
    <t>Silvery_Grebe_7048.jpg</t>
  </si>
  <si>
    <t>Singing_honeyeater_0510.jpg</t>
  </si>
  <si>
    <t>Slate-colored_Seedeater_1345.jpg</t>
  </si>
  <si>
    <t>Slate-crowned_Antpitta_5195.jpg</t>
  </si>
  <si>
    <t>Slate-throated_Redstart_24038.jpg</t>
  </si>
  <si>
    <t>Slate-throated_Redstart_5774.jpg</t>
  </si>
  <si>
    <t>Slaty-tailed_Trogon_5542.jpg</t>
  </si>
  <si>
    <t>Slaty-tailed_Trogon_9664.jpg</t>
  </si>
  <si>
    <t>Slaty-tailed_Trogon_9955.jpg</t>
  </si>
  <si>
    <t>Slaty-tailed_Trogon_MF3865.jpg</t>
  </si>
  <si>
    <t>Slaty-tailed_trogon_469.jpg</t>
  </si>
  <si>
    <t>Slaty_Egret_9465.jpg</t>
  </si>
  <si>
    <t>Slaty_Flowerpiercer_3344.jpg</t>
  </si>
  <si>
    <t>Slaty_Spinetail_1414.jpg</t>
  </si>
  <si>
    <t>Smoke-colored_Pewee.jpg</t>
  </si>
  <si>
    <t>Smoke-colored_Pewee_4161.jpg</t>
  </si>
  <si>
    <t>Smoke-colored_Pewee_5301.jpg</t>
  </si>
  <si>
    <t>Smoke-colored_Pewee_6278.jpg</t>
  </si>
  <si>
    <t>Smoky-brown_Woodpecker_4797.jpg</t>
  </si>
  <si>
    <t>Smooth-billed_Ani_21656.jpg</t>
  </si>
  <si>
    <t>Smooth-billed_Ani_6437.jpg</t>
  </si>
  <si>
    <t>Snail_Kite_103.jpg</t>
  </si>
  <si>
    <t>Snail_Kite_2138MF.jpg</t>
  </si>
  <si>
    <t>Snail_Kite_22041.jpg</t>
  </si>
  <si>
    <t>Snail_Kite_279.jpg</t>
  </si>
  <si>
    <t>Snail_Kite_6677.jpg</t>
  </si>
  <si>
    <t>Snow_Bunting_9025.jpg</t>
  </si>
  <si>
    <t>Snow_Goose_01.jpg</t>
  </si>
  <si>
    <t>Snow_Goose_02.jpg</t>
  </si>
  <si>
    <t>Snow_Goose_03.jpg</t>
  </si>
  <si>
    <t>Snow_Goose_1370.jpg</t>
  </si>
  <si>
    <t>Snow_Goose_2014-12.jpg</t>
  </si>
  <si>
    <t>Snow_Goose_26720.jpg</t>
  </si>
  <si>
    <t>Snow_Goose_7098MF.jpg</t>
  </si>
  <si>
    <t>Snow_Goose_7769.jpg</t>
  </si>
  <si>
    <t>Snow_Goose_8243.jpg</t>
  </si>
  <si>
    <t>Snow_Goose_8323.jpg</t>
  </si>
  <si>
    <t>Snow_Goose_8657.jpg</t>
  </si>
  <si>
    <t>Snowcap.jpg</t>
  </si>
  <si>
    <t>Snowy_Cotinga_6013.jpg</t>
  </si>
  <si>
    <t>Snowy_Cotinga_MF4267.jpg</t>
  </si>
  <si>
    <t>Snowy_Egret_1340.jpg</t>
  </si>
  <si>
    <t>Snowy_Egret_21169.jpg</t>
  </si>
  <si>
    <t>Snowy_Egret_22321.jpg</t>
  </si>
  <si>
    <t>Snowy_Egret_22688.jpg</t>
  </si>
  <si>
    <t>Snowy_Egret_2319MF.jpg</t>
  </si>
  <si>
    <t>Snowy_Egret_2359.jpg</t>
  </si>
  <si>
    <t>Snowy_Egret_6087.jpg</t>
  </si>
  <si>
    <t>Snowy_Egret_6358.jpg</t>
  </si>
  <si>
    <t>Snowy_Egret_6372.jpg</t>
  </si>
  <si>
    <t>Snowy_Egret_6810MF.jpg</t>
  </si>
  <si>
    <t>Snowy_Egret_9787.jpg</t>
  </si>
  <si>
    <t>Snowy_Egret_MF4890.jpg</t>
  </si>
  <si>
    <t>Snowy_Owl_119.jpg</t>
  </si>
  <si>
    <t>Snowy_Owl_211.jpg</t>
  </si>
  <si>
    <t>Snowy_Owl_7058.jpg</t>
  </si>
  <si>
    <t>Snowy_Plover.jpg</t>
  </si>
  <si>
    <t>Snowy_Plover_7667MF.jpg</t>
  </si>
  <si>
    <t>Snowy_Plover_7678MF.jpg</t>
  </si>
  <si>
    <t>Snowy_Plover_7690MF.jpg</t>
  </si>
  <si>
    <t>Social_Flycatcher.jpg</t>
  </si>
  <si>
    <t>Social_Flycatcher_20997.jpg</t>
  </si>
  <si>
    <t>Social_Flycatcher_2680.jpg</t>
  </si>
  <si>
    <t>Social_Flycatcher_5296.jpg</t>
  </si>
  <si>
    <t>Social_Flycatcher_MF3016.jpg</t>
  </si>
  <si>
    <t>Solitary_Sandpiper.jpg</t>
  </si>
  <si>
    <t>Solitary_Sandpiper_1827.jpg</t>
  </si>
  <si>
    <t>Solitary_Sandpiper_2014-006.jpg</t>
  </si>
  <si>
    <t>Solitary_Sandpiper_2513.jpg</t>
  </si>
  <si>
    <t>Solitary_Sandpiper_2521.jpg</t>
  </si>
  <si>
    <t>Solitary_Sandpiper_2739.jpg</t>
  </si>
  <si>
    <t>Solitary_Sandpiper_2742.jpg</t>
  </si>
  <si>
    <t>Solitary_Sandpiper_4856.jpg</t>
  </si>
  <si>
    <t>Solitary_Sandpiper_4876MF.jpg</t>
  </si>
  <si>
    <t>Solitary_Sandpiper_4956MF.jpg</t>
  </si>
  <si>
    <t>Solitary_Sandpiper_5647MF.jpg</t>
  </si>
  <si>
    <t>Solitary_Sandpiper_6932.jpg</t>
  </si>
  <si>
    <t>Solitary_Sandpiper_717.jpg</t>
  </si>
  <si>
    <t>Solitary_Sandpiper_MF.jpg</t>
  </si>
  <si>
    <t>Song_Sparrow_0241DR.jpg</t>
  </si>
  <si>
    <t>Song_Sparrow_1267.jpg</t>
  </si>
  <si>
    <t>Song_Sparrow_1267MF.jpg</t>
  </si>
  <si>
    <t>Song_Sparrow_1775.jpg</t>
  </si>
  <si>
    <t>Song_Sparrow_2198.jpg</t>
  </si>
  <si>
    <t>Song_Sparrow_2623MF.jpg</t>
  </si>
  <si>
    <t>Song_Sparrow_26616.jpg</t>
  </si>
  <si>
    <t>Song_Sparrow_4391MF.jpg</t>
  </si>
  <si>
    <t>Song_Sparrow_4539.jpg</t>
  </si>
  <si>
    <t>Song_Sparrow_5763MF.jpg</t>
  </si>
  <si>
    <t>Song_Sparrow_7235MF.jpg</t>
  </si>
  <si>
    <t>Song_Sparrow_7911.jpg</t>
  </si>
  <si>
    <t>Song_Sparrow_8492MF.jpg</t>
  </si>
  <si>
    <t>Song_Sparrow_9071.jpg</t>
  </si>
  <si>
    <t>Song_Wren_0051.jpg</t>
  </si>
  <si>
    <t>Song_Wren_6932.jpg</t>
  </si>
  <si>
    <t>Song_Wren_6942.jpg</t>
  </si>
  <si>
    <t>Song_Wren_6950.jpg</t>
  </si>
  <si>
    <t>Sooty-capped_Chlorospingus_1488MF.jpg</t>
  </si>
  <si>
    <t>Sooty-capped_Chlorospingus_1638MF.jpg</t>
  </si>
  <si>
    <t>Sooty-capped_Chlorospingus_2106.jpg</t>
  </si>
  <si>
    <t>Sooty-headed_Tyrannulet_1107.jpg</t>
  </si>
  <si>
    <t>Sooty_Oystercatcher_4166MF.jpg</t>
  </si>
  <si>
    <t>Sooty_Oystercatcher_9681.jpg</t>
  </si>
  <si>
    <t>Sooty_Tern_8147.jpg</t>
  </si>
  <si>
    <t>Sora.jpg</t>
  </si>
  <si>
    <t>Sora_20364.jpg</t>
  </si>
  <si>
    <t>Sora_3650.jpg</t>
  </si>
  <si>
    <t>Sora_3831.jpg</t>
  </si>
  <si>
    <t>Sora_6738.jpg</t>
  </si>
  <si>
    <t>Sora_Pair_Mating_3144.jpg</t>
  </si>
  <si>
    <t>Sora_Pair_Mating_3145.jpg</t>
  </si>
  <si>
    <t>Sora_Pair_Mating_3146.jpg</t>
  </si>
  <si>
    <t>Sora_Pair_Mating_3147.jpg</t>
  </si>
  <si>
    <t>Sora_Pair_Mating_3148.jpg</t>
  </si>
  <si>
    <t>Sora_Pair_Mating_3149.jpg</t>
  </si>
  <si>
    <t>Sora_Pair_Mating_3150.jpg</t>
  </si>
  <si>
    <t>Sora_Pair_Mating_3151.jpg</t>
  </si>
  <si>
    <t>Sora_Pair_Mating_3157.jpg</t>
  </si>
  <si>
    <t>Sora_Pair_Mating_3158.jpg</t>
  </si>
  <si>
    <t>Sora_Pair_Mating_3163.jpg</t>
  </si>
  <si>
    <t>Sora_Pair_Mating_3164.jpg</t>
  </si>
  <si>
    <t>Sora_Pair_Mating_3165.jpg</t>
  </si>
  <si>
    <t>Souimanga_Sunbird_-_Souimanga_malgache_9094.jpg</t>
  </si>
  <si>
    <t>Souimanga_Sunbird_8868.jpg</t>
  </si>
  <si>
    <t>Souimanga_Sunbird_8877.jpg</t>
  </si>
  <si>
    <t>Souimanga_Sunbird_8894.jpg</t>
  </si>
  <si>
    <t>South_African_Shelduck.jpg</t>
  </si>
  <si>
    <t>Southern_Bald_Ibis_2789.jpg</t>
  </si>
  <si>
    <t>Southern_Black-Flycatcher_2341.jpg</t>
  </si>
  <si>
    <t>Southern_Carmine_Bee-eater_7947.jpg</t>
  </si>
  <si>
    <t>Southern_Cordonbleu_3481.jpg</t>
  </si>
  <si>
    <t>Southern_Emerald-Toucanet_4266.jpg</t>
  </si>
  <si>
    <t>Southern_Emerald-Toucanet_4268.jpg</t>
  </si>
  <si>
    <t>Southern_Emuwren_3041MF.jpg</t>
  </si>
  <si>
    <t>Southern_Fiscal_2712.jpg</t>
  </si>
  <si>
    <t>Southern_Fiscal_2837.jpg</t>
  </si>
  <si>
    <t>Southern_Ground-hornbill_328.jpg</t>
  </si>
  <si>
    <t>Southern_Ground-hornbill_6359.jpg</t>
  </si>
  <si>
    <t>Southern_House_Wren_20694.jpg</t>
  </si>
  <si>
    <t>Southern_Lapwing_1429MF.jpg</t>
  </si>
  <si>
    <t>Southern_Lapwing_1517.jpg</t>
  </si>
  <si>
    <t>Southern_Lapwing_22313.jpg</t>
  </si>
  <si>
    <t>Southern_Lapwing_2317MF.jpg</t>
  </si>
  <si>
    <t>Southern_Lapwing_2662.jpg</t>
  </si>
  <si>
    <t>Southern_Lapwing_5997.jpg</t>
  </si>
  <si>
    <t>Southern_Lapwing_6554.jpg</t>
  </si>
  <si>
    <t>Southern_Red-billed_Hornbill.jpg</t>
  </si>
  <si>
    <t>Southern_rough-winged_swallow_2803MF.jpg</t>
  </si>
  <si>
    <t>Southern_yellow-billed_hornbill_180.jpg</t>
  </si>
  <si>
    <t>Southern_yellow-billed_hornbill_20.jpg</t>
  </si>
  <si>
    <t>Spangle-cheeked_Tanager_3086.jpg</t>
  </si>
  <si>
    <t>Spangle-cheeked_Tanager_5997.jpg</t>
  </si>
  <si>
    <t>Sparkling_Violetear_23469.jpg</t>
  </si>
  <si>
    <t>Sparkling_Violetear_4945.jpg</t>
  </si>
  <si>
    <t>Sparkling_Violetear_6471.jpg</t>
  </si>
  <si>
    <t>Sparkling_Violetear_6620.jpg</t>
  </si>
  <si>
    <t>Sparkling_Violetear_6754.jpg</t>
  </si>
  <si>
    <t>Speckle-fronted_Weaver_359.jpg</t>
  </si>
  <si>
    <t>Speckled_Mousebird_2493.jpg</t>
  </si>
  <si>
    <t>Speckled_Pigeon_58.jpg</t>
  </si>
  <si>
    <t>Spectacled_Owl.jpg</t>
  </si>
  <si>
    <t>Spectacled_Owl_1313.jpg</t>
  </si>
  <si>
    <t>Spectacled_Owl_5001.jpg</t>
  </si>
  <si>
    <t>Spectacled_Owl_5018.jpg</t>
  </si>
  <si>
    <t>Spectacled_Owl_MF3597.jpg</t>
  </si>
  <si>
    <t>Spectacled_Parrotlet_7317.jpg</t>
  </si>
  <si>
    <t>Spectacled_Thrush_4671.jpg</t>
  </si>
  <si>
    <t>Spectacled_Tyrannulet_4155.jpg</t>
  </si>
  <si>
    <t>Spot-breasted_Oriole.jpg</t>
  </si>
  <si>
    <t>Spot-breasted_Oriole_2.jpg</t>
  </si>
  <si>
    <t>Spot-breasted_Oriole_2339.jpg</t>
  </si>
  <si>
    <t>Spot-breasted_Woodpecker_0485.jpg</t>
  </si>
  <si>
    <t>Spot-breasted_Woodpecker_1970MF.jpg</t>
  </si>
  <si>
    <t>Spot-breasted_Woodpecker_2125MF.jpg</t>
  </si>
  <si>
    <t>Spot-breasted_Woodpecker_21313.jpg</t>
  </si>
  <si>
    <t>Spot-breasted_Wren_412.jpg</t>
  </si>
  <si>
    <t>Spot-breasted_Wren_412_2.jpg</t>
  </si>
  <si>
    <t>Spot-crowned_Barbet.jpg</t>
  </si>
  <si>
    <t>Spot-crowned_Barbet_3703.jpg</t>
  </si>
  <si>
    <t>Spot-crowned_Woodcreeper_2344.jpg</t>
  </si>
  <si>
    <t>Spot-crowned_Woodcreeper_5924.jpg</t>
  </si>
  <si>
    <t>Spot-crowned_Woodcreeper_5946.jpg</t>
  </si>
  <si>
    <t>Spotted_Antbird_11235.jpg</t>
  </si>
  <si>
    <t>Spotted_Antbird_4123.jpg</t>
  </si>
  <si>
    <t>Spotted_Antbird_4208.jpg</t>
  </si>
  <si>
    <t>Spotted_Antbird_9613.jpg</t>
  </si>
  <si>
    <t>Spotted_Barbtail_6053.jpg</t>
  </si>
  <si>
    <t>Spotted_Dove_0136.jpg</t>
  </si>
  <si>
    <t>Spotted_Dove_9865.jpg</t>
  </si>
  <si>
    <t>Spotted_Eagle-Owl_345.jpg</t>
  </si>
  <si>
    <t>Spotted_Pardalote_9379.jpg</t>
  </si>
  <si>
    <t>Spotted_Sandpiper_1414.jpg</t>
  </si>
  <si>
    <t>Spotted_Sandpiper_1489.jpg</t>
  </si>
  <si>
    <t>Spotted_Sandpiper_1827.jpg</t>
  </si>
  <si>
    <t>Spotted_Sandpiper_221014.jpg</t>
  </si>
  <si>
    <t>Spotted_Sandpiper_22738.jpg</t>
  </si>
  <si>
    <t>Spotted_Sandpiper_2430.jpg</t>
  </si>
  <si>
    <t>Spotted_Sandpiper_4855.jpg</t>
  </si>
  <si>
    <t>Spotted_Sandpiper_5014MF.jpg</t>
  </si>
  <si>
    <t>Spotted_Sandpiper_5416.jpg</t>
  </si>
  <si>
    <t>Spotted_Sandpiper_5687.jpg</t>
  </si>
  <si>
    <t>Spotted_Sandpiper_6321.jpg</t>
  </si>
  <si>
    <t>Spotted_Sandpiper_6362.jpg</t>
  </si>
  <si>
    <t>Spotted_Sandpiper_7405.jpg</t>
  </si>
  <si>
    <t>Spotted_Towhee_7007.jpg</t>
  </si>
  <si>
    <t>Spotted_Wood-Quail_2016MF.jpg</t>
  </si>
  <si>
    <t>Spotted_Wood-Quail_3659.jpg</t>
  </si>
  <si>
    <t>Spotted_Wood-Quail_MF2878.jpg</t>
  </si>
  <si>
    <t>Spotted_Wood-Quail_MF2895.jpg</t>
  </si>
  <si>
    <t>Spotted_Woodcreeper_6039.jpg</t>
  </si>
  <si>
    <t>Spotted_sandpiper_342.jpg</t>
  </si>
  <si>
    <t>Spotted_sandpiper_4843MF.jpg</t>
  </si>
  <si>
    <t>Spruce_grouse-2.jpg</t>
  </si>
  <si>
    <t>Spruce_grouse-male.jpg</t>
  </si>
  <si>
    <t>Spruce_grouse.jpg</t>
  </si>
  <si>
    <t>Spur-winged_Goose_8450.jpg</t>
  </si>
  <si>
    <t>Spur-winged_Lapwing_353.jpg</t>
  </si>
  <si>
    <t>Squacco_Heron_0071.jpg</t>
  </si>
  <si>
    <t>Squacco_Heron_357.jpg</t>
  </si>
  <si>
    <t>Squacco_Heron_7124.jpg</t>
  </si>
  <si>
    <t>Squacco_Heron_9714.jpg</t>
  </si>
  <si>
    <t>Squacco_Heron_9761.jpg</t>
  </si>
  <si>
    <t>Squacco_Heron_9804.jpg</t>
  </si>
  <si>
    <t>Squacco_Heron_9810.jpg</t>
  </si>
  <si>
    <t>Squacco_Heron_9831.jpg</t>
  </si>
  <si>
    <t>Steely-vented_Hummingbird_23441.jpg</t>
  </si>
  <si>
    <t>Stout-billed_Cinclodes_6676.jpg</t>
  </si>
  <si>
    <t>Stout-billed_Cinclodes_6813.jpg</t>
  </si>
  <si>
    <t>Straight-billed_Woodcreeper_2991.jpg</t>
  </si>
  <si>
    <t>Streak-backed_Oriole_8098.jpg</t>
  </si>
  <si>
    <t>Streak-backed_Oriole_MF6320.jpg</t>
  </si>
  <si>
    <t>Streak-capped_Spinetail_23722.jpg</t>
  </si>
  <si>
    <t>Streak-capped_Spinetail_23886.jpg</t>
  </si>
  <si>
    <t>Streak-headed_Woodcreeper_0393.jpg</t>
  </si>
  <si>
    <t>Streak-headed_Woodcreeper_6712.jpg</t>
  </si>
  <si>
    <t>Streak-throated_Bush-tyrant_2931.jpg</t>
  </si>
  <si>
    <t>Streaked_Flycatcher_20920.jpg</t>
  </si>
  <si>
    <t>Streaked_Flycatcher_2588MF.jpg</t>
  </si>
  <si>
    <t>Streaked_Flycatcher_2672.jpg</t>
  </si>
  <si>
    <t>Streaked_Flycatcher_5576.jpg</t>
  </si>
  <si>
    <t>Streaked_Flycatcher_7120.jpg</t>
  </si>
  <si>
    <t>Streaked_Flycatcher_MF6264.jpg</t>
  </si>
  <si>
    <t>Streaked_Saltator_6732.jpg</t>
  </si>
  <si>
    <t>Streaky-headed_Seedeater_2683.jpg</t>
  </si>
  <si>
    <t>Striated_Fieldwren_2822MF.jpg</t>
  </si>
  <si>
    <t>Striated_Fieldwren_3031MF.jpg</t>
  </si>
  <si>
    <t>Striated_Heron_4770.jpg</t>
  </si>
  <si>
    <t>Striated_Heron_6837.jpg</t>
  </si>
  <si>
    <t>Striated_Heron_9420.jpg</t>
  </si>
  <si>
    <t>Stripe-backed_Wren_1600MF.jpg</t>
  </si>
  <si>
    <t>Stripe-backed_Wren_20724.jpg</t>
  </si>
  <si>
    <t>Stripe-backed_Wren_21675.jpg</t>
  </si>
  <si>
    <t>Stripe-breasted_Wren.jpg</t>
  </si>
  <si>
    <t>Stripe-breasted_Wren_5879.jpg</t>
  </si>
  <si>
    <t>Stripe-breasted_Wren_MF4064.jpg</t>
  </si>
  <si>
    <t>Stripe-breasted_Wren_MF4073.jpg</t>
  </si>
  <si>
    <t>Stripe-headed_Sparrow_8094.jpg</t>
  </si>
  <si>
    <t>Stripe-tailed_Hummingbird_7304.jpg</t>
  </si>
  <si>
    <t>Stripe-throated_Hermit_6245.jpg</t>
  </si>
  <si>
    <t>Stripe-throated_Hermit_7685.jpg</t>
  </si>
  <si>
    <t>Stripe-throated_Jery_-_Grande_Eroesse.jpg</t>
  </si>
  <si>
    <t>Stripe-throated_Jery_-_Grande_Eroesse_.jpg</t>
  </si>
  <si>
    <t>Stripe-throated_Jery_-_Grande_Eroesse_5345.jpg</t>
  </si>
  <si>
    <t>Stripe-throated_Jery_-_Grande_Eroesse_9323MF.jpg</t>
  </si>
  <si>
    <t>Strong-billed_Woodcreeper_4109.jpg</t>
  </si>
  <si>
    <t>Stygian_Owl_495.jpg</t>
  </si>
  <si>
    <t>Stygian_Owl_496.jpg</t>
  </si>
  <si>
    <t>Subdesert_Brush-Warbler_-_Nesille_de_Lantz_7686.jpg</t>
  </si>
  <si>
    <t>Subdesert_Mesite_-_Mesite_monias_6692.jpg</t>
  </si>
  <si>
    <t>Subdesert_Mesite_-_Mesite_monias_6714.jpg</t>
  </si>
  <si>
    <t>Sulphur-bellied_Flycatcher_7595.jpg</t>
  </si>
  <si>
    <t>Sulphur-bellied_Flycatcher_MF5272.jpg</t>
  </si>
  <si>
    <t>Sulphur-breasted_Bushshrike_2883.jpg</t>
  </si>
  <si>
    <t>Sulphur-crested_Cockatoo_2269.jpg</t>
  </si>
  <si>
    <t>Sulphur-crested_Cockatoo_8159.jpg</t>
  </si>
  <si>
    <t>Sulphur-winged_Parakeet_2393.jpg</t>
  </si>
  <si>
    <t>Sulphur-winged_Parakeet_2664.jpg</t>
  </si>
  <si>
    <t>Summer_Tanager_1270MF.jpg</t>
  </si>
  <si>
    <t>Summer_Tanager_1380.jpg</t>
  </si>
  <si>
    <t>Summer_Tanager_20652.jpg</t>
  </si>
  <si>
    <t>Summer_Tanager_2507MF.jpg</t>
  </si>
  <si>
    <t>Summer_Tanager_3120.jpg</t>
  </si>
  <si>
    <t>Summer_Tanager_523.jpg</t>
  </si>
  <si>
    <t>Summer_Tanager_6489.jpg</t>
  </si>
  <si>
    <t>Summer_Tanager_7458.jpg</t>
  </si>
  <si>
    <t>Sunbittern_4464.jpg</t>
  </si>
  <si>
    <t>Sunbittern_4487.jpg</t>
  </si>
  <si>
    <t>Sunbittern_9439.jpg</t>
  </si>
  <si>
    <t>Sunbittern_MF3282.jpg</t>
  </si>
  <si>
    <t>Superb_Fairywren_0583.jpg</t>
  </si>
  <si>
    <t>Superb_Fairywren_2593MF.jpg</t>
  </si>
  <si>
    <t>Superb_Starling_371.jpg</t>
  </si>
  <si>
    <t>Superciliaried_Hemispingus_4120.jpg</t>
  </si>
  <si>
    <t>Surf_Scoter_1954MF.jpg</t>
  </si>
  <si>
    <t>Surf_Scoter_4048.jpg</t>
  </si>
  <si>
    <t>Surf_Scoter_8600.jpg</t>
  </si>
  <si>
    <t>Surf_Scoter_9119.jpg</t>
  </si>
  <si>
    <t>Swallow-tailed_Gull_44.jpg</t>
  </si>
  <si>
    <t>Swallow-tailed_Kite_2087.jpg</t>
  </si>
  <si>
    <t>Swallow-tailed_Kite_4947.jpg</t>
  </si>
  <si>
    <t>Swallow-tailed_Kite_5393.jpg</t>
  </si>
  <si>
    <t>Swallow-tailed_Kite_5397.jpg</t>
  </si>
  <si>
    <t>Swallow-tailed_Kite_5414.jpg</t>
  </si>
  <si>
    <t>Swallow-tailed_Kite_5513.jpg</t>
  </si>
  <si>
    <t>Swallow-tailed_Kite_5514.jpg</t>
  </si>
  <si>
    <t>Swallow-tailed_Kite_7670.jpg</t>
  </si>
  <si>
    <t>Swallow-tailed_Kite_8566MF.jpg</t>
  </si>
  <si>
    <t>Swallow-tailed_Kite_8673MF.jpg</t>
  </si>
  <si>
    <t>Swallow-tailed_Kite_8714MF.jpg</t>
  </si>
  <si>
    <t>Swallow_Tanager_23194.jpg</t>
  </si>
  <si>
    <t>Swallow_Tanager_23286.jpg</t>
  </si>
  <si>
    <t>Swallow_Tanager_23311.jpg</t>
  </si>
  <si>
    <t>Swallow_Tanager_2925MF.jpg</t>
  </si>
  <si>
    <t>Swamp_Harrier_2249.jpg</t>
  </si>
  <si>
    <t>Swamp_Sparrow.jpg</t>
  </si>
  <si>
    <t>Swamp_Sparrow_0292.jpg</t>
  </si>
  <si>
    <t>Swamp_Sparrow_0942MF.jpg</t>
  </si>
  <si>
    <t>Swamp_Sparrow_1001MF.jpg</t>
  </si>
  <si>
    <t>Swamp_Sparrow_1548.jpg</t>
  </si>
  <si>
    <t>Swamp_Sparrow_1552.jpg</t>
  </si>
  <si>
    <t>Swamp_Sparrow_1858MF.jpg</t>
  </si>
  <si>
    <t>Swamp_Sparrow_2558.jpg</t>
  </si>
  <si>
    <t>Swamp_Sparrow_3552.jpg</t>
  </si>
  <si>
    <t>Swamp_Sparrow_4609.jpg</t>
  </si>
  <si>
    <t>Swamp_Sparrow_7955.jpg</t>
  </si>
  <si>
    <t>Swamp_Sparrow_91544.jpg</t>
  </si>
  <si>
    <t>Swamp_Sparrow_9525MF.jpg</t>
  </si>
  <si>
    <t>Sword-billed_Hummingbird_2820.jpg</t>
  </si>
  <si>
    <t>Talamanca_Hummingbird_1848.jpg</t>
  </si>
  <si>
    <t>Talamanca_Hummingbird_1880.jpg</t>
  </si>
  <si>
    <t>Talamanca_Hummingbird_MF2037.jpg</t>
  </si>
  <si>
    <t>Tasmanian_Nativehen_3865MF.jpg</t>
  </si>
  <si>
    <t>Tasmanian_Thornbill_4345MF.jpg</t>
  </si>
  <si>
    <t>Tasmanian_Thornbill_4760MF.jpg</t>
  </si>
  <si>
    <t>Tawny-capped_Euphonia.jpg</t>
  </si>
  <si>
    <t>Tawny-crested_Tanager_4331.jpg</t>
  </si>
  <si>
    <t>Tawny-crested_Tanager_4339.jpg</t>
  </si>
  <si>
    <t>Tawny-flanked_Prinia_7286.jpg</t>
  </si>
  <si>
    <t>Tawny-winged_Woodcreeper_MF6015.jpg</t>
  </si>
  <si>
    <t>Tawny_Eagle_8023.jpg</t>
  </si>
  <si>
    <t>Tawny_Eagle_8156.jpg</t>
  </si>
  <si>
    <t>Tawny_Frogmouth_5064MF.jpg</t>
  </si>
  <si>
    <t>Tennessee_Warbler_23442.jpg</t>
  </si>
  <si>
    <t>Tennessee_Warbler_4481.jpg</t>
  </si>
  <si>
    <t>Tennessee_Warbler_4693.jpg</t>
  </si>
  <si>
    <t>Tennessee_Warbler_4734.jpg.jpg</t>
  </si>
  <si>
    <t>Tennessee_Warbler_5636.jpg</t>
  </si>
  <si>
    <t>Thick-billed_Euphonia_1139.jpg</t>
  </si>
  <si>
    <t>Thick-billed_Euphonia_1497.jpg</t>
  </si>
  <si>
    <t>Thick-billed_Euphonia_3669.jpg</t>
  </si>
  <si>
    <t>Thick-billed_Euphonia_6643.jpg</t>
  </si>
  <si>
    <t>Thick-billed_Euphonia_7107.jpg</t>
  </si>
  <si>
    <t>Thick-billed_Seed-Finch.jpg</t>
  </si>
  <si>
    <t>Three-banded_Plover_112.jpg</t>
  </si>
  <si>
    <t>Three-banded_Plover_251.jpg</t>
  </si>
  <si>
    <t>Three-wattled_Bellbird_7828.jpg</t>
  </si>
  <si>
    <t>Three-wattled_Bellbird_7844.jpg</t>
  </si>
  <si>
    <t>Timberline_Wren_2320.jpg</t>
  </si>
  <si>
    <t>Tiny_Hawk_1432.jpg</t>
  </si>
  <si>
    <t>Tiny_Hawk_5725.jpg</t>
  </si>
  <si>
    <t>Tody_Motmot.jpg</t>
  </si>
  <si>
    <t>Tody_motmot_2168.jpg</t>
  </si>
  <si>
    <t>Torrent_Duck.jpg</t>
  </si>
  <si>
    <t>Torrent_Tyrannulet_1731MF.jpg</t>
  </si>
  <si>
    <t>Torrent_Tyrannulet_3297.jpg</t>
  </si>
  <si>
    <t>Torrent_Tyrannulet_3327.jpg</t>
  </si>
  <si>
    <t>Torrent_Tyrannulet_5701.jpg</t>
  </si>
  <si>
    <t>Torrent_Tyrannulet_5908.jpg</t>
  </si>
  <si>
    <t>Toucan_Barbet.jpg</t>
  </si>
  <si>
    <t>Tourmaline_Sunangel_3206.jpg</t>
  </si>
  <si>
    <t>Tourmaline_Sunangel_5878.jpg</t>
  </si>
  <si>
    <t>Tree_Swallow_1623MF.jpg</t>
  </si>
  <si>
    <t>Tree_Swallow_5369MF.jpg</t>
  </si>
  <si>
    <t>Tricolored_Heron_1589.jpg</t>
  </si>
  <si>
    <t>Tricolored_Heron_2033.jpg</t>
  </si>
  <si>
    <t>Tricolored_Heron_20382.jpg</t>
  </si>
  <si>
    <t>Tricolored_Heron_20969.jpg</t>
  </si>
  <si>
    <t>Tricolored_Heron_2490.jpg</t>
  </si>
  <si>
    <t>Tricolored_Heron_2492.jpg</t>
  </si>
  <si>
    <t>Tricolored_Heron_3918.jpg</t>
  </si>
  <si>
    <t>Tricolored_Heron_4580.jpg</t>
  </si>
  <si>
    <t>Tricolored_Heron_4805MF.jpg</t>
  </si>
  <si>
    <t>Tricolored_Heron_5934.jpg</t>
  </si>
  <si>
    <t>Tricolored_Heron_6630MF.jpg</t>
  </si>
  <si>
    <t>Tricolored_Heron_7108.jpg</t>
  </si>
  <si>
    <t>Tricolored_Heron_7134.jpg</t>
  </si>
  <si>
    <t>Tricolored_Heron_7246.jpg</t>
  </si>
  <si>
    <t>Tricolored_Heron_9601.jpg</t>
  </si>
  <si>
    <t>Tricolored_Heron_9853.jpg</t>
  </si>
  <si>
    <t>Trinidad_Euphonia.jpg</t>
  </si>
  <si>
    <t>Trinidad_Motmot_6267.jpg</t>
  </si>
  <si>
    <t>Tropical_Gnatcatcher_4840MF.jpg</t>
  </si>
  <si>
    <t>Tropical_Gnatcatcher_5117.jpg</t>
  </si>
  <si>
    <t>Tropical_Gnatcatcher_5974.jpg</t>
  </si>
  <si>
    <t>Tropical_Kingbird_1179.jpg</t>
  </si>
  <si>
    <t>Tropical_Kingbird_2256.jpg</t>
  </si>
  <si>
    <t>Tropical_Kingbird_3305.jpg</t>
  </si>
  <si>
    <t>Tropical_Kingbird_347.jpg</t>
  </si>
  <si>
    <t>Tropical_Kingbird_4824.jpg</t>
  </si>
  <si>
    <t>Tropical_Kingbird_5751.jpg</t>
  </si>
  <si>
    <t>Tropical_Kingbird_6446.jpg</t>
  </si>
  <si>
    <t>Tropical_Kingbird_691.jpg</t>
  </si>
  <si>
    <t>Tropical_Mockingbird.jpg</t>
  </si>
  <si>
    <t>Tropical_Mockingbird_2912MF.jpg</t>
  </si>
  <si>
    <t>Tropical_Mockingbird_3973MF.jpg</t>
  </si>
  <si>
    <t>Tropical_Mockingbird_4040.jpg</t>
  </si>
  <si>
    <t>Tropical_Mockingbird_5663.jpg</t>
  </si>
  <si>
    <t>Tropical_Mockingbird_5971.jpg</t>
  </si>
  <si>
    <t>Tropical_Mockingbird_647.jpg</t>
  </si>
  <si>
    <t>Tropical_Mockingbird_6492.jpg</t>
  </si>
  <si>
    <t>Tropical_Parula_3501MF.jpg</t>
  </si>
  <si>
    <t>Tropical_Parula_6164.jpg</t>
  </si>
  <si>
    <t>Tropical_Royal_Flycatcher_1771.jpg</t>
  </si>
  <si>
    <t>Tropical_Royal_Flycatcher_7232A.jpg</t>
  </si>
  <si>
    <t>Tropical_Screech-Owl_0949.jpg</t>
  </si>
  <si>
    <t>Tropical_Screech-Owl_5568.jpg</t>
  </si>
  <si>
    <t>Trumpeter_Swan_1356.jpg</t>
  </si>
  <si>
    <t>Trumpeter_Swan_5532MF.jpg</t>
  </si>
  <si>
    <t>Tufted_Coquette_4473.jpg</t>
  </si>
  <si>
    <t>Tufted_Coquette_5178.jpg</t>
  </si>
  <si>
    <t>Tufted_Flycatcher_6062.jpg</t>
  </si>
  <si>
    <t>Tufted_Titmouse_0361.jpg</t>
  </si>
  <si>
    <t>Tufted_Titmouse_8063.jpg</t>
  </si>
  <si>
    <t>Tufted_Titmouse_8071.jpg</t>
  </si>
  <si>
    <t>Tufted_Titmouse_8782MF.jpg</t>
  </si>
  <si>
    <t>Tufted_Titmouse_9471.jpg</t>
  </si>
  <si>
    <t>Tundra_Swan_3025.jpg</t>
  </si>
  <si>
    <t>Tundra_Swan_4108.jpg</t>
  </si>
  <si>
    <t>Turkey_Vulture_1536MF.jpg</t>
  </si>
  <si>
    <t>Turkey_Vulture_1537.jpg</t>
  </si>
  <si>
    <t>Turkey_Vulture_2827.jpg</t>
  </si>
  <si>
    <t>Turkey_Vulture_3769.jpg</t>
  </si>
  <si>
    <t>Turkey_Vulture_8879MF.jpg</t>
  </si>
  <si>
    <t>Turkey_Vulture_8939.jpg</t>
  </si>
  <si>
    <t>Turquoise-browed_Motmot_8749.jpg</t>
  </si>
  <si>
    <t>Turquoise-browed_Motmot_MF5829.jpg</t>
  </si>
  <si>
    <t>Turquoise-winged_Parrotlet_21528.jpg</t>
  </si>
  <si>
    <t>Tylas_Vanga_-_Tylas_a_tete_noire_6081.jpg</t>
  </si>
  <si>
    <t>Tyrannine_Woodcreeper_4014.jpg</t>
  </si>
  <si>
    <t>Uniform_Crake_6373.jpg</t>
  </si>
  <si>
    <t>Upland_Sandpiper_1611.jpg</t>
  </si>
  <si>
    <t>Variable_Seedeater_3368.jpg</t>
  </si>
  <si>
    <t>Veery_3153.jpg</t>
  </si>
  <si>
    <t>Veery_3475.jpg</t>
  </si>
  <si>
    <t>Veery_5758MF.jpg</t>
  </si>
  <si>
    <t>Veery_7142.jpg</t>
  </si>
  <si>
    <t>Veery_7188MF.jpg</t>
  </si>
  <si>
    <t>Veery_7564.jpg</t>
  </si>
  <si>
    <t>Veery_8073.jpg</t>
  </si>
  <si>
    <t>Velvet-purple_Coronet_5453.jpg</t>
  </si>
  <si>
    <t>Velvet_Asity_-_Philepitte_veloutee_6251.jpg</t>
  </si>
  <si>
    <t>Velvet_Asity_-_Philepitte_veloutee_6252.jpg</t>
  </si>
  <si>
    <t>Velvet_Asity_-_Philepitte_veloutee_6252O.jpg</t>
  </si>
  <si>
    <t>Velvet_Asity_-_Philepitte_veloutee_6252_copy.jpg</t>
  </si>
  <si>
    <t>Velvet_Asity_-_Philepitte_veloutee_9137-1200.jpg</t>
  </si>
  <si>
    <t>Velvet_Asity_-_Philepitte_veloutee_9137.jpg</t>
  </si>
  <si>
    <t>Velvety_Manakin_4481.jpg</t>
  </si>
  <si>
    <t>Venezuelan_Flycatcher_6520.jpg</t>
  </si>
  <si>
    <t>Vermilion_Cardinal-Vermillion_Cardinal_5072.jpg</t>
  </si>
  <si>
    <t>Vermilion_Cardinal_4289MF.jpg</t>
  </si>
  <si>
    <t>Vermilion_Cardinal_5142.jpg</t>
  </si>
  <si>
    <t>Vermilion_Cardinal_5165.jpg</t>
  </si>
  <si>
    <t>Vermilion_Cardinal_5772.jpg</t>
  </si>
  <si>
    <t>Vermilion_Flycatcher_388.jpg</t>
  </si>
  <si>
    <t>Vermilion_Flycatcher_3955MF.jpg</t>
  </si>
  <si>
    <t>Vermilion_Flycatcher_4338MF.jpg</t>
  </si>
  <si>
    <t>Vermilion_Flycatcher_4819.jpg</t>
  </si>
  <si>
    <t>Vermilion_Flycatcher_5218.jpg</t>
  </si>
  <si>
    <t>Vermilion_Flycatcher_6485.jpg</t>
  </si>
  <si>
    <t>Vermilion_Flycatcher_685.jpg</t>
  </si>
  <si>
    <t>Vermilion_Flycatcher_685_2.jpg</t>
  </si>
  <si>
    <t>Vesper_sparrow_0274.jpg</t>
  </si>
  <si>
    <t>Village_Weaver_2535.jpg</t>
  </si>
  <si>
    <t>Village_Weaver_2545.jpg</t>
  </si>
  <si>
    <t>Village_Weaver_2546.jpg</t>
  </si>
  <si>
    <t>Violaceous_Euphonia_4128.jpg</t>
  </si>
  <si>
    <t>Violet-bellied_Hummingbird_5051.jpg</t>
  </si>
  <si>
    <t>Violet-eared_Waxbill_208.jpg</t>
  </si>
  <si>
    <t>Violet-eared_Waxbill_209.jpg</t>
  </si>
  <si>
    <t>Violet-tailed_Sylph_3797.jpg</t>
  </si>
  <si>
    <t>Violet-tailed_Sylph_5474.jpg</t>
  </si>
  <si>
    <t>Violet_Sabrewing_3159MF.jpg</t>
  </si>
  <si>
    <t>Violet_Sabrewing_3220MF.jpg</t>
  </si>
  <si>
    <t>Violet_Sabrewing_7899.jpg</t>
  </si>
  <si>
    <t>Violet_Sabrewing_7952.jpg</t>
  </si>
  <si>
    <t>Virginia_Rail-2.jpg</t>
  </si>
  <si>
    <t>Virginia_Rail.jpg</t>
  </si>
  <si>
    <t>Virginia_Rail_1089.jpg</t>
  </si>
  <si>
    <t>Virginia_Rail_2890.jpg</t>
  </si>
  <si>
    <t>Virginia_Rail_4216.jpg</t>
  </si>
  <si>
    <t>Virginia_Rail_4234.jpg</t>
  </si>
  <si>
    <t>Virginia_Rail_4383A.jpg</t>
  </si>
  <si>
    <t>Virginia_Rail_4395.jpg</t>
  </si>
  <si>
    <t>Virginia_Rail_4753.jpg</t>
  </si>
  <si>
    <t>Virginia_Rail_5590MF.jpg</t>
  </si>
  <si>
    <t>Virginia_Rail_702.jpg</t>
  </si>
  <si>
    <t>Virginia_Rail_9295.jpg</t>
  </si>
  <si>
    <t>Virginia_Rail_Copulation.jpg</t>
  </si>
  <si>
    <t>Virginia_rail_4592.jpg</t>
  </si>
  <si>
    <t>Virginia_rail_4623.jpg</t>
  </si>
  <si>
    <t>Virginia_rail_9074MF.jpg</t>
  </si>
  <si>
    <t>Viridian_Metaltail_2864.jpg</t>
  </si>
  <si>
    <t>Volcano_Hummingbird_2124.jpg</t>
  </si>
  <si>
    <t>Volcano_Hummingbird_5835.jpg</t>
  </si>
  <si>
    <t>Volcano_Junco_2233.jpg</t>
  </si>
  <si>
    <t>Wandering_Tattler_0392.jpg</t>
  </si>
  <si>
    <t>Warbling_White-eye_1615.jpg</t>
  </si>
  <si>
    <t>Water_Thick-knee_1926.jpg</t>
  </si>
  <si>
    <t>Wattled_Crane_0007.jpg</t>
  </si>
  <si>
    <t>Wattled_Jacana.jpg</t>
  </si>
  <si>
    <t>Wattled_Jacana_1874MF.jpg</t>
  </si>
  <si>
    <t>Wattled_Jacana_2072MF.jpg</t>
  </si>
  <si>
    <t>Wattled_Jacana_4031.jpg</t>
  </si>
  <si>
    <t>Wattled_Jacana_4839.jpg</t>
  </si>
  <si>
    <t>Wattled_Lapwing_7852.jpg</t>
  </si>
  <si>
    <t>Wattled_Starling_0416.jpg</t>
  </si>
  <si>
    <t>Wattled_jacana_6413.jpg</t>
  </si>
  <si>
    <t>Wattled_jacana_6421.jpg</t>
  </si>
  <si>
    <t>Waved_Albatross_27.jpg</t>
  </si>
  <si>
    <t>Wedge-tailed_Eagle_1316.jpg</t>
  </si>
  <si>
    <t>Welcome_Swallow_0954.jpg</t>
  </si>
  <si>
    <t>Welcome_Swallow_4378MF.jpg</t>
  </si>
  <si>
    <t>Western_Cattle-Egret_22697.jpg</t>
  </si>
  <si>
    <t>Western_Cattle-Egret_2346MF.jpg</t>
  </si>
  <si>
    <t>Western_Emerald_6540.jpg</t>
  </si>
  <si>
    <t>Western_Gull_9778.jpg</t>
  </si>
  <si>
    <t>Western_Kingbird_1218.jpg</t>
  </si>
  <si>
    <t>Western_Kingbird_8357MF.jpg</t>
  </si>
  <si>
    <t>Western_Meadowlark_1628.jpg</t>
  </si>
  <si>
    <t>Western_Olivaceous_Flatbill_1358.jpg</t>
  </si>
  <si>
    <t>Western_Sandpiper.jpg</t>
  </si>
  <si>
    <t>Western_Sandpiper_6394.jpg</t>
  </si>
  <si>
    <t>Western_Sandpiper_9162MF.jpg</t>
  </si>
  <si>
    <t>Western_Wood-pewee_5907.jpg</t>
  </si>
  <si>
    <t>Western_Woodhaunter_0190.jpg</t>
  </si>
  <si>
    <t>Whiskered_Tern_2875MF.jpg</t>
  </si>
  <si>
    <t>Whistling_Kite_1618.jpg</t>
  </si>
  <si>
    <t>White-banded_Tyrannulet_5095.jpg</t>
  </si>
  <si>
    <t>White-bearded_Manakin_5350.jpg</t>
  </si>
  <si>
    <t>White-bellied_Antbird_7354.jpg</t>
  </si>
  <si>
    <t>White-bellied_Antbird_7358.jpg</t>
  </si>
  <si>
    <t>White-bellied_Go-away-bird_245.jpg</t>
  </si>
  <si>
    <t>White-bellied_Sea-Eagle_4847MF.jpg</t>
  </si>
  <si>
    <t>White-bellied_Sunbird_3433.jpg</t>
  </si>
  <si>
    <t>White-bellied_Woodstar.jpg</t>
  </si>
  <si>
    <t>White-bellied_Woodstar_2.jpg</t>
  </si>
  <si>
    <t>White-bellied_Woodstar_4932.jpg</t>
  </si>
  <si>
    <t>White-booted_Racket-tail_3443.jpg</t>
  </si>
  <si>
    <t>White-breasted_Nuthatch_3667MF.jpg</t>
  </si>
  <si>
    <t>White-breasted_Nuthatch_9063.jpg</t>
  </si>
  <si>
    <t>White-breasted_Wood-Wren_MF3178.jpg</t>
  </si>
  <si>
    <t>White-breasted_nuthatch_1447.jpg</t>
  </si>
  <si>
    <t>White-breasted_nuthatch_7451MF.jpg</t>
  </si>
  <si>
    <t>White-breasted_nuthatch_8575MF.jpg</t>
  </si>
  <si>
    <t>White-browed_Coucal_262.jpg</t>
  </si>
  <si>
    <t>White-browed_Owl_-_Chevechette_a_sourcil_blanc_6434.jpg</t>
  </si>
  <si>
    <t>White-browed_Robin-Chat_1895.jpg</t>
  </si>
  <si>
    <t>White-browed_Scrub-robin_1841.jpg</t>
  </si>
  <si>
    <t>White-browed_Scrubwren.jpg</t>
  </si>
  <si>
    <t>White-capped_Dipper_3218.jpg</t>
  </si>
  <si>
    <t>White-capped_Dipper_5807.jpg</t>
  </si>
  <si>
    <t>White-capped_Tanager_5397.jpg</t>
  </si>
  <si>
    <t>White-capped_Tanager_5442.jpg</t>
  </si>
  <si>
    <t>White-capped_Tanager_5459.jpg</t>
  </si>
  <si>
    <t>White-chested_Emerald_4109.jpg</t>
  </si>
  <si>
    <t>White-chinned_Thistletail_4913.jpg</t>
  </si>
  <si>
    <t>White-collared_Manakin_-_Manakin_a_col_blanc_-MF3760.jpg</t>
  </si>
  <si>
    <t>White-collared_Manakin_5411.jpg</t>
  </si>
  <si>
    <t>White-collared_Swift_4553.jpg</t>
  </si>
  <si>
    <t>White-collared_Swift_4572.jpg</t>
  </si>
  <si>
    <t>White-crowned_Parrot_MF3494.jpg</t>
  </si>
  <si>
    <t>White-crowned_Shrike_9335.jpg</t>
  </si>
  <si>
    <t>White-crowned_Sparrow_2014-101.jpg</t>
  </si>
  <si>
    <t>White-crowned_Sparrow_2504MF.jpg</t>
  </si>
  <si>
    <t>White-crowned_Sparrow_2932.jpg</t>
  </si>
  <si>
    <t>White-crowned_Sparrow_3486.jpg</t>
  </si>
  <si>
    <t>White-crowned_Sparrow_5477MF.jpg</t>
  </si>
  <si>
    <t>White-crowned_Sparrow_6854.jpg</t>
  </si>
  <si>
    <t>White-crowned_Sparrow_9542.jpg</t>
  </si>
  <si>
    <t>White-crowned_Sparrow_9967MF.jpg</t>
  </si>
  <si>
    <t>White-eared_Ground-Sparrow_3259.jpg</t>
  </si>
  <si>
    <t>White-eared_Honeyeater_3207MF.jpg</t>
  </si>
  <si>
    <t>White-eyed_Vireo_3325.jpg</t>
  </si>
  <si>
    <t>White-eyed_Vireo_4154.jpg</t>
  </si>
  <si>
    <t>White-eyed_Vireo_6653MF.jpg</t>
  </si>
  <si>
    <t>White-eyed_Vireo_7083MF.jpg</t>
  </si>
  <si>
    <t>White-eyed_Vireo_7637.jpg</t>
  </si>
  <si>
    <t>White-eyed_Vireo_8297.jpg</t>
  </si>
  <si>
    <t>White-eyed_Vireo_838MF.jpg</t>
  </si>
  <si>
    <t>White-eyed_Vireo_8555MF.jpg</t>
  </si>
  <si>
    <t>White-eyed_Vireo_9846.jpg</t>
  </si>
  <si>
    <t>White-faced_Heron_1081.jpg</t>
  </si>
  <si>
    <t>White-faced_Heron_3938MF.jpg</t>
  </si>
  <si>
    <t>White-faced_Whistling-Duck_0346.jpg</t>
  </si>
  <si>
    <t>White-faced_Whistling-Duck_1908.jpg</t>
  </si>
  <si>
    <t>White-faced_Whistling-Duck_22165.jpg</t>
  </si>
  <si>
    <t>White-faced_Whistling-Duck_9105.jpg</t>
  </si>
  <si>
    <t>White-faced_heron.jpg</t>
  </si>
  <si>
    <t>White-fronted_Amazon_2703MF.jpg</t>
  </si>
  <si>
    <t>White-fronted_Bee-eater_6854.jpg</t>
  </si>
  <si>
    <t>White-fronted_Chat_3578MF.jpg</t>
  </si>
  <si>
    <t>White-fronted_Plover_-_Pluvier_a_front_blanc_7264.jpg</t>
  </si>
  <si>
    <t>White-fronted_Plover_-_Pluvier_a_front_blanc_9785MF.jpg</t>
  </si>
  <si>
    <t>White-headed_Buffalo-weaver_342.jpg</t>
  </si>
  <si>
    <t>White-headed_Marsh_Tyrant.jpg</t>
  </si>
  <si>
    <t>White-headed_Marsh_Tyrant_4774.jpg</t>
  </si>
  <si>
    <t>White-headed_Wren.jpg</t>
  </si>
  <si>
    <t>White-lined_Tanager_4066.jpg</t>
  </si>
  <si>
    <t>White-lined_Tanager_5246.jpg</t>
  </si>
  <si>
    <t>White-lined_Tanager_5987.jpg</t>
  </si>
  <si>
    <t>White-lined_Tanager_7291.jpg</t>
  </si>
  <si>
    <t>White-lored_Warbler_4704.jpg</t>
  </si>
  <si>
    <t>White-lored_Warbler_4706.jpg</t>
  </si>
  <si>
    <t>White-naped_Brushfinch_2624.jpg</t>
  </si>
  <si>
    <t>White-naped_Brushfinch_3491.jpg</t>
  </si>
  <si>
    <t>White-naped_Brushfinch_3494.jpg</t>
  </si>
  <si>
    <t>White-naped_Honeyeater_3327MF.jpg</t>
  </si>
  <si>
    <t>White-necked_Jacobin_4095.jpg</t>
  </si>
  <si>
    <t>White-necked_Jacobin_4636.jpg</t>
  </si>
  <si>
    <t>White-necked_Jacobin_4730.jpg</t>
  </si>
  <si>
    <t>White-necked_Jacobin_6180.jpg</t>
  </si>
  <si>
    <t>White-necked_Jacobin_6292.jpg</t>
  </si>
  <si>
    <t>White-necked_Puffbird_0724.jpg</t>
  </si>
  <si>
    <t>White-necked_Puffbird_1975.jpg</t>
  </si>
  <si>
    <t>White-necked_Thrush_4248.jpg</t>
  </si>
  <si>
    <t>White-plumed_Honeyeater_1953.jpg</t>
  </si>
  <si>
    <t>White-plumed_Honeyeater_3767MF.jpg</t>
  </si>
  <si>
    <t>White-quilled_Bustard_219.jpg</t>
  </si>
  <si>
    <t>White-quilled_Bustard_267.jpg</t>
  </si>
  <si>
    <t>White-rumped_Hawk_23659.jpg</t>
  </si>
  <si>
    <t>White-rumped_Sandpiper_4817MF.jpg</t>
  </si>
  <si>
    <t>White-rumped_Shrike_165.jpg</t>
  </si>
  <si>
    <t>White-shouldered_Tanager_MF3496.jpg</t>
  </si>
  <si>
    <t>White-sided_Flowerpiercer_3549.jpg</t>
  </si>
  <si>
    <t>White-sided_Flowerpiercer_4305.jpg</t>
  </si>
  <si>
    <t>White-sided_Flowerpiercer_4654.jpg</t>
  </si>
  <si>
    <t>White-sided_Flowerpiercer_4784.jpg</t>
  </si>
  <si>
    <t>White-tailed_Kite.jpg</t>
  </si>
  <si>
    <t>White-tailed_Kite_6790.jpg</t>
  </si>
  <si>
    <t>White-tailed_Kite_7513.jpg</t>
  </si>
  <si>
    <t>White-tailed_Nightjar_6015.jpg</t>
  </si>
  <si>
    <t>White-tailed_Nightjar_6594.jpg</t>
  </si>
  <si>
    <t>White-tailed_Nightjar_6600.jpg</t>
  </si>
  <si>
    <t>White-tailed_Nightjar_6620.jpg</t>
  </si>
  <si>
    <t>White-tailed_Sabrewing_6687.jpg</t>
  </si>
  <si>
    <t>White-tailed_Shrike.jpg</t>
  </si>
  <si>
    <t>White-tailed_Starfrontlet_23937.jpg</t>
  </si>
  <si>
    <t>White-tailed_Starfrontlet_23945.jpg</t>
  </si>
  <si>
    <t>White-tailed_Starfrontlet_23958.jpg</t>
  </si>
  <si>
    <t>White-tailed_Starfrontlet_3334MF.jpg</t>
  </si>
  <si>
    <t>White-tailed_Trogon_4637.jpg</t>
  </si>
  <si>
    <t>White-tailed_Tropicbird_0555.jpg</t>
  </si>
  <si>
    <t>White-tailed_Tropicbird_0564.jpg</t>
  </si>
  <si>
    <t>White-throated_Crake_6871.jpg</t>
  </si>
  <si>
    <t>White-throated_Magpie-Jay_2724MF.jpg</t>
  </si>
  <si>
    <t>White-throated_Magpie-Jay_8795.jpg</t>
  </si>
  <si>
    <t>White-throated_Magpie-Jay_8843.jpg</t>
  </si>
  <si>
    <t>White-throated_Mountain-gem.jpg</t>
  </si>
  <si>
    <t>White-throated_Mountain-gem_1527MF.jpg</t>
  </si>
  <si>
    <t>White-throated_Mountain-gem_2461.jpg</t>
  </si>
  <si>
    <t>White-throated_Mountain-gem_5896.jpg</t>
  </si>
  <si>
    <t>White-throated_Quail-Dove_3908.jpg</t>
  </si>
  <si>
    <t>White-throated_Rail_-_Rale_de_Cuvier_9225.jpg</t>
  </si>
  <si>
    <t>White-throated_Rail_-_Rale_de_Cuvier_9442.jpg</t>
  </si>
  <si>
    <t>White-throated_Rail_-_Rale_de_Cuvier_9474.jpg</t>
  </si>
  <si>
    <t>White-throated_Sparrow.jpg</t>
  </si>
  <si>
    <t>White-throated_Sparrow_1892.jpg</t>
  </si>
  <si>
    <t>White-throated_Sparrow_1988MF.jpg</t>
  </si>
  <si>
    <t>White-throated_Sparrow_5906MF.jpg</t>
  </si>
  <si>
    <t>White-throated_Sparrow_6658MF.jpg</t>
  </si>
  <si>
    <t>White-throated_Sparrow_7433.jpg</t>
  </si>
  <si>
    <t>White-throated_Sparrow_8797MF.jpg</t>
  </si>
  <si>
    <t>White-throated_Sparrow_9268.jpg</t>
  </si>
  <si>
    <t>White-throated_Thrush_7737.jpg</t>
  </si>
  <si>
    <t>White-throated_Tyrannulet.jpg</t>
  </si>
  <si>
    <t>White-throated_Tyrannulet_23878.jpg</t>
  </si>
  <si>
    <t>White-tipped_Dove_0954.jpg</t>
  </si>
  <si>
    <t>White-vented_Plumeleteer_3970.jpg</t>
  </si>
  <si>
    <t>White-vented_Plumeleteer_6339.jpg</t>
  </si>
  <si>
    <t>White-whiskered_Hermit_5198.jpg</t>
  </si>
  <si>
    <t>White-whiskered_Puffbird_0040.jpg</t>
  </si>
  <si>
    <t>White-whiskered_Puffbird_572.jpg</t>
  </si>
  <si>
    <t>White-whiskered_Puffbird_572_2.jpg</t>
  </si>
  <si>
    <t>White-whiskered_Puffbird_8701.jpg</t>
  </si>
  <si>
    <t>White-whiskered_Puffbird_9604.jpg</t>
  </si>
  <si>
    <t>White-whiskered_Puffbird_MF6072.jpg</t>
  </si>
  <si>
    <t>White-whiskered_Spinetail_4719MF.jpg</t>
  </si>
  <si>
    <t>White-winged_Brushfinch_3447.jpg</t>
  </si>
  <si>
    <t>White-winged_Dove_1823.jpg</t>
  </si>
  <si>
    <t>White-winged_Dove_208.jpg</t>
  </si>
  <si>
    <t>White-winged_Dove_6270.jpg</t>
  </si>
  <si>
    <t>White-winged_Dove_8448.jpg</t>
  </si>
  <si>
    <t>White-winged_Dove_MF5929.jpg</t>
  </si>
  <si>
    <t>White-winged_Scoter_1927MF.jpg</t>
  </si>
  <si>
    <t>White-winged_Scoter_3058.jpg</t>
  </si>
  <si>
    <t>White-winged_Scoter_4046.jpg</t>
  </si>
  <si>
    <t>White-winged_Swallow_4919.jpg</t>
  </si>
  <si>
    <t>White-winged_Swallow_5940.jpg</t>
  </si>
  <si>
    <t>White_Hawk_393.jpg</t>
  </si>
  <si>
    <t>White_Hawk_6126.jpg</t>
  </si>
  <si>
    <t>White_Ibis_0505.jpg</t>
  </si>
  <si>
    <t>White_Ibis_1001.jpg</t>
  </si>
  <si>
    <t>White_Ibis_1471MF.jpg</t>
  </si>
  <si>
    <t>White_Ibis_20520.jpg</t>
  </si>
  <si>
    <t>White_Ibis_2622.jpg</t>
  </si>
  <si>
    <t>White_Ibis_2719.jpg</t>
  </si>
  <si>
    <t>White_Ibis_5101MF.jpg</t>
  </si>
  <si>
    <t>White_Ibis_5803.jpg</t>
  </si>
  <si>
    <t>White_Ibis_6598.jpg</t>
  </si>
  <si>
    <t>White_Ibis_8648.jpg</t>
  </si>
  <si>
    <t>White_Ibis_9694.jpg</t>
  </si>
  <si>
    <t>Whooping_Motmot_21695.jpg</t>
  </si>
  <si>
    <t>Wild_Turkey_1789.jpg</t>
  </si>
  <si>
    <t>Wild_Turkey_2488.jpg</t>
  </si>
  <si>
    <t>Wild_Turkey_7693MF.jpg</t>
  </si>
  <si>
    <t>Willet_2255MF.jpg</t>
  </si>
  <si>
    <t>Willet_3622.jpg</t>
  </si>
  <si>
    <t>Willet_6224.jpg</t>
  </si>
  <si>
    <t>Willet_6435.jpg</t>
  </si>
  <si>
    <t>Willet_6887.jpg</t>
  </si>
  <si>
    <t>Willet_9554.jpg</t>
  </si>
  <si>
    <t>Willie-Wagtail.jpg</t>
  </si>
  <si>
    <t>Willie-Wagtail_0105.jpg</t>
  </si>
  <si>
    <t>Willie-Wagtail_8142.jpg</t>
  </si>
  <si>
    <t>Willow_Flycatcher_7461.jpg</t>
  </si>
  <si>
    <t>Willow_Flycatcher_7525.jpg</t>
  </si>
  <si>
    <t>Willow_Flycatcher_7529.jpg</t>
  </si>
  <si>
    <t>Willow_Flycatcher_9158.jpg</t>
  </si>
  <si>
    <t>Willow_Ptarmigan_2507.jpg</t>
  </si>
  <si>
    <t>Willow_Ptarmigan_3121.jpg</t>
  </si>
  <si>
    <t>Wood_Duck_1377.jpg</t>
  </si>
  <si>
    <t>Wood_Duck_1684.jpg</t>
  </si>
  <si>
    <t>Wood_Duck_1938.jpg</t>
  </si>
  <si>
    <t>Wood_Duck_2346.jpg</t>
  </si>
  <si>
    <t>Wood_Duck_4546.jpg</t>
  </si>
  <si>
    <t>Wood_Duck_5558MF.jpg</t>
  </si>
  <si>
    <t>Wood_Duck_7630.jpg</t>
  </si>
  <si>
    <t>Wood_Stork_1019.jpg</t>
  </si>
  <si>
    <t>Wood_Stork_1045.jpg</t>
  </si>
  <si>
    <t>Wood_Stork_1962.jpg</t>
  </si>
  <si>
    <t>Wood_Stork_20661.jpg</t>
  </si>
  <si>
    <t>Wood_Stork_2817MF.jpg</t>
  </si>
  <si>
    <t>Wood_Stork_4310.jpg</t>
  </si>
  <si>
    <t>Wood_Stork_4325.jpg</t>
  </si>
  <si>
    <t>Wood_Stork_6503.jpg</t>
  </si>
  <si>
    <t>Wood_Stork_7473MF.jpg</t>
  </si>
  <si>
    <t>Wood_Stork_8582MF.jpg</t>
  </si>
  <si>
    <t>Wood_Stork_9742.jpg</t>
  </si>
  <si>
    <t>Wood_Thrush_0301.jpg</t>
  </si>
  <si>
    <t>Wood_Thrush_0804.jpg</t>
  </si>
  <si>
    <t>Wood_Thrush_0978.jpg</t>
  </si>
  <si>
    <t>Wood_Thrush_2043.jpg</t>
  </si>
  <si>
    <t>Wood_Thrush_7672.jpg</t>
  </si>
  <si>
    <t>Wood_Thrush_8527.jpg</t>
  </si>
  <si>
    <t>Yellow-backed_Oriole_6224.jpg</t>
  </si>
  <si>
    <t>Yellow-backed_Oriole_8816.jpg</t>
  </si>
  <si>
    <t>Yellow-backed_Oriole_9789.jpg</t>
  </si>
  <si>
    <t>Yellow-bellied_Chat-Tyrant_23706.jpg</t>
  </si>
  <si>
    <t>Yellow-bellied_Elaenia_0460.jpg</t>
  </si>
  <si>
    <t>Yellow-bellied_Elaenia_4375.jpg</t>
  </si>
  <si>
    <t>Yellow-bellied_Elaenia_4417.jpg</t>
  </si>
  <si>
    <t>Yellow-bellied_Elaenia_5295.jpg</t>
  </si>
  <si>
    <t>Yellow-bellied_Elaenia_6338.jpg</t>
  </si>
  <si>
    <t>Yellow-bellied_Elaenia_6598.jpg</t>
  </si>
  <si>
    <t>Yellow-bellied_Elaenia_MF2699.jpg</t>
  </si>
  <si>
    <t>Yellow-bellied_Flycatcher_6277.jpg</t>
  </si>
  <si>
    <t>Yellow-bellied_Flycatcher_6282.jpg</t>
  </si>
  <si>
    <t>Yellow-bellied_Sapsucker_-_Timmins.jpg</t>
  </si>
  <si>
    <t>Yellow-bellied_Sapsucker_0432.jpg</t>
  </si>
  <si>
    <t>Yellow-bellied_Sapsucker_0483.jpg</t>
  </si>
  <si>
    <t>Yellow-bellied_Sapsucker_0534.jpg</t>
  </si>
  <si>
    <t>Yellow-bellied_Sapsucker_1694.jpg</t>
  </si>
  <si>
    <t>Yellow-bellied_Sapsucker_1699.jpg</t>
  </si>
  <si>
    <t>Yellow-bellied_Sapsucker_1768.jpg</t>
  </si>
  <si>
    <t>Yellow-bellied_Sapsucker_9199.jpg</t>
  </si>
  <si>
    <t>Yellow-bellied_Sapsucker_9201.jpg</t>
  </si>
  <si>
    <t>Yellow-bellied_Seedeater_1850.jpg</t>
  </si>
  <si>
    <t>Yellow-bellied_Siskin_2805.jpg</t>
  </si>
  <si>
    <t>Yellow-billed_Cacique_4674.jpg</t>
  </si>
  <si>
    <t>Yellow-billed_Cacique_MF4540.jpg</t>
  </si>
  <si>
    <t>Yellow-billed_Cardinal_0110.jpg</t>
  </si>
  <si>
    <t>Yellow-billed_Cuckoo_6362.jpg</t>
  </si>
  <si>
    <t>Yellow-billed_Cuckoo_7027.jpg</t>
  </si>
  <si>
    <t>Yellow-billed_Spoonbill_1583.jpg</t>
  </si>
  <si>
    <t>Yellow-billed_Spoonbill_3635MF.jpg</t>
  </si>
  <si>
    <t>Yellow-billed_Stork_1767.jpg</t>
  </si>
  <si>
    <t>Yellow-billed_Stork_6604.jpg</t>
  </si>
  <si>
    <t>Yellow-breasted_Chat_7589.jpg</t>
  </si>
  <si>
    <t>Yellow-breasted_Crake_22390.jpg</t>
  </si>
  <si>
    <t>Yellow-breasted_Crake_22390DR.jpg</t>
  </si>
  <si>
    <t>Yellow-breasted_Crake_22420.jpg</t>
  </si>
  <si>
    <t>Yellow-breasted_Crake_2410MF.jpg</t>
  </si>
  <si>
    <t>Yellow-chinned_Spinetail_23030.jpg</t>
  </si>
  <si>
    <t>Yellow-chinned_Spinetail_4905.jpg</t>
  </si>
  <si>
    <t>Yellow-collared_Lovebird_169.jpg</t>
  </si>
  <si>
    <t>Yellow-crowned_Amazon_22837.jpg</t>
  </si>
  <si>
    <t>Yellow-crowned_Amazon_2560MF.jpg</t>
  </si>
  <si>
    <t>Yellow-crowned_Amazon_4866.jpg</t>
  </si>
  <si>
    <t>Yellow-crowned_Euphonia_2528.jpg</t>
  </si>
  <si>
    <t>Yellow-crowned_Euphonia_5259.jpg</t>
  </si>
  <si>
    <t>Yellow-crowned_Night_Heron_1777.jpg</t>
  </si>
  <si>
    <t>Yellow-crowned_Night_Heron_6463.jpg</t>
  </si>
  <si>
    <t>Yellow-crowned_Night_Heron_7082.jpg</t>
  </si>
  <si>
    <t>Yellow-crowned_Redstart_23874.jpg</t>
  </si>
  <si>
    <t>Yellow-crowned_Redstart_3251MF.jpg</t>
  </si>
  <si>
    <t>Yellow-crowned_Tyrannulet_21507.jpg</t>
  </si>
  <si>
    <t>Yellow-faced_Grassquit.jpg</t>
  </si>
  <si>
    <t>Yellow-faced_Grassquit_2411.jpg</t>
  </si>
  <si>
    <t>Yellow-faced_Grassquit_3908.jpg</t>
  </si>
  <si>
    <t>Yellow-faced_Grassquit_4409.jpg</t>
  </si>
  <si>
    <t>Yellow-faced_Grassquit_448.jpg</t>
  </si>
  <si>
    <t>Yellow-faced_Grassquit_7876.jpg</t>
  </si>
  <si>
    <t>Yellow-faced_Honeyeater.jpg</t>
  </si>
  <si>
    <t>Yellow-faced_Honeyeater_2545MF.jpg</t>
  </si>
  <si>
    <t>Yellow-fronted_Canary_0733.jpg</t>
  </si>
  <si>
    <t>Yellow-fronted_Canary_2687.jpg</t>
  </si>
  <si>
    <t>Yellow-fronted_Canary_3007.jpg</t>
  </si>
  <si>
    <t>Yellow-green_Vireo_8959.jpg</t>
  </si>
  <si>
    <t>Yellow-green_Vireo_8963.jpg</t>
  </si>
  <si>
    <t>Yellow-headed_Blackbird.jpg</t>
  </si>
  <si>
    <t>Yellow-headed_Blackbird_1282.jpg</t>
  </si>
  <si>
    <t>Yellow-headed_Caracara_1443MF.jpg</t>
  </si>
  <si>
    <t>Yellow-headed_Caracara_2904.jpg</t>
  </si>
  <si>
    <t>Yellow-headed_Caracara_MF5760.jpg</t>
  </si>
  <si>
    <t>Yellow-hooded_Blackbird_22066.jpg</t>
  </si>
  <si>
    <t>Yellow-hooded_Blackbird_22354.jpg</t>
  </si>
  <si>
    <t>Yellow-hooded_Blackbird_5592.jpg</t>
  </si>
  <si>
    <t>Yellow-hooded_blackbird_TT.jpg</t>
  </si>
  <si>
    <t>Yellow-legged_Thrush_4358.jpg</t>
  </si>
  <si>
    <t>Yellow-naped_Amazon_MF6166.jpg</t>
  </si>
  <si>
    <t>Yellow-necked_Spurfowl_325.jpg</t>
  </si>
  <si>
    <t>Yellow-rumped_Cacique_4977.jpg</t>
  </si>
  <si>
    <t>Yellow-rumped_Cacique_8848.jpg</t>
  </si>
  <si>
    <t>Yellow-rumped_Thornbill_4156MF.jpg</t>
  </si>
  <si>
    <t>Yellow-rumped_Warbler-2.jpg</t>
  </si>
  <si>
    <t>Yellow-rumped_Warbler.jpg</t>
  </si>
  <si>
    <t>Yellow-rumped_Warbler_1710.jpg</t>
  </si>
  <si>
    <t>Yellow-rumped_Warbler_2309MF.jpg</t>
  </si>
  <si>
    <t>Yellow-rumped_Warbler_2460.jpg</t>
  </si>
  <si>
    <t>Yellow-rumped_Warbler_5290.jpg</t>
  </si>
  <si>
    <t>Yellow-rumped_Warbler_5486MF.jpg</t>
  </si>
  <si>
    <t>Yellow-rumped_Warbler_6797.jpg</t>
  </si>
  <si>
    <t>Yellow-rumped_Warbler_7048.jpg</t>
  </si>
  <si>
    <t>Yellow-rumped_Warbler_8078.jpg</t>
  </si>
  <si>
    <t>Yellow-rumped_Warbler_8848.jpg</t>
  </si>
  <si>
    <t>Yellow-rumped_Warbler_8897.jpg</t>
  </si>
  <si>
    <t>Yellow-rumped_Warbler_CT_2014-004.jpg</t>
  </si>
  <si>
    <t>Yellow-rumped_warbler_SJDLR_2014-001.jpg</t>
  </si>
  <si>
    <t>Yellow-tailed_Black-Cockatoo_1885.jpg</t>
  </si>
  <si>
    <t>Yellow-tailed_Black-Cockatoo_2758MF.jpg</t>
  </si>
  <si>
    <t>Yellow-tailed_Black-cockatoo-2.jpg</t>
  </si>
  <si>
    <t>Yellow-tailed_Black-cockatoo.jpg</t>
  </si>
  <si>
    <t>Yellow-tailed_Black-cockatoo_8768.jpg</t>
  </si>
  <si>
    <t>Yellow-tailed_Oriole_383.jpg</t>
  </si>
  <si>
    <t>Yellow-thighed_Brushfinch_2730.jpg</t>
  </si>
  <si>
    <t>Yellow-thighed_Brushfinch_3383.jpg</t>
  </si>
  <si>
    <t>Yellow-throated_Chlorospingus_6088.jpg</t>
  </si>
  <si>
    <t>Yellow-throated_Euphonia_3131MF.jpg</t>
  </si>
  <si>
    <t>Yellow-throated_Euphonia_3151MF.jpg</t>
  </si>
  <si>
    <t>Yellow-throated_Euphonia_MF4605.jpg</t>
  </si>
  <si>
    <t>Yellow-throated_Longclaw_187.jpg</t>
  </si>
  <si>
    <t>Yellow-throated_Toucan_5488.jpg</t>
  </si>
  <si>
    <t>Yellow-throated_Toucan_5493.jpg</t>
  </si>
  <si>
    <t>Yellow-throated_Toucan_MF3824.jpg</t>
  </si>
  <si>
    <t>Yellow-throated_Vireo_0061.jpg</t>
  </si>
  <si>
    <t>Yellow-throated_Vireo_2155.jpg</t>
  </si>
  <si>
    <t>Yellow-throated_Vireo_4336.jpg</t>
  </si>
  <si>
    <t>Yellow-throated_Vireo_4395.jpg</t>
  </si>
  <si>
    <t>Yellow-throated_Vireo_8705.jpg</t>
  </si>
  <si>
    <t>Yellow-throated_Vireo_9719.jpg</t>
  </si>
  <si>
    <t>Yellow-throated_Warbler_2563.jpg</t>
  </si>
  <si>
    <t>Yellow-throated_Warbler_5381.jpg</t>
  </si>
  <si>
    <t>Yellow-throated_Warbler_8354MF.jpg</t>
  </si>
  <si>
    <t>Yellow-throated_Warbler_8414MF.jpg</t>
  </si>
  <si>
    <t>Yellow_Oriole_22852.jpg</t>
  </si>
  <si>
    <t>Yellow_Oriole_23124.jpg</t>
  </si>
  <si>
    <t>Yellow_Oriole_4924.jpg</t>
  </si>
  <si>
    <t>Yellow_Oriole_5044.jpg</t>
  </si>
  <si>
    <t>Yellow_Oriole_5658.jpg</t>
  </si>
  <si>
    <t>Yellow_Wattlebird_3999MF.jpg</t>
  </si>
  <si>
    <t>Yellow_Wattlebird_5123MF.jpg</t>
  </si>
  <si>
    <t>Yellowish_Flycatcher_1555MF.jpg</t>
  </si>
  <si>
    <t>Yellowish_Flycatcher_5880.jpg</t>
  </si>
  <si>
    <t>Yellowish_Flycatcher_7195.jpg</t>
  </si>
  <si>
    <t>Zebra_Dove_0023.jpg</t>
  </si>
  <si>
    <t>African Black-headed Oriole</t>
  </si>
  <si>
    <t>African Pied Wagtail</t>
  </si>
  <si>
    <t>American Barn Owl</t>
  </si>
  <si>
    <t>American Black Duck</t>
  </si>
  <si>
    <t>American Herring Gull</t>
  </si>
  <si>
    <t>American Pygmy Kingfisher</t>
  </si>
  <si>
    <t>American Three-toed Woodpecker</t>
  </si>
  <si>
    <t>American Tree Sparrow</t>
  </si>
  <si>
    <t>American White Pelican</t>
  </si>
  <si>
    <t>Australian Reed Warbler</t>
  </si>
  <si>
    <t>Australian Rufous Fantail</t>
  </si>
  <si>
    <t>Black-cheeked Mountain Tanager</t>
  </si>
  <si>
    <t>Black-crowned Night Heron</t>
  </si>
  <si>
    <t>Black-throated Blue Warbler</t>
  </si>
  <si>
    <t>Black-throated Gray Warbler</t>
  </si>
  <si>
    <t>Black-throated Green Warbler</t>
  </si>
  <si>
    <t>Blue-winged Mountain Tanager</t>
  </si>
  <si>
    <t>Cape May Warbler</t>
  </si>
  <si>
    <t>Common Black Hawk</t>
  </si>
  <si>
    <t>Common Ground Dove</t>
  </si>
  <si>
    <t>Costa Rican Warbler</t>
  </si>
  <si>
    <t>Eastern Warbling Vireo</t>
  </si>
  <si>
    <t>Eastern Yellow Robin</t>
  </si>
  <si>
    <t>Gartered Violaceous Trogon</t>
  </si>
  <si>
    <t>Graceful Black-throated Trogon</t>
  </si>
  <si>
    <t>Great Black-backed Gull</t>
  </si>
  <si>
    <t>Great Black Hawk</t>
  </si>
  <si>
    <t>Great Blue Heron</t>
  </si>
  <si>
    <t>Great Crested Flycatcher</t>
  </si>
  <si>
    <t>Great Crested Grebe</t>
  </si>
  <si>
    <t>Great Crested Tern</t>
  </si>
  <si>
    <t>Great Gray Owl</t>
  </si>
  <si>
    <t>Great Green Macaw</t>
  </si>
  <si>
    <t>Great Horned Owl</t>
  </si>
  <si>
    <t>Great Rufous Sparrow</t>
  </si>
  <si>
    <t>Great White Pelican</t>
  </si>
  <si>
    <t>Greater Double-collared Sunbird</t>
  </si>
  <si>
    <t>Greater White-fronted Goose</t>
  </si>
  <si>
    <t>Hooded Mountain Tanager</t>
  </si>
  <si>
    <t>Lesser Black-backed Gull</t>
  </si>
  <si>
    <t>Lesser Yellow-headed Vulture</t>
  </si>
  <si>
    <t>Little Black Cormorant</t>
  </si>
  <si>
    <t>Little Blue Heron</t>
  </si>
  <si>
    <t>Little Pied Cormorant</t>
  </si>
  <si>
    <t>Madagascar Pygmy Kingfisher</t>
  </si>
  <si>
    <t>New Holland Honeyeater</t>
  </si>
  <si>
    <t>Northern Hawk Owl</t>
  </si>
  <si>
    <t>Northern House Wren</t>
  </si>
  <si>
    <t>Northern Rough-winged Swallow</t>
  </si>
  <si>
    <t>Northern Tropical Pewee</t>
  </si>
  <si>
    <t>Northern Yellow Warbler</t>
  </si>
  <si>
    <t>Pacific Black Duck</t>
  </si>
  <si>
    <t>Plumbeous Sierra Finch</t>
  </si>
  <si>
    <t>Ruddy Ground Dove</t>
  </si>
  <si>
    <t>Santa Marta Antpitta</t>
  </si>
  <si>
    <t>Santa Marta Brushfinch</t>
  </si>
  <si>
    <t>Santa Marta Bush-Tyrant</t>
  </si>
  <si>
    <t>Santa Marta Parakeet</t>
  </si>
  <si>
    <t>Sierra Nevada Brushfinch</t>
  </si>
  <si>
    <t>South African Shelduck</t>
  </si>
  <si>
    <t>Southern Bald Ibis</t>
  </si>
  <si>
    <t>Southern Carmine Bee-eater</t>
  </si>
  <si>
    <t>Southern House Wren</t>
  </si>
  <si>
    <t>Southern Red-billed Hornbill</t>
  </si>
  <si>
    <t>Tropical Royal Flycatcher</t>
  </si>
  <si>
    <t>Western Olivaceous Flatbill</t>
  </si>
  <si>
    <t>White-headed Marsh Tyrant</t>
  </si>
  <si>
    <t>Yellow-crowned Night Heron</t>
  </si>
  <si>
    <t>Family</t>
  </si>
  <si>
    <t>Order</t>
  </si>
  <si>
    <t>AuditedName</t>
  </si>
  <si>
    <t>African_Darter_6406.jpg</t>
  </si>
  <si>
    <t>African_Fish-Eagle_6468.jpg</t>
  </si>
  <si>
    <t>African_Gray_Flycatcher_260.jpg</t>
  </si>
  <si>
    <t>African_Gray_Hornbill.jpg</t>
  </si>
  <si>
    <t>African_Marsh_Harrier_7438.jpg</t>
  </si>
  <si>
    <t>American_Barn_Owl_punctatissima.jpg</t>
  </si>
  <si>
    <t>Anhinga_juveniles_4963.jpg</t>
  </si>
  <si>
    <t>Annas_Hummingbird_2428.jpg</t>
  </si>
  <si>
    <t>Annas_Hummingbird_3628.jpg</t>
  </si>
  <si>
    <t>Apperts_Tetraka_-_Farifrota_dAppert_6322.jpg</t>
  </si>
  <si>
    <t>Archbolds_Newtonia_6765.jpg</t>
  </si>
  <si>
    <t>Archbolds_Newtonia_6798.jpg</t>
  </si>
  <si>
    <t>Archbolds_Newtonia_9509MF.jpg</t>
  </si>
  <si>
    <t>Black_Crake_immature_2099.jpg</t>
  </si>
  <si>
    <t>Black-backed_Puffback_female_2342.jpg</t>
  </si>
  <si>
    <t>Black-crested_Coquette_female_6686.jpg</t>
  </si>
  <si>
    <t>Black-crowned_Tityra_female_4665.jpg</t>
  </si>
  <si>
    <t>Black-throated_Green_Warbler_7520.jpg</t>
  </si>
  <si>
    <t>Blue_Dacnis_female_8836.jpg</t>
  </si>
  <si>
    <t>Bonapartes_Gull_6967MF.jpg</t>
  </si>
  <si>
    <t>Bonapartes_Gull_6968MF.jpg</t>
  </si>
  <si>
    <t>Bonapartes_Gull_6984MF.jpg</t>
  </si>
  <si>
    <t>Bonapartes_Gull_7425.jpg</t>
  </si>
  <si>
    <t>Bonapartes_Gull_8960.jpg</t>
  </si>
  <si>
    <t>Bonapartes_Gull_9665.jpg</t>
  </si>
  <si>
    <t>Bradfields_Hornbill_9158.jpg</t>
  </si>
  <si>
    <t>Brown-throated_Parakeet_Lehmanni_1411MF.jpg</t>
  </si>
  <si>
    <t>Burchells_Sandgrouse_135.jpg</t>
  </si>
  <si>
    <t>Burchells_Starling_0411.jpg</t>
  </si>
  <si>
    <t>Canivets_Emerald_8734.jpg</t>
  </si>
  <si>
    <t>Carolina_Wren_Young_8378.jpg</t>
  </si>
  <si>
    <t>Chestnut-capped_Brushfinch_3471.jpg</t>
  </si>
  <si>
    <t>Choco_Brushfinch_Choco_3942.jpg</t>
  </si>
  <si>
    <t>Choco_Warbler_Choco.jpg</t>
  </si>
  <si>
    <t>Chuck-Wills-Widow_1707.jpg</t>
  </si>
  <si>
    <t>Chuck-Wills-Widow_1724.jpg</t>
  </si>
  <si>
    <t>Chuck-wills-widow_20686.jpg</t>
  </si>
  <si>
    <t>Collared_aracari_pale-mandibled_3869.jpg</t>
  </si>
  <si>
    <t>Common_Grackle_26640_leucistic.jpg</t>
  </si>
  <si>
    <t>Common_Yellowthroat_female_2257.jpg</t>
  </si>
  <si>
    <t>Coopers_Hawk_2472.jpg</t>
  </si>
  <si>
    <t>Coopers_Hawk_8902.jpg</t>
  </si>
  <si>
    <t>Coopers_Hawk.jpg</t>
  </si>
  <si>
    <t>Coquerels_Coua_-_Coua_de_Coquerel_6383.jpg</t>
  </si>
  <si>
    <t>Dusky-capped_Flycatcher.jpg</t>
  </si>
  <si>
    <t>Eastern_Warbling_Vireo_1876.jpg</t>
  </si>
  <si>
    <t>Erckels_Spurfowl_0702.jpg</t>
  </si>
  <si>
    <t>Forsters_Tern_20227.jpg</t>
  </si>
  <si>
    <t>Forsters_Tern_7000MF.jpg</t>
  </si>
  <si>
    <t>Francess_Sparrowhawk_-_Epervier_de_Frances_5117.jpg</t>
  </si>
  <si>
    <t>Golden-browed_Chlorophonia_2702.jpg</t>
  </si>
  <si>
    <t>Gray_Go-Away-Bird_Lourie_34.jpg</t>
  </si>
  <si>
    <t>Great_Blue_Heron_white_morph_4987.jpg</t>
  </si>
  <si>
    <t>Great_Egret_Australasian.jpg</t>
  </si>
  <si>
    <t>Green_Thorntail_female_7577.jpg</t>
  </si>
  <si>
    <t>Green-and-black_Fruiteater.jpg</t>
  </si>
  <si>
    <t>Green-winged_Teal_216_5.jpg</t>
  </si>
  <si>
    <t>Harriss_Hawk_6347.jpg</t>
  </si>
  <si>
    <t>Harriss_Sparrow_3369.jpg</t>
  </si>
  <si>
    <t>Hartlaubs_Babbler_0421.jpg</t>
  </si>
  <si>
    <t>Hawaiian_Goose_Nene_0587.jpg</t>
  </si>
  <si>
    <t>Hepatic_Tanager_female_6365.jpg</t>
  </si>
  <si>
    <t>Hildebrandts_Spurfowl_293.jpg</t>
  </si>
  <si>
    <t>Hildebrandts_Starling_354.jpg</t>
  </si>
  <si>
    <t>Hoffmanns_Woodpecker_2528MF.jpg</t>
  </si>
  <si>
    <t>Hoffmanns_Woodpecker_5591.jpg</t>
  </si>
  <si>
    <t>Hoffmanns_Woodpecker_8935.jpg</t>
  </si>
  <si>
    <t>Hoffmanns_Woodpecker_MF3527.jpg</t>
  </si>
  <si>
    <t>Hoffmanns_Woodpecker_MF6267.jpg</t>
  </si>
  <si>
    <t>Hoffmanns_Woodpecker_MF6279.jpg</t>
  </si>
  <si>
    <t>Holubs_Golden-Weaver_0554.jpg</t>
  </si>
  <si>
    <t>Humblots_Heron_-_Heron_de_Humblot_7118.jpg</t>
  </si>
  <si>
    <t>Kirtlands_Warbler_3883.jpg</t>
  </si>
  <si>
    <t>Kittlitzs_Plover_-_Pluvier_patre_7195.jpg</t>
  </si>
  <si>
    <t>Kittlitzs_Plover_-_Pluvier_patre_7454.jpg</t>
  </si>
  <si>
    <t>Kittlitzs_Plover_-_Pluvier_patre_8506.jpg</t>
  </si>
  <si>
    <t>Kittlitzs_Plover_-_Pluvier_patre_8630.jpg</t>
  </si>
  <si>
    <t>Kittlitzs_Plover_260.jpg</t>
  </si>
  <si>
    <t>Lafresnayes_Vanga_8975.jpg</t>
  </si>
  <si>
    <t>Lafresnayes_Vanga_8980.jpg</t>
  </si>
  <si>
    <t>Lafresnayes_Vanga_9019.jpg</t>
  </si>
  <si>
    <t>Lessons_Motmot_1644.jpg</t>
  </si>
  <si>
    <t>Lessons_Motmot_1689.jpg</t>
  </si>
  <si>
    <t>Lessons_Motmot_3385MF.jpg</t>
  </si>
  <si>
    <t>Lincolns_Sparrow_0954.jpg</t>
  </si>
  <si>
    <t>Lincolns_Sparrow_5849MF.jpg</t>
  </si>
  <si>
    <t>Lincolns_Sparrow_7164.jpg</t>
  </si>
  <si>
    <t>Lincolns_Sparrow_9578.jpg</t>
  </si>
  <si>
    <t>Lincolns_Sparrow_9632.jpg</t>
  </si>
  <si>
    <t>Long-tailed_Sylph_31_65.jpg</t>
  </si>
  <si>
    <t>Mellers_Duck_9792.jpg</t>
  </si>
  <si>
    <t>Merlin_Faucon_emerillon_3456.jpg</t>
  </si>
  <si>
    <t>Merlin_Faucon_emerillon.jpg</t>
  </si>
  <si>
    <t>Morelets_Seedeater_590.jpg</t>
  </si>
  <si>
    <t>Niceforos_Wren_6391.jpg</t>
  </si>
  <si>
    <t>Northern_Emerald-Toucanet_2471.jpg</t>
  </si>
  <si>
    <t>Northern_Flicker_red_shafted_7691.jpg</t>
  </si>
  <si>
    <t>Northern_Shrike_immature_8611.jpg</t>
  </si>
  <si>
    <t>Northern_Yellow_Warbler_Mangrove_Warbler_8361.jpg</t>
  </si>
  <si>
    <t>Nuttalls_Woodpecker.jpg</t>
  </si>
  <si>
    <t>Painted_Bunting_female_8442MF.jpg</t>
  </si>
  <si>
    <t>Painted_Bunting_male_8423MF.jpg</t>
  </si>
  <si>
    <t>Pileated_Finch_5729.jpg</t>
  </si>
  <si>
    <t>Red-capped_Manakin_female_MF3971.jpg</t>
  </si>
  <si>
    <t>Red-headed_Barbet_female_MF4435.jpg</t>
  </si>
  <si>
    <t>Red-shouldered_Hawk_young_on_nest_8544MF.jpg</t>
  </si>
  <si>
    <t>Red-winged_blackbird_female_004.jpg</t>
  </si>
  <si>
    <t>Satin_Bowerbird_Female.jpg</t>
  </si>
  <si>
    <t>Scarlet_Tanager_female_4583MF.jpg</t>
  </si>
  <si>
    <t>Shikra_Little_Banded_Goshawk_197.jpg</t>
  </si>
  <si>
    <t>Snowcap_female_3915.jpg</t>
  </si>
  <si>
    <t>Snowcap_male_3979.jpg</t>
  </si>
  <si>
    <t>Snowcap_male_3994.jpg</t>
  </si>
  <si>
    <t>Snowcap_male_4610.jpg</t>
  </si>
  <si>
    <t>Southern_Fiscal_female_2837.jpg</t>
  </si>
  <si>
    <t>Spectacled_Redstart_Whitestart.jpg</t>
  </si>
  <si>
    <t>Stellers_Jay_2409.jpg</t>
  </si>
  <si>
    <t>Swainsons_Spurfowl_9345.jpg</t>
  </si>
  <si>
    <t>Swainsons_Thrush_0136.jpg</t>
  </si>
  <si>
    <t>Swainsons_Thrush_0888.jpg</t>
  </si>
  <si>
    <t>Swainsons_Thrush_0918.jpg</t>
  </si>
  <si>
    <t>Swainsons_Thrush_6292.jpg</t>
  </si>
  <si>
    <t>Swainsons_Thrush_7057MF.jpg</t>
  </si>
  <si>
    <t>Swainsons_Thrush_8113.jpg</t>
  </si>
  <si>
    <t>Swainsons_Thrush_8395.jpg</t>
  </si>
  <si>
    <t>Talamanca_Hummingbird_female_3368.jpg</t>
  </si>
  <si>
    <t>Verreauxs_Coua_7791.jpg</t>
  </si>
  <si>
    <t>Verreauxs_Coua.jpg</t>
  </si>
  <si>
    <t>Verreauxs_Eagle-Owl.jpg</t>
  </si>
  <si>
    <t>Volcano_Hummingbird_female_1925.jpg</t>
  </si>
  <si>
    <t>Von_der_Deckens_Hornbill_185.jpg</t>
  </si>
  <si>
    <t>Wahlbergs_Eagle_1870.jpg</t>
  </si>
  <si>
    <t>Wattled_Jacana_juvenile_5964.jpg</t>
  </si>
  <si>
    <t>White-faced_Heron_immature.jpg</t>
  </si>
  <si>
    <t>White-shouldered_Tanager_female_5208.jpg</t>
  </si>
  <si>
    <t>Willet_breeding_7107MF.jpg</t>
  </si>
  <si>
    <t>Wilsons_Phalarope_3382.jpg</t>
  </si>
  <si>
    <t>Wilsons_Phalarope_9500.jpg</t>
  </si>
  <si>
    <t>Wilsons_Plover_22625.jpg</t>
  </si>
  <si>
    <t>Wilsons_Snipe_1470.jpg</t>
  </si>
  <si>
    <t>Wilsons_Snipe_20720.jpg</t>
  </si>
  <si>
    <t>Wilsons_Snipe_21280.jpg</t>
  </si>
  <si>
    <t>Wilsons_Snipe_9632.jpg</t>
  </si>
  <si>
    <t>Wilsons_Warbler_0779.jpg</t>
  </si>
  <si>
    <t>Wilsons_Warbler_0876.jpg</t>
  </si>
  <si>
    <t>Wilsons_Warbler_2014-002.jpg</t>
  </si>
  <si>
    <t>Wilsons_Warbler_3085MF.jpg</t>
  </si>
  <si>
    <t>Wilsons_Warbler_4859.jpg</t>
  </si>
  <si>
    <t>Wilsons_Warbler_8731.jpg</t>
  </si>
  <si>
    <t>Wilsons_Warbler_9178.jpg</t>
  </si>
  <si>
    <t>Yellow-bellied_Sapsucker_juv_4619.jpg</t>
  </si>
  <si>
    <t>Zeledons_Antbird_5912.jpg</t>
  </si>
  <si>
    <t xml:space="preserve">Acorn Woodpecker </t>
  </si>
  <si>
    <t xml:space="preserve">African Darter </t>
  </si>
  <si>
    <t xml:space="preserve">African Fish-Eagle </t>
  </si>
  <si>
    <t>African Gray Flycatcher</t>
  </si>
  <si>
    <t>African Gray Hornbill</t>
  </si>
  <si>
    <t>African Marsh Harrier</t>
  </si>
  <si>
    <t xml:space="preserve">African Openbill </t>
  </si>
  <si>
    <t xml:space="preserve">African Paradise-Flycatcher </t>
  </si>
  <si>
    <t xml:space="preserve">African Pipit </t>
  </si>
  <si>
    <t xml:space="preserve">African Silverbill </t>
  </si>
  <si>
    <t xml:space="preserve">African Skimmer </t>
  </si>
  <si>
    <t xml:space="preserve">African Spoonbill </t>
  </si>
  <si>
    <t xml:space="preserve">African Stonechat </t>
  </si>
  <si>
    <t xml:space="preserve">Agami Heron </t>
  </si>
  <si>
    <t xml:space="preserve">Akiapolaau  </t>
  </si>
  <si>
    <t xml:space="preserve">Alder Flycatcher </t>
  </si>
  <si>
    <t xml:space="preserve">Amazon Kingfisher </t>
  </si>
  <si>
    <t xml:space="preserve">American Avocet </t>
  </si>
  <si>
    <t xml:space="preserve">American Bittern </t>
  </si>
  <si>
    <t xml:space="preserve">American Coot </t>
  </si>
  <si>
    <t xml:space="preserve">American Crow </t>
  </si>
  <si>
    <t xml:space="preserve">American Dipper </t>
  </si>
  <si>
    <t xml:space="preserve">American Flamingo </t>
  </si>
  <si>
    <t xml:space="preserve">American Golden-Plover </t>
  </si>
  <si>
    <t xml:space="preserve">American Goldfinch </t>
  </si>
  <si>
    <t xml:space="preserve">American Kestrel </t>
  </si>
  <si>
    <t xml:space="preserve">American Oystercatcher </t>
  </si>
  <si>
    <t xml:space="preserve">American Pipit </t>
  </si>
  <si>
    <t xml:space="preserve">American Redstart </t>
  </si>
  <si>
    <t xml:space="preserve">American Robin </t>
  </si>
  <si>
    <t xml:space="preserve">American Wigeon </t>
  </si>
  <si>
    <t xml:space="preserve">Andean Cock-of-the-rock </t>
  </si>
  <si>
    <t xml:space="preserve">Andean Condor </t>
  </si>
  <si>
    <t xml:space="preserve">Andean Duck </t>
  </si>
  <si>
    <t xml:space="preserve">Andean Emerald </t>
  </si>
  <si>
    <t xml:space="preserve">Andean Gull </t>
  </si>
  <si>
    <t xml:space="preserve">Andean Ibis </t>
  </si>
  <si>
    <t xml:space="preserve">Andean Motmot </t>
  </si>
  <si>
    <t xml:space="preserve">Andean Pygmy-Owl </t>
  </si>
  <si>
    <t xml:space="preserve">Andean Tit-Spinetail </t>
  </si>
  <si>
    <t xml:space="preserve">Anhinga  </t>
  </si>
  <si>
    <t xml:space="preserve">Apapane  </t>
  </si>
  <si>
    <t xml:space="preserve">Apical Flycatcher </t>
  </si>
  <si>
    <t xml:space="preserve">Arctic Tern </t>
  </si>
  <si>
    <t xml:space="preserve">Arrow-marked Babbler </t>
  </si>
  <si>
    <t xml:space="preserve">Ashy Starling </t>
  </si>
  <si>
    <t xml:space="preserve">Atlantic Puffin </t>
  </si>
  <si>
    <t xml:space="preserve">Augur Buzzard </t>
  </si>
  <si>
    <t xml:space="preserve">Australasian Gannet </t>
  </si>
  <si>
    <t xml:space="preserve">Australasian Grebe </t>
  </si>
  <si>
    <t xml:space="preserve">Australasian Swamphen </t>
  </si>
  <si>
    <t xml:space="preserve">Australian Brushturkey </t>
  </si>
  <si>
    <t xml:space="preserve">Australian Crake </t>
  </si>
  <si>
    <t xml:space="preserve">Australian Ibis </t>
  </si>
  <si>
    <t xml:space="preserve">Australian King-Parrot </t>
  </si>
  <si>
    <t xml:space="preserve">Australian Magpie </t>
  </si>
  <si>
    <t xml:space="preserve">Australian Pelican </t>
  </si>
  <si>
    <t xml:space="preserve">Australian Pipit </t>
  </si>
  <si>
    <t xml:space="preserve">Australian Shelduck </t>
  </si>
  <si>
    <t xml:space="preserve">Bald Eagle </t>
  </si>
  <si>
    <t xml:space="preserve">Baltimore Oriole </t>
  </si>
  <si>
    <t xml:space="preserve">Bananaquit  </t>
  </si>
  <si>
    <t xml:space="preserve">Band-backed Wren </t>
  </si>
  <si>
    <t xml:space="preserve">Band-tailed Guan </t>
  </si>
  <si>
    <t xml:space="preserve">Band-tailed Pigeon </t>
  </si>
  <si>
    <t xml:space="preserve">Bar-tailed Godwit </t>
  </si>
  <si>
    <t xml:space="preserve">Bar-throated Apalis </t>
  </si>
  <si>
    <t xml:space="preserve">Bare-crowned Antbird </t>
  </si>
  <si>
    <t xml:space="preserve">Bare-eyed Pigeon </t>
  </si>
  <si>
    <t xml:space="preserve">Bare-faced Ibis </t>
  </si>
  <si>
    <t xml:space="preserve">Bare-throated Tiger-Heron </t>
  </si>
  <si>
    <t xml:space="preserve">Barn Swallow </t>
  </si>
  <si>
    <t xml:space="preserve">Barred Antshrike </t>
  </si>
  <si>
    <t xml:space="preserve">Barred Owl </t>
  </si>
  <si>
    <t xml:space="preserve">Barred Puffbird </t>
  </si>
  <si>
    <t xml:space="preserve">Bassian Thrush </t>
  </si>
  <si>
    <t xml:space="preserve">Bat Falcon </t>
  </si>
  <si>
    <t xml:space="preserve">Bateleur  </t>
  </si>
  <si>
    <t xml:space="preserve">Bay Wren </t>
  </si>
  <si>
    <t xml:space="preserve">Bay-breasted Warbler </t>
  </si>
  <si>
    <t xml:space="preserve">Bay-headed Tanager </t>
  </si>
  <si>
    <t xml:space="preserve">Bell Miner </t>
  </si>
  <si>
    <t xml:space="preserve">Belted Kingfisher </t>
  </si>
  <si>
    <t xml:space="preserve">Beryl-spangled Tanager </t>
  </si>
  <si>
    <t xml:space="preserve">Bicolored Antbird </t>
  </si>
  <si>
    <t xml:space="preserve">Bicolored Antpitta </t>
  </si>
  <si>
    <t xml:space="preserve">Bicolored Conebill </t>
  </si>
  <si>
    <t xml:space="preserve">Bicolored Wren </t>
  </si>
  <si>
    <t xml:space="preserve">Black Crake </t>
  </si>
  <si>
    <t xml:space="preserve">Black Francolin </t>
  </si>
  <si>
    <t xml:space="preserve">Black Guillemot </t>
  </si>
  <si>
    <t xml:space="preserve">Black Heron </t>
  </si>
  <si>
    <t xml:space="preserve">Black Kite </t>
  </si>
  <si>
    <t xml:space="preserve">Black Oropendola </t>
  </si>
  <si>
    <t xml:space="preserve">Black Scoter </t>
  </si>
  <si>
    <t xml:space="preserve">Black Skimmer </t>
  </si>
  <si>
    <t xml:space="preserve">Black Swan </t>
  </si>
  <si>
    <t xml:space="preserve">Black Tern </t>
  </si>
  <si>
    <t xml:space="preserve">Black Turnstone </t>
  </si>
  <si>
    <t xml:space="preserve">Black Vulture </t>
  </si>
  <si>
    <t xml:space="preserve">Black-and-white Owl </t>
  </si>
  <si>
    <t xml:space="preserve">Black-and-white Warbler </t>
  </si>
  <si>
    <t xml:space="preserve">Black-and-yellow Silky-flycatcher </t>
  </si>
  <si>
    <t xml:space="preserve">Black-backed Antshrike </t>
  </si>
  <si>
    <t xml:space="preserve">Black-backed Grosbeak </t>
  </si>
  <si>
    <t xml:space="preserve">Black-backed Puffback </t>
  </si>
  <si>
    <t xml:space="preserve">Black-backed Woodpecker </t>
  </si>
  <si>
    <t xml:space="preserve">Black-bellied Hummingbird </t>
  </si>
  <si>
    <t xml:space="preserve">Black-bellied Plover </t>
  </si>
  <si>
    <t xml:space="preserve">Black-bellied Whistling-Duck </t>
  </si>
  <si>
    <t xml:space="preserve">Black-billed Mountain-Toucan </t>
  </si>
  <si>
    <t xml:space="preserve">Black-billed Nightingale-Thrush </t>
  </si>
  <si>
    <t xml:space="preserve">Black-billed Shrike-Tyrant </t>
  </si>
  <si>
    <t xml:space="preserve">Black-billed Thrush </t>
  </si>
  <si>
    <t xml:space="preserve">Black-breasted Puffbird </t>
  </si>
  <si>
    <t xml:space="preserve">Black-capped Chickadee </t>
  </si>
  <si>
    <t xml:space="preserve">Black-capped Donacobius </t>
  </si>
  <si>
    <t xml:space="preserve">Black-capped Tanager </t>
  </si>
  <si>
    <t xml:space="preserve">Black-capped Tyrannulet </t>
  </si>
  <si>
    <t xml:space="preserve">Black-cheeked Warbler </t>
  </si>
  <si>
    <t xml:space="preserve">Black-cheeked Woodpecker </t>
  </si>
  <si>
    <t xml:space="preserve">Black-chested Buzzard-Eagle </t>
  </si>
  <si>
    <t xml:space="preserve">Black-chested Jay </t>
  </si>
  <si>
    <t xml:space="preserve">Black-collared Barbet </t>
  </si>
  <si>
    <t xml:space="preserve">Black-collared Hawk </t>
  </si>
  <si>
    <t xml:space="preserve">Black-cowled Oriole </t>
  </si>
  <si>
    <t xml:space="preserve">Black-crested Antshrike </t>
  </si>
  <si>
    <t xml:space="preserve">Black-crested Coquette </t>
  </si>
  <si>
    <t xml:space="preserve">Black-crested Warbler </t>
  </si>
  <si>
    <t xml:space="preserve">Black-crowned Antshrike </t>
  </si>
  <si>
    <t xml:space="preserve">Black-crowned Tityra </t>
  </si>
  <si>
    <t xml:space="preserve">Black-faced Cuckooshrike </t>
  </si>
  <si>
    <t xml:space="preserve">Black-faced Grassquit </t>
  </si>
  <si>
    <t xml:space="preserve">Black-faced Grosbeak </t>
  </si>
  <si>
    <t xml:space="preserve">Black-faced Solitaire </t>
  </si>
  <si>
    <t xml:space="preserve">Black-fronted Bulbul </t>
  </si>
  <si>
    <t xml:space="preserve">Black-fronted Dotterel </t>
  </si>
  <si>
    <t xml:space="preserve">Black-fronted Nunbird </t>
  </si>
  <si>
    <t xml:space="preserve">Black-headed Heron </t>
  </si>
  <si>
    <t xml:space="preserve">Black-headed Honeyeater </t>
  </si>
  <si>
    <t xml:space="preserve">Black-headed Nightingale-Thrush </t>
  </si>
  <si>
    <t xml:space="preserve">Black-headed Saltator </t>
  </si>
  <si>
    <t xml:space="preserve">Black-headed Tody-Flycatcher </t>
  </si>
  <si>
    <t xml:space="preserve">Black-hooded Thrush </t>
  </si>
  <si>
    <t xml:space="preserve">Black-legged Kittiwake </t>
  </si>
  <si>
    <t xml:space="preserve">Black-necked Stilt </t>
  </si>
  <si>
    <t xml:space="preserve">Black-shouldered Kite </t>
  </si>
  <si>
    <t xml:space="preserve">Black-striped Sparrow </t>
  </si>
  <si>
    <t xml:space="preserve">Black-striped Woodcreeper </t>
  </si>
  <si>
    <t xml:space="preserve">Black-tailed Trainbearer </t>
  </si>
  <si>
    <t xml:space="preserve">Black-tailed Trogon </t>
  </si>
  <si>
    <t xml:space="preserve">Black-thighed Grosbeak </t>
  </si>
  <si>
    <t xml:space="preserve">Black-throated Mango </t>
  </si>
  <si>
    <t xml:space="preserve">Black-throated Wren </t>
  </si>
  <si>
    <t xml:space="preserve">Black-winged Kite </t>
  </si>
  <si>
    <t xml:space="preserve">Black-winged Saltator </t>
  </si>
  <si>
    <t xml:space="preserve">Black-winged Stilt </t>
  </si>
  <si>
    <t xml:space="preserve">Blackburnian Warbler </t>
  </si>
  <si>
    <t xml:space="preserve">Blackpoll Warbler </t>
  </si>
  <si>
    <t xml:space="preserve">Blacksmith Lapwing </t>
  </si>
  <si>
    <t xml:space="preserve">Blue Cotinga </t>
  </si>
  <si>
    <t xml:space="preserve">Blue Coua </t>
  </si>
  <si>
    <t xml:space="preserve">Blue Crane </t>
  </si>
  <si>
    <t xml:space="preserve">Blue Dacnis </t>
  </si>
  <si>
    <t xml:space="preserve">Blue Grosbeak </t>
  </si>
  <si>
    <t xml:space="preserve">Blue Jay </t>
  </si>
  <si>
    <t xml:space="preserve">Blue-and-black Tanager </t>
  </si>
  <si>
    <t xml:space="preserve">Blue-and-yellow Macaw </t>
  </si>
  <si>
    <t xml:space="preserve">Blue-billed Teal </t>
  </si>
  <si>
    <t xml:space="preserve">Blue-black Grassquit </t>
  </si>
  <si>
    <t xml:space="preserve">Blue-chested Hummingbird </t>
  </si>
  <si>
    <t xml:space="preserve">Blue-crowned Parakeet </t>
  </si>
  <si>
    <t xml:space="preserve">Blue-footed Booby </t>
  </si>
  <si>
    <t xml:space="preserve">Blue-fronted Parrotlet </t>
  </si>
  <si>
    <t xml:space="preserve">Blue-gray Gnatcatcher </t>
  </si>
  <si>
    <t xml:space="preserve">Blue-gray Tanager </t>
  </si>
  <si>
    <t xml:space="preserve">Blue-headed Parrot </t>
  </si>
  <si>
    <t xml:space="preserve">Blue-headed Vireo </t>
  </si>
  <si>
    <t xml:space="preserve">Blue-naped Chlorophonia </t>
  </si>
  <si>
    <t xml:space="preserve">Blue-necked Tanager </t>
  </si>
  <si>
    <t xml:space="preserve">Blue-vented Hummingbird </t>
  </si>
  <si>
    <t xml:space="preserve">Blue-winged Parrot </t>
  </si>
  <si>
    <t xml:space="preserve">Blue-winged Teal </t>
  </si>
  <si>
    <t xml:space="preserve">Blue-winged Warbler </t>
  </si>
  <si>
    <t xml:space="preserve">Boat-billed Flycatcher </t>
  </si>
  <si>
    <t xml:space="preserve">Boat-billed Heron </t>
  </si>
  <si>
    <t xml:space="preserve">Boat-tailed Grackle </t>
  </si>
  <si>
    <t xml:space="preserve">Bobolink  </t>
  </si>
  <si>
    <t xml:space="preserve">Brant  </t>
  </si>
  <si>
    <t xml:space="preserve">Bright-rumped Attila </t>
  </si>
  <si>
    <t xml:space="preserve">Broad-billed Motmot </t>
  </si>
  <si>
    <t xml:space="preserve">Broad-billed Roller </t>
  </si>
  <si>
    <t xml:space="preserve">Broad-winged Hawk </t>
  </si>
  <si>
    <t xml:space="preserve">Bronze-tailed Plumeleteer </t>
  </si>
  <si>
    <t xml:space="preserve">Bronze-tailed Thornbill </t>
  </si>
  <si>
    <t xml:space="preserve">Bronze-winged Parrot </t>
  </si>
  <si>
    <t xml:space="preserve">Bronzed Cowbird </t>
  </si>
  <si>
    <t xml:space="preserve">Brown Booby </t>
  </si>
  <si>
    <t xml:space="preserve">Brown Creeper </t>
  </si>
  <si>
    <t xml:space="preserve">Brown Cuckoo-Dove </t>
  </si>
  <si>
    <t xml:space="preserve">Brown Falcon </t>
  </si>
  <si>
    <t xml:space="preserve">Brown Jay </t>
  </si>
  <si>
    <t xml:space="preserve">Brown Mesite </t>
  </si>
  <si>
    <t xml:space="preserve">Brown Pelican </t>
  </si>
  <si>
    <t xml:space="preserve">Brown Thornbill </t>
  </si>
  <si>
    <t xml:space="preserve">Brown Thrasher </t>
  </si>
  <si>
    <t xml:space="preserve">Brown Treecreeper </t>
  </si>
  <si>
    <t xml:space="preserve">Brown Violetear </t>
  </si>
  <si>
    <t xml:space="preserve">Brown-backed Chat-Tyrant </t>
  </si>
  <si>
    <t xml:space="preserve">Brown-banded Antpitta </t>
  </si>
  <si>
    <t xml:space="preserve">Brown-capped Tyrannulet </t>
  </si>
  <si>
    <t xml:space="preserve">Brown-capped Vireo </t>
  </si>
  <si>
    <t xml:space="preserve">Brown-crested Flycatcher </t>
  </si>
  <si>
    <t xml:space="preserve">Brown-headed Cowbird </t>
  </si>
  <si>
    <t xml:space="preserve">Brown-hooded Kingfisher </t>
  </si>
  <si>
    <t xml:space="preserve">Brown-hooded Parrot </t>
  </si>
  <si>
    <t xml:space="preserve">Brown-throated Parakeet </t>
  </si>
  <si>
    <t xml:space="preserve">Buff-breasted Wren </t>
  </si>
  <si>
    <t xml:space="preserve">Buff-fronted Foliage-gleaner </t>
  </si>
  <si>
    <t xml:space="preserve">Buff-fronted Quail-Dove </t>
  </si>
  <si>
    <t xml:space="preserve">Buff-necked Ibis </t>
  </si>
  <si>
    <t xml:space="preserve">Buff-rumped Warbler </t>
  </si>
  <si>
    <t xml:space="preserve">Buff-tailed Coronet </t>
  </si>
  <si>
    <t xml:space="preserve">Buff-throated Saltator </t>
  </si>
  <si>
    <t xml:space="preserve">Buff-winged Starfrontlet </t>
  </si>
  <si>
    <t xml:space="preserve">Bufflehead  </t>
  </si>
  <si>
    <t xml:space="preserve">Buffy Helmetcrest </t>
  </si>
  <si>
    <t xml:space="preserve">Buffy Hummingbird </t>
  </si>
  <si>
    <t xml:space="preserve">Burrowing Owl </t>
  </si>
  <si>
    <t xml:space="preserve">Cackling Goose </t>
  </si>
  <si>
    <t xml:space="preserve">California Scrub-Jay </t>
  </si>
  <si>
    <t xml:space="preserve">Canada Goose </t>
  </si>
  <si>
    <t xml:space="preserve">Canada Warbler </t>
  </si>
  <si>
    <t xml:space="preserve">Canebrake Wren </t>
  </si>
  <si>
    <t xml:space="preserve">Cape Bunting </t>
  </si>
  <si>
    <t xml:space="preserve">Cape Robin-Chat </t>
  </si>
  <si>
    <t xml:space="preserve">Cape Rock-Thrush </t>
  </si>
  <si>
    <t xml:space="preserve">Cape Sparrow </t>
  </si>
  <si>
    <t xml:space="preserve">Cape Starling </t>
  </si>
  <si>
    <t xml:space="preserve">Cape Wagtail </t>
  </si>
  <si>
    <t xml:space="preserve">Cape Weaver </t>
  </si>
  <si>
    <t xml:space="preserve">Cape White-eye </t>
  </si>
  <si>
    <t xml:space="preserve">Capped Conebill </t>
  </si>
  <si>
    <t xml:space="preserve">Cardinal Woodpecker </t>
  </si>
  <si>
    <t xml:space="preserve">Carib Grackle </t>
  </si>
  <si>
    <t xml:space="preserve">Caribbean Hornero </t>
  </si>
  <si>
    <t xml:space="preserve">Carolina Wren </t>
  </si>
  <si>
    <t xml:space="preserve">Carunculated Caracara </t>
  </si>
  <si>
    <t xml:space="preserve">Caspian Tern </t>
  </si>
  <si>
    <t xml:space="preserve">Cattle Tyrant </t>
  </si>
  <si>
    <t xml:space="preserve">Cedar Waxwing </t>
  </si>
  <si>
    <t xml:space="preserve">Cerulean Warbler </t>
  </si>
  <si>
    <t xml:space="preserve">Chabert Vanga </t>
  </si>
  <si>
    <t xml:space="preserve">Chestnut Piculet </t>
  </si>
  <si>
    <t xml:space="preserve">Chestnut Teal </t>
  </si>
  <si>
    <t xml:space="preserve">Chestnut-backed Antbird </t>
  </si>
  <si>
    <t xml:space="preserve">Chestnut-backed Chickadee </t>
  </si>
  <si>
    <t xml:space="preserve">Chestnut-capped Brushfinch </t>
  </si>
  <si>
    <t xml:space="preserve">Chestnut-capped Warbler </t>
  </si>
  <si>
    <t xml:space="preserve">Chestnut-colored Woodpecker </t>
  </si>
  <si>
    <t xml:space="preserve">Chestnut-crowned Antpitta </t>
  </si>
  <si>
    <t xml:space="preserve">Chestnut-fronted Macaw </t>
  </si>
  <si>
    <t xml:space="preserve">Chestnut-sided Warbler </t>
  </si>
  <si>
    <t xml:space="preserve">Chestnut-winged Chachalaca </t>
  </si>
  <si>
    <t xml:space="preserve">Chestnut-winged Cinclodes </t>
  </si>
  <si>
    <t xml:space="preserve">Chimney Swift </t>
  </si>
  <si>
    <t xml:space="preserve">Chipping Sparrow </t>
  </si>
  <si>
    <t xml:space="preserve">Choco Brushfinch </t>
  </si>
  <si>
    <t xml:space="preserve">Choco Sirystes </t>
  </si>
  <si>
    <t xml:space="preserve">Choco Toucan </t>
  </si>
  <si>
    <t xml:space="preserve">Choco Warbler </t>
  </si>
  <si>
    <t xml:space="preserve">Chukar  </t>
  </si>
  <si>
    <t xml:space="preserve">Cinereous Becard </t>
  </si>
  <si>
    <t xml:space="preserve">Cinnamon Becard </t>
  </si>
  <si>
    <t xml:space="preserve">Cinnamon Flycatcher </t>
  </si>
  <si>
    <t xml:space="preserve">Cinnamon Hummingbird </t>
  </si>
  <si>
    <t xml:space="preserve">Cinnamon Woodpecker </t>
  </si>
  <si>
    <t xml:space="preserve">Cinnamon-bellied Saltator </t>
  </si>
  <si>
    <t xml:space="preserve">Clay-colored Sparrow </t>
  </si>
  <si>
    <t xml:space="preserve">Clay-colored Thrush </t>
  </si>
  <si>
    <t xml:space="preserve">Cliff Swallow </t>
  </si>
  <si>
    <t xml:space="preserve">Cocoa Woodcreeper </t>
  </si>
  <si>
    <t xml:space="preserve">Cocoi Heron </t>
  </si>
  <si>
    <t xml:space="preserve">Collared Aracari </t>
  </si>
  <si>
    <t xml:space="preserve">Collared Inca </t>
  </si>
  <si>
    <t xml:space="preserve">Collared Plover </t>
  </si>
  <si>
    <t xml:space="preserve">Collared Redstart </t>
  </si>
  <si>
    <t xml:space="preserve">Collared Trogon </t>
  </si>
  <si>
    <t xml:space="preserve">Common Bronzewing </t>
  </si>
  <si>
    <t xml:space="preserve">Common Bulbul </t>
  </si>
  <si>
    <t xml:space="preserve">Common Chlorospingus </t>
  </si>
  <si>
    <t xml:space="preserve">Common Eider </t>
  </si>
  <si>
    <t xml:space="preserve">Common Gallinule </t>
  </si>
  <si>
    <t xml:space="preserve">Common Goldeneye </t>
  </si>
  <si>
    <t xml:space="preserve">Common Grackle </t>
  </si>
  <si>
    <t xml:space="preserve">Common Hoopoe </t>
  </si>
  <si>
    <t xml:space="preserve">Common Jery </t>
  </si>
  <si>
    <t xml:space="preserve">Common Loon </t>
  </si>
  <si>
    <t xml:space="preserve">Common Merganser </t>
  </si>
  <si>
    <t xml:space="preserve">Common Myna </t>
  </si>
  <si>
    <t xml:space="preserve">Common Newtonia </t>
  </si>
  <si>
    <t xml:space="preserve">Common Ostrich </t>
  </si>
  <si>
    <t xml:space="preserve">Common Potoo </t>
  </si>
  <si>
    <t xml:space="preserve">Common Sandpiper </t>
  </si>
  <si>
    <t xml:space="preserve">Common Squirrel-Cuckoo </t>
  </si>
  <si>
    <t xml:space="preserve">Common Tern </t>
  </si>
  <si>
    <t xml:space="preserve">Common Tody-Flycatcher </t>
  </si>
  <si>
    <t xml:space="preserve">Common Waxbill </t>
  </si>
  <si>
    <t xml:space="preserve">Common Yellowthroat </t>
  </si>
  <si>
    <t xml:space="preserve">Copper-rumped Hummingbird </t>
  </si>
  <si>
    <t xml:space="preserve">Coppery-headed Emerald </t>
  </si>
  <si>
    <t xml:space="preserve">Coppery-tailed Coucal </t>
  </si>
  <si>
    <t xml:space="preserve">Coqui Francolin </t>
  </si>
  <si>
    <t xml:space="preserve">Crab-Plover  </t>
  </si>
  <si>
    <t xml:space="preserve">Crescent Honeyeater </t>
  </si>
  <si>
    <t xml:space="preserve">Crested Barbet </t>
  </si>
  <si>
    <t xml:space="preserve">Crested Caracara </t>
  </si>
  <si>
    <t xml:space="preserve">Crested Coua </t>
  </si>
  <si>
    <t xml:space="preserve">Crested Drongo </t>
  </si>
  <si>
    <t xml:space="preserve">Crested Eagle </t>
  </si>
  <si>
    <t xml:space="preserve">Crested Francolin </t>
  </si>
  <si>
    <t xml:space="preserve">Crested Guan </t>
  </si>
  <si>
    <t xml:space="preserve">Crested Oropendola </t>
  </si>
  <si>
    <t xml:space="preserve">Crested Owl </t>
  </si>
  <si>
    <t xml:space="preserve">Crested Pigeon </t>
  </si>
  <si>
    <t xml:space="preserve">Crimson Rosella </t>
  </si>
  <si>
    <t xml:space="preserve">Crimson-backed Tanager </t>
  </si>
  <si>
    <t xml:space="preserve">Crimson-breasted Gonolek </t>
  </si>
  <si>
    <t xml:space="preserve">Crimson-collared Tanager </t>
  </si>
  <si>
    <t xml:space="preserve">Crimson-crested Woodpecker </t>
  </si>
  <si>
    <t xml:space="preserve">Crimson-fronted Parakeet </t>
  </si>
  <si>
    <t xml:space="preserve">Crimson-mantled Woodpecker </t>
  </si>
  <si>
    <t xml:space="preserve">Crimson-rumped Toucanet </t>
  </si>
  <si>
    <t xml:space="preserve">Crowned Hornbill </t>
  </si>
  <si>
    <t xml:space="preserve">Crowned Lapwing </t>
  </si>
  <si>
    <t xml:space="preserve">Crowned Woodnymph </t>
  </si>
  <si>
    <t xml:space="preserve">Cuckoo-roller  </t>
  </si>
  <si>
    <t xml:space="preserve">Curlew Sandpiper </t>
  </si>
  <si>
    <t xml:space="preserve">Dark Pewee </t>
  </si>
  <si>
    <t xml:space="preserve">Dark-eyed Junco </t>
  </si>
  <si>
    <t xml:space="preserve">Dollarbird  </t>
  </si>
  <si>
    <t xml:space="preserve">Dot-winged Antwren </t>
  </si>
  <si>
    <t xml:space="preserve">Double-banded Sandgrouse </t>
  </si>
  <si>
    <t xml:space="preserve">Double-crested Cormorant </t>
  </si>
  <si>
    <t xml:space="preserve">Double-striped Thick-knee </t>
  </si>
  <si>
    <t xml:space="preserve">Downy Woodpecker </t>
  </si>
  <si>
    <t xml:space="preserve">Dull-colored Grassquit </t>
  </si>
  <si>
    <t xml:space="preserve">Dull-mantled Antbird </t>
  </si>
  <si>
    <t xml:space="preserve">Dunlin  </t>
  </si>
  <si>
    <t xml:space="preserve">Dusky Antbird </t>
  </si>
  <si>
    <t xml:space="preserve">Dusky Moorhen </t>
  </si>
  <si>
    <t xml:space="preserve">Dusky Robin </t>
  </si>
  <si>
    <t xml:space="preserve">Dusky-backed Jacamar </t>
  </si>
  <si>
    <t xml:space="preserve">Dusky-capped Flycatcher </t>
  </si>
  <si>
    <t xml:space="preserve">Dusky-faced Tanager </t>
  </si>
  <si>
    <t xml:space="preserve">Eared Dove </t>
  </si>
  <si>
    <t xml:space="preserve">Eastern Bluebird </t>
  </si>
  <si>
    <t xml:space="preserve">Eastern Cattle-Egret </t>
  </si>
  <si>
    <t xml:space="preserve">Eastern Kingbird </t>
  </si>
  <si>
    <t xml:space="preserve">Eastern Meadowlark </t>
  </si>
  <si>
    <t xml:space="preserve">Eastern Phoebe </t>
  </si>
  <si>
    <t xml:space="preserve">Eastern Rosella </t>
  </si>
  <si>
    <t xml:space="preserve">Eastern Screech-Owl </t>
  </si>
  <si>
    <t xml:space="preserve">Eastern Spinebill </t>
  </si>
  <si>
    <t xml:space="preserve">Eastern Towhee </t>
  </si>
  <si>
    <t xml:space="preserve">Eastern Whip-poor-will </t>
  </si>
  <si>
    <t xml:space="preserve">Eastern Wood-Pewee </t>
  </si>
  <si>
    <t xml:space="preserve">Ecuadorian Hillstar </t>
  </si>
  <si>
    <t xml:space="preserve">Ecuadorian Thrush </t>
  </si>
  <si>
    <t xml:space="preserve">Egyptian Goose </t>
  </si>
  <si>
    <t xml:space="preserve">Emerald Tanager </t>
  </si>
  <si>
    <t xml:space="preserve">Emerald-spotted Wood-Dove </t>
  </si>
  <si>
    <t xml:space="preserve">Emu  </t>
  </si>
  <si>
    <t xml:space="preserve">Equatorial Antpitta </t>
  </si>
  <si>
    <t xml:space="preserve">Eurasian Blackbird </t>
  </si>
  <si>
    <t xml:space="preserve">Eurasian Collared-Dove </t>
  </si>
  <si>
    <t xml:space="preserve">Eurasian Moorhen </t>
  </si>
  <si>
    <t xml:space="preserve">Eurasian Skylark </t>
  </si>
  <si>
    <t xml:space="preserve">Eurasian Whimbrel </t>
  </si>
  <si>
    <t xml:space="preserve">Eurasian Wigeon </t>
  </si>
  <si>
    <t xml:space="preserve">European Goldfinch </t>
  </si>
  <si>
    <t xml:space="preserve">European Starling </t>
  </si>
  <si>
    <t xml:space="preserve">Eye-ringed Flatbill </t>
  </si>
  <si>
    <t xml:space="preserve">Familiar Chat </t>
  </si>
  <si>
    <t xml:space="preserve">Fan-tailed Cuckoo </t>
  </si>
  <si>
    <t xml:space="preserve">Fasciated Antshrike </t>
  </si>
  <si>
    <t xml:space="preserve">Fawn-breasted Brilliant </t>
  </si>
  <si>
    <t xml:space="preserve">Ferruginous Pygmy-Owl </t>
  </si>
  <si>
    <t xml:space="preserve">Field Sparrow </t>
  </si>
  <si>
    <t xml:space="preserve">Fiery-throated Hummingbird </t>
  </si>
  <si>
    <t xml:space="preserve">Flame Robin </t>
  </si>
  <si>
    <t xml:space="preserve">Flame-colored Tanager </t>
  </si>
  <si>
    <t xml:space="preserve">Flame-faced Tanager </t>
  </si>
  <si>
    <t xml:space="preserve">Flame-rumped Tanager </t>
  </si>
  <si>
    <t xml:space="preserve">Flame-throated Warbler </t>
  </si>
  <si>
    <t xml:space="preserve">Forest Elaenia </t>
  </si>
  <si>
    <t xml:space="preserve">Forest Rock-Thrush </t>
  </si>
  <si>
    <t xml:space="preserve">Fork-tailed Drongo </t>
  </si>
  <si>
    <t xml:space="preserve">Fork-tailed Flycatcher </t>
  </si>
  <si>
    <t xml:space="preserve">Forty-spotted Pardalote </t>
  </si>
  <si>
    <t xml:space="preserve">Fox Sparrow </t>
  </si>
  <si>
    <t xml:space="preserve">Fulvous Whistling-Duck </t>
  </si>
  <si>
    <t xml:space="preserve">Fulvous-vented Euphonia </t>
  </si>
  <si>
    <t xml:space="preserve">Gabar Goshawk </t>
  </si>
  <si>
    <t xml:space="preserve">Gabon Boubou </t>
  </si>
  <si>
    <t xml:space="preserve">Gadwall  </t>
  </si>
  <si>
    <t xml:space="preserve">Galah  </t>
  </si>
  <si>
    <t xml:space="preserve">Galapagos Dove </t>
  </si>
  <si>
    <t xml:space="preserve">Galapagos Hawk </t>
  </si>
  <si>
    <t xml:space="preserve">Galapagos Mockingbird </t>
  </si>
  <si>
    <t xml:space="preserve">Galapagos Penguin </t>
  </si>
  <si>
    <t xml:space="preserve">Gang-gang Cockatoo </t>
  </si>
  <si>
    <t xml:space="preserve">Giant Coua </t>
  </si>
  <si>
    <t xml:space="preserve">Giant Cowbird </t>
  </si>
  <si>
    <t xml:space="preserve">Giant Hummingbird </t>
  </si>
  <si>
    <t xml:space="preserve">Giant Kingfisher </t>
  </si>
  <si>
    <t xml:space="preserve">Glaucous Tanager </t>
  </si>
  <si>
    <t xml:space="preserve">Glaucous-winged Gull </t>
  </si>
  <si>
    <t xml:space="preserve">Glistening-green Tanager </t>
  </si>
  <si>
    <t xml:space="preserve">Glossy Ibis </t>
  </si>
  <si>
    <t xml:space="preserve">Glowing Puffleg </t>
  </si>
  <si>
    <t xml:space="preserve">Golden Grosbeak </t>
  </si>
  <si>
    <t xml:space="preserve">Golden Tanager </t>
  </si>
  <si>
    <t xml:space="preserve">Golden Whistler </t>
  </si>
  <si>
    <t xml:space="preserve">Golden-bellied Flycatcher </t>
  </si>
  <si>
    <t xml:space="preserve">Golden-browed Chlorophonia </t>
  </si>
  <si>
    <t xml:space="preserve">Golden-collared Honeycreeper </t>
  </si>
  <si>
    <t xml:space="preserve">Golden-collared Manakin </t>
  </si>
  <si>
    <t xml:space="preserve">Golden-crowned Kinglet </t>
  </si>
  <si>
    <t xml:space="preserve">Golden-crowned Sparrow </t>
  </si>
  <si>
    <t xml:space="preserve">Golden-faced Tyrannulet </t>
  </si>
  <si>
    <t xml:space="preserve">Golden-fronted Greenlet </t>
  </si>
  <si>
    <t xml:space="preserve">Golden-fronted Redstart </t>
  </si>
  <si>
    <t xml:space="preserve">Golden-green Woodpecker </t>
  </si>
  <si>
    <t xml:space="preserve">Golden-headed Manakin </t>
  </si>
  <si>
    <t xml:space="preserve">Golden-hooded Tanager </t>
  </si>
  <si>
    <t xml:space="preserve">Golden-naped Tanager </t>
  </si>
  <si>
    <t xml:space="preserve">Golden-olive Woodpecker </t>
  </si>
  <si>
    <t xml:space="preserve">Golden-plumed Parakeet </t>
  </si>
  <si>
    <t xml:space="preserve">Golden-winged Warbler </t>
  </si>
  <si>
    <t xml:space="preserve">Goliath Heron </t>
  </si>
  <si>
    <t xml:space="preserve">Gorgeted Woodstar </t>
  </si>
  <si>
    <t xml:space="preserve">Grass Wren </t>
  </si>
  <si>
    <t xml:space="preserve">Grasshopper Sparrow </t>
  </si>
  <si>
    <t xml:space="preserve">Gray Butcherbird </t>
  </si>
  <si>
    <t xml:space="preserve">Gray Catbird </t>
  </si>
  <si>
    <t xml:space="preserve">Gray Crowned-Crane </t>
  </si>
  <si>
    <t xml:space="preserve">Gray Fantail </t>
  </si>
  <si>
    <t xml:space="preserve">Gray Francolin </t>
  </si>
  <si>
    <t xml:space="preserve">Gray Go-away-bird </t>
  </si>
  <si>
    <t xml:space="preserve">Gray Hawk </t>
  </si>
  <si>
    <t xml:space="preserve">Gray Heron </t>
  </si>
  <si>
    <t xml:space="preserve">Gray Kingbird </t>
  </si>
  <si>
    <t xml:space="preserve">Gray Shrikethrush </t>
  </si>
  <si>
    <t xml:space="preserve">Gray-backed Fiscal </t>
  </si>
  <si>
    <t xml:space="preserve">Gray-backed Sparrow-Lark </t>
  </si>
  <si>
    <t xml:space="preserve">Gray-breasted Wood-Wren </t>
  </si>
  <si>
    <t xml:space="preserve">Gray-browed Brushfinch </t>
  </si>
  <si>
    <t xml:space="preserve">Gray-capped Flycatcher </t>
  </si>
  <si>
    <t xml:space="preserve">Gray-cheeked Nunlet </t>
  </si>
  <si>
    <t xml:space="preserve">Gray-cowled Wood-Rail </t>
  </si>
  <si>
    <t xml:space="preserve">Gray-headed Chachalaca </t>
  </si>
  <si>
    <t xml:space="preserve">Gray-headed Kingfisher </t>
  </si>
  <si>
    <t xml:space="preserve">Gray-headed Lovebird </t>
  </si>
  <si>
    <t xml:space="preserve">Gray-headed Swamphen </t>
  </si>
  <si>
    <t xml:space="preserve">Gray-headed Tanager </t>
  </si>
  <si>
    <t xml:space="preserve">Gray-lined Hawk </t>
  </si>
  <si>
    <t xml:space="preserve">Grayish Piculet </t>
  </si>
  <si>
    <t xml:space="preserve">Great Antshrike </t>
  </si>
  <si>
    <t xml:space="preserve">Great Cormorant </t>
  </si>
  <si>
    <t xml:space="preserve">Great Curassow </t>
  </si>
  <si>
    <t xml:space="preserve">Great Egret </t>
  </si>
  <si>
    <t xml:space="preserve">Great Kiskadee </t>
  </si>
  <si>
    <t xml:space="preserve">Great Potoo </t>
  </si>
  <si>
    <t xml:space="preserve">Great Sapphirewing </t>
  </si>
  <si>
    <t xml:space="preserve">Great Thrush </t>
  </si>
  <si>
    <t xml:space="preserve">Great-tailed Grackle </t>
  </si>
  <si>
    <t xml:space="preserve">Greater Ani </t>
  </si>
  <si>
    <t xml:space="preserve">Greater Kestrel </t>
  </si>
  <si>
    <t xml:space="preserve">Greater Painted-Snipe </t>
  </si>
  <si>
    <t xml:space="preserve">Greater Scaup </t>
  </si>
  <si>
    <t>Greater Vasa Parrot</t>
  </si>
  <si>
    <t xml:space="preserve">Greater Yellowlegs </t>
  </si>
  <si>
    <t xml:space="preserve">Green Catbird </t>
  </si>
  <si>
    <t xml:space="preserve">Green Heron </t>
  </si>
  <si>
    <t xml:space="preserve">Green Honeycreeper </t>
  </si>
  <si>
    <t xml:space="preserve">Green Ibis </t>
  </si>
  <si>
    <t xml:space="preserve">Green Kingfisher </t>
  </si>
  <si>
    <t xml:space="preserve">Green Rosella </t>
  </si>
  <si>
    <t xml:space="preserve">Green Shrike-Vireo </t>
  </si>
  <si>
    <t xml:space="preserve">Green Thorntail </t>
  </si>
  <si>
    <t xml:space="preserve">Green Woodhoopoe </t>
  </si>
  <si>
    <t xml:space="preserve">Green-and-black Fruiteater </t>
  </si>
  <si>
    <t xml:space="preserve">Green-and-rufous Kingfisher </t>
  </si>
  <si>
    <t xml:space="preserve">Green-backed Camaroptera </t>
  </si>
  <si>
    <t xml:space="preserve">Green-breasted Mango </t>
  </si>
  <si>
    <t xml:space="preserve">Green-crowned Brilliant </t>
  </si>
  <si>
    <t xml:space="preserve">Green-fronted Lancebill </t>
  </si>
  <si>
    <t xml:space="preserve">Green-rumped Parrotlet </t>
  </si>
  <si>
    <t xml:space="preserve">Green-winged Pytilia </t>
  </si>
  <si>
    <t xml:space="preserve">Green-winged Teal </t>
  </si>
  <si>
    <t xml:space="preserve">Groove-billed Ani </t>
  </si>
  <si>
    <t xml:space="preserve">Groove-billed Toucanet </t>
  </si>
  <si>
    <t xml:space="preserve">Groundscraper Thrush </t>
  </si>
  <si>
    <t xml:space="preserve">Hairy Woodpecker </t>
  </si>
  <si>
    <t xml:space="preserve">Hamerkop  </t>
  </si>
  <si>
    <t xml:space="preserve">Harlequin Duck </t>
  </si>
  <si>
    <t xml:space="preserve">Hawaii Amakihi </t>
  </si>
  <si>
    <t xml:space="preserve">Hawaiian Coot </t>
  </si>
  <si>
    <t xml:space="preserve">Hawaiian Goose </t>
  </si>
  <si>
    <t xml:space="preserve">Helmeted Guineafowl </t>
  </si>
  <si>
    <t xml:space="preserve">Hepatic Tanager </t>
  </si>
  <si>
    <t xml:space="preserve">Hermit Thrush </t>
  </si>
  <si>
    <t xml:space="preserve">Hermit Wood-Wren </t>
  </si>
  <si>
    <t xml:space="preserve">Hoary-headed Grebe </t>
  </si>
  <si>
    <t xml:space="preserve">Hooded Merganser </t>
  </si>
  <si>
    <t xml:space="preserve">Hooded Plover </t>
  </si>
  <si>
    <t xml:space="preserve">Hooded Vulture </t>
  </si>
  <si>
    <t xml:space="preserve">Hooded Warbler </t>
  </si>
  <si>
    <t xml:space="preserve">Hook-billed Kite </t>
  </si>
  <si>
    <t xml:space="preserve">Hook-billed Vanga </t>
  </si>
  <si>
    <t xml:space="preserve">Horned Grebe </t>
  </si>
  <si>
    <t xml:space="preserve">Horned Lark </t>
  </si>
  <si>
    <t xml:space="preserve">House Finch </t>
  </si>
  <si>
    <t xml:space="preserve">House Sparrow </t>
  </si>
  <si>
    <t xml:space="preserve">Hudsonian Godwit </t>
  </si>
  <si>
    <t xml:space="preserve">Iiwi  </t>
  </si>
  <si>
    <t xml:space="preserve">Inca Dove </t>
  </si>
  <si>
    <t xml:space="preserve">Indigo Bunting </t>
  </si>
  <si>
    <t xml:space="preserve">Indigo-capped Hummingbird </t>
  </si>
  <si>
    <t xml:space="preserve">Isthmian Wren </t>
  </si>
  <si>
    <t xml:space="preserve">Ivory-billed Woodcreeper </t>
  </si>
  <si>
    <t xml:space="preserve">Jabiru  </t>
  </si>
  <si>
    <t xml:space="preserve">Jackal Buzzard </t>
  </si>
  <si>
    <t xml:space="preserve">Java Sparrow </t>
  </si>
  <si>
    <t xml:space="preserve">Kalij Pheasant </t>
  </si>
  <si>
    <t xml:space="preserve">Keel-billed Motmot </t>
  </si>
  <si>
    <t xml:space="preserve">Keel-billed Toucan </t>
  </si>
  <si>
    <t xml:space="preserve">Kelp Gull </t>
  </si>
  <si>
    <t xml:space="preserve">Kentucky Warbler </t>
  </si>
  <si>
    <t xml:space="preserve">Killdeer  </t>
  </si>
  <si>
    <t xml:space="preserve">Knob-billed Duck </t>
  </si>
  <si>
    <t xml:space="preserve">Kori Bustard </t>
  </si>
  <si>
    <t xml:space="preserve">Lance-tailed Manakin </t>
  </si>
  <si>
    <t xml:space="preserve">Lapland Longspur </t>
  </si>
  <si>
    <t xml:space="preserve">Lappet-faced Vulture </t>
  </si>
  <si>
    <t xml:space="preserve">Large-footed Finch </t>
  </si>
  <si>
    <t xml:space="preserve">Lark-like Bunting </t>
  </si>
  <si>
    <t xml:space="preserve">Laughing Falcon </t>
  </si>
  <si>
    <t xml:space="preserve">Laughing Gull </t>
  </si>
  <si>
    <t xml:space="preserve">Laughing Kookaburra </t>
  </si>
  <si>
    <t xml:space="preserve">Lava Heron </t>
  </si>
  <si>
    <t xml:space="preserve">Lazuline Sabrewing </t>
  </si>
  <si>
    <t xml:space="preserve">Least Bittern </t>
  </si>
  <si>
    <t xml:space="preserve">Least Flycatcher </t>
  </si>
  <si>
    <t xml:space="preserve">Least Grebe </t>
  </si>
  <si>
    <t xml:space="preserve">Least Sandpiper </t>
  </si>
  <si>
    <t>Lesser Crested Tern</t>
  </si>
  <si>
    <t xml:space="preserve">Lesser Ground-Cuckoo </t>
  </si>
  <si>
    <t xml:space="preserve">Lesser Kiskadee </t>
  </si>
  <si>
    <t xml:space="preserve">Lesser Scaup </t>
  </si>
  <si>
    <t xml:space="preserve">Lesser Violetear </t>
  </si>
  <si>
    <t xml:space="preserve">Lesser Yellowlegs </t>
  </si>
  <si>
    <t xml:space="preserve">Lilac-breasted Roller </t>
  </si>
  <si>
    <t xml:space="preserve">Limpkin  </t>
  </si>
  <si>
    <t xml:space="preserve">Lineated Woodpecker </t>
  </si>
  <si>
    <t xml:space="preserve">Little Bee-eater </t>
  </si>
  <si>
    <t xml:space="preserve">Little Corella </t>
  </si>
  <si>
    <t xml:space="preserve">Little Egret </t>
  </si>
  <si>
    <t xml:space="preserve">Little Gull </t>
  </si>
  <si>
    <t xml:space="preserve">Little Penguin </t>
  </si>
  <si>
    <t xml:space="preserve">Little Raven </t>
  </si>
  <si>
    <t xml:space="preserve">Little Sparrowhawk </t>
  </si>
  <si>
    <t xml:space="preserve">Little Tinamou </t>
  </si>
  <si>
    <t xml:space="preserve">Little Wattlebird </t>
  </si>
  <si>
    <t xml:space="preserve">Littoral Rock-Thrush </t>
  </si>
  <si>
    <t xml:space="preserve">Loggerhead Shrike </t>
  </si>
  <si>
    <t xml:space="preserve">Long-billed Corella </t>
  </si>
  <si>
    <t xml:space="preserve">Long-billed Curlew </t>
  </si>
  <si>
    <t xml:space="preserve">Long-billed Dowitcher </t>
  </si>
  <si>
    <t xml:space="preserve">Long-billed Hermit </t>
  </si>
  <si>
    <t xml:space="preserve">Long-billed Starthroat </t>
  </si>
  <si>
    <t xml:space="preserve">Long-eared Owl </t>
  </si>
  <si>
    <t xml:space="preserve">Long-tailed Duck </t>
  </si>
  <si>
    <t xml:space="preserve">Long-tailed Fiscal </t>
  </si>
  <si>
    <t xml:space="preserve">Long-tailed Ground-Roller </t>
  </si>
  <si>
    <t xml:space="preserve">Long-tailed Silky-flycatcher </t>
  </si>
  <si>
    <t xml:space="preserve">Long-tailed Sylph </t>
  </si>
  <si>
    <t xml:space="preserve">Long-tailed Tyrant </t>
  </si>
  <si>
    <t xml:space="preserve">Long-toed Lapwing </t>
  </si>
  <si>
    <t xml:space="preserve">Long-winged Harrier </t>
  </si>
  <si>
    <t xml:space="preserve">Louisiana Waterthrush </t>
  </si>
  <si>
    <t xml:space="preserve">Luapula Cisticola </t>
  </si>
  <si>
    <t>Madagascar Blue Vanga</t>
  </si>
  <si>
    <t xml:space="preserve">Madagascar Blue-Pigeon </t>
  </si>
  <si>
    <t xml:space="preserve">Madagascar Buttonquail </t>
  </si>
  <si>
    <t xml:space="preserve">Madagascar Buzzard </t>
  </si>
  <si>
    <t xml:space="preserve">Madagascar Cisticola </t>
  </si>
  <si>
    <t xml:space="preserve">Madagascar Cuckoo </t>
  </si>
  <si>
    <t xml:space="preserve">Madagascar Harrier-Hawk </t>
  </si>
  <si>
    <t xml:space="preserve">Madagascar Hoopoe </t>
  </si>
  <si>
    <t xml:space="preserve">Madagascar Ibis </t>
  </si>
  <si>
    <t xml:space="preserve">Madagascar Lark </t>
  </si>
  <si>
    <t xml:space="preserve">Madagascar Magpie-Robin </t>
  </si>
  <si>
    <t xml:space="preserve">Madagascar Martin </t>
  </si>
  <si>
    <t xml:space="preserve">Madagascar Nightjar </t>
  </si>
  <si>
    <t xml:space="preserve">Madagascar Owl </t>
  </si>
  <si>
    <t xml:space="preserve">Madagascar Pratincole </t>
  </si>
  <si>
    <t xml:space="preserve">Madagascar Scops-Owl </t>
  </si>
  <si>
    <t xml:space="preserve">Madagascar Spinetail </t>
  </si>
  <si>
    <t xml:space="preserve">Madagascar Starling </t>
  </si>
  <si>
    <t>Madagascar Swamp Warbler</t>
  </si>
  <si>
    <t xml:space="preserve">Madagascar Wagtail </t>
  </si>
  <si>
    <t xml:space="preserve">Magenta-throated Woodstar </t>
  </si>
  <si>
    <t xml:space="preserve">Magnificent Frigatebird </t>
  </si>
  <si>
    <t xml:space="preserve">Magnolia Warbler </t>
  </si>
  <si>
    <t xml:space="preserve">Magpie Shrike </t>
  </si>
  <si>
    <t xml:space="preserve">Magpie-lark  </t>
  </si>
  <si>
    <t xml:space="preserve">Malachite Kingfisher </t>
  </si>
  <si>
    <t xml:space="preserve">Malagasy Bulbul </t>
  </si>
  <si>
    <t xml:space="preserve">Malagasy Coucal </t>
  </si>
  <si>
    <t xml:space="preserve">Malagasy Kestrel </t>
  </si>
  <si>
    <t xml:space="preserve">Malagasy Kingfisher </t>
  </si>
  <si>
    <t xml:space="preserve">Malagasy Paradise-Flycatcher </t>
  </si>
  <si>
    <t xml:space="preserve">Malagasy Pond-Heron </t>
  </si>
  <si>
    <t xml:space="preserve">Mallard  </t>
  </si>
  <si>
    <t xml:space="preserve">Maned Duck </t>
  </si>
  <si>
    <t xml:space="preserve">Mangrove Cuckoo </t>
  </si>
  <si>
    <t xml:space="preserve">Mangrove Swallow </t>
  </si>
  <si>
    <t xml:space="preserve">Marabou Stork </t>
  </si>
  <si>
    <t xml:space="preserve">Marbled Godwit </t>
  </si>
  <si>
    <t xml:space="preserve">Marsh Sandpiper </t>
  </si>
  <si>
    <t xml:space="preserve">Marsh Wren </t>
  </si>
  <si>
    <t xml:space="preserve">Martial Eagle </t>
  </si>
  <si>
    <t xml:space="preserve">Masked Cardinal </t>
  </si>
  <si>
    <t xml:space="preserve">Masked Flowerpiercer </t>
  </si>
  <si>
    <t xml:space="preserve">Masked Lapwing </t>
  </si>
  <si>
    <t xml:space="preserve">Masked Tityra </t>
  </si>
  <si>
    <t xml:space="preserve">Masked Trogon </t>
  </si>
  <si>
    <t xml:space="preserve">Masked Yellowthroat </t>
  </si>
  <si>
    <t xml:space="preserve">Mealy Amazon </t>
  </si>
  <si>
    <t xml:space="preserve">Medium Ground-Finch </t>
  </si>
  <si>
    <t xml:space="preserve">Melodious Blackbird </t>
  </si>
  <si>
    <t xml:space="preserve">Merlin  </t>
  </si>
  <si>
    <t xml:space="preserve">Metallic-green Tanager </t>
  </si>
  <si>
    <t xml:space="preserve">Mississippi Kite </t>
  </si>
  <si>
    <t xml:space="preserve">Mitred Parakeet </t>
  </si>
  <si>
    <t xml:space="preserve">Mocking Cliff-Chat </t>
  </si>
  <si>
    <t xml:space="preserve">Monk Parakeet </t>
  </si>
  <si>
    <t xml:space="preserve">Montane Woodcreeper </t>
  </si>
  <si>
    <t xml:space="preserve">Montezuma Oropendola </t>
  </si>
  <si>
    <t xml:space="preserve">Moss-backed Tanager </t>
  </si>
  <si>
    <t xml:space="preserve">Mottled Duck </t>
  </si>
  <si>
    <t xml:space="preserve">Mottled Owl </t>
  </si>
  <si>
    <t xml:space="preserve">Mountain Cacique </t>
  </si>
  <si>
    <t xml:space="preserve">Mountain Chat </t>
  </si>
  <si>
    <t xml:space="preserve">Mountain Elaenia </t>
  </si>
  <si>
    <t xml:space="preserve">Mountain Thrush </t>
  </si>
  <si>
    <t xml:space="preserve">Mountain Wren </t>
  </si>
  <si>
    <t xml:space="preserve">Mourning Dove </t>
  </si>
  <si>
    <t xml:space="preserve">Mourning Warbler </t>
  </si>
  <si>
    <t xml:space="preserve">Moustached Antwren </t>
  </si>
  <si>
    <t xml:space="preserve">Moustached Brushfinch </t>
  </si>
  <si>
    <t xml:space="preserve">Musk Lorikeet </t>
  </si>
  <si>
    <t xml:space="preserve">Mute Swan </t>
  </si>
  <si>
    <t xml:space="preserve">Namaqua Dove </t>
  </si>
  <si>
    <t xml:space="preserve">Nanday Parakeet </t>
  </si>
  <si>
    <t xml:space="preserve">Nankeen Kestrel </t>
  </si>
  <si>
    <t xml:space="preserve">Nashville Warbler </t>
  </si>
  <si>
    <t xml:space="preserve">Nazca Booby </t>
  </si>
  <si>
    <t xml:space="preserve">Neotropic Cormorant </t>
  </si>
  <si>
    <t xml:space="preserve">Nicaraguan Grackle </t>
  </si>
  <si>
    <t xml:space="preserve">Noisy Friarbird </t>
  </si>
  <si>
    <t xml:space="preserve">Noisy Miner </t>
  </si>
  <si>
    <t xml:space="preserve">Northern Barred-Woodcreeper </t>
  </si>
  <si>
    <t xml:space="preserve">Northern Cardinal </t>
  </si>
  <si>
    <t xml:space="preserve">Northern Emerald-Toucanet </t>
  </si>
  <si>
    <t xml:space="preserve">Northern Flicker </t>
  </si>
  <si>
    <t xml:space="preserve">Northern Gannet </t>
  </si>
  <si>
    <t xml:space="preserve">Northern Harrier </t>
  </si>
  <si>
    <t xml:space="preserve">Northern Jacana </t>
  </si>
  <si>
    <t xml:space="preserve">Northern Mockingbird </t>
  </si>
  <si>
    <t xml:space="preserve">Northern Parula </t>
  </si>
  <si>
    <t xml:space="preserve">Northern Pintail </t>
  </si>
  <si>
    <t xml:space="preserve">Northern Plain-Xenops </t>
  </si>
  <si>
    <t xml:space="preserve">Northern Screamer </t>
  </si>
  <si>
    <t xml:space="preserve">Northern Scrub-Flycatcher </t>
  </si>
  <si>
    <t xml:space="preserve">Northern Shoveler </t>
  </si>
  <si>
    <t xml:space="preserve">Northern Shrike </t>
  </si>
  <si>
    <t xml:space="preserve">Northern Waterthrush </t>
  </si>
  <si>
    <t xml:space="preserve">Oak Titmouse </t>
  </si>
  <si>
    <t xml:space="preserve">Ochraceous Wren </t>
  </si>
  <si>
    <t xml:space="preserve">Ochre-lored Flatbill </t>
  </si>
  <si>
    <t xml:space="preserve">Ochre-throated Foliage-gleaner </t>
  </si>
  <si>
    <t xml:space="preserve">Oilbird  </t>
  </si>
  <si>
    <t xml:space="preserve">Olivaceous Piculet </t>
  </si>
  <si>
    <t xml:space="preserve">Olive Bee-eater </t>
  </si>
  <si>
    <t xml:space="preserve">Olive-backed Euphonia </t>
  </si>
  <si>
    <t xml:space="preserve">Olive-capped Coua </t>
  </si>
  <si>
    <t xml:space="preserve">Olive-crowned Yellowthroat </t>
  </si>
  <si>
    <t xml:space="preserve">Olive-gray Saltator </t>
  </si>
  <si>
    <t xml:space="preserve">Olive-throated Parakeet </t>
  </si>
  <si>
    <t xml:space="preserve">Omao  </t>
  </si>
  <si>
    <t xml:space="preserve">Orange-billed Sparrow </t>
  </si>
  <si>
    <t xml:space="preserve">Orange-breasted Fruiteater </t>
  </si>
  <si>
    <t xml:space="preserve">Orange-chinned Parakeet </t>
  </si>
  <si>
    <t xml:space="preserve">Orange-crowned Warbler </t>
  </si>
  <si>
    <t xml:space="preserve">Orange-fronted Parakeet </t>
  </si>
  <si>
    <t xml:space="preserve">Orange-winged Amazon </t>
  </si>
  <si>
    <t xml:space="preserve">Orchard Oriole </t>
  </si>
  <si>
    <t xml:space="preserve">Orinocan Saltator </t>
  </si>
  <si>
    <t xml:space="preserve">Osprey  </t>
  </si>
  <si>
    <t xml:space="preserve">Ovenbird  </t>
  </si>
  <si>
    <t xml:space="preserve">Pacific Antwren </t>
  </si>
  <si>
    <t xml:space="preserve">Pacific Golden-Plover </t>
  </si>
  <si>
    <t xml:space="preserve">Pacific Gull </t>
  </si>
  <si>
    <t xml:space="preserve">Pacific Heron </t>
  </si>
  <si>
    <t xml:space="preserve">Pacific Hornero </t>
  </si>
  <si>
    <t xml:space="preserve">Pacific Loon </t>
  </si>
  <si>
    <t xml:space="preserve">Pacific Screech-Owl </t>
  </si>
  <si>
    <t xml:space="preserve">Pacific Wren </t>
  </si>
  <si>
    <t xml:space="preserve">Painted Bunting </t>
  </si>
  <si>
    <t xml:space="preserve">Pale Chanting-Goshawk </t>
  </si>
  <si>
    <t xml:space="preserve">Pale-billed Woodpecker </t>
  </si>
  <si>
    <t xml:space="preserve">Pale-breasted Spinetail </t>
  </si>
  <si>
    <t xml:space="preserve">Pale-breasted Thrush </t>
  </si>
  <si>
    <t xml:space="preserve">Pale-vented Pigeon </t>
  </si>
  <si>
    <t xml:space="preserve">Pale-winged Starling </t>
  </si>
  <si>
    <t xml:space="preserve">Palila  </t>
  </si>
  <si>
    <t xml:space="preserve">Pallid Cuckoo </t>
  </si>
  <si>
    <t xml:space="preserve">Palm Tanager </t>
  </si>
  <si>
    <t xml:space="preserve">Palm Warbler </t>
  </si>
  <si>
    <t xml:space="preserve">Panama Flycatcher </t>
  </si>
  <si>
    <t xml:space="preserve">Paramo Seedeater </t>
  </si>
  <si>
    <t xml:space="preserve">Pearl Kite </t>
  </si>
  <si>
    <t xml:space="preserve">Pearled Treerunner </t>
  </si>
  <si>
    <t xml:space="preserve">Pearly-vented Tody-Tyrant </t>
  </si>
  <si>
    <t xml:space="preserve">Pectoral Sandpiper </t>
  </si>
  <si>
    <t xml:space="preserve">Pelagic Cormorant </t>
  </si>
  <si>
    <t xml:space="preserve">Peregrine Falcon </t>
  </si>
  <si>
    <t xml:space="preserve">Pheasant Cuckoo </t>
  </si>
  <si>
    <t xml:space="preserve">Philadelphia Vireo </t>
  </si>
  <si>
    <t xml:space="preserve">Pied Avocet </t>
  </si>
  <si>
    <t xml:space="preserve">Pied Barbet </t>
  </si>
  <si>
    <t xml:space="preserve">Pied Crow </t>
  </si>
  <si>
    <t xml:space="preserve">Pied Currawong </t>
  </si>
  <si>
    <t xml:space="preserve">Pied Kingfisher </t>
  </si>
  <si>
    <t xml:space="preserve">Pied Oystercatcher </t>
  </si>
  <si>
    <t xml:space="preserve">Pied Puffbird </t>
  </si>
  <si>
    <t xml:space="preserve">Pied Stilt </t>
  </si>
  <si>
    <t xml:space="preserve">Pied Water-Tyrant </t>
  </si>
  <si>
    <t xml:space="preserve">Pied-billed Grebe </t>
  </si>
  <si>
    <t xml:space="preserve">Pileated Finch </t>
  </si>
  <si>
    <t xml:space="preserve">Pileated Woodpecker </t>
  </si>
  <si>
    <t xml:space="preserve">Pin-tailed Whydah </t>
  </si>
  <si>
    <t xml:space="preserve">Pine Grosbeak </t>
  </si>
  <si>
    <t xml:space="preserve">Pine Siskin </t>
  </si>
  <si>
    <t xml:space="preserve">Pine Warbler </t>
  </si>
  <si>
    <t xml:space="preserve">Pink Robin </t>
  </si>
  <si>
    <t xml:space="preserve">Pink-billed Cnemoscopus </t>
  </si>
  <si>
    <t xml:space="preserve">Pink-eared Duck </t>
  </si>
  <si>
    <t xml:space="preserve">Piratic Flycatcher </t>
  </si>
  <si>
    <t xml:space="preserve">Plain Antvireo </t>
  </si>
  <si>
    <t xml:space="preserve">Plain Chachalaca </t>
  </si>
  <si>
    <t xml:space="preserve">Plain-brown Woodcreeper </t>
  </si>
  <si>
    <t xml:space="preserve">Plain-colored Tanager </t>
  </si>
  <si>
    <t xml:space="preserve">Plumbeous Kite </t>
  </si>
  <si>
    <t xml:space="preserve">Powerful Woodpecker </t>
  </si>
  <si>
    <t xml:space="preserve">Prairie Warbler </t>
  </si>
  <si>
    <t xml:space="preserve">Prong-billed Barbet </t>
  </si>
  <si>
    <t xml:space="preserve">Prothonotary Warbler </t>
  </si>
  <si>
    <t xml:space="preserve">Purple Finch </t>
  </si>
  <si>
    <t xml:space="preserve">Purple Gallinule </t>
  </si>
  <si>
    <t xml:space="preserve">Purple Heron </t>
  </si>
  <si>
    <t xml:space="preserve">Purple Honeycreeper </t>
  </si>
  <si>
    <t xml:space="preserve">Purple Martin </t>
  </si>
  <si>
    <t xml:space="preserve">Purple-backed Thornbill </t>
  </si>
  <si>
    <t xml:space="preserve">Purple-bibbed Whitetip </t>
  </si>
  <si>
    <t xml:space="preserve">Purple-crowned Fairy </t>
  </si>
  <si>
    <t xml:space="preserve">Purple-throated Fruitcrow </t>
  </si>
  <si>
    <t xml:space="preserve">Purple-throated Mountain-gem </t>
  </si>
  <si>
    <t xml:space="preserve">Purple-throated Woodstar </t>
  </si>
  <si>
    <t xml:space="preserve">Pygmy Falcon </t>
  </si>
  <si>
    <t xml:space="preserve">Rainbow Lorikeet </t>
  </si>
  <si>
    <t xml:space="preserve">Red Fody </t>
  </si>
  <si>
    <t xml:space="preserve">Red Wattlebird </t>
  </si>
  <si>
    <t xml:space="preserve">Red-and-yellow Barbet </t>
  </si>
  <si>
    <t xml:space="preserve">Red-bellied Woodpecker </t>
  </si>
  <si>
    <t xml:space="preserve">Red-billed Buffalo-Weaver </t>
  </si>
  <si>
    <t xml:space="preserve">Red-billed Duck </t>
  </si>
  <si>
    <t xml:space="preserve">Red-billed Emerald </t>
  </si>
  <si>
    <t xml:space="preserve">Red-billed Leiothrix </t>
  </si>
  <si>
    <t xml:space="preserve">Red-billed Parrot </t>
  </si>
  <si>
    <t xml:space="preserve">Red-billed Pigeon </t>
  </si>
  <si>
    <t xml:space="preserve">Red-billed Spurfowl </t>
  </si>
  <si>
    <t xml:space="preserve">Red-billed Tropicbird </t>
  </si>
  <si>
    <t xml:space="preserve">Red-breasted Coua </t>
  </si>
  <si>
    <t xml:space="preserve">Red-breasted Meadowlark </t>
  </si>
  <si>
    <t xml:space="preserve">Red-breasted Merganser </t>
  </si>
  <si>
    <t xml:space="preserve">Red-breasted Nuthatch </t>
  </si>
  <si>
    <t xml:space="preserve">Red-browed Firetail </t>
  </si>
  <si>
    <t xml:space="preserve">Red-capped Lark </t>
  </si>
  <si>
    <t xml:space="preserve">Red-capped Manakin </t>
  </si>
  <si>
    <t xml:space="preserve">Red-capped Plover </t>
  </si>
  <si>
    <t xml:space="preserve">Red-capped Robin-Chat </t>
  </si>
  <si>
    <t xml:space="preserve">Red-crested Bustard </t>
  </si>
  <si>
    <t xml:space="preserve">Red-crowned Ant-Tanager </t>
  </si>
  <si>
    <t xml:space="preserve">Red-crowned Woodpecker </t>
  </si>
  <si>
    <t xml:space="preserve">Red-eyed Dove </t>
  </si>
  <si>
    <t xml:space="preserve">Red-eyed Vireo </t>
  </si>
  <si>
    <t xml:space="preserve">Red-faced Spinetail </t>
  </si>
  <si>
    <t xml:space="preserve">Red-footed Booby </t>
  </si>
  <si>
    <t xml:space="preserve">Red-fronted Coua </t>
  </si>
  <si>
    <t xml:space="preserve">Red-headed Barbet </t>
  </si>
  <si>
    <t xml:space="preserve">Red-headed Finch </t>
  </si>
  <si>
    <t xml:space="preserve">Red-headed Woodpecker </t>
  </si>
  <si>
    <t xml:space="preserve">Red-legged Honeycreeper </t>
  </si>
  <si>
    <t xml:space="preserve">Red-lored Amazon </t>
  </si>
  <si>
    <t xml:space="preserve">Red-necked Avocet </t>
  </si>
  <si>
    <t xml:space="preserve">Red-necked Falcon </t>
  </si>
  <si>
    <t xml:space="preserve">Red-necked Phalarope </t>
  </si>
  <si>
    <t xml:space="preserve">Red-necked Spurfowl </t>
  </si>
  <si>
    <t xml:space="preserve">Red-necked Stint </t>
  </si>
  <si>
    <t xml:space="preserve">Red-rumped Parrot </t>
  </si>
  <si>
    <t xml:space="preserve">Red-rumped Woodpecker </t>
  </si>
  <si>
    <t xml:space="preserve">Red-shouldered Hawk </t>
  </si>
  <si>
    <t xml:space="preserve">Red-shouldered Vanga </t>
  </si>
  <si>
    <t xml:space="preserve">Red-tailed Hawk </t>
  </si>
  <si>
    <t xml:space="preserve">Red-tailed Tropicbird </t>
  </si>
  <si>
    <t xml:space="preserve">Red-tailed Vanga </t>
  </si>
  <si>
    <t xml:space="preserve">Red-throated Ant-Tanager </t>
  </si>
  <si>
    <t xml:space="preserve">Red-throated Loon </t>
  </si>
  <si>
    <t xml:space="preserve">Red-throated Wryneck </t>
  </si>
  <si>
    <t xml:space="preserve">Red-winged Blackbird </t>
  </si>
  <si>
    <t xml:space="preserve">Reddish Egret </t>
  </si>
  <si>
    <t xml:space="preserve">Redhead  </t>
  </si>
  <si>
    <t xml:space="preserve">Redpoll  </t>
  </si>
  <si>
    <t xml:space="preserve">Reed Cormorant </t>
  </si>
  <si>
    <t xml:space="preserve">Resplendent Quetzal </t>
  </si>
  <si>
    <t xml:space="preserve">Ring-billed Gull </t>
  </si>
  <si>
    <t xml:space="preserve">Ring-necked Duck </t>
  </si>
  <si>
    <t xml:space="preserve">Ringed Kingfisher </t>
  </si>
  <si>
    <t xml:space="preserve">Roadside Hawk </t>
  </si>
  <si>
    <t xml:space="preserve">Rock Kestrel </t>
  </si>
  <si>
    <t xml:space="preserve">Rock Pratincole </t>
  </si>
  <si>
    <t xml:space="preserve">Rose-breasted Grosbeak </t>
  </si>
  <si>
    <t xml:space="preserve">Rose-throated Becard </t>
  </si>
  <si>
    <t xml:space="preserve">Roseate Spoonbill </t>
  </si>
  <si>
    <t xml:space="preserve">Rosy Thrush-Tanager </t>
  </si>
  <si>
    <t xml:space="preserve">Rosy-faced Lovebird </t>
  </si>
  <si>
    <t xml:space="preserve">Rough-legged Hawk </t>
  </si>
  <si>
    <t xml:space="preserve">Royal Spoonbill </t>
  </si>
  <si>
    <t xml:space="preserve">Royal Tern </t>
  </si>
  <si>
    <t xml:space="preserve">Ruby-crowned Kinglet </t>
  </si>
  <si>
    <t xml:space="preserve">Ruby-throated Hummingbird </t>
  </si>
  <si>
    <t xml:space="preserve">Ruby-topaz Hummingbird </t>
  </si>
  <si>
    <t xml:space="preserve">Ruddy Duck </t>
  </si>
  <si>
    <t xml:space="preserve">Ruddy Treerunner </t>
  </si>
  <si>
    <t xml:space="preserve">Ruddy Turnstone </t>
  </si>
  <si>
    <t xml:space="preserve">Ruddy Woodcreeper </t>
  </si>
  <si>
    <t xml:space="preserve">Ruddy-capped Nightingale-Thrush </t>
  </si>
  <si>
    <t xml:space="preserve">Ruddy-tailed Flycatcher </t>
  </si>
  <si>
    <t xml:space="preserve">Rufescent Tiger-Heron </t>
  </si>
  <si>
    <t xml:space="preserve">Ruffed Grouse </t>
  </si>
  <si>
    <t xml:space="preserve">Rufous Bristlebird </t>
  </si>
  <si>
    <t xml:space="preserve">Rufous Motmot </t>
  </si>
  <si>
    <t xml:space="preserve">Rufous-backed Wren </t>
  </si>
  <si>
    <t xml:space="preserve">Rufous-browed Conebill </t>
  </si>
  <si>
    <t xml:space="preserve">Rufous-browed Peppershrike </t>
  </si>
  <si>
    <t xml:space="preserve">Rufous-collared Sparrow </t>
  </si>
  <si>
    <t xml:space="preserve">Rufous-crowned Tody-Flycatcher </t>
  </si>
  <si>
    <t xml:space="preserve">Rufous-fronted Wood-Quail </t>
  </si>
  <si>
    <t xml:space="preserve">Rufous-headed Ground-Roller </t>
  </si>
  <si>
    <t xml:space="preserve">Rufous-naped Lark </t>
  </si>
  <si>
    <t xml:space="preserve">Rufous-tailed Hummingbird </t>
  </si>
  <si>
    <t xml:space="preserve">Rufous-tailed Jacamar </t>
  </si>
  <si>
    <t xml:space="preserve">Rufous-throated Tanager </t>
  </si>
  <si>
    <t xml:space="preserve">Rufous-vented Chachalaca </t>
  </si>
  <si>
    <t xml:space="preserve">Rufous-winged Woodpecker </t>
  </si>
  <si>
    <t xml:space="preserve">Running Coua </t>
  </si>
  <si>
    <t xml:space="preserve">Russet-crowned Warbler </t>
  </si>
  <si>
    <t xml:space="preserve">Russet-naped Wood-Rail </t>
  </si>
  <si>
    <t xml:space="preserve">Russet-throated Puffbird </t>
  </si>
  <si>
    <t xml:space="preserve">Rusty Blackbird </t>
  </si>
  <si>
    <t xml:space="preserve">Rusty Flowerpiercer </t>
  </si>
  <si>
    <t xml:space="preserve">Rusty-margined Flycatcher </t>
  </si>
  <si>
    <t xml:space="preserve">Rusty-winged Antwren </t>
  </si>
  <si>
    <t xml:space="preserve">Sacred Kingfisher </t>
  </si>
  <si>
    <t xml:space="preserve">Saffron Finch </t>
  </si>
  <si>
    <t xml:space="preserve">Sakalava Weaver </t>
  </si>
  <si>
    <t xml:space="preserve">Sanderling  </t>
  </si>
  <si>
    <t xml:space="preserve">Sandhill Crane </t>
  </si>
  <si>
    <t xml:space="preserve">Sandwich Tern </t>
  </si>
  <si>
    <t xml:space="preserve">Sapphire-bellied Hummingbird </t>
  </si>
  <si>
    <t xml:space="preserve">Sapphire-throated Hummingbird </t>
  </si>
  <si>
    <t xml:space="preserve">Satin Bowerbird </t>
  </si>
  <si>
    <t xml:space="preserve">Savanna Hawk </t>
  </si>
  <si>
    <t xml:space="preserve">Savannah Sparrow </t>
  </si>
  <si>
    <t xml:space="preserve">Scaled Dove </t>
  </si>
  <si>
    <t xml:space="preserve">Scaled Fruiteater </t>
  </si>
  <si>
    <t xml:space="preserve">Scaly Ground-Roller </t>
  </si>
  <si>
    <t xml:space="preserve">Scaly Weaver </t>
  </si>
  <si>
    <t xml:space="preserve">Scaly-breasted Hummingbird </t>
  </si>
  <si>
    <t xml:space="preserve">Scaly-throated Foliage-gleaner </t>
  </si>
  <si>
    <t xml:space="preserve">Scarlet Ibis </t>
  </si>
  <si>
    <t xml:space="preserve">Scarlet Macaw </t>
  </si>
  <si>
    <t xml:space="preserve">Scarlet Robin </t>
  </si>
  <si>
    <t xml:space="preserve">Scarlet Tanager </t>
  </si>
  <si>
    <t>Scarlet-bellied Mountain Tanager</t>
  </si>
  <si>
    <t xml:space="preserve">Scarlet-fronted Parakeet </t>
  </si>
  <si>
    <t xml:space="preserve">Scarlet-rumped Tanager </t>
  </si>
  <si>
    <t xml:space="preserve">Scissor-tailed Flycatcher </t>
  </si>
  <si>
    <t xml:space="preserve">Scrub Greenlet </t>
  </si>
  <si>
    <t xml:space="preserve">Scrub Tanager </t>
  </si>
  <si>
    <t xml:space="preserve">Secretarybird  </t>
  </si>
  <si>
    <t xml:space="preserve">Sedge Wren </t>
  </si>
  <si>
    <t xml:space="preserve">Semipalmated Plover </t>
  </si>
  <si>
    <t xml:space="preserve">Semipalmated Sandpiper </t>
  </si>
  <si>
    <t xml:space="preserve">Sharp-tailed Sandpiper </t>
  </si>
  <si>
    <t xml:space="preserve">Shikra  </t>
  </si>
  <si>
    <t xml:space="preserve">Shining Bronze-Cuckoo </t>
  </si>
  <si>
    <t xml:space="preserve">Shining Honeycreeper </t>
  </si>
  <si>
    <t xml:space="preserve">Shining Sunbeam </t>
  </si>
  <si>
    <t xml:space="preserve">Shiny Cowbird </t>
  </si>
  <si>
    <t xml:space="preserve">Short-billed Dowitcher </t>
  </si>
  <si>
    <t xml:space="preserve">Short-billed Pigeon </t>
  </si>
  <si>
    <t xml:space="preserve">Short-eared Owl </t>
  </si>
  <si>
    <t xml:space="preserve">Short-tailed Hawk </t>
  </si>
  <si>
    <t xml:space="preserve">Short-toed Rock-Thrush </t>
  </si>
  <si>
    <t xml:space="preserve">Sickle-billed Vanga </t>
  </si>
  <si>
    <t xml:space="preserve">Sickle-winged Guan </t>
  </si>
  <si>
    <t xml:space="preserve">Silver Gull </t>
  </si>
  <si>
    <t xml:space="preserve">Silver-beaked Tanager </t>
  </si>
  <si>
    <t xml:space="preserve">Silver-throated Tanager </t>
  </si>
  <si>
    <t xml:space="preserve">Silvereye  </t>
  </si>
  <si>
    <t xml:space="preserve">Silvery Grebe </t>
  </si>
  <si>
    <t xml:space="preserve">Silvery-cheeked Hornbill </t>
  </si>
  <si>
    <t xml:space="preserve">Singing Honeyeater </t>
  </si>
  <si>
    <t xml:space="preserve">Slate-colored Seedeater </t>
  </si>
  <si>
    <t xml:space="preserve">Slate-crowned Antpitta </t>
  </si>
  <si>
    <t xml:space="preserve">Slate-throated Redstart </t>
  </si>
  <si>
    <t xml:space="preserve">Slaty Egret </t>
  </si>
  <si>
    <t xml:space="preserve">Slaty Flowerpiercer </t>
  </si>
  <si>
    <t xml:space="preserve">Slaty Spinetail </t>
  </si>
  <si>
    <t xml:space="preserve">Slaty-tailed Trogon </t>
  </si>
  <si>
    <t xml:space="preserve">Smoke-colored Pewee </t>
  </si>
  <si>
    <t xml:space="preserve">Smoky-brown Woodpecker </t>
  </si>
  <si>
    <t xml:space="preserve">Smooth-billed Ani </t>
  </si>
  <si>
    <t xml:space="preserve">Snail Kite </t>
  </si>
  <si>
    <t xml:space="preserve">Snow Bunting </t>
  </si>
  <si>
    <t xml:space="preserve">Snow Goose </t>
  </si>
  <si>
    <t xml:space="preserve">Snowcap  </t>
  </si>
  <si>
    <t xml:space="preserve">Snowy Cotinga </t>
  </si>
  <si>
    <t xml:space="preserve">Snowy Egret </t>
  </si>
  <si>
    <t xml:space="preserve">Snowy Owl </t>
  </si>
  <si>
    <t xml:space="preserve">Snowy Plover </t>
  </si>
  <si>
    <t xml:space="preserve">Social Flycatcher </t>
  </si>
  <si>
    <t xml:space="preserve">Solitary Sandpiper </t>
  </si>
  <si>
    <t xml:space="preserve">Song Sparrow </t>
  </si>
  <si>
    <t xml:space="preserve">Song Wren </t>
  </si>
  <si>
    <t xml:space="preserve">Sooty Oystercatcher </t>
  </si>
  <si>
    <t xml:space="preserve">Sooty Tern </t>
  </si>
  <si>
    <t xml:space="preserve">Sooty-capped Chlorospingus </t>
  </si>
  <si>
    <t xml:space="preserve">Sooty-headed Tyrannulet </t>
  </si>
  <si>
    <t xml:space="preserve">Sora  </t>
  </si>
  <si>
    <t xml:space="preserve">Souimanga Sunbird </t>
  </si>
  <si>
    <t xml:space="preserve">Southern Black-Flycatcher </t>
  </si>
  <si>
    <t xml:space="preserve">Southern Cordonbleu </t>
  </si>
  <si>
    <t xml:space="preserve">Southern Emerald-Toucanet </t>
  </si>
  <si>
    <t xml:space="preserve">Southern Emuwren </t>
  </si>
  <si>
    <t xml:space="preserve">Southern Fiscal </t>
  </si>
  <si>
    <t xml:space="preserve">Southern Ground-Hornbill </t>
  </si>
  <si>
    <t xml:space="preserve">Southern Lapwing </t>
  </si>
  <si>
    <t>Southern Rough-winged Swallow</t>
  </si>
  <si>
    <t>Southern Yellow-billed Hornbill</t>
  </si>
  <si>
    <t xml:space="preserve">Spangle-cheeked Tanager </t>
  </si>
  <si>
    <t xml:space="preserve">Sparkling Violetear </t>
  </si>
  <si>
    <t xml:space="preserve">Speckle-fronted Weaver </t>
  </si>
  <si>
    <t xml:space="preserve">Speckled Mousebird </t>
  </si>
  <si>
    <t xml:space="preserve">Speckled Pigeon </t>
  </si>
  <si>
    <t xml:space="preserve">Spectacled Owl </t>
  </si>
  <si>
    <t xml:space="preserve">Spectacled Parrotlet </t>
  </si>
  <si>
    <t xml:space="preserve">Spectacled Redstart </t>
  </si>
  <si>
    <t xml:space="preserve">Spectacled Thrush </t>
  </si>
  <si>
    <t xml:space="preserve">Spectacled Tyrannulet </t>
  </si>
  <si>
    <t xml:space="preserve">Spot-breasted Oriole </t>
  </si>
  <si>
    <t xml:space="preserve">Spot-breasted Woodpecker </t>
  </si>
  <si>
    <t xml:space="preserve">Spot-breasted Wren </t>
  </si>
  <si>
    <t xml:space="preserve">Spot-crowned Barbet </t>
  </si>
  <si>
    <t xml:space="preserve">Spot-crowned Woodcreeper </t>
  </si>
  <si>
    <t xml:space="preserve">Spotted Antbird </t>
  </si>
  <si>
    <t xml:space="preserve">Spotted Barbtail </t>
  </si>
  <si>
    <t xml:space="preserve">Spotted Dove </t>
  </si>
  <si>
    <t xml:space="preserve">Spotted Eagle-Owl </t>
  </si>
  <si>
    <t xml:space="preserve">Spotted Pardalote </t>
  </si>
  <si>
    <t xml:space="preserve">Spotted Sandpiper </t>
  </si>
  <si>
    <t xml:space="preserve">Spotted Towhee </t>
  </si>
  <si>
    <t xml:space="preserve">Spotted Wood-Quail </t>
  </si>
  <si>
    <t xml:space="preserve">Spotted Woodcreeper </t>
  </si>
  <si>
    <t xml:space="preserve">Spruce Grouse </t>
  </si>
  <si>
    <t xml:space="preserve">Spur-winged Goose </t>
  </si>
  <si>
    <t xml:space="preserve">Spur-winged Lapwing </t>
  </si>
  <si>
    <t xml:space="preserve">Squacco Heron </t>
  </si>
  <si>
    <t xml:space="preserve">Steely-vented Hummingbird </t>
  </si>
  <si>
    <t xml:space="preserve">Stout-billed Cinclodes </t>
  </si>
  <si>
    <t xml:space="preserve">Straight-billed Woodcreeper </t>
  </si>
  <si>
    <t xml:space="preserve">Streak-backed Oriole </t>
  </si>
  <si>
    <t xml:space="preserve">Streak-capped Spinetail </t>
  </si>
  <si>
    <t xml:space="preserve">Streak-headed Woodcreeper </t>
  </si>
  <si>
    <t xml:space="preserve">Streak-throated Bush-Tyrant </t>
  </si>
  <si>
    <t xml:space="preserve">Streaked Flycatcher </t>
  </si>
  <si>
    <t xml:space="preserve">Streaked Saltator </t>
  </si>
  <si>
    <t xml:space="preserve">Streaky-headed Seedeater </t>
  </si>
  <si>
    <t xml:space="preserve">Striated Fieldwren </t>
  </si>
  <si>
    <t xml:space="preserve">Striated Heron </t>
  </si>
  <si>
    <t xml:space="preserve">Stripe-backed Wren </t>
  </si>
  <si>
    <t xml:space="preserve">Stripe-breasted Wren </t>
  </si>
  <si>
    <t xml:space="preserve">Stripe-headed Sparrow </t>
  </si>
  <si>
    <t xml:space="preserve">Stripe-tailed Hummingbird </t>
  </si>
  <si>
    <t xml:space="preserve">Stripe-throated Hermit </t>
  </si>
  <si>
    <t xml:space="preserve">Stripe-throated Jery </t>
  </si>
  <si>
    <t xml:space="preserve">Strong-billed Woodcreeper </t>
  </si>
  <si>
    <t xml:space="preserve">Stygian Owl </t>
  </si>
  <si>
    <t xml:space="preserve">Subdesert Brush-Warbler </t>
  </si>
  <si>
    <t xml:space="preserve">Subdesert Mesite </t>
  </si>
  <si>
    <t xml:space="preserve">Sulphur-bellied Flycatcher </t>
  </si>
  <si>
    <t xml:space="preserve">Sulphur-breasted Bushshrike </t>
  </si>
  <si>
    <t xml:space="preserve">Sulphur-crested Cockatoo </t>
  </si>
  <si>
    <t xml:space="preserve">Sulphur-winged Parakeet </t>
  </si>
  <si>
    <t xml:space="preserve">Summer Tanager </t>
  </si>
  <si>
    <t xml:space="preserve">Sunbittern  </t>
  </si>
  <si>
    <t xml:space="preserve">Superb Fairywren </t>
  </si>
  <si>
    <t xml:space="preserve">Superb Starling </t>
  </si>
  <si>
    <t xml:space="preserve">Superciliaried Hemispingus </t>
  </si>
  <si>
    <t xml:space="preserve">Surf Scoter </t>
  </si>
  <si>
    <t xml:space="preserve">Swallow Tanager </t>
  </si>
  <si>
    <t xml:space="preserve">Swallow-tailed Gull </t>
  </si>
  <si>
    <t xml:space="preserve">Swallow-tailed Kite </t>
  </si>
  <si>
    <t xml:space="preserve">Swamp Harrier </t>
  </si>
  <si>
    <t xml:space="preserve">Swamp Sparrow </t>
  </si>
  <si>
    <t xml:space="preserve">Sword-billed Hummingbird </t>
  </si>
  <si>
    <t xml:space="preserve">Talamanca Hummingbird </t>
  </si>
  <si>
    <t xml:space="preserve">Tasmanian Nativehen </t>
  </si>
  <si>
    <t xml:space="preserve">Tasmanian Thornbill </t>
  </si>
  <si>
    <t xml:space="preserve">Tawny Eagle </t>
  </si>
  <si>
    <t xml:space="preserve">Tawny Frogmouth </t>
  </si>
  <si>
    <t xml:space="preserve">Tawny-capped Euphonia </t>
  </si>
  <si>
    <t xml:space="preserve">Tawny-crested Tanager </t>
  </si>
  <si>
    <t xml:space="preserve">Tawny-flanked Prinia </t>
  </si>
  <si>
    <t xml:space="preserve">Tawny-winged Woodcreeper </t>
  </si>
  <si>
    <t xml:space="preserve">Tennessee Warbler </t>
  </si>
  <si>
    <t xml:space="preserve">Thick-billed Euphonia </t>
  </si>
  <si>
    <t xml:space="preserve">Thick-billed Seed-Finch </t>
  </si>
  <si>
    <t xml:space="preserve">Three-banded Plover </t>
  </si>
  <si>
    <t xml:space="preserve">Three-wattled Bellbird </t>
  </si>
  <si>
    <t xml:space="preserve">Timberline Wren </t>
  </si>
  <si>
    <t xml:space="preserve">Tiny Hawk </t>
  </si>
  <si>
    <t xml:space="preserve">Tody Motmot </t>
  </si>
  <si>
    <t xml:space="preserve">Torrent Duck </t>
  </si>
  <si>
    <t xml:space="preserve">Torrent Tyrannulet </t>
  </si>
  <si>
    <t xml:space="preserve">Toucan Barbet </t>
  </si>
  <si>
    <t xml:space="preserve">Tourmaline Sunangel </t>
  </si>
  <si>
    <t xml:space="preserve">Tree Swallow </t>
  </si>
  <si>
    <t xml:space="preserve">Tricolored Heron </t>
  </si>
  <si>
    <t xml:space="preserve">Trinidad Euphonia </t>
  </si>
  <si>
    <t xml:space="preserve">Trinidad Motmot </t>
  </si>
  <si>
    <t xml:space="preserve">Tropical Gnatcatcher </t>
  </si>
  <si>
    <t xml:space="preserve">Tropical Kingbird </t>
  </si>
  <si>
    <t xml:space="preserve">Tropical Mockingbird </t>
  </si>
  <si>
    <t xml:space="preserve">Tropical Parula </t>
  </si>
  <si>
    <t xml:space="preserve">Tropical Screech-Owl </t>
  </si>
  <si>
    <t xml:space="preserve">Trumpeter Swan </t>
  </si>
  <si>
    <t xml:space="preserve">Tufted Coquette </t>
  </si>
  <si>
    <t xml:space="preserve">Tufted Flycatcher </t>
  </si>
  <si>
    <t xml:space="preserve">Tufted Titmouse </t>
  </si>
  <si>
    <t xml:space="preserve">Tundra Swan </t>
  </si>
  <si>
    <t xml:space="preserve">Turkey Vulture </t>
  </si>
  <si>
    <t xml:space="preserve">Turquoise-browed Motmot </t>
  </si>
  <si>
    <t xml:space="preserve">Turquoise-winged Parrotlet </t>
  </si>
  <si>
    <t xml:space="preserve">Tylas Vanga </t>
  </si>
  <si>
    <t xml:space="preserve">Tyrannine Woodcreeper </t>
  </si>
  <si>
    <t xml:space="preserve">Uniform Crake </t>
  </si>
  <si>
    <t xml:space="preserve">Upland Sandpiper </t>
  </si>
  <si>
    <t xml:space="preserve">Variable Seedeater </t>
  </si>
  <si>
    <t xml:space="preserve">Veery  </t>
  </si>
  <si>
    <t xml:space="preserve">Velvet Asity </t>
  </si>
  <si>
    <t xml:space="preserve">Velvet-purple Coronet </t>
  </si>
  <si>
    <t xml:space="preserve">Velvety Manakin </t>
  </si>
  <si>
    <t xml:space="preserve">Venezuelan Flycatcher </t>
  </si>
  <si>
    <t xml:space="preserve">Vermilion Cardinal </t>
  </si>
  <si>
    <t xml:space="preserve">Vermilion Flycatcher </t>
  </si>
  <si>
    <t xml:space="preserve">Vesper Sparrow </t>
  </si>
  <si>
    <t xml:space="preserve">Village Weaver </t>
  </si>
  <si>
    <t xml:space="preserve">Violaceous Euphonia </t>
  </si>
  <si>
    <t xml:space="preserve">Violet Sabrewing </t>
  </si>
  <si>
    <t xml:space="preserve">Violet-bellied Hummingbird </t>
  </si>
  <si>
    <t xml:space="preserve">Violet-eared Waxbill </t>
  </si>
  <si>
    <t xml:space="preserve">Violet-tailed Sylph </t>
  </si>
  <si>
    <t xml:space="preserve">Virginia Rail </t>
  </si>
  <si>
    <t xml:space="preserve">Viridian Metaltail </t>
  </si>
  <si>
    <t xml:space="preserve">Volcano Hummingbird </t>
  </si>
  <si>
    <t xml:space="preserve">Volcano Junco </t>
  </si>
  <si>
    <t xml:space="preserve">Wandering Tattler </t>
  </si>
  <si>
    <t xml:space="preserve">Warbling White-eye </t>
  </si>
  <si>
    <t xml:space="preserve">Water Thick-knee </t>
  </si>
  <si>
    <t xml:space="preserve">Wattled Crane </t>
  </si>
  <si>
    <t xml:space="preserve">Wattled Jacana </t>
  </si>
  <si>
    <t xml:space="preserve">Wattled Lapwing </t>
  </si>
  <si>
    <t xml:space="preserve">Wattled Starling </t>
  </si>
  <si>
    <t xml:space="preserve">Waved Albatross </t>
  </si>
  <si>
    <t xml:space="preserve">Wedge-tailed Eagle </t>
  </si>
  <si>
    <t xml:space="preserve">Welcome Swallow </t>
  </si>
  <si>
    <t xml:space="preserve">Western Cattle-Egret </t>
  </si>
  <si>
    <t xml:space="preserve">Western Emerald </t>
  </si>
  <si>
    <t xml:space="preserve">Western Gull </t>
  </si>
  <si>
    <t xml:space="preserve">Western Kingbird </t>
  </si>
  <si>
    <t xml:space="preserve">Western Meadowlark </t>
  </si>
  <si>
    <t xml:space="preserve">Western Sandpiper </t>
  </si>
  <si>
    <t xml:space="preserve">Western Wood-Pewee </t>
  </si>
  <si>
    <t xml:space="preserve">Western Woodhaunter </t>
  </si>
  <si>
    <t xml:space="preserve">Whiskered Tern </t>
  </si>
  <si>
    <t xml:space="preserve">Whistling Kite </t>
  </si>
  <si>
    <t xml:space="preserve">White Hawk </t>
  </si>
  <si>
    <t xml:space="preserve">White Ibis </t>
  </si>
  <si>
    <t xml:space="preserve">White-banded Tyrannulet </t>
  </si>
  <si>
    <t xml:space="preserve">White-bearded Manakin </t>
  </si>
  <si>
    <t xml:space="preserve">White-bellied Antbird </t>
  </si>
  <si>
    <t xml:space="preserve">White-bellied Go-away-bird </t>
  </si>
  <si>
    <t xml:space="preserve">White-bellied Sea-Eagle </t>
  </si>
  <si>
    <t xml:space="preserve">White-bellied Sunbird </t>
  </si>
  <si>
    <t xml:space="preserve">White-bellied Woodstar </t>
  </si>
  <si>
    <t xml:space="preserve">White-booted Racket-tail </t>
  </si>
  <si>
    <t xml:space="preserve">White-breasted Nuthatch </t>
  </si>
  <si>
    <t xml:space="preserve">White-breasted Wood-Wren </t>
  </si>
  <si>
    <t xml:space="preserve">White-browed Coucal </t>
  </si>
  <si>
    <t xml:space="preserve">White-browed Owl </t>
  </si>
  <si>
    <t xml:space="preserve">White-browed Robin-Chat </t>
  </si>
  <si>
    <t xml:space="preserve">White-browed Scrub-Robin </t>
  </si>
  <si>
    <t xml:space="preserve">White-browed Scrubwren </t>
  </si>
  <si>
    <t xml:space="preserve">White-capped Dipper </t>
  </si>
  <si>
    <t xml:space="preserve">White-capped Tanager </t>
  </si>
  <si>
    <t xml:space="preserve">White-chested Emerald </t>
  </si>
  <si>
    <t xml:space="preserve">White-chinned Thistletail </t>
  </si>
  <si>
    <t xml:space="preserve">White-collared Manakin </t>
  </si>
  <si>
    <t xml:space="preserve">White-collared Swift </t>
  </si>
  <si>
    <t xml:space="preserve">White-crowned Parrot </t>
  </si>
  <si>
    <t xml:space="preserve">White-crowned Shrike </t>
  </si>
  <si>
    <t xml:space="preserve">White-crowned Sparrow </t>
  </si>
  <si>
    <t xml:space="preserve">White-eared Ground-Sparrow </t>
  </si>
  <si>
    <t xml:space="preserve">White-eared Honeyeater </t>
  </si>
  <si>
    <t xml:space="preserve">White-eyed Vireo </t>
  </si>
  <si>
    <t xml:space="preserve">White-faced Heron </t>
  </si>
  <si>
    <t xml:space="preserve">White-faced Whistling-Duck </t>
  </si>
  <si>
    <t xml:space="preserve">White-fronted Amazon </t>
  </si>
  <si>
    <t xml:space="preserve">White-fronted Bee-eater </t>
  </si>
  <si>
    <t xml:space="preserve">White-fronted Chat </t>
  </si>
  <si>
    <t xml:space="preserve">White-fronted Plover </t>
  </si>
  <si>
    <t xml:space="preserve">White-headed Buffalo-Weaver </t>
  </si>
  <si>
    <t xml:space="preserve">White-headed Wren </t>
  </si>
  <si>
    <t xml:space="preserve">White-lined Tanager </t>
  </si>
  <si>
    <t xml:space="preserve">White-lored Warbler </t>
  </si>
  <si>
    <t xml:space="preserve">White-naped Brushfinch </t>
  </si>
  <si>
    <t xml:space="preserve">White-naped Honeyeater </t>
  </si>
  <si>
    <t xml:space="preserve">White-necked Jacobin </t>
  </si>
  <si>
    <t xml:space="preserve">White-necked Puffbird </t>
  </si>
  <si>
    <t xml:space="preserve">White-necked Thrush </t>
  </si>
  <si>
    <t xml:space="preserve">White-plumed Honeyeater </t>
  </si>
  <si>
    <t xml:space="preserve">White-quilled Bustard </t>
  </si>
  <si>
    <t xml:space="preserve">White-rumped Hawk </t>
  </si>
  <si>
    <t xml:space="preserve">White-rumped Sandpiper </t>
  </si>
  <si>
    <t xml:space="preserve">White-rumped Shrike </t>
  </si>
  <si>
    <t xml:space="preserve">White-shouldered Tanager </t>
  </si>
  <si>
    <t xml:space="preserve">White-sided Flowerpiercer </t>
  </si>
  <si>
    <t xml:space="preserve">White-tailed Kite </t>
  </si>
  <si>
    <t xml:space="preserve">White-tailed Nightjar </t>
  </si>
  <si>
    <t xml:space="preserve">White-tailed Sabrewing </t>
  </si>
  <si>
    <t xml:space="preserve">White-tailed Shrike </t>
  </si>
  <si>
    <t xml:space="preserve">White-tailed Starfrontlet </t>
  </si>
  <si>
    <t xml:space="preserve">White-tailed Trogon </t>
  </si>
  <si>
    <t xml:space="preserve">White-tailed Tropicbird </t>
  </si>
  <si>
    <t xml:space="preserve">White-throated Crake </t>
  </si>
  <si>
    <t xml:space="preserve">White-throated Magpie-Jay </t>
  </si>
  <si>
    <t xml:space="preserve">White-throated Mountain-gem </t>
  </si>
  <si>
    <t xml:space="preserve">White-throated Quail-Dove </t>
  </si>
  <si>
    <t xml:space="preserve">White-throated Rail </t>
  </si>
  <si>
    <t xml:space="preserve">White-throated Sparrow </t>
  </si>
  <si>
    <t xml:space="preserve">White-throated Thrush </t>
  </si>
  <si>
    <t xml:space="preserve">White-throated Tyrannulet </t>
  </si>
  <si>
    <t xml:space="preserve">White-tipped Dove </t>
  </si>
  <si>
    <t xml:space="preserve">White-vented Plumeleteer </t>
  </si>
  <si>
    <t xml:space="preserve">White-whiskered Hermit </t>
  </si>
  <si>
    <t xml:space="preserve">White-whiskered Puffbird </t>
  </si>
  <si>
    <t xml:space="preserve">White-whiskered Spinetail </t>
  </si>
  <si>
    <t xml:space="preserve">White-winged Brushfinch </t>
  </si>
  <si>
    <t xml:space="preserve">White-winged Dove </t>
  </si>
  <si>
    <t xml:space="preserve">White-winged Scoter </t>
  </si>
  <si>
    <t xml:space="preserve">White-winged Swallow </t>
  </si>
  <si>
    <t xml:space="preserve">Whooping Motmot </t>
  </si>
  <si>
    <t xml:space="preserve">Wild Turkey </t>
  </si>
  <si>
    <t xml:space="preserve">Willet  </t>
  </si>
  <si>
    <t xml:space="preserve">Willie-wagtail  </t>
  </si>
  <si>
    <t xml:space="preserve">Willow Flycatcher </t>
  </si>
  <si>
    <t xml:space="preserve">Willow Ptarmigan </t>
  </si>
  <si>
    <t xml:space="preserve">Wood Duck </t>
  </si>
  <si>
    <t xml:space="preserve">Wood Stork </t>
  </si>
  <si>
    <t xml:space="preserve">Wood Thrush </t>
  </si>
  <si>
    <t xml:space="preserve">Yellow Oriole </t>
  </si>
  <si>
    <t xml:space="preserve">Yellow Wattlebird </t>
  </si>
  <si>
    <t xml:space="preserve">Yellow-backed Oriole </t>
  </si>
  <si>
    <t xml:space="preserve">Yellow-bellied Chat-Tyrant </t>
  </si>
  <si>
    <t xml:space="preserve">Yellow-bellied Elaenia </t>
  </si>
  <si>
    <t xml:space="preserve">Yellow-bellied Flycatcher </t>
  </si>
  <si>
    <t xml:space="preserve">Yellow-bellied Sapsucker </t>
  </si>
  <si>
    <t xml:space="preserve">Yellow-bellied Seedeater </t>
  </si>
  <si>
    <t xml:space="preserve">Yellow-bellied Siskin </t>
  </si>
  <si>
    <t xml:space="preserve">Yellow-billed Cacique </t>
  </si>
  <si>
    <t xml:space="preserve">Yellow-billed Cardinal </t>
  </si>
  <si>
    <t xml:space="preserve">Yellow-billed Cuckoo </t>
  </si>
  <si>
    <t xml:space="preserve">Yellow-billed Spoonbill </t>
  </si>
  <si>
    <t xml:space="preserve">Yellow-billed Stork </t>
  </si>
  <si>
    <t xml:space="preserve">Yellow-breasted Chat </t>
  </si>
  <si>
    <t xml:space="preserve">Yellow-breasted Crake </t>
  </si>
  <si>
    <t xml:space="preserve">Yellow-chinned Spinetail </t>
  </si>
  <si>
    <t xml:space="preserve">Yellow-collared Lovebird </t>
  </si>
  <si>
    <t xml:space="preserve">Yellow-crowned Amazon </t>
  </si>
  <si>
    <t xml:space="preserve">Yellow-crowned Euphonia </t>
  </si>
  <si>
    <t xml:space="preserve">Yellow-crowned Redstart </t>
  </si>
  <si>
    <t xml:space="preserve">Yellow-crowned Tyrannulet </t>
  </si>
  <si>
    <t xml:space="preserve">Yellow-faced Grassquit </t>
  </si>
  <si>
    <t xml:space="preserve">Yellow-faced Honeyeater </t>
  </si>
  <si>
    <t xml:space="preserve">Yellow-fronted Canary </t>
  </si>
  <si>
    <t xml:space="preserve">Yellow-green Vireo </t>
  </si>
  <si>
    <t xml:space="preserve">Yellow-headed Blackbird </t>
  </si>
  <si>
    <t xml:space="preserve">Yellow-headed Caracara </t>
  </si>
  <si>
    <t xml:space="preserve">Yellow-hooded Blackbird </t>
  </si>
  <si>
    <t xml:space="preserve">Yellow-legged Thrush </t>
  </si>
  <si>
    <t xml:space="preserve">Yellow-naped Amazon </t>
  </si>
  <si>
    <t xml:space="preserve">Yellow-necked Spurfowl </t>
  </si>
  <si>
    <t xml:space="preserve">Yellow-rumped Cacique </t>
  </si>
  <si>
    <t xml:space="preserve">Yellow-rumped Thornbill </t>
  </si>
  <si>
    <t xml:space="preserve">Yellow-rumped Warbler </t>
  </si>
  <si>
    <t xml:space="preserve">Yellow-tailed Black-Cockatoo </t>
  </si>
  <si>
    <t xml:space="preserve">Yellow-tailed Oriole </t>
  </si>
  <si>
    <t xml:space="preserve">Yellow-thighed Brushfinch </t>
  </si>
  <si>
    <t xml:space="preserve">Yellow-throated Chlorospingus </t>
  </si>
  <si>
    <t xml:space="preserve">Yellow-throated Euphonia </t>
  </si>
  <si>
    <t xml:space="preserve">Yellow-throated Longclaw </t>
  </si>
  <si>
    <t xml:space="preserve">Yellow-throated Toucan </t>
  </si>
  <si>
    <t xml:space="preserve">Yellow-throated Vireo </t>
  </si>
  <si>
    <t xml:space="preserve">Yellow-throated Warbler </t>
  </si>
  <si>
    <t xml:space="preserve">Yellowish Flycatcher </t>
  </si>
  <si>
    <t xml:space="preserve">Zebra Dove </t>
  </si>
  <si>
    <t xml:space="preserve">Acadian Flycatcher </t>
  </si>
  <si>
    <t>Ruppells_Starling_275.jpg</t>
  </si>
  <si>
    <t>Rüppell's Starling</t>
  </si>
  <si>
    <t>English Name</t>
  </si>
  <si>
    <t>French Name</t>
  </si>
  <si>
    <t>Latin Name</t>
  </si>
  <si>
    <t>Taxon</t>
  </si>
  <si>
    <t>Bonaparte's Gull</t>
  </si>
  <si>
    <t>Archbold's Newtonia</t>
  </si>
  <si>
    <t>Anna's Hummingbird</t>
  </si>
  <si>
    <t>Appert's Tetraka</t>
  </si>
  <si>
    <t>Bradfield's Hornbill</t>
  </si>
  <si>
    <t>Burchell's Sandgrouse</t>
  </si>
  <si>
    <t>Cooper's Hawk</t>
  </si>
  <si>
    <t>Coquerel's Coua</t>
  </si>
  <si>
    <t>Erckel's Spurfowl</t>
  </si>
  <si>
    <t>Forster's Tern</t>
  </si>
  <si>
    <t>Frances's Sparrowhawk</t>
  </si>
  <si>
    <t>Harris's Hawk</t>
  </si>
  <si>
    <t>Hartlaub's Babbler</t>
  </si>
  <si>
    <t>Hoffmann's Woodpecker</t>
  </si>
  <si>
    <t>Holub's Golden-Weaver</t>
  </si>
  <si>
    <t>Kirtland's Warbler</t>
  </si>
  <si>
    <t>Kittlitz's Plover</t>
  </si>
  <si>
    <t>Lesson's Motmot</t>
  </si>
  <si>
    <t>Lincoln's Sparrow</t>
  </si>
  <si>
    <t>Meller's Duck</t>
  </si>
  <si>
    <t>Wilson's Warbler</t>
  </si>
  <si>
    <t>Wilson's Snipe</t>
  </si>
  <si>
    <t>Wilson's Phalarope</t>
  </si>
  <si>
    <t>Wilson's Plover</t>
  </si>
  <si>
    <t>Wahlberg's Eagle</t>
  </si>
  <si>
    <t>Von der Decken's Hornbill</t>
  </si>
  <si>
    <t>Verreaux's Eagle-Owl</t>
  </si>
  <si>
    <t>Verreaux's Coua</t>
  </si>
  <si>
    <t>Swainson's Thrush</t>
  </si>
  <si>
    <t>Swainson's Spurfowl</t>
  </si>
  <si>
    <t>Nuttall's Woodpecker</t>
  </si>
  <si>
    <t>Steller's Jay</t>
  </si>
  <si>
    <t>Savannah_Sparrow.jpg</t>
  </si>
  <si>
    <t>Burchell's Starling</t>
  </si>
  <si>
    <t>Canivet's Emerald</t>
  </si>
  <si>
    <t>Chuck-Will's-Widow</t>
  </si>
  <si>
    <t>Hildebrandt's Spurfowl</t>
  </si>
  <si>
    <t>Hildebrant's Starling</t>
  </si>
  <si>
    <t>Humblot's Heron</t>
  </si>
  <si>
    <t>Lafresnaye's Vanga</t>
  </si>
  <si>
    <t>Morelet's Seedeater</t>
  </si>
  <si>
    <t>Niceforo's Wren</t>
  </si>
  <si>
    <t>Zeledon's Antbird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</si>
</sst>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8"/>
      <color theme="1"/>
      <name val="Aptos Narrow"/>
      <scheme val="minor"/>
    </font>
    <font>
      <u/>
      <sz val="8"/>
      <color theme="10"/>
      <name val="Aptos Narrow"/>
      <scheme val="minor"/>
    </font>
    <font>
      <sz val="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3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imacpro-denis/src/photoweb/Master-LifeList.xlsx" TargetMode="External"/><Relationship Id="rId1" Type="http://schemas.openxmlformats.org/officeDocument/2006/relationships/externalLinkPath" Target="Master-Life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feList"/>
    </sheetNames>
    <sheetDataSet>
      <sheetData sheetId="0">
        <row r="2">
          <cell r="E2" t="str">
            <v>Acadian Flycatcher</v>
          </cell>
          <cell r="F2" t="str">
            <v>Moucherolle vert</v>
          </cell>
          <cell r="G2" t="str">
            <v>Empidonax virescens</v>
          </cell>
          <cell r="H2" t="str">
            <v>Passeriformes</v>
          </cell>
          <cell r="I2" t="str">
            <v>Tyrannidae (Tyrant Flycatchers)</v>
          </cell>
        </row>
        <row r="3">
          <cell r="E3" t="str">
            <v>Acorn Woodpecker</v>
          </cell>
          <cell r="F3" t="str">
            <v>Pic glandivore</v>
          </cell>
          <cell r="G3" t="str">
            <v>Melanerpes formicivorus</v>
          </cell>
          <cell r="H3" t="str">
            <v>Piciformes</v>
          </cell>
          <cell r="I3" t="str">
            <v>Picidae (Woodpeckers)</v>
          </cell>
        </row>
        <row r="4">
          <cell r="E4" t="str">
            <v>African Black-headed Oriole</v>
          </cell>
          <cell r="F4" t="str">
            <v>Loriot masqué</v>
          </cell>
          <cell r="G4" t="str">
            <v>Oriolus larvatus</v>
          </cell>
          <cell r="H4" t="str">
            <v>Passeriformes</v>
          </cell>
          <cell r="I4" t="str">
            <v>Oriolidae (Old World Orioles)</v>
          </cell>
        </row>
        <row r="5">
          <cell r="E5" t="str">
            <v>African Cuckoo-Hawk</v>
          </cell>
          <cell r="F5" t="str">
            <v>Baza coucou</v>
          </cell>
          <cell r="G5" t="str">
            <v>Aviceda cuculoides</v>
          </cell>
          <cell r="H5" t="str">
            <v>Accipitriformes</v>
          </cell>
          <cell r="I5" t="str">
            <v>Accipitridae (Hawks, Eagles, and Kites)</v>
          </cell>
        </row>
        <row r="6">
          <cell r="E6" t="str">
            <v>African Darter</v>
          </cell>
          <cell r="F6" t="str">
            <v>Anhinga d'Afrique</v>
          </cell>
          <cell r="G6" t="str">
            <v>Anhinga rufa</v>
          </cell>
          <cell r="H6" t="str">
            <v>Suliformes</v>
          </cell>
          <cell r="I6" t="str">
            <v>Anhingidae (Anhingas)</v>
          </cell>
        </row>
        <row r="7">
          <cell r="E7" t="str">
            <v>African Firefinch</v>
          </cell>
          <cell r="F7" t="str">
            <v>Amarante foncé</v>
          </cell>
          <cell r="G7" t="str">
            <v>Lagonosticta rubricata</v>
          </cell>
          <cell r="H7" t="str">
            <v>Passeriformes</v>
          </cell>
          <cell r="I7" t="str">
            <v>Estrildidae (Waxbills and Allies)</v>
          </cell>
        </row>
        <row r="8">
          <cell r="E8" t="str">
            <v>African Fish-Eagle</v>
          </cell>
          <cell r="F8" t="str">
            <v>Pygargue vocifer</v>
          </cell>
          <cell r="G8" t="str">
            <v>Icthyophaga vocifer</v>
          </cell>
          <cell r="H8" t="str">
            <v>Accipitriformes</v>
          </cell>
          <cell r="I8" t="str">
            <v>Accipitridae (Hawks, Eagles, and Kites)</v>
          </cell>
        </row>
        <row r="9">
          <cell r="E9" t="str">
            <v>African Golden-Weaver</v>
          </cell>
          <cell r="F9" t="str">
            <v>Tisserin jaune</v>
          </cell>
          <cell r="G9" t="str">
            <v>Ploceus subaureus</v>
          </cell>
          <cell r="H9" t="str">
            <v>Passeriformes</v>
          </cell>
          <cell r="I9" t="str">
            <v>Ploceidae (Weavers and Allies)</v>
          </cell>
        </row>
        <row r="10">
          <cell r="E10" t="str">
            <v>African Goshawk</v>
          </cell>
          <cell r="F10" t="str">
            <v>Autour tachiro</v>
          </cell>
          <cell r="G10" t="str">
            <v>Aerospiza tachiro</v>
          </cell>
          <cell r="H10" t="str">
            <v>Accipitriformes</v>
          </cell>
          <cell r="I10" t="str">
            <v>Accipitridae (Hawks, Eagles, and Kites)</v>
          </cell>
        </row>
        <row r="11">
          <cell r="E11" t="str">
            <v>African Gray Flycatcher</v>
          </cell>
          <cell r="F11" t="str">
            <v>Gobemouche à petit bec</v>
          </cell>
          <cell r="G11" t="str">
            <v>Bradornis microrhynchus</v>
          </cell>
          <cell r="H11" t="str">
            <v>Passeriformes</v>
          </cell>
          <cell r="I11" t="str">
            <v>Muscicapidae (Old World Flycatchers)</v>
          </cell>
        </row>
        <row r="12">
          <cell r="E12" t="str">
            <v>African Gray Hornbill</v>
          </cell>
          <cell r="F12" t="str">
            <v>Calao à bec noir</v>
          </cell>
          <cell r="G12" t="str">
            <v>Lophoceros nasutus</v>
          </cell>
          <cell r="H12" t="str">
            <v>Bucerotiformes</v>
          </cell>
          <cell r="I12" t="str">
            <v>Bucerotidae (Hornbills)</v>
          </cell>
        </row>
        <row r="13">
          <cell r="E13" t="str">
            <v>African Green-Pigeon</v>
          </cell>
          <cell r="F13" t="str">
            <v>Colombar à front nu</v>
          </cell>
          <cell r="G13" t="str">
            <v>Treron calvus</v>
          </cell>
          <cell r="H13" t="str">
            <v>Columbiformes</v>
          </cell>
          <cell r="I13" t="str">
            <v>Columbidae (Pigeons and Doves)</v>
          </cell>
        </row>
        <row r="14">
          <cell r="E14" t="str">
            <v>African Harrier-Hawk</v>
          </cell>
          <cell r="F14" t="str">
            <v>Gymnogène d'Afrique</v>
          </cell>
          <cell r="G14" t="str">
            <v>Polyboroides typus</v>
          </cell>
          <cell r="H14" t="str">
            <v>Accipitriformes</v>
          </cell>
          <cell r="I14" t="str">
            <v>Accipitridae (Hawks, Eagles, and Kites)</v>
          </cell>
        </row>
        <row r="15">
          <cell r="E15" t="str">
            <v>African Hawk-Eagle</v>
          </cell>
          <cell r="F15" t="str">
            <v>Aigle fascié</v>
          </cell>
          <cell r="G15" t="str">
            <v>Aquila spilogaster</v>
          </cell>
          <cell r="H15" t="str">
            <v>Accipitriformes</v>
          </cell>
          <cell r="I15" t="str">
            <v>Accipitridae (Hawks, Eagles, and Kites)</v>
          </cell>
        </row>
        <row r="16">
          <cell r="E16" t="str">
            <v>African Jacana</v>
          </cell>
          <cell r="F16" t="str">
            <v>Jacana à poitrine dorée</v>
          </cell>
          <cell r="G16" t="str">
            <v>Actophilornis africanus</v>
          </cell>
          <cell r="H16" t="str">
            <v>Charadriiformes</v>
          </cell>
          <cell r="I16" t="str">
            <v>Jacanidae (Jacanas)</v>
          </cell>
        </row>
        <row r="17">
          <cell r="E17" t="str">
            <v>African Marsh Harrier</v>
          </cell>
          <cell r="F17" t="str">
            <v>Busard grenouillard</v>
          </cell>
          <cell r="G17" t="str">
            <v>Circus ranivorus</v>
          </cell>
          <cell r="H17" t="str">
            <v>Accipitriformes</v>
          </cell>
          <cell r="I17" t="str">
            <v>Accipitridae (Hawks, Eagles, and Kites)</v>
          </cell>
        </row>
        <row r="18">
          <cell r="E18" t="str">
            <v>African Openbill</v>
          </cell>
          <cell r="F18" t="str">
            <v>Bec-ouvert africain</v>
          </cell>
          <cell r="G18" t="str">
            <v>Anastomus lamelligerus</v>
          </cell>
          <cell r="H18" t="str">
            <v>Ciconiiformes</v>
          </cell>
          <cell r="I18" t="str">
            <v>Ciconiidae (Storks)</v>
          </cell>
        </row>
        <row r="19">
          <cell r="E19" t="str">
            <v>African Oystercatcher</v>
          </cell>
          <cell r="F19" t="str">
            <v>Huîtrier de Moquin</v>
          </cell>
          <cell r="G19" t="str">
            <v>Haematopus moquini</v>
          </cell>
          <cell r="H19" t="str">
            <v>Charadriiformes</v>
          </cell>
          <cell r="I19" t="str">
            <v>Haematopodidae (Oystercatchers)</v>
          </cell>
        </row>
        <row r="20">
          <cell r="E20" t="str">
            <v>African Palm Swift</v>
          </cell>
          <cell r="F20" t="str">
            <v>Martinet des palmes</v>
          </cell>
          <cell r="G20" t="str">
            <v>Cypsiurus parvus</v>
          </cell>
          <cell r="H20" t="str">
            <v>Apodiformes</v>
          </cell>
          <cell r="I20" t="str">
            <v>Apodidae (Swifts)</v>
          </cell>
        </row>
        <row r="21">
          <cell r="E21" t="str">
            <v>African Paradise-Flycatcher</v>
          </cell>
          <cell r="F21" t="str">
            <v>Tchitrec d'Afrique</v>
          </cell>
          <cell r="G21" t="str">
            <v>Terpsiphone viridis</v>
          </cell>
          <cell r="H21" t="str">
            <v>Passeriformes</v>
          </cell>
          <cell r="I21" t="str">
            <v>Monarchidae (Monarch Flycatchers)</v>
          </cell>
        </row>
        <row r="22">
          <cell r="E22" t="str">
            <v>African Pied Wagtail</v>
          </cell>
          <cell r="F22" t="str">
            <v>Bergeronnette pie</v>
          </cell>
          <cell r="G22" t="str">
            <v>Motacilla aguimp</v>
          </cell>
          <cell r="H22" t="str">
            <v>Passeriformes</v>
          </cell>
          <cell r="I22" t="str">
            <v>Motacillidae (Wagtails and Pipits)</v>
          </cell>
        </row>
        <row r="23">
          <cell r="E23" t="str">
            <v>African Pipit</v>
          </cell>
          <cell r="F23" t="str">
            <v>Pipit africain</v>
          </cell>
          <cell r="G23" t="str">
            <v>Anthus cinnamomeus</v>
          </cell>
          <cell r="H23" t="str">
            <v>Passeriformes</v>
          </cell>
          <cell r="I23" t="str">
            <v>Motacillidae (Wagtails and Pipits)</v>
          </cell>
        </row>
        <row r="24">
          <cell r="E24" t="str">
            <v>African Sacred Ibis</v>
          </cell>
          <cell r="F24" t="str">
            <v>Ibis sacré</v>
          </cell>
          <cell r="G24" t="str">
            <v>Threskiornis aethiopicus</v>
          </cell>
          <cell r="H24" t="str">
            <v>Pelecaniformes</v>
          </cell>
          <cell r="I24" t="str">
            <v>Threskiornithidae (Ibises and Spoonbills)</v>
          </cell>
        </row>
        <row r="25">
          <cell r="E25" t="str">
            <v>African Silverbill</v>
          </cell>
          <cell r="F25" t="str">
            <v>Capucin bec-d'argent</v>
          </cell>
          <cell r="G25" t="str">
            <v>Euodice cantans</v>
          </cell>
          <cell r="H25" t="str">
            <v>Passeriformes</v>
          </cell>
          <cell r="I25" t="str">
            <v>Estrildidae (Waxbills and Allies)</v>
          </cell>
        </row>
        <row r="26">
          <cell r="E26" t="str">
            <v>African Skimmer</v>
          </cell>
          <cell r="F26" t="str">
            <v>Bec-en-ciseaux d'Afrique</v>
          </cell>
          <cell r="G26" t="str">
            <v>Rynchops flavirostris</v>
          </cell>
          <cell r="H26" t="str">
            <v>Charadriiformes</v>
          </cell>
          <cell r="I26" t="str">
            <v>Laridae (Gulls, Terns, and Skimmers)</v>
          </cell>
        </row>
        <row r="27">
          <cell r="E27" t="str">
            <v>African Spoonbill</v>
          </cell>
          <cell r="F27" t="str">
            <v>Spatule d'Afrique</v>
          </cell>
          <cell r="G27" t="str">
            <v>Platalea alba</v>
          </cell>
          <cell r="H27" t="str">
            <v>Pelecaniformes</v>
          </cell>
          <cell r="I27" t="str">
            <v>Threskiornithidae (Ibises and Spoonbills)</v>
          </cell>
        </row>
        <row r="28">
          <cell r="E28" t="str">
            <v>African Stonechat</v>
          </cell>
          <cell r="F28" t="str">
            <v>Monticole rocar</v>
          </cell>
          <cell r="G28" t="str">
            <v>Saxicola torquatus</v>
          </cell>
          <cell r="H28" t="str">
            <v>Passeriformes</v>
          </cell>
          <cell r="I28" t="str">
            <v>Muscicapidae (Old World Flycatchers)</v>
          </cell>
        </row>
        <row r="29">
          <cell r="E29" t="str">
            <v>African Swamphen</v>
          </cell>
          <cell r="F29" t="str">
            <v>Talève d'Afrique</v>
          </cell>
          <cell r="G29" t="str">
            <v>Porphyrio madagascariensis</v>
          </cell>
          <cell r="H29" t="str">
            <v>Gruiformes</v>
          </cell>
          <cell r="I29" t="str">
            <v>Rallidae (Rails, Gallinules, and Coots)</v>
          </cell>
        </row>
        <row r="30">
          <cell r="E30" t="str">
            <v>African Woolly-necked Stork</v>
          </cell>
          <cell r="F30" t="str">
            <v>Cigogne à pattes noires</v>
          </cell>
          <cell r="G30" t="str">
            <v>Ciconia microscelis</v>
          </cell>
          <cell r="H30" t="str">
            <v>Ciconiiformes</v>
          </cell>
          <cell r="I30" t="str">
            <v>Ciconiidae (Storks)</v>
          </cell>
        </row>
        <row r="31">
          <cell r="E31" t="str">
            <v>Agami Heron</v>
          </cell>
          <cell r="F31" t="str">
            <v>Héron agami</v>
          </cell>
          <cell r="G31" t="str">
            <v>Agamia agami</v>
          </cell>
          <cell r="H31" t="str">
            <v>Pelecaniformes</v>
          </cell>
          <cell r="I31" t="str">
            <v>Ardeidae (Herons, Egrets, and Bitterns)</v>
          </cell>
        </row>
        <row r="32">
          <cell r="E32" t="str">
            <v>Akiapolaau</v>
          </cell>
          <cell r="F32" t="str">
            <v>Akiapolaau d'Hawaï</v>
          </cell>
          <cell r="G32" t="str">
            <v>Hemignathus wilsoni</v>
          </cell>
          <cell r="H32" t="str">
            <v>Passeriformes</v>
          </cell>
          <cell r="I32" t="str">
            <v>Fringillidae (Finches, Euphonias, and Allies)</v>
          </cell>
        </row>
        <row r="33">
          <cell r="E33" t="str">
            <v>Alder Flycatcher</v>
          </cell>
          <cell r="F33" t="str">
            <v>Moucherolle des aulnes</v>
          </cell>
          <cell r="G33" t="str">
            <v>Empidonax alnorum</v>
          </cell>
          <cell r="H33" t="str">
            <v>Passeriformes</v>
          </cell>
          <cell r="I33" t="str">
            <v>Tyrannidae (Tyrant Flycatchers)</v>
          </cell>
        </row>
        <row r="34">
          <cell r="E34" t="str">
            <v>Alpine Accentor</v>
          </cell>
          <cell r="F34" t="str">
            <v>Accenteur alpin</v>
          </cell>
          <cell r="G34" t="str">
            <v>Prunella collaris</v>
          </cell>
          <cell r="H34" t="str">
            <v>Passeriformes</v>
          </cell>
          <cell r="I34" t="str">
            <v>Prunellidae (Accentors)</v>
          </cell>
        </row>
        <row r="35">
          <cell r="E35" t="str">
            <v>Altamira Oriole</v>
          </cell>
          <cell r="F35" t="str">
            <v>Oriole à gros bec</v>
          </cell>
          <cell r="G35" t="str">
            <v>Icterus gularis</v>
          </cell>
          <cell r="H35" t="str">
            <v>Passeriformes</v>
          </cell>
          <cell r="I35" t="str">
            <v>Icteridae (Troupials and Allies)</v>
          </cell>
        </row>
        <row r="36">
          <cell r="E36" t="str">
            <v>Amazon Kingfisher</v>
          </cell>
          <cell r="F36" t="str">
            <v>Martin-pêcheur d'Amazonie</v>
          </cell>
          <cell r="G36" t="str">
            <v>Chloroceryle amazona</v>
          </cell>
          <cell r="H36" t="str">
            <v>Coraciiformes</v>
          </cell>
          <cell r="I36" t="str">
            <v>Alcedinidae (Kingfishers)</v>
          </cell>
        </row>
        <row r="37">
          <cell r="E37" t="str">
            <v>American Avocet</v>
          </cell>
          <cell r="F37" t="str">
            <v>Avocette d'Amérique</v>
          </cell>
          <cell r="G37" t="str">
            <v>Recurvirostra americana</v>
          </cell>
          <cell r="H37" t="str">
            <v>Charadriiformes</v>
          </cell>
          <cell r="I37" t="str">
            <v>Recurvirostridae (Stilts and Avocets)</v>
          </cell>
        </row>
        <row r="38">
          <cell r="E38" t="str">
            <v>American Barn Owl</v>
          </cell>
          <cell r="F38" t="str">
            <v>Effraie d'Amérique</v>
          </cell>
          <cell r="G38" t="str">
            <v>Tyto furcata</v>
          </cell>
          <cell r="H38" t="str">
            <v>Strigiformes</v>
          </cell>
          <cell r="I38" t="str">
            <v>Tytonidae (Barn-Owls)</v>
          </cell>
        </row>
        <row r="39">
          <cell r="E39" t="str">
            <v>American Bittern</v>
          </cell>
          <cell r="F39" t="str">
            <v>Butor d'Amérique</v>
          </cell>
          <cell r="G39" t="str">
            <v>Botaurus lentiginosus</v>
          </cell>
          <cell r="H39" t="str">
            <v>Pelecaniformes</v>
          </cell>
          <cell r="I39" t="str">
            <v>Ardeidae (Herons, Egrets, and Bitterns)</v>
          </cell>
        </row>
        <row r="40">
          <cell r="E40" t="str">
            <v>American Black Duck</v>
          </cell>
          <cell r="F40" t="str">
            <v>Canard noir</v>
          </cell>
          <cell r="G40" t="str">
            <v>Anas rubripes</v>
          </cell>
          <cell r="H40" t="str">
            <v>Anseriformes</v>
          </cell>
          <cell r="I40" t="str">
            <v>Anatidae (Ducks, Geese, and Waterfowl)</v>
          </cell>
        </row>
        <row r="41">
          <cell r="E41" t="str">
            <v>American Coot</v>
          </cell>
          <cell r="F41" t="str">
            <v>Foulque d'Amérique</v>
          </cell>
          <cell r="G41" t="str">
            <v>Fulica americana</v>
          </cell>
          <cell r="H41" t="str">
            <v>Gruiformes</v>
          </cell>
          <cell r="I41" t="str">
            <v>Rallidae (Rails, Gallinules, and Coots)</v>
          </cell>
        </row>
        <row r="42">
          <cell r="E42" t="str">
            <v>American Crow</v>
          </cell>
          <cell r="F42" t="str">
            <v>Corneille d'Amérique</v>
          </cell>
          <cell r="G42" t="str">
            <v>Corvus brachyrhynchos</v>
          </cell>
          <cell r="H42" t="str">
            <v>Passeriformes</v>
          </cell>
          <cell r="I42" t="str">
            <v>Corvidae (Crows, Jays, and Magpies)</v>
          </cell>
        </row>
        <row r="43">
          <cell r="E43" t="str">
            <v>American Dipper</v>
          </cell>
          <cell r="F43" t="str">
            <v>Cincle d'Amérique</v>
          </cell>
          <cell r="G43" t="str">
            <v>Cinclus mexicanus</v>
          </cell>
          <cell r="H43" t="str">
            <v>Passeriformes</v>
          </cell>
          <cell r="I43" t="str">
            <v>Cinclidae (Dippers)</v>
          </cell>
        </row>
        <row r="44">
          <cell r="E44" t="str">
            <v>American Flamingo</v>
          </cell>
          <cell r="F44" t="str">
            <v>Flamant des Caraïbes</v>
          </cell>
          <cell r="G44" t="str">
            <v>Phoenicopterus ruber</v>
          </cell>
          <cell r="H44" t="str">
            <v>Phoenicopteriformes</v>
          </cell>
          <cell r="I44" t="str">
            <v>Phoenicopteridae (Flamingos)</v>
          </cell>
        </row>
        <row r="45">
          <cell r="E45" t="str">
            <v>American Golden-Plover</v>
          </cell>
          <cell r="F45" t="str">
            <v>Pluvier bronzé</v>
          </cell>
          <cell r="G45" t="str">
            <v>Pluvialis dominica</v>
          </cell>
          <cell r="H45" t="str">
            <v>Charadriiformes</v>
          </cell>
          <cell r="I45" t="str">
            <v>Charadriidae (Plovers and Lapwings)</v>
          </cell>
        </row>
        <row r="46">
          <cell r="E46" t="str">
            <v>American Goldfinch</v>
          </cell>
          <cell r="F46" t="str">
            <v>Chardonneret jaune</v>
          </cell>
          <cell r="G46" t="str">
            <v>Spinus tristis</v>
          </cell>
          <cell r="H46" t="str">
            <v>Passeriformes</v>
          </cell>
          <cell r="I46" t="str">
            <v>Fringillidae (Finches, Euphonias, and Allies)</v>
          </cell>
        </row>
        <row r="47">
          <cell r="E47" t="str">
            <v>American Herring Gull</v>
          </cell>
          <cell r="F47" t="str">
            <v>Goéland hudsonien</v>
          </cell>
          <cell r="G47" t="str">
            <v>Larus smithsonianus</v>
          </cell>
          <cell r="H47" t="str">
            <v>Charadriiformes</v>
          </cell>
          <cell r="I47" t="str">
            <v>Laridae (Gulls, Terns, and Skimmers)</v>
          </cell>
        </row>
        <row r="48">
          <cell r="E48" t="str">
            <v>American Kestrel</v>
          </cell>
          <cell r="F48" t="str">
            <v>Crécerelle d'Amérique</v>
          </cell>
          <cell r="G48" t="str">
            <v>Falco sparverius</v>
          </cell>
          <cell r="H48" t="str">
            <v>Falconiformes</v>
          </cell>
          <cell r="I48" t="str">
            <v>Falconidae (Falcons and Caracaras)</v>
          </cell>
        </row>
        <row r="49">
          <cell r="E49" t="str">
            <v>American Oystercatcher</v>
          </cell>
          <cell r="F49" t="str">
            <v>Huîtrier d'Amérique</v>
          </cell>
          <cell r="G49" t="str">
            <v>Haematopus palliatus</v>
          </cell>
          <cell r="H49" t="str">
            <v>Charadriiformes</v>
          </cell>
          <cell r="I49" t="str">
            <v>Haematopodidae (Oystercatchers)</v>
          </cell>
        </row>
        <row r="50">
          <cell r="E50" t="str">
            <v>American Pipit</v>
          </cell>
          <cell r="F50" t="str">
            <v>Pipit d'Amérique</v>
          </cell>
          <cell r="G50" t="str">
            <v>Anthus rubescens</v>
          </cell>
          <cell r="H50" t="str">
            <v>Passeriformes</v>
          </cell>
          <cell r="I50" t="str">
            <v>Motacillidae (Wagtails and Pipits)</v>
          </cell>
        </row>
        <row r="51">
          <cell r="E51" t="str">
            <v>American Pygmy Kingfisher</v>
          </cell>
          <cell r="F51" t="str">
            <v>Martin-pêcheur nain</v>
          </cell>
          <cell r="G51" t="str">
            <v>Chloroceryle aenea</v>
          </cell>
          <cell r="H51" t="str">
            <v>Coraciiformes</v>
          </cell>
          <cell r="I51" t="str">
            <v>Alcedinidae (Kingfishers)</v>
          </cell>
        </row>
        <row r="52">
          <cell r="E52" t="str">
            <v>American Redstart</v>
          </cell>
          <cell r="F52" t="str">
            <v>Paruline flamboyante</v>
          </cell>
          <cell r="G52" t="str">
            <v>Setophaga ruticilla</v>
          </cell>
          <cell r="H52" t="str">
            <v>Passeriformes</v>
          </cell>
          <cell r="I52" t="str">
            <v>Parulidae (New World Warblers)</v>
          </cell>
        </row>
        <row r="53">
          <cell r="E53" t="str">
            <v>American Robin</v>
          </cell>
          <cell r="F53" t="str">
            <v>Merle d'Amérique</v>
          </cell>
          <cell r="G53" t="str">
            <v>Turdus migratorius</v>
          </cell>
          <cell r="H53" t="str">
            <v>Passeriformes</v>
          </cell>
          <cell r="I53" t="str">
            <v>Turdidae (Thrushes and Allies)</v>
          </cell>
        </row>
        <row r="54">
          <cell r="E54" t="str">
            <v>American Three-toed Woodpecker</v>
          </cell>
          <cell r="F54" t="str">
            <v>Pic à dos rayé</v>
          </cell>
          <cell r="G54" t="str">
            <v>Picoides dorsalis</v>
          </cell>
          <cell r="H54" t="str">
            <v>Piciformes</v>
          </cell>
          <cell r="I54" t="str">
            <v>Picidae (Woodpeckers)</v>
          </cell>
        </row>
        <row r="55">
          <cell r="E55" t="str">
            <v>American Tree Sparrow</v>
          </cell>
          <cell r="F55" t="str">
            <v>Bruant hudsonien</v>
          </cell>
          <cell r="G55" t="str">
            <v>Spizelloides arborea</v>
          </cell>
          <cell r="H55" t="str">
            <v>Passeriformes</v>
          </cell>
          <cell r="I55" t="str">
            <v>Passerellidae (New World Sparrows)</v>
          </cell>
        </row>
        <row r="56">
          <cell r="E56" t="str">
            <v>American White Pelican</v>
          </cell>
          <cell r="F56" t="str">
            <v>Pélican d'Amérique</v>
          </cell>
          <cell r="G56" t="str">
            <v>Pelecanus erythrorhynchos</v>
          </cell>
          <cell r="H56" t="str">
            <v>Pelecaniformes</v>
          </cell>
          <cell r="I56" t="str">
            <v>Pelecanidae (Pelicans)</v>
          </cell>
        </row>
        <row r="57">
          <cell r="E57" t="str">
            <v>American Wigeon</v>
          </cell>
          <cell r="F57" t="str">
            <v>Canard d'Amérique</v>
          </cell>
          <cell r="G57" t="str">
            <v>Mareca americana</v>
          </cell>
          <cell r="H57" t="str">
            <v>Anseriformes</v>
          </cell>
          <cell r="I57" t="str">
            <v>Anatidae (Ducks, Geese, and Waterfowl)</v>
          </cell>
        </row>
        <row r="58">
          <cell r="E58" t="str">
            <v>American Woodcock</v>
          </cell>
          <cell r="F58" t="str">
            <v>Bécasse d'Amérique</v>
          </cell>
          <cell r="G58" t="str">
            <v>Scolopax minor</v>
          </cell>
          <cell r="H58" t="str">
            <v>Charadriiformes</v>
          </cell>
          <cell r="I58" t="str">
            <v>Scolopacidae (Sandpipers and Allies)</v>
          </cell>
        </row>
        <row r="59">
          <cell r="E59" t="str">
            <v>Amethyst Sunbird</v>
          </cell>
          <cell r="F59" t="str">
            <v>Souimanga améthyste</v>
          </cell>
          <cell r="G59" t="str">
            <v>Chalcomitra amethystina</v>
          </cell>
          <cell r="H59" t="str">
            <v>Passeriformes</v>
          </cell>
          <cell r="I59" t="str">
            <v>Nectariniidae (Sunbirds and Spiderhunters)</v>
          </cell>
        </row>
        <row r="60">
          <cell r="E60" t="str">
            <v>Andean Cock-of-the-rock</v>
          </cell>
          <cell r="F60" t="str">
            <v>Coq-de-roche péruvien</v>
          </cell>
          <cell r="G60" t="str">
            <v>Rupicola peruvianus</v>
          </cell>
          <cell r="H60" t="str">
            <v>Passeriformes</v>
          </cell>
          <cell r="I60" t="str">
            <v>Cotingidae (Cotingas)</v>
          </cell>
        </row>
        <row r="61">
          <cell r="E61" t="str">
            <v>Andean Condor</v>
          </cell>
          <cell r="F61" t="str">
            <v>Condor des Andes</v>
          </cell>
          <cell r="G61" t="str">
            <v>Vultur gryphus</v>
          </cell>
          <cell r="H61" t="str">
            <v>Cathartiformes</v>
          </cell>
          <cell r="I61" t="str">
            <v>Cathartidae (New World Vultures)</v>
          </cell>
        </row>
        <row r="62">
          <cell r="E62" t="str">
            <v>Andean Duck</v>
          </cell>
          <cell r="F62" t="str">
            <v>Érismature des Andes</v>
          </cell>
          <cell r="G62" t="str">
            <v>Oxyura ferruginea</v>
          </cell>
          <cell r="H62" t="str">
            <v>Anseriformes</v>
          </cell>
          <cell r="I62" t="str">
            <v>Anatidae (Ducks, Geese, and Waterfowl)</v>
          </cell>
        </row>
        <row r="63">
          <cell r="E63" t="str">
            <v>Andean Emerald</v>
          </cell>
          <cell r="F63" t="str">
            <v>Ariane de Francia</v>
          </cell>
          <cell r="G63" t="str">
            <v>Uranomitra franciae</v>
          </cell>
          <cell r="H63" t="str">
            <v>Apodiformes</v>
          </cell>
          <cell r="I63" t="str">
            <v>Trochilidae (Hummingbirds)</v>
          </cell>
        </row>
        <row r="64">
          <cell r="E64" t="str">
            <v>Andean Guan</v>
          </cell>
          <cell r="F64" t="str">
            <v>Pénélope des Andes</v>
          </cell>
          <cell r="G64" t="str">
            <v>Penelope montagnii</v>
          </cell>
          <cell r="H64" t="str">
            <v>Galliformes</v>
          </cell>
          <cell r="I64" t="str">
            <v>Cracidae (Guans, Chachalacas, and Curassows)</v>
          </cell>
        </row>
        <row r="65">
          <cell r="E65" t="str">
            <v>Andean Gull</v>
          </cell>
          <cell r="F65" t="str">
            <v>Mouette des Andes</v>
          </cell>
          <cell r="G65" t="str">
            <v>Chroicocephalus serranus</v>
          </cell>
          <cell r="H65" t="str">
            <v>Charadriiformes</v>
          </cell>
          <cell r="I65" t="str">
            <v>Laridae (Gulls, Terns, and Skimmers)</v>
          </cell>
        </row>
        <row r="66">
          <cell r="E66" t="str">
            <v>Andean Ibis</v>
          </cell>
          <cell r="F66" t="str">
            <v>Ibis des Andes</v>
          </cell>
          <cell r="G66" t="str">
            <v>Theristicus branickii</v>
          </cell>
          <cell r="H66" t="str">
            <v>Pelecaniformes</v>
          </cell>
          <cell r="I66" t="str">
            <v>Threskiornithidae (Ibises and Spoonbills)</v>
          </cell>
        </row>
        <row r="67">
          <cell r="E67" t="str">
            <v>Andean Motmot</v>
          </cell>
          <cell r="F67" t="str">
            <v>Motmot d'Équateur</v>
          </cell>
          <cell r="G67" t="str">
            <v>Momotus aequatorialis</v>
          </cell>
          <cell r="H67" t="str">
            <v>Coraciiformes</v>
          </cell>
          <cell r="I67" t="str">
            <v>Momotidae (Motmots)</v>
          </cell>
        </row>
        <row r="68">
          <cell r="E68" t="str">
            <v>Andean Pygmy-Owl</v>
          </cell>
          <cell r="F68" t="str">
            <v>Chevêchette des Andes</v>
          </cell>
          <cell r="G68" t="str">
            <v>Glaucidium jardinii</v>
          </cell>
          <cell r="H68" t="str">
            <v>Strigiformes</v>
          </cell>
          <cell r="I68" t="str">
            <v>Strigidae (Owls)</v>
          </cell>
        </row>
        <row r="69">
          <cell r="E69" t="str">
            <v>Andean Siskin</v>
          </cell>
          <cell r="F69" t="str">
            <v>Tarin des Andes</v>
          </cell>
          <cell r="G69" t="str">
            <v>Spinus spinescens</v>
          </cell>
          <cell r="H69" t="str">
            <v>Passeriformes</v>
          </cell>
          <cell r="I69" t="str">
            <v>Fringillidae (Finches, Euphonias, and Allies)</v>
          </cell>
        </row>
        <row r="70">
          <cell r="E70" t="str">
            <v>Andean Solitaire</v>
          </cell>
          <cell r="F70" t="str">
            <v>Solitaire des Andes</v>
          </cell>
          <cell r="G70" t="str">
            <v>Myadestes ralloides</v>
          </cell>
          <cell r="H70" t="str">
            <v>Passeriformes</v>
          </cell>
          <cell r="I70" t="str">
            <v>Turdidae (Thrushes and Allies)</v>
          </cell>
        </row>
        <row r="71">
          <cell r="E71" t="str">
            <v>Andean Teal</v>
          </cell>
          <cell r="F71" t="str">
            <v>Sarcelle des Andes</v>
          </cell>
          <cell r="G71" t="str">
            <v>Anas andium</v>
          </cell>
          <cell r="H71" t="str">
            <v>Anseriformes</v>
          </cell>
          <cell r="I71" t="str">
            <v>Anatidae (Ducks, Geese, and Waterfowl)</v>
          </cell>
        </row>
        <row r="72">
          <cell r="E72" t="str">
            <v>Andean Tit-Spinetail</v>
          </cell>
          <cell r="F72" t="str">
            <v>Synallaxe des Andes</v>
          </cell>
          <cell r="G72" t="str">
            <v>Leptasthenura andicola</v>
          </cell>
          <cell r="H72" t="str">
            <v>Passeriformes</v>
          </cell>
          <cell r="I72" t="str">
            <v>Furnariidae (Ovenbirds and Woodcreepers)</v>
          </cell>
        </row>
        <row r="73">
          <cell r="E73" t="str">
            <v>Anhinga</v>
          </cell>
          <cell r="F73" t="str">
            <v>Anhinga d'Amérique</v>
          </cell>
          <cell r="G73" t="str">
            <v>Anhinga anhinga</v>
          </cell>
          <cell r="H73" t="str">
            <v>Suliformes</v>
          </cell>
          <cell r="I73" t="str">
            <v>Anhingidae (Anhingas)</v>
          </cell>
        </row>
        <row r="74">
          <cell r="E74" t="str">
            <v>Anna's Hummingbird</v>
          </cell>
          <cell r="F74" t="str">
            <v>Colibri d'Anna</v>
          </cell>
          <cell r="G74" t="str">
            <v>Calypte anna</v>
          </cell>
          <cell r="H74" t="str">
            <v>Apodiformes</v>
          </cell>
          <cell r="I74" t="str">
            <v>Trochilidae (Hummingbirds)</v>
          </cell>
        </row>
        <row r="75">
          <cell r="E75" t="str">
            <v>Apapane</v>
          </cell>
          <cell r="F75" t="str">
            <v>Picchion cramoisi</v>
          </cell>
          <cell r="G75" t="str">
            <v>Himatione sanguinea</v>
          </cell>
          <cell r="H75" t="str">
            <v>Passeriformes</v>
          </cell>
          <cell r="I75" t="str">
            <v>Fringillidae (Finches, Euphonias, and Allies)</v>
          </cell>
        </row>
        <row r="76">
          <cell r="E76" t="str">
            <v>Apical Flycatcher</v>
          </cell>
          <cell r="F76" t="str">
            <v>Tyran à queue givrée</v>
          </cell>
          <cell r="G76" t="str">
            <v>Myiarchus apicalis</v>
          </cell>
          <cell r="H76" t="str">
            <v>Passeriformes</v>
          </cell>
          <cell r="I76" t="str">
            <v>Tyrannidae (Tyrant Flycatchers)</v>
          </cell>
        </row>
        <row r="77">
          <cell r="E77" t="str">
            <v>Aplomado Falcon</v>
          </cell>
          <cell r="F77" t="str">
            <v>Faucon aplomado</v>
          </cell>
          <cell r="G77" t="str">
            <v>Falco femoralis</v>
          </cell>
          <cell r="H77" t="str">
            <v>Falconiformes</v>
          </cell>
          <cell r="I77" t="str">
            <v>Falconidae (Falcons and Caracaras)</v>
          </cell>
        </row>
        <row r="78">
          <cell r="E78" t="str">
            <v>Apostlebird</v>
          </cell>
          <cell r="F78" t="str">
            <v>Apôtre gris</v>
          </cell>
          <cell r="G78" t="str">
            <v>Struthidea cinerea</v>
          </cell>
          <cell r="H78" t="str">
            <v>Passeriformes</v>
          </cell>
          <cell r="I78" t="str">
            <v>Corcoracidae (White-winged Chough and Apostlebird)</v>
          </cell>
        </row>
        <row r="79">
          <cell r="E79" t="str">
            <v>Appert's Tetraka</v>
          </cell>
          <cell r="F79" t="str">
            <v>Farifotra d'Appert</v>
          </cell>
          <cell r="G79" t="str">
            <v>Xanthomixis apperti</v>
          </cell>
          <cell r="H79" t="str">
            <v>Passeriformes</v>
          </cell>
          <cell r="I79" t="str">
            <v>Bernieridae (Malagasy Warblers)</v>
          </cell>
        </row>
        <row r="80">
          <cell r="E80" t="str">
            <v>Archbold's Newtonia</v>
          </cell>
          <cell r="F80" t="str">
            <v>Newtonie d'Archbold</v>
          </cell>
          <cell r="G80" t="str">
            <v>Newtonia archboldi</v>
          </cell>
          <cell r="H80" t="str">
            <v>Passeriformes</v>
          </cell>
          <cell r="I80" t="str">
            <v>Vangidae (Vangas, Helmetshrikes, and Allies)</v>
          </cell>
        </row>
        <row r="81">
          <cell r="E81" t="str">
            <v>Arctic Tern</v>
          </cell>
          <cell r="F81" t="str">
            <v>Sterne arctique</v>
          </cell>
          <cell r="G81" t="str">
            <v>Sterna paradisaea</v>
          </cell>
          <cell r="H81" t="str">
            <v>Charadriiformes</v>
          </cell>
          <cell r="I81" t="str">
            <v>Laridae (Gulls, Terns, and Skimmers)</v>
          </cell>
        </row>
        <row r="82">
          <cell r="E82" t="str">
            <v>Arrow-marked Babbler</v>
          </cell>
          <cell r="F82" t="str">
            <v>Cratérope fléché</v>
          </cell>
          <cell r="G82" t="str">
            <v>Turdoides jardineii</v>
          </cell>
          <cell r="H82" t="str">
            <v>Passeriformes</v>
          </cell>
          <cell r="I82" t="str">
            <v>Leiothrichidae (Laughingthrushes and Allies)</v>
          </cell>
        </row>
        <row r="83">
          <cell r="E83" t="str">
            <v>Ash-browed Spinetail</v>
          </cell>
          <cell r="F83" t="str">
            <v>Synallaxe à sourcils gris</v>
          </cell>
          <cell r="G83" t="str">
            <v>Cranioleuca curtata</v>
          </cell>
          <cell r="H83" t="str">
            <v>Passeriformes</v>
          </cell>
          <cell r="I83" t="str">
            <v>Furnariidae (Ovenbirds and Woodcreepers)</v>
          </cell>
        </row>
        <row r="84">
          <cell r="E84" t="str">
            <v>Ashy Starling</v>
          </cell>
          <cell r="F84" t="str">
            <v>Choucador cendré</v>
          </cell>
          <cell r="G84" t="str">
            <v>Lamprotornis unicolor</v>
          </cell>
          <cell r="H84" t="str">
            <v>Passeriformes</v>
          </cell>
          <cell r="I84" t="str">
            <v>Sturnidae (Starlings)</v>
          </cell>
        </row>
        <row r="85">
          <cell r="E85" t="str">
            <v>Atlantic Puffin</v>
          </cell>
          <cell r="F85" t="str">
            <v>Macareux moine</v>
          </cell>
          <cell r="G85" t="str">
            <v>Fratercula arctica</v>
          </cell>
          <cell r="H85" t="str">
            <v>Charadriiformes</v>
          </cell>
          <cell r="I85" t="str">
            <v>Alcidae (Auks, Murres, and Puffins)</v>
          </cell>
        </row>
        <row r="86">
          <cell r="E86" t="str">
            <v>Augur Buzzard</v>
          </cell>
          <cell r="F86" t="str">
            <v>Buse augure</v>
          </cell>
          <cell r="G86" t="str">
            <v>Buteo augur</v>
          </cell>
          <cell r="H86" t="str">
            <v>Accipitriformes</v>
          </cell>
          <cell r="I86" t="str">
            <v>Accipitridae (Hawks, Eagles, and Kites)</v>
          </cell>
        </row>
        <row r="87">
          <cell r="E87" t="str">
            <v>Australasian Darter</v>
          </cell>
          <cell r="F87" t="str">
            <v>Anhinga d'Australie</v>
          </cell>
          <cell r="G87" t="str">
            <v>Anhinga novaehollandiae</v>
          </cell>
          <cell r="H87" t="str">
            <v>Suliformes</v>
          </cell>
          <cell r="I87" t="str">
            <v>Anhingidae (Anhingas)</v>
          </cell>
        </row>
        <row r="88">
          <cell r="E88" t="str">
            <v>Australasian Figbird</v>
          </cell>
          <cell r="F88" t="str">
            <v>Sphécothère de Vieillot</v>
          </cell>
          <cell r="G88" t="str">
            <v>Sphecotheres vieilloti</v>
          </cell>
          <cell r="H88" t="str">
            <v>Passeriformes</v>
          </cell>
          <cell r="I88" t="str">
            <v>Oriolidae (Old World Orioles)</v>
          </cell>
        </row>
        <row r="89">
          <cell r="E89" t="str">
            <v>Australasian Gannet</v>
          </cell>
          <cell r="F89" t="str">
            <v>Fou austral</v>
          </cell>
          <cell r="G89" t="str">
            <v>Morus serrator</v>
          </cell>
          <cell r="H89" t="str">
            <v>Suliformes</v>
          </cell>
          <cell r="I89" t="str">
            <v>Sulidae (Boobies and Gannets)</v>
          </cell>
        </row>
        <row r="90">
          <cell r="E90" t="str">
            <v>Australasian Grebe</v>
          </cell>
          <cell r="F90" t="str">
            <v>Grèbe australasien</v>
          </cell>
          <cell r="G90" t="str">
            <v>Tachybaptus novaehollandiae</v>
          </cell>
          <cell r="H90" t="str">
            <v>Podicipediformes</v>
          </cell>
          <cell r="I90" t="str">
            <v>Podicipedidae (Grebes)</v>
          </cell>
        </row>
        <row r="91">
          <cell r="E91" t="str">
            <v>Australasian Shoveler</v>
          </cell>
          <cell r="F91" t="str">
            <v>Canard bridé</v>
          </cell>
          <cell r="G91" t="str">
            <v>Spatula rhynchotis</v>
          </cell>
          <cell r="H91" t="str">
            <v>Anseriformes</v>
          </cell>
          <cell r="I91" t="str">
            <v>Anatidae (Ducks, Geese, and Waterfowl)</v>
          </cell>
        </row>
        <row r="92">
          <cell r="E92" t="str">
            <v>Australasian Swamphen</v>
          </cell>
          <cell r="F92" t="str">
            <v>Talève australe</v>
          </cell>
          <cell r="G92" t="str">
            <v>Porphyrio melanotus</v>
          </cell>
          <cell r="H92" t="str">
            <v>Gruiformes</v>
          </cell>
          <cell r="I92" t="str">
            <v>Rallidae (Rails, Gallinules, and Coots)</v>
          </cell>
        </row>
        <row r="93">
          <cell r="E93" t="str">
            <v>Australian Boobook</v>
          </cell>
          <cell r="F93" t="str">
            <v>Ninoxe d'Australie</v>
          </cell>
          <cell r="G93" t="str">
            <v>Ninox boobook</v>
          </cell>
          <cell r="H93" t="str">
            <v>Strigiformes</v>
          </cell>
          <cell r="I93" t="str">
            <v>Strigidae (Owls)</v>
          </cell>
        </row>
        <row r="94">
          <cell r="E94" t="str">
            <v>Australian Brushturkey</v>
          </cell>
          <cell r="F94" t="str">
            <v>Talégalle de Latham</v>
          </cell>
          <cell r="G94" t="str">
            <v>Alectura lathami</v>
          </cell>
          <cell r="H94" t="str">
            <v>Galliformes</v>
          </cell>
          <cell r="I94" t="str">
            <v>Megapodiidae (Megapodes)</v>
          </cell>
        </row>
        <row r="95">
          <cell r="E95" t="str">
            <v>Australian Crake</v>
          </cell>
          <cell r="F95" t="str">
            <v>Marouette d'Australie</v>
          </cell>
          <cell r="G95" t="str">
            <v>Porzana fluminea</v>
          </cell>
          <cell r="H95" t="str">
            <v>Gruiformes</v>
          </cell>
          <cell r="I95" t="str">
            <v>Rallidae (Rails, Gallinules, and Coots)</v>
          </cell>
        </row>
        <row r="96">
          <cell r="E96" t="str">
            <v>Australian Hobby</v>
          </cell>
          <cell r="F96" t="str">
            <v>Petit Faucon</v>
          </cell>
          <cell r="G96" t="str">
            <v>Falco longipennis</v>
          </cell>
          <cell r="H96" t="str">
            <v>Falconiformes</v>
          </cell>
          <cell r="I96" t="str">
            <v>Falconidae (Falcons and Caracaras)</v>
          </cell>
        </row>
        <row r="97">
          <cell r="E97" t="str">
            <v>Australian Ibis</v>
          </cell>
          <cell r="F97" t="str">
            <v>Ibis à cou noir</v>
          </cell>
          <cell r="G97" t="str">
            <v>Threskiornis molucca</v>
          </cell>
          <cell r="H97" t="str">
            <v>Pelecaniformes</v>
          </cell>
          <cell r="I97" t="str">
            <v>Threskiornithidae (Ibises and Spoonbills)</v>
          </cell>
        </row>
        <row r="98">
          <cell r="E98" t="str">
            <v>Australian King-Parrot</v>
          </cell>
          <cell r="F98" t="str">
            <v>Perruche royale</v>
          </cell>
          <cell r="G98" t="str">
            <v>Alisterus scapularis</v>
          </cell>
          <cell r="H98" t="str">
            <v>Psittaciformes</v>
          </cell>
          <cell r="I98" t="str">
            <v>Psittaculidae (Old World Parrots)</v>
          </cell>
        </row>
        <row r="99">
          <cell r="E99" t="str">
            <v>Australian Magpie</v>
          </cell>
          <cell r="F99" t="str">
            <v>Cassican flûteur</v>
          </cell>
          <cell r="G99" t="str">
            <v>Gymnorhina tibicen</v>
          </cell>
          <cell r="H99" t="str">
            <v>Passeriformes</v>
          </cell>
          <cell r="I99" t="str">
            <v>Artamidae (Woodswallows, Bellmagpies, and Allies)</v>
          </cell>
        </row>
        <row r="100">
          <cell r="E100" t="str">
            <v>Australian Owlet-nightjar</v>
          </cell>
          <cell r="F100" t="str">
            <v>Égothèle d'Australie</v>
          </cell>
          <cell r="G100" t="str">
            <v>Aegotheles cristatus</v>
          </cell>
          <cell r="H100" t="str">
            <v>Aegotheliformes</v>
          </cell>
          <cell r="I100" t="str">
            <v>Aegothelidae (Owlet-nightjars)</v>
          </cell>
        </row>
        <row r="101">
          <cell r="E101" t="str">
            <v>Australian Pelican</v>
          </cell>
          <cell r="F101" t="str">
            <v>Pélican à lunettes</v>
          </cell>
          <cell r="G101" t="str">
            <v>Pelecanus conspicillatus</v>
          </cell>
          <cell r="H101" t="str">
            <v>Pelecaniformes</v>
          </cell>
          <cell r="I101" t="str">
            <v>Pelecanidae (Pelicans)</v>
          </cell>
        </row>
        <row r="102">
          <cell r="E102" t="str">
            <v>Australian Pipit</v>
          </cell>
          <cell r="F102" t="str">
            <v>Pipit d'Australie</v>
          </cell>
          <cell r="G102" t="str">
            <v>Anthus australis</v>
          </cell>
          <cell r="H102" t="str">
            <v>Passeriformes</v>
          </cell>
          <cell r="I102" t="str">
            <v>Motacillidae (Wagtails and Pipits)</v>
          </cell>
        </row>
        <row r="103">
          <cell r="E103" t="str">
            <v>Australian Pratincole</v>
          </cell>
          <cell r="F103" t="str">
            <v>Glaréole isabelle</v>
          </cell>
          <cell r="G103" t="str">
            <v>Glareola isabella</v>
          </cell>
          <cell r="H103" t="str">
            <v>Charadriiformes</v>
          </cell>
          <cell r="I103" t="str">
            <v>Glareolidae (Pratincoles and Coursers)</v>
          </cell>
        </row>
        <row r="104">
          <cell r="E104" t="str">
            <v>Australian Raven</v>
          </cell>
          <cell r="F104" t="str">
            <v>Corbeau d'Australie</v>
          </cell>
          <cell r="G104" t="str">
            <v>Corvus coronoides</v>
          </cell>
          <cell r="H104" t="str">
            <v>Passeriformes</v>
          </cell>
          <cell r="I104" t="str">
            <v>Corvidae (Crows, Jays, and Magpies)</v>
          </cell>
        </row>
        <row r="105">
          <cell r="E105" t="str">
            <v>Australian Reed Warbler</v>
          </cell>
          <cell r="F105" t="str">
            <v>Rousserolle d'Australie</v>
          </cell>
          <cell r="G105" t="str">
            <v>Acrocephalus australis</v>
          </cell>
          <cell r="H105" t="str">
            <v>Passeriformes</v>
          </cell>
          <cell r="I105" t="str">
            <v>Acrocephalidae (Reed Warblers and Allies)</v>
          </cell>
        </row>
        <row r="106">
          <cell r="E106" t="str">
            <v>Australian Ringneck</v>
          </cell>
          <cell r="F106" t="str">
            <v>Perruche à col jaune</v>
          </cell>
          <cell r="G106" t="str">
            <v>Barnardius zonarius</v>
          </cell>
          <cell r="H106" t="str">
            <v>Psittaciformes</v>
          </cell>
          <cell r="I106" t="str">
            <v>Psittaculidae (Old World Parrots)</v>
          </cell>
        </row>
        <row r="107">
          <cell r="E107" t="str">
            <v>Australian Rufous Fantail</v>
          </cell>
          <cell r="F107" t="str">
            <v>Rhipidure roux</v>
          </cell>
          <cell r="G107" t="str">
            <v>Rhipidura rufifrons</v>
          </cell>
          <cell r="H107" t="str">
            <v>Passeriformes</v>
          </cell>
          <cell r="I107" t="str">
            <v>Rhipiduridae (Fantails)</v>
          </cell>
        </row>
        <row r="108">
          <cell r="E108" t="str">
            <v>Australian Shelduck</v>
          </cell>
          <cell r="F108" t="str">
            <v>Tadorne d'Australie</v>
          </cell>
          <cell r="G108" t="str">
            <v>Tadorna tadornoides</v>
          </cell>
          <cell r="H108" t="str">
            <v>Anseriformes</v>
          </cell>
          <cell r="I108" t="str">
            <v>Anatidae (Ducks, Geese, and Waterfowl)</v>
          </cell>
        </row>
        <row r="109">
          <cell r="E109" t="str">
            <v>Azara's Spinetail</v>
          </cell>
          <cell r="F109" t="str">
            <v>Synallaxe d'Azara</v>
          </cell>
          <cell r="G109" t="str">
            <v>Synallaxis azarae</v>
          </cell>
          <cell r="H109" t="str">
            <v>Passeriformes</v>
          </cell>
          <cell r="I109" t="str">
            <v>Furnariidae (Ovenbirds and Woodcreepers)</v>
          </cell>
        </row>
        <row r="110">
          <cell r="E110" t="str">
            <v>Azure Kingfisher</v>
          </cell>
          <cell r="F110" t="str">
            <v>Martin-pêcheur à dos bleu</v>
          </cell>
          <cell r="G110" t="str">
            <v>Ceyx azureus</v>
          </cell>
          <cell r="H110" t="str">
            <v>Coraciiformes</v>
          </cell>
          <cell r="I110" t="str">
            <v>Alcedinidae (Kingfishers)</v>
          </cell>
        </row>
        <row r="111">
          <cell r="E111" t="str">
            <v>Bald Eagle</v>
          </cell>
          <cell r="F111" t="str">
            <v>Pygargue à tête blanche</v>
          </cell>
          <cell r="G111" t="str">
            <v>Haliaeetus leucocephalus</v>
          </cell>
          <cell r="H111" t="str">
            <v>Accipitriformes</v>
          </cell>
          <cell r="I111" t="str">
            <v>Accipitridae (Hawks, Eagles, and Kites)</v>
          </cell>
        </row>
        <row r="112">
          <cell r="E112" t="str">
            <v>Baltimore Oriole</v>
          </cell>
          <cell r="F112" t="str">
            <v>Oriole de Baltimore</v>
          </cell>
          <cell r="G112" t="str">
            <v>Icterus galbula</v>
          </cell>
          <cell r="H112" t="str">
            <v>Passeriformes</v>
          </cell>
          <cell r="I112" t="str">
            <v>Icteridae (Troupials and Allies)</v>
          </cell>
        </row>
        <row r="113">
          <cell r="E113" t="str">
            <v>Bananaquit</v>
          </cell>
          <cell r="F113" t="str">
            <v>Sucrier à ventre jaune</v>
          </cell>
          <cell r="G113" t="str">
            <v>Coereba flaveola</v>
          </cell>
          <cell r="H113" t="str">
            <v>Passeriformes</v>
          </cell>
          <cell r="I113" t="str">
            <v>Thraupidae (Tanagers and Allies)</v>
          </cell>
        </row>
        <row r="114">
          <cell r="E114" t="str">
            <v>Band-backed Wren</v>
          </cell>
          <cell r="F114" t="str">
            <v>Troglodyte zoné</v>
          </cell>
          <cell r="G114" t="str">
            <v>Campylorhynchus zonatus</v>
          </cell>
          <cell r="H114" t="str">
            <v>Passeriformes</v>
          </cell>
          <cell r="I114" t="str">
            <v>Troglodytidae (Wrens)</v>
          </cell>
        </row>
        <row r="115">
          <cell r="E115" t="str">
            <v>Band-tailed Guan</v>
          </cell>
          <cell r="F115" t="str">
            <v>Pénélope à queue barrée</v>
          </cell>
          <cell r="G115" t="str">
            <v>Penelope argyrotis</v>
          </cell>
          <cell r="H115" t="str">
            <v>Galliformes</v>
          </cell>
          <cell r="I115" t="str">
            <v>Cracidae (Guans, Chachalacas, and Curassows)</v>
          </cell>
        </row>
        <row r="116">
          <cell r="E116" t="str">
            <v>Band-tailed Pigeon</v>
          </cell>
          <cell r="F116" t="str">
            <v>Pigeon à queue barrée</v>
          </cell>
          <cell r="G116" t="str">
            <v>Patagioenas fasciata</v>
          </cell>
          <cell r="H116" t="str">
            <v>Columbiformes</v>
          </cell>
          <cell r="I116" t="str">
            <v>Columbidae (Pigeons and Doves)</v>
          </cell>
        </row>
        <row r="117">
          <cell r="E117" t="str">
            <v>Band-winged Nightjar</v>
          </cell>
          <cell r="F117" t="str">
            <v>Engoulevent à miroir</v>
          </cell>
          <cell r="G117" t="str">
            <v>Systellura longirostris</v>
          </cell>
          <cell r="H117" t="str">
            <v>Caprimulgiformes</v>
          </cell>
          <cell r="I117" t="str">
            <v>Caprimulgidae (Nightjars and Allies)</v>
          </cell>
        </row>
        <row r="118">
          <cell r="E118" t="str">
            <v>Banded Lapwing</v>
          </cell>
          <cell r="F118" t="str">
            <v>Vanneau tricolore</v>
          </cell>
          <cell r="G118" t="str">
            <v>Vanellus tricolor</v>
          </cell>
          <cell r="H118" t="str">
            <v>Charadriiformes</v>
          </cell>
          <cell r="I118" t="str">
            <v>Charadriidae (Plovers and Lapwings)</v>
          </cell>
        </row>
        <row r="119">
          <cell r="E119" t="str">
            <v>Banded Stilt</v>
          </cell>
          <cell r="F119" t="str">
            <v>Échasse à tête blanche</v>
          </cell>
          <cell r="G119" t="str">
            <v>Cladorhynchus leucocephalus</v>
          </cell>
          <cell r="H119" t="str">
            <v>Charadriiformes</v>
          </cell>
          <cell r="I119" t="str">
            <v>Recurvirostridae (Stilts and Avocets)</v>
          </cell>
        </row>
        <row r="120">
          <cell r="E120" t="str">
            <v>Banded Wren</v>
          </cell>
          <cell r="F120" t="str">
            <v>Troglodyte barré</v>
          </cell>
          <cell r="G120" t="str">
            <v>Thryophilus pleurostictus</v>
          </cell>
          <cell r="H120" t="str">
            <v>Passeriformes</v>
          </cell>
          <cell r="I120" t="str">
            <v>Troglodytidae (Wrens)</v>
          </cell>
        </row>
        <row r="121">
          <cell r="E121" t="str">
            <v>Bank Swallow</v>
          </cell>
          <cell r="F121" t="str">
            <v>Hirondelle de rivage</v>
          </cell>
          <cell r="G121" t="str">
            <v>Riparia riparia</v>
          </cell>
          <cell r="H121" t="str">
            <v>Passeriformes</v>
          </cell>
          <cell r="I121" t="str">
            <v>Hirundinidae (Swallows)</v>
          </cell>
        </row>
        <row r="122">
          <cell r="E122" t="str">
            <v>Bar-crested Antshrike</v>
          </cell>
          <cell r="F122" t="str">
            <v>Batara de Lafresnaye</v>
          </cell>
          <cell r="G122" t="str">
            <v>Thamnophilus multistriatus</v>
          </cell>
          <cell r="H122" t="str">
            <v>Passeriformes</v>
          </cell>
          <cell r="I122" t="str">
            <v>Thamnophilidae (Typical Antbirds)</v>
          </cell>
        </row>
        <row r="123">
          <cell r="E123" t="str">
            <v>Bar-tailed Godwit</v>
          </cell>
          <cell r="F123" t="str">
            <v>Barge rousse</v>
          </cell>
          <cell r="G123" t="str">
            <v>Limosa lapponica</v>
          </cell>
          <cell r="H123" t="str">
            <v>Charadriiformes</v>
          </cell>
          <cell r="I123" t="str">
            <v>Scolopacidae (Sandpipers and Allies)</v>
          </cell>
        </row>
        <row r="124">
          <cell r="E124" t="str">
            <v>Bar-throated Apalis</v>
          </cell>
          <cell r="F124" t="str">
            <v>Apalis à collier</v>
          </cell>
          <cell r="G124" t="str">
            <v>Apalis thoracica</v>
          </cell>
          <cell r="H124" t="str">
            <v>Passeriformes</v>
          </cell>
          <cell r="I124" t="str">
            <v>Cisticolidae (Cisticolas and Allies)</v>
          </cell>
        </row>
        <row r="125">
          <cell r="E125" t="str">
            <v>Bare-crowned Antbird</v>
          </cell>
          <cell r="F125" t="str">
            <v>Alapi à tête nue</v>
          </cell>
          <cell r="G125" t="str">
            <v>Gymnocichla nudiceps</v>
          </cell>
          <cell r="H125" t="str">
            <v>Passeriformes</v>
          </cell>
          <cell r="I125" t="str">
            <v>Thamnophilidae (Typical Antbirds)</v>
          </cell>
        </row>
        <row r="126">
          <cell r="E126" t="str">
            <v>Bare-eyed Pigeon</v>
          </cell>
          <cell r="F126" t="str">
            <v>Pigeon jounud</v>
          </cell>
          <cell r="G126" t="str">
            <v>Patagioenas corensis</v>
          </cell>
          <cell r="H126" t="str">
            <v>Columbiformes</v>
          </cell>
          <cell r="I126" t="str">
            <v>Columbidae (Pigeons and Doves)</v>
          </cell>
        </row>
        <row r="127">
          <cell r="E127" t="str">
            <v>Bare-faced Ibis</v>
          </cell>
          <cell r="F127" t="str">
            <v>Ibis à face nue</v>
          </cell>
          <cell r="G127" t="str">
            <v>Phimosus infuscatus</v>
          </cell>
          <cell r="H127" t="str">
            <v>Pelecaniformes</v>
          </cell>
          <cell r="I127" t="str">
            <v>Threskiornithidae (Ibises and Spoonbills)</v>
          </cell>
        </row>
        <row r="128">
          <cell r="E128" t="str">
            <v>Bare-throated Tiger-Heron</v>
          </cell>
          <cell r="F128" t="str">
            <v>Onoré du Mexique</v>
          </cell>
          <cell r="G128" t="str">
            <v>Tigrisoma mexicanum</v>
          </cell>
          <cell r="H128" t="str">
            <v>Pelecaniformes</v>
          </cell>
          <cell r="I128" t="str">
            <v>Ardeidae (Herons, Egrets, and Bitterns)</v>
          </cell>
        </row>
        <row r="129">
          <cell r="E129" t="str">
            <v>Barn Swallow</v>
          </cell>
          <cell r="F129" t="str">
            <v>Hirondelle rustique</v>
          </cell>
          <cell r="G129" t="str">
            <v>Hirundo rustica</v>
          </cell>
          <cell r="H129" t="str">
            <v>Passeriformes</v>
          </cell>
          <cell r="I129" t="str">
            <v>Hirundinidae (Swallows)</v>
          </cell>
        </row>
        <row r="130">
          <cell r="E130" t="str">
            <v>Barred Antshrike</v>
          </cell>
          <cell r="F130" t="str">
            <v>Batara rayé</v>
          </cell>
          <cell r="G130" t="str">
            <v>Thamnophilus doliatus</v>
          </cell>
          <cell r="H130" t="str">
            <v>Passeriformes</v>
          </cell>
          <cell r="I130" t="str">
            <v>Thamnophilidae (Typical Antbirds)</v>
          </cell>
        </row>
        <row r="131">
          <cell r="E131" t="str">
            <v>Barred Becard</v>
          </cell>
          <cell r="F131" t="str">
            <v>Bécarde barrée</v>
          </cell>
          <cell r="G131" t="str">
            <v>Pachyramphus versicolor</v>
          </cell>
          <cell r="H131" t="str">
            <v>Passeriformes</v>
          </cell>
          <cell r="I131" t="str">
            <v>Tityridae (Tityras and Allies)</v>
          </cell>
        </row>
        <row r="132">
          <cell r="E132" t="str">
            <v>Barred Hawk</v>
          </cell>
          <cell r="F132" t="str">
            <v>Buse barrée</v>
          </cell>
          <cell r="G132" t="str">
            <v>Morphnarchus princeps</v>
          </cell>
          <cell r="H132" t="str">
            <v>Accipitriformes</v>
          </cell>
          <cell r="I132" t="str">
            <v>Accipitridae (Hawks, Eagles, and Kites)</v>
          </cell>
        </row>
        <row r="133">
          <cell r="E133" t="str">
            <v>Barred Owl</v>
          </cell>
          <cell r="F133" t="str">
            <v>Chouette rayée</v>
          </cell>
          <cell r="G133" t="str">
            <v>Strix varia</v>
          </cell>
          <cell r="H133" t="str">
            <v>Strigiformes</v>
          </cell>
          <cell r="I133" t="str">
            <v>Strigidae (Owls)</v>
          </cell>
        </row>
        <row r="134">
          <cell r="E134" t="str">
            <v>Barred Puffbird</v>
          </cell>
          <cell r="F134" t="str">
            <v>Tamatia barré</v>
          </cell>
          <cell r="G134" t="str">
            <v>Nystalus radiatus</v>
          </cell>
          <cell r="H134" t="str">
            <v>Piciformes</v>
          </cell>
          <cell r="I134" t="str">
            <v>Bucconidae (Puffbirds)</v>
          </cell>
        </row>
        <row r="135">
          <cell r="E135" t="str">
            <v>Barrow's Goldeneye</v>
          </cell>
          <cell r="F135" t="str">
            <v>Garrot d'Islande</v>
          </cell>
          <cell r="G135" t="str">
            <v>Bucephala islandica</v>
          </cell>
          <cell r="H135" t="str">
            <v>Anseriformes</v>
          </cell>
          <cell r="I135" t="str">
            <v>Anatidae (Ducks, Geese, and Waterfowl)</v>
          </cell>
        </row>
        <row r="136">
          <cell r="E136" t="str">
            <v>Bassian Thrush</v>
          </cell>
          <cell r="F136" t="str">
            <v>Grive à lunules</v>
          </cell>
          <cell r="G136" t="str">
            <v>Zoothera lunulata</v>
          </cell>
          <cell r="H136" t="str">
            <v>Passeriformes</v>
          </cell>
          <cell r="I136" t="str">
            <v>Turdidae (Thrushes and Allies)</v>
          </cell>
        </row>
        <row r="137">
          <cell r="E137" t="str">
            <v>Bat Falcon</v>
          </cell>
          <cell r="F137" t="str">
            <v>Faucon des chauves-souris</v>
          </cell>
          <cell r="G137" t="str">
            <v>Falco rufigularis</v>
          </cell>
          <cell r="H137" t="str">
            <v>Falconiformes</v>
          </cell>
          <cell r="I137" t="str">
            <v>Falconidae (Falcons and Caracaras)</v>
          </cell>
        </row>
        <row r="138">
          <cell r="E138" t="str">
            <v>Bateleur</v>
          </cell>
          <cell r="F138" t="str">
            <v>Bateleur des savanes</v>
          </cell>
          <cell r="G138" t="str">
            <v>Terathopius ecaudatus</v>
          </cell>
          <cell r="H138" t="str">
            <v>Accipitriformes</v>
          </cell>
          <cell r="I138" t="str">
            <v>Accipitridae (Hawks, Eagles, and Kites)</v>
          </cell>
        </row>
        <row r="139">
          <cell r="E139" t="str">
            <v>Bay Wren</v>
          </cell>
          <cell r="F139" t="str">
            <v>Troglodyte à calotte noire</v>
          </cell>
          <cell r="G139" t="str">
            <v>Cantorchilus nigricapillus</v>
          </cell>
          <cell r="H139" t="str">
            <v>Passeriformes</v>
          </cell>
          <cell r="I139" t="str">
            <v>Troglodytidae (Wrens)</v>
          </cell>
        </row>
        <row r="140">
          <cell r="E140" t="str">
            <v>Bay-breasted Warbler</v>
          </cell>
          <cell r="F140" t="str">
            <v>Paruline à poitrine baie</v>
          </cell>
          <cell r="G140" t="str">
            <v>Setophaga castanea</v>
          </cell>
          <cell r="H140" t="str">
            <v>Passeriformes</v>
          </cell>
          <cell r="I140" t="str">
            <v>Parulidae (New World Warblers)</v>
          </cell>
        </row>
        <row r="141">
          <cell r="E141" t="str">
            <v>Bay-headed Tanager</v>
          </cell>
          <cell r="F141" t="str">
            <v>Calliste rouverdin</v>
          </cell>
          <cell r="G141" t="str">
            <v>Tangara gyrola</v>
          </cell>
          <cell r="H141" t="str">
            <v>Passeriformes</v>
          </cell>
          <cell r="I141" t="str">
            <v>Thraupidae (Tanagers and Allies)</v>
          </cell>
        </row>
        <row r="142">
          <cell r="E142" t="str">
            <v>Bearded Bellbird</v>
          </cell>
          <cell r="F142" t="str">
            <v>Araponga barbu</v>
          </cell>
          <cell r="G142" t="str">
            <v>Procnias averano</v>
          </cell>
          <cell r="H142" t="str">
            <v>Passeriformes</v>
          </cell>
          <cell r="I142" t="str">
            <v>Cotingidae (Cotingas)</v>
          </cell>
        </row>
        <row r="143">
          <cell r="E143" t="str">
            <v>Bearded Vulture</v>
          </cell>
          <cell r="F143" t="str">
            <v>Gypaète barbu</v>
          </cell>
          <cell r="G143" t="str">
            <v>Gypaetus barbatus</v>
          </cell>
          <cell r="H143" t="str">
            <v>Accipitriformes</v>
          </cell>
          <cell r="I143" t="str">
            <v>Accipitridae (Hawks, Eagles, and Kites)</v>
          </cell>
        </row>
        <row r="144">
          <cell r="E144" t="str">
            <v>Bearded Woodpecker</v>
          </cell>
          <cell r="F144" t="str">
            <v>Pic barbu</v>
          </cell>
          <cell r="G144" t="str">
            <v>Chloropicus namaquus</v>
          </cell>
          <cell r="H144" t="str">
            <v>Piciformes</v>
          </cell>
          <cell r="I144" t="str">
            <v>Picidae (Woodpeckers)</v>
          </cell>
        </row>
        <row r="145">
          <cell r="E145" t="str">
            <v>Bell Miner</v>
          </cell>
          <cell r="F145" t="str">
            <v>Méliphage à sourcils noirs</v>
          </cell>
          <cell r="G145" t="str">
            <v>Manorina melanophrys</v>
          </cell>
          <cell r="H145" t="str">
            <v>Passeriformes</v>
          </cell>
          <cell r="I145" t="str">
            <v>Meliphagidae (Honeyeaters)</v>
          </cell>
        </row>
        <row r="146">
          <cell r="E146" t="str">
            <v>Belted Kingfisher</v>
          </cell>
          <cell r="F146" t="str">
            <v>Martin-pêcheur d'Amérique</v>
          </cell>
          <cell r="G146" t="str">
            <v>Megaceryle alcyon</v>
          </cell>
          <cell r="H146" t="str">
            <v>Coraciiformes</v>
          </cell>
          <cell r="I146" t="str">
            <v>Alcedinidae (Kingfishers)</v>
          </cell>
        </row>
        <row r="147">
          <cell r="E147" t="str">
            <v>Beryl-spangled Tanager</v>
          </cell>
          <cell r="F147" t="str">
            <v>Calliste béryl</v>
          </cell>
          <cell r="G147" t="str">
            <v>Tangara nigroviridis</v>
          </cell>
          <cell r="H147" t="str">
            <v>Passeriformes</v>
          </cell>
          <cell r="I147" t="str">
            <v>Thraupidae (Tanagers and Allies)</v>
          </cell>
        </row>
        <row r="148">
          <cell r="E148" t="str">
            <v>Bewick's Wren</v>
          </cell>
          <cell r="F148" t="str">
            <v>Troglodyte de Bewick</v>
          </cell>
          <cell r="G148" t="str">
            <v>Thryomanes bewickii</v>
          </cell>
          <cell r="H148" t="str">
            <v>Passeriformes</v>
          </cell>
          <cell r="I148" t="str">
            <v>Troglodytidae (Wrens)</v>
          </cell>
        </row>
        <row r="149">
          <cell r="E149" t="str">
            <v>Bicolored Antbird</v>
          </cell>
          <cell r="F149" t="str">
            <v>Fourmilier bicolore</v>
          </cell>
          <cell r="G149" t="str">
            <v>Gymnopithys bicolor</v>
          </cell>
          <cell r="H149" t="str">
            <v>Passeriformes</v>
          </cell>
          <cell r="I149" t="str">
            <v>Thamnophilidae (Typical Antbirds)</v>
          </cell>
        </row>
        <row r="150">
          <cell r="E150" t="str">
            <v>Bicolored Antpitta</v>
          </cell>
          <cell r="F150" t="str">
            <v>Grallaire bicolore</v>
          </cell>
          <cell r="G150" t="str">
            <v>Grallaria rufocinerea</v>
          </cell>
          <cell r="H150" t="str">
            <v>Passeriformes</v>
          </cell>
          <cell r="I150" t="str">
            <v>Grallariidae (Antpittas)</v>
          </cell>
        </row>
        <row r="151">
          <cell r="E151" t="str">
            <v>Bicolored Conebill</v>
          </cell>
          <cell r="F151" t="str">
            <v>Conirostre bicolore</v>
          </cell>
          <cell r="G151" t="str">
            <v>Conirostrum bicolor</v>
          </cell>
          <cell r="H151" t="str">
            <v>Passeriformes</v>
          </cell>
          <cell r="I151" t="str">
            <v>Thraupidae (Tanagers and Allies)</v>
          </cell>
        </row>
        <row r="152">
          <cell r="E152" t="str">
            <v>Bicolored Wren</v>
          </cell>
          <cell r="F152" t="str">
            <v>Troglodyte bicolore</v>
          </cell>
          <cell r="G152" t="str">
            <v>Campylorhynchus griseus</v>
          </cell>
          <cell r="H152" t="str">
            <v>Passeriformes</v>
          </cell>
          <cell r="I152" t="str">
            <v>Troglodytidae (Wrens)</v>
          </cell>
        </row>
        <row r="153">
          <cell r="E153" t="str">
            <v>Black Antshrike</v>
          </cell>
          <cell r="F153" t="str">
            <v>Batara noir</v>
          </cell>
          <cell r="G153" t="str">
            <v>Thamnophilus nigriceps</v>
          </cell>
          <cell r="H153" t="str">
            <v>Passeriformes</v>
          </cell>
          <cell r="I153" t="str">
            <v>Thamnophilidae (Typical Antbirds)</v>
          </cell>
        </row>
        <row r="154">
          <cell r="E154" t="str">
            <v>Black Catbird</v>
          </cell>
          <cell r="F154" t="str">
            <v>Moqueur noir</v>
          </cell>
          <cell r="G154" t="str">
            <v>Melanoptila glabrirostris</v>
          </cell>
          <cell r="H154" t="str">
            <v>Passeriformes</v>
          </cell>
          <cell r="I154" t="str">
            <v>Mimidae (Mockingbirds and Thrashers)</v>
          </cell>
        </row>
        <row r="155">
          <cell r="E155" t="str">
            <v>Black Crake</v>
          </cell>
          <cell r="F155" t="str">
            <v>Marouette à bec jaune</v>
          </cell>
          <cell r="G155" t="str">
            <v>Zapornia flavirostra</v>
          </cell>
          <cell r="H155" t="str">
            <v>Gruiformes</v>
          </cell>
          <cell r="I155" t="str">
            <v>Rallidae (Rails, Gallinules, and Coots)</v>
          </cell>
        </row>
        <row r="156">
          <cell r="E156" t="str">
            <v>Black Currawong</v>
          </cell>
          <cell r="F156" t="str">
            <v>Réveilleur noir</v>
          </cell>
          <cell r="G156" t="str">
            <v>Strepera fuliginosa</v>
          </cell>
          <cell r="H156" t="str">
            <v>Passeriformes</v>
          </cell>
          <cell r="I156" t="str">
            <v>Artamidae (Woodswallows, Bellmagpies, and Allies)</v>
          </cell>
        </row>
        <row r="157">
          <cell r="E157" t="str">
            <v>Black Falcon</v>
          </cell>
          <cell r="F157" t="str">
            <v>Faucon noir</v>
          </cell>
          <cell r="G157" t="str">
            <v>Falco subniger</v>
          </cell>
          <cell r="H157" t="str">
            <v>Falconiformes</v>
          </cell>
          <cell r="I157" t="str">
            <v>Falconidae (Falcons and Caracaras)</v>
          </cell>
        </row>
        <row r="158">
          <cell r="E158" t="str">
            <v>Black Flowerpiercer</v>
          </cell>
          <cell r="F158" t="str">
            <v>Percefleur noir</v>
          </cell>
          <cell r="G158" t="str">
            <v>Diglossa humeralis</v>
          </cell>
          <cell r="H158" t="str">
            <v>Passeriformes</v>
          </cell>
          <cell r="I158" t="str">
            <v>Thraupidae (Tanagers and Allies)</v>
          </cell>
        </row>
        <row r="159">
          <cell r="E159" t="str">
            <v>Black Francolin</v>
          </cell>
          <cell r="F159" t="str">
            <v>Francolin noir</v>
          </cell>
          <cell r="G159" t="str">
            <v>Francolinus francolinus</v>
          </cell>
          <cell r="H159" t="str">
            <v>Galliformes</v>
          </cell>
          <cell r="I159" t="str">
            <v>Phasianidae (Pheasants, Grouse, and Allies)</v>
          </cell>
        </row>
        <row r="160">
          <cell r="E160" t="str">
            <v>Black Guan</v>
          </cell>
          <cell r="F160" t="str">
            <v>Pénélope unicolore</v>
          </cell>
          <cell r="G160" t="str">
            <v>Chamaepetes unicolor</v>
          </cell>
          <cell r="H160" t="str">
            <v>Galliformes</v>
          </cell>
          <cell r="I160" t="str">
            <v>Cracidae (Guans, Chachalacas, and Curassows)</v>
          </cell>
        </row>
        <row r="161">
          <cell r="E161" t="str">
            <v>Black Guillemot</v>
          </cell>
          <cell r="F161" t="str">
            <v>Guillemot à miroir</v>
          </cell>
          <cell r="G161" t="str">
            <v>Cepphus grylle</v>
          </cell>
          <cell r="H161" t="str">
            <v>Charadriiformes</v>
          </cell>
          <cell r="I161" t="str">
            <v>Alcidae (Auks, Murres, and Puffins)</v>
          </cell>
        </row>
        <row r="162">
          <cell r="E162" t="str">
            <v>Black Hawk-Eagle</v>
          </cell>
          <cell r="F162" t="str">
            <v>Aigle tyran</v>
          </cell>
          <cell r="G162" t="str">
            <v>Spizaetus tyrannus</v>
          </cell>
          <cell r="H162" t="str">
            <v>Accipitriformes</v>
          </cell>
          <cell r="I162" t="str">
            <v>Accipitridae (Hawks, Eagles, and Kites)</v>
          </cell>
        </row>
        <row r="163">
          <cell r="E163" t="str">
            <v>Black Heron</v>
          </cell>
          <cell r="F163" t="str">
            <v>Aigrette ardoisée</v>
          </cell>
          <cell r="G163" t="str">
            <v>Egretta ardesiaca</v>
          </cell>
          <cell r="H163" t="str">
            <v>Pelecaniformes</v>
          </cell>
          <cell r="I163" t="str">
            <v>Ardeidae (Herons, Egrets, and Bitterns)</v>
          </cell>
        </row>
        <row r="164">
          <cell r="E164" t="str">
            <v>Black Inca</v>
          </cell>
          <cell r="F164" t="str">
            <v>Inca noir</v>
          </cell>
          <cell r="G164" t="str">
            <v>Coeligena prunellei</v>
          </cell>
          <cell r="H164" t="str">
            <v>Apodiformes</v>
          </cell>
          <cell r="I164" t="str">
            <v>Trochilidae (Hummingbirds)</v>
          </cell>
        </row>
        <row r="165">
          <cell r="E165" t="str">
            <v>Black Kite</v>
          </cell>
          <cell r="F165" t="str">
            <v>Milan noir</v>
          </cell>
          <cell r="G165" t="str">
            <v>Milvus migrans</v>
          </cell>
          <cell r="H165" t="str">
            <v>Accipitriformes</v>
          </cell>
          <cell r="I165" t="str">
            <v>Accipitridae (Hawks, Eagles, and Kites)</v>
          </cell>
        </row>
        <row r="166">
          <cell r="E166" t="str">
            <v>Black Oropendola</v>
          </cell>
          <cell r="F166" t="str">
            <v>Cassique noir</v>
          </cell>
          <cell r="G166" t="str">
            <v>Psarocolius guatimozinus</v>
          </cell>
          <cell r="H166" t="str">
            <v>Passeriformes</v>
          </cell>
          <cell r="I166" t="str">
            <v>Icteridae (Troupials and Allies)</v>
          </cell>
        </row>
        <row r="167">
          <cell r="E167" t="str">
            <v>Black Oystercatcher</v>
          </cell>
          <cell r="F167" t="str">
            <v>Huîtrier de Bachman</v>
          </cell>
          <cell r="G167" t="str">
            <v>Haematopus bachmani</v>
          </cell>
          <cell r="H167" t="str">
            <v>Charadriiformes</v>
          </cell>
          <cell r="I167" t="str">
            <v>Haematopodidae (Oystercatchers)</v>
          </cell>
        </row>
        <row r="168">
          <cell r="E168" t="str">
            <v>Black Phoebe</v>
          </cell>
          <cell r="F168" t="str">
            <v>Moucherolle noir</v>
          </cell>
          <cell r="G168" t="str">
            <v>Sayornis nigricans</v>
          </cell>
          <cell r="H168" t="str">
            <v>Passeriformes</v>
          </cell>
          <cell r="I168" t="str">
            <v>Tyrannidae (Tyrant Flycatchers)</v>
          </cell>
        </row>
        <row r="169">
          <cell r="E169" t="str">
            <v>Black Scoter</v>
          </cell>
          <cell r="F169" t="str">
            <v>Macreuse à bec jaune</v>
          </cell>
          <cell r="G169" t="str">
            <v>Melanitta americana</v>
          </cell>
          <cell r="H169" t="str">
            <v>Anseriformes</v>
          </cell>
          <cell r="I169" t="str">
            <v>Anatidae (Ducks, Geese, and Waterfowl)</v>
          </cell>
        </row>
        <row r="170">
          <cell r="E170" t="str">
            <v>Black Skimmer</v>
          </cell>
          <cell r="F170" t="str">
            <v>Bec-en-ciseaux noir</v>
          </cell>
          <cell r="G170" t="str">
            <v>Rynchops niger</v>
          </cell>
          <cell r="H170" t="str">
            <v>Charadriiformes</v>
          </cell>
          <cell r="I170" t="str">
            <v>Laridae (Gulls, Terns, and Skimmers)</v>
          </cell>
        </row>
        <row r="171">
          <cell r="E171" t="str">
            <v>Black Swan</v>
          </cell>
          <cell r="F171" t="str">
            <v>Cygne noir</v>
          </cell>
          <cell r="G171" t="str">
            <v>Cygnus atratus</v>
          </cell>
          <cell r="H171" t="str">
            <v>Anseriformes</v>
          </cell>
          <cell r="I171" t="str">
            <v>Anatidae (Ducks, Geese, and Waterfowl)</v>
          </cell>
        </row>
        <row r="172">
          <cell r="E172" t="str">
            <v>Black Tern</v>
          </cell>
          <cell r="F172" t="str">
            <v>Guifette noire</v>
          </cell>
          <cell r="G172" t="str">
            <v>Chlidonias niger</v>
          </cell>
          <cell r="H172" t="str">
            <v>Charadriiformes</v>
          </cell>
          <cell r="I172" t="str">
            <v>Laridae (Gulls, Terns, and Skimmers)</v>
          </cell>
        </row>
        <row r="173">
          <cell r="E173" t="str">
            <v>Black Turnstone</v>
          </cell>
          <cell r="F173" t="str">
            <v>Tournepierre noir</v>
          </cell>
          <cell r="G173" t="str">
            <v>Arenaria melanocephala</v>
          </cell>
          <cell r="H173" t="str">
            <v>Charadriiformes</v>
          </cell>
          <cell r="I173" t="str">
            <v>Scolopacidae (Sandpipers and Allies)</v>
          </cell>
        </row>
        <row r="174">
          <cell r="E174" t="str">
            <v>Black Vulture</v>
          </cell>
          <cell r="F174" t="str">
            <v>Urubu noir</v>
          </cell>
          <cell r="G174" t="str">
            <v>Coragyps atratus</v>
          </cell>
          <cell r="H174" t="str">
            <v>Cathartiformes</v>
          </cell>
          <cell r="I174" t="str">
            <v>Cathartidae (New World Vultures)</v>
          </cell>
        </row>
        <row r="175">
          <cell r="E175" t="str">
            <v>Black-and-white Hawk-Eagle</v>
          </cell>
          <cell r="F175" t="str">
            <v>Aigle noir et blanc</v>
          </cell>
          <cell r="G175" t="str">
            <v>Spizaetus melanoleucus</v>
          </cell>
          <cell r="H175" t="str">
            <v>Accipitriformes</v>
          </cell>
          <cell r="I175" t="str">
            <v>Accipitridae (Hawks, Eagles, and Kites)</v>
          </cell>
        </row>
        <row r="176">
          <cell r="E176" t="str">
            <v>Black-and-white Owl</v>
          </cell>
          <cell r="F176" t="str">
            <v>Chouette à lignes noires</v>
          </cell>
          <cell r="G176" t="str">
            <v>Strix nigrolineata</v>
          </cell>
          <cell r="H176" t="str">
            <v>Strigiformes</v>
          </cell>
          <cell r="I176" t="str">
            <v>Strigidae (Owls)</v>
          </cell>
        </row>
        <row r="177">
          <cell r="E177" t="str">
            <v>Black-and-white Warbler</v>
          </cell>
          <cell r="F177" t="str">
            <v>Paruline noir et blanc</v>
          </cell>
          <cell r="G177" t="str">
            <v>Mniotilta varia</v>
          </cell>
          <cell r="H177" t="str">
            <v>Passeriformes</v>
          </cell>
          <cell r="I177" t="str">
            <v>Parulidae (New World Warblers)</v>
          </cell>
        </row>
        <row r="178">
          <cell r="E178" t="str">
            <v>Black-and-yellow Silky-flycatcher</v>
          </cell>
          <cell r="F178" t="str">
            <v>Phénoptile noir et jaune</v>
          </cell>
          <cell r="G178" t="str">
            <v>Phainoptila melanoxantha</v>
          </cell>
          <cell r="H178" t="str">
            <v>Passeriformes</v>
          </cell>
          <cell r="I178" t="str">
            <v>Ptiliogonatidae (Silky-flycatchers)</v>
          </cell>
        </row>
        <row r="179">
          <cell r="E179" t="str">
            <v>Black-and-yellow Tanager</v>
          </cell>
          <cell r="F179" t="str">
            <v>Tangara loriot</v>
          </cell>
          <cell r="G179" t="str">
            <v>Chrysothlypis chrysomelas</v>
          </cell>
          <cell r="H179" t="str">
            <v>Passeriformes</v>
          </cell>
          <cell r="I179" t="str">
            <v>Thraupidae (Tanagers and Allies)</v>
          </cell>
        </row>
        <row r="180">
          <cell r="E180" t="str">
            <v>Black-backed Antshrike</v>
          </cell>
          <cell r="F180" t="str">
            <v>Batara à dos noir</v>
          </cell>
          <cell r="G180" t="str">
            <v>Thamnophilus melanonotus</v>
          </cell>
          <cell r="H180" t="str">
            <v>Passeriformes</v>
          </cell>
          <cell r="I180" t="str">
            <v>Thamnophilidae (Typical Antbirds)</v>
          </cell>
        </row>
        <row r="181">
          <cell r="E181" t="str">
            <v>Black-backed Grosbeak</v>
          </cell>
          <cell r="F181" t="str">
            <v>Cardinal à dos noir</v>
          </cell>
          <cell r="G181" t="str">
            <v>Pheucticus aureoventris</v>
          </cell>
          <cell r="H181" t="str">
            <v>Passeriformes</v>
          </cell>
          <cell r="I181" t="str">
            <v>Cardinalidae (Cardinals and Allies)</v>
          </cell>
        </row>
        <row r="182">
          <cell r="E182" t="str">
            <v>Black-backed Puffback</v>
          </cell>
          <cell r="F182" t="str">
            <v>Cubla boule-de-neige</v>
          </cell>
          <cell r="G182" t="str">
            <v>Dryoscopus cubla</v>
          </cell>
          <cell r="H182" t="str">
            <v>Passeriformes</v>
          </cell>
          <cell r="I182" t="str">
            <v>Malaconotidae (Bushshrikes and Allies)</v>
          </cell>
        </row>
        <row r="183">
          <cell r="E183" t="str">
            <v>Black-backed Woodpecker</v>
          </cell>
          <cell r="F183" t="str">
            <v>Pic à dos noir</v>
          </cell>
          <cell r="G183" t="str">
            <v>Picoides arcticus</v>
          </cell>
          <cell r="H183" t="str">
            <v>Piciformes</v>
          </cell>
          <cell r="I183" t="str">
            <v>Picidae (Woodpeckers)</v>
          </cell>
        </row>
        <row r="184">
          <cell r="E184" t="str">
            <v>Black-bellied Hummingbird</v>
          </cell>
          <cell r="F184" t="str">
            <v>Colibri à ventre noir</v>
          </cell>
          <cell r="G184" t="str">
            <v>Eupherusa nigriventris</v>
          </cell>
          <cell r="H184" t="str">
            <v>Apodiformes</v>
          </cell>
          <cell r="I184" t="str">
            <v>Trochilidae (Hummingbirds)</v>
          </cell>
        </row>
        <row r="185">
          <cell r="E185" t="str">
            <v>Black-bellied Plover</v>
          </cell>
          <cell r="F185" t="str">
            <v>Pluvier argenté</v>
          </cell>
          <cell r="G185" t="str">
            <v>Pluvialis squatarola</v>
          </cell>
          <cell r="H185" t="str">
            <v>Charadriiformes</v>
          </cell>
          <cell r="I185" t="str">
            <v>Charadriidae (Plovers and Lapwings)</v>
          </cell>
        </row>
        <row r="186">
          <cell r="E186" t="str">
            <v>Black-bellied Whistling-Duck</v>
          </cell>
          <cell r="F186" t="str">
            <v>Dendrocygne à ventre noir</v>
          </cell>
          <cell r="G186" t="str">
            <v>Dendrocygna autumnalis</v>
          </cell>
          <cell r="H186" t="str">
            <v>Anseriformes</v>
          </cell>
          <cell r="I186" t="str">
            <v>Anatidae (Ducks, Geese, and Waterfowl)</v>
          </cell>
        </row>
        <row r="187">
          <cell r="E187" t="str">
            <v>Black-bellied Wren</v>
          </cell>
          <cell r="F187" t="str">
            <v>Troglodyte à ventre noir</v>
          </cell>
          <cell r="G187" t="str">
            <v>Pheugopedius fasciatoventris</v>
          </cell>
          <cell r="H187" t="str">
            <v>Passeriformes</v>
          </cell>
          <cell r="I187" t="str">
            <v>Troglodytidae (Wrens)</v>
          </cell>
        </row>
        <row r="188">
          <cell r="E188" t="str">
            <v>Black-billed Cuckoo</v>
          </cell>
          <cell r="F188" t="str">
            <v>Coulicou à bec noir</v>
          </cell>
          <cell r="G188" t="str">
            <v>Coccyzus erythropthalmus</v>
          </cell>
          <cell r="H188" t="str">
            <v>Cuculiformes</v>
          </cell>
          <cell r="I188" t="str">
            <v>Cuculidae (Cuckoos)</v>
          </cell>
        </row>
        <row r="189">
          <cell r="E189" t="str">
            <v>Black-billed Magpie</v>
          </cell>
          <cell r="F189" t="str">
            <v>Pie d'Amérique</v>
          </cell>
          <cell r="G189" t="str">
            <v>Pica hudsonia</v>
          </cell>
          <cell r="H189" t="str">
            <v>Passeriformes</v>
          </cell>
          <cell r="I189" t="str">
            <v>Corvidae (Crows, Jays, and Magpies)</v>
          </cell>
        </row>
        <row r="190">
          <cell r="E190" t="str">
            <v>Black-billed Mountain-Toucan</v>
          </cell>
          <cell r="F190" t="str">
            <v>Toucan à bec noir</v>
          </cell>
          <cell r="G190" t="str">
            <v>Andigena nigrirostris</v>
          </cell>
          <cell r="H190" t="str">
            <v>Piciformes</v>
          </cell>
          <cell r="I190" t="str">
            <v>Ramphastidae (Toucans)</v>
          </cell>
        </row>
        <row r="191">
          <cell r="E191" t="str">
            <v>Black-billed Nightingale-Thrush</v>
          </cell>
          <cell r="F191" t="str">
            <v>Grive à bec noir</v>
          </cell>
          <cell r="G191" t="str">
            <v>Catharus gracilirostris</v>
          </cell>
          <cell r="H191" t="str">
            <v>Passeriformes</v>
          </cell>
          <cell r="I191" t="str">
            <v>Turdidae (Thrushes and Allies)</v>
          </cell>
        </row>
        <row r="192">
          <cell r="E192" t="str">
            <v>Black-billed Peppershrike</v>
          </cell>
          <cell r="F192" t="str">
            <v>Sourciroux à bec noir</v>
          </cell>
          <cell r="G192" t="str">
            <v>Cyclarhis nigrirostris</v>
          </cell>
          <cell r="H192" t="str">
            <v>Passeriformes</v>
          </cell>
          <cell r="I192" t="str">
            <v>Vireonidae (Vireos, Shrike-Babblers, and Erpornis)</v>
          </cell>
        </row>
        <row r="193">
          <cell r="E193" t="str">
            <v>Black-billed Shrike-Tyrant</v>
          </cell>
          <cell r="F193" t="str">
            <v>Gaucho à bec noir</v>
          </cell>
          <cell r="G193" t="str">
            <v>Agriornis montanus</v>
          </cell>
          <cell r="H193" t="str">
            <v>Passeriformes</v>
          </cell>
          <cell r="I193" t="str">
            <v>Tyrannidae (Tyrant Flycatchers)</v>
          </cell>
        </row>
        <row r="194">
          <cell r="E194" t="str">
            <v>Black-billed Thrush</v>
          </cell>
          <cell r="F194" t="str">
            <v>Merle à bec noir</v>
          </cell>
          <cell r="G194" t="str">
            <v>Turdus ignobilis</v>
          </cell>
          <cell r="H194" t="str">
            <v>Passeriformes</v>
          </cell>
          <cell r="I194" t="str">
            <v>Turdidae (Thrushes and Allies)</v>
          </cell>
        </row>
        <row r="195">
          <cell r="E195" t="str">
            <v>Black-breasted Kite</v>
          </cell>
          <cell r="F195" t="str">
            <v>Bondrée à plastron</v>
          </cell>
          <cell r="G195" t="str">
            <v>Hamirostra melanosternon</v>
          </cell>
          <cell r="H195" t="str">
            <v>Accipitriformes</v>
          </cell>
          <cell r="I195" t="str">
            <v>Accipitridae (Hawks, Eagles, and Kites)</v>
          </cell>
        </row>
        <row r="196">
          <cell r="E196" t="str">
            <v>Black-breasted Puffbird</v>
          </cell>
          <cell r="F196" t="str">
            <v>Tamatia à plastron</v>
          </cell>
          <cell r="G196" t="str">
            <v>Notharchus pectoralis</v>
          </cell>
          <cell r="H196" t="str">
            <v>Piciformes</v>
          </cell>
          <cell r="I196" t="str">
            <v>Bucconidae (Puffbirds)</v>
          </cell>
        </row>
        <row r="197">
          <cell r="E197" t="str">
            <v>Black-capped Chickadee</v>
          </cell>
          <cell r="F197" t="str">
            <v>Mésange à tête noire</v>
          </cell>
          <cell r="G197" t="str">
            <v>Poecile atricapillus</v>
          </cell>
          <cell r="H197" t="str">
            <v>Passeriformes</v>
          </cell>
          <cell r="I197" t="str">
            <v>Paridae (Tits, Chickadees, and Titmice)</v>
          </cell>
        </row>
        <row r="198">
          <cell r="E198" t="str">
            <v>Black-capped Donacobius</v>
          </cell>
          <cell r="F198" t="str">
            <v>Donacobe à miroir</v>
          </cell>
          <cell r="G198" t="str">
            <v>Donacobius atricapilla</v>
          </cell>
          <cell r="H198" t="str">
            <v>Passeriformes</v>
          </cell>
          <cell r="I198" t="str">
            <v>Donacobiidae (Donacobius)</v>
          </cell>
        </row>
        <row r="199">
          <cell r="E199" t="str">
            <v>Black-capped Flycatcher</v>
          </cell>
          <cell r="F199" t="str">
            <v>Moucherolle à tête noire</v>
          </cell>
          <cell r="G199" t="str">
            <v>Empidonax atriceps</v>
          </cell>
          <cell r="H199" t="str">
            <v>Passeriformes</v>
          </cell>
          <cell r="I199" t="str">
            <v>Tyrannidae (Tyrant Flycatchers)</v>
          </cell>
        </row>
        <row r="200">
          <cell r="E200" t="str">
            <v>Black-capped Hemispingus</v>
          </cell>
          <cell r="F200" t="str">
            <v>Tangara à calotte noire</v>
          </cell>
          <cell r="G200" t="str">
            <v>Kleinothraupis atropileus</v>
          </cell>
          <cell r="H200" t="str">
            <v>Passeriformes</v>
          </cell>
          <cell r="I200" t="str">
            <v>Thraupidae (Tanagers and Allies)</v>
          </cell>
        </row>
        <row r="201">
          <cell r="E201" t="str">
            <v>Black-capped Pygmy-Tyrant</v>
          </cell>
          <cell r="F201" t="str">
            <v>Microtyran à calotte noire</v>
          </cell>
          <cell r="G201" t="str">
            <v>Myiornis atricapillus</v>
          </cell>
          <cell r="H201" t="str">
            <v>Passeriformes</v>
          </cell>
          <cell r="I201" t="str">
            <v>Tyrannidae (Tyrant Flycatchers)</v>
          </cell>
        </row>
        <row r="202">
          <cell r="E202" t="str">
            <v>Black-capped Tanager</v>
          </cell>
          <cell r="F202" t="str">
            <v>Calliste à calotte noire</v>
          </cell>
          <cell r="G202" t="str">
            <v>Stilpnia heinei</v>
          </cell>
          <cell r="H202" t="str">
            <v>Passeriformes</v>
          </cell>
          <cell r="I202" t="str">
            <v>Thraupidae (Tanagers and Allies)</v>
          </cell>
        </row>
        <row r="203">
          <cell r="E203" t="str">
            <v>Black-capped Tyrannulet</v>
          </cell>
          <cell r="F203" t="str">
            <v>Tyranneau à tête noire</v>
          </cell>
          <cell r="G203" t="str">
            <v>Tyranniscus nigrocapillus</v>
          </cell>
          <cell r="H203" t="str">
            <v>Passeriformes</v>
          </cell>
          <cell r="I203" t="str">
            <v>Tyrannidae (Tyrant Flycatchers)</v>
          </cell>
        </row>
        <row r="204">
          <cell r="E204" t="str">
            <v>Black-cheeked Mountain Tanager</v>
          </cell>
          <cell r="F204" t="str">
            <v>Tangara de Santa Marta</v>
          </cell>
          <cell r="G204" t="str">
            <v>Anisognathus melanogenys</v>
          </cell>
          <cell r="H204" t="str">
            <v>Passeriformes</v>
          </cell>
          <cell r="I204" t="str">
            <v>Thraupidae (Tanagers and Allies)</v>
          </cell>
        </row>
        <row r="205">
          <cell r="E205" t="str">
            <v>Black-cheeked Warbler</v>
          </cell>
          <cell r="F205" t="str">
            <v>Paruline sombre</v>
          </cell>
          <cell r="G205" t="str">
            <v>Basileuterus melanogenys</v>
          </cell>
          <cell r="H205" t="str">
            <v>Passeriformes</v>
          </cell>
          <cell r="I205" t="str">
            <v>Parulidae (New World Warblers)</v>
          </cell>
        </row>
        <row r="206">
          <cell r="E206" t="str">
            <v>Black-cheeked Woodpecker</v>
          </cell>
          <cell r="F206" t="str">
            <v>Pic de Pucheran</v>
          </cell>
          <cell r="G206" t="str">
            <v>Melanerpes pucherani</v>
          </cell>
          <cell r="H206" t="str">
            <v>Piciformes</v>
          </cell>
          <cell r="I206" t="str">
            <v>Picidae (Woodpeckers)</v>
          </cell>
        </row>
        <row r="207">
          <cell r="E207" t="str">
            <v>Black-chested Buzzard-Eagle</v>
          </cell>
          <cell r="F207" t="str">
            <v>Buse aguia</v>
          </cell>
          <cell r="G207" t="str">
            <v>Geranoaetus melanoleucus</v>
          </cell>
          <cell r="H207" t="str">
            <v>Accipitriformes</v>
          </cell>
          <cell r="I207" t="str">
            <v>Accipitridae (Hawks, Eagles, and Kites)</v>
          </cell>
        </row>
        <row r="208">
          <cell r="E208" t="str">
            <v>Black-chested Jay</v>
          </cell>
          <cell r="F208" t="str">
            <v>Geai à poitrine noire</v>
          </cell>
          <cell r="G208" t="str">
            <v>Cyanocorax affinis</v>
          </cell>
          <cell r="H208" t="str">
            <v>Passeriformes</v>
          </cell>
          <cell r="I208" t="str">
            <v>Corvidae (Crows, Jays, and Magpies)</v>
          </cell>
        </row>
        <row r="209">
          <cell r="E209" t="str">
            <v>Black-chested Snake-Eagle</v>
          </cell>
          <cell r="F209" t="str">
            <v>Circaète à poitrine noire</v>
          </cell>
          <cell r="G209" t="str">
            <v>Circaetus pectoralis</v>
          </cell>
          <cell r="H209" t="str">
            <v>Accipitriformes</v>
          </cell>
          <cell r="I209" t="str">
            <v>Accipitridae (Hawks, Eagles, and Kites)</v>
          </cell>
        </row>
        <row r="210">
          <cell r="E210" t="str">
            <v>Black-chinned Honeyeater</v>
          </cell>
          <cell r="F210" t="str">
            <v>Méliphage à menton noir</v>
          </cell>
          <cell r="G210" t="str">
            <v>Melithreptus gularis</v>
          </cell>
          <cell r="H210" t="str">
            <v>Passeriformes</v>
          </cell>
          <cell r="I210" t="str">
            <v>Meliphagidae (Honeyeaters)</v>
          </cell>
        </row>
        <row r="211">
          <cell r="E211" t="str">
            <v>Black-chinned Mountain Tanager</v>
          </cell>
          <cell r="F211" t="str">
            <v>Tangara à menton noir</v>
          </cell>
          <cell r="G211" t="str">
            <v>Anisognathus notabilis</v>
          </cell>
          <cell r="H211" t="str">
            <v>Passeriformes</v>
          </cell>
          <cell r="I211" t="str">
            <v>Thraupidae (Tanagers and Allies)</v>
          </cell>
        </row>
        <row r="212">
          <cell r="E212" t="str">
            <v>Black-collared Barbet</v>
          </cell>
          <cell r="F212" t="str">
            <v>Barbican à collier</v>
          </cell>
          <cell r="G212" t="str">
            <v>Lybius torquatus</v>
          </cell>
          <cell r="H212" t="str">
            <v>Piciformes</v>
          </cell>
          <cell r="I212" t="str">
            <v>Lybiidae (African Barbets)</v>
          </cell>
        </row>
        <row r="213">
          <cell r="E213" t="str">
            <v>Black-collared Hawk</v>
          </cell>
          <cell r="F213" t="str">
            <v>Buse à tête blanche</v>
          </cell>
          <cell r="G213" t="str">
            <v>Busarellus nigricollis</v>
          </cell>
          <cell r="H213" t="str">
            <v>Accipitriformes</v>
          </cell>
          <cell r="I213" t="str">
            <v>Accipitridae (Hawks, Eagles, and Kites)</v>
          </cell>
        </row>
        <row r="214">
          <cell r="E214" t="str">
            <v>Black-cowled Oriole</v>
          </cell>
          <cell r="F214" t="str">
            <v>Oriole monacal</v>
          </cell>
          <cell r="G214" t="str">
            <v>Icterus prosthemelas</v>
          </cell>
          <cell r="H214" t="str">
            <v>Passeriformes</v>
          </cell>
          <cell r="I214" t="str">
            <v>Icteridae (Troupials and Allies)</v>
          </cell>
        </row>
        <row r="215">
          <cell r="E215" t="str">
            <v>Black-crested Antshrike</v>
          </cell>
          <cell r="F215" t="str">
            <v>Batara huppé</v>
          </cell>
          <cell r="G215" t="str">
            <v>Sakesphorus canadensis</v>
          </cell>
          <cell r="H215" t="str">
            <v>Passeriformes</v>
          </cell>
          <cell r="I215" t="str">
            <v>Thamnophilidae (Typical Antbirds)</v>
          </cell>
        </row>
        <row r="216">
          <cell r="E216" t="str">
            <v>Black-crested Coquette</v>
          </cell>
          <cell r="F216" t="str">
            <v>Coquette d'Hélène</v>
          </cell>
          <cell r="G216" t="str">
            <v>Lophornis helenae</v>
          </cell>
          <cell r="H216" t="str">
            <v>Apodiformes</v>
          </cell>
          <cell r="I216" t="str">
            <v>Trochilidae (Hummingbirds)</v>
          </cell>
        </row>
        <row r="217">
          <cell r="E217" t="str">
            <v>Black-crested Warbler</v>
          </cell>
          <cell r="F217" t="str">
            <v>Paruline à cimier noir</v>
          </cell>
          <cell r="G217" t="str">
            <v>Myiothlypis nigrocristata</v>
          </cell>
          <cell r="H217" t="str">
            <v>Passeriformes</v>
          </cell>
          <cell r="I217" t="str">
            <v>Parulidae (New World Warblers)</v>
          </cell>
        </row>
        <row r="218">
          <cell r="E218" t="str">
            <v>Black-crowned Antpitta</v>
          </cell>
          <cell r="F218" t="str">
            <v>Pittasome à tête noire</v>
          </cell>
          <cell r="G218" t="str">
            <v>Pittasoma michleri</v>
          </cell>
          <cell r="H218" t="str">
            <v>Passeriformes</v>
          </cell>
          <cell r="I218" t="str">
            <v>Conopophagidae (Gnateaters)</v>
          </cell>
        </row>
        <row r="219">
          <cell r="E219" t="str">
            <v>Black-crowned Antshrike</v>
          </cell>
          <cell r="F219" t="str">
            <v>Batara à nuque noire</v>
          </cell>
          <cell r="G219" t="str">
            <v>Thamnophilus atrinucha</v>
          </cell>
          <cell r="H219" t="str">
            <v>Passeriformes</v>
          </cell>
          <cell r="I219" t="str">
            <v>Thamnophilidae (Typical Antbirds)</v>
          </cell>
        </row>
        <row r="220">
          <cell r="E220" t="str">
            <v>Black-crowned Night Heron</v>
          </cell>
          <cell r="F220" t="str">
            <v>Bihoreau gris</v>
          </cell>
          <cell r="G220" t="str">
            <v>Nycticorax nycticorax</v>
          </cell>
          <cell r="H220" t="str">
            <v>Pelecaniformes</v>
          </cell>
          <cell r="I220" t="str">
            <v>Ardeidae (Herons, Egrets, and Bitterns)</v>
          </cell>
        </row>
        <row r="221">
          <cell r="E221" t="str">
            <v>Black-crowned Tchagra</v>
          </cell>
          <cell r="F221" t="str">
            <v>Tchagra à tête noire</v>
          </cell>
          <cell r="G221" t="str">
            <v>Tchagra senegalus</v>
          </cell>
          <cell r="H221" t="str">
            <v>Passeriformes</v>
          </cell>
          <cell r="I221" t="str">
            <v>Malaconotidae (Bushshrikes and Allies)</v>
          </cell>
        </row>
        <row r="222">
          <cell r="E222" t="str">
            <v>Black-crowned Tityra</v>
          </cell>
          <cell r="F222" t="str">
            <v>Tityre à tête noire</v>
          </cell>
          <cell r="G222" t="str">
            <v>Tityra inquisitor</v>
          </cell>
          <cell r="H222" t="str">
            <v>Passeriformes</v>
          </cell>
          <cell r="I222" t="str">
            <v>Tityridae (Tityras and Allies)</v>
          </cell>
        </row>
        <row r="223">
          <cell r="E223" t="str">
            <v>Black-eared Cuckoo</v>
          </cell>
          <cell r="F223" t="str">
            <v>Coucou oreillard</v>
          </cell>
          <cell r="G223" t="str">
            <v>Chalcites osculans</v>
          </cell>
          <cell r="H223" t="str">
            <v>Cuculiformes</v>
          </cell>
          <cell r="I223" t="str">
            <v>Cuculidae (Cuckoos)</v>
          </cell>
        </row>
        <row r="224">
          <cell r="E224" t="str">
            <v>Black-eared Hemispingus</v>
          </cell>
          <cell r="F224" t="str">
            <v>Tangara barbouillé</v>
          </cell>
          <cell r="G224" t="str">
            <v>Sphenopsis melanotis</v>
          </cell>
          <cell r="H224" t="str">
            <v>Passeriformes</v>
          </cell>
          <cell r="I224" t="str">
            <v>Thraupidae (Tanagers and Allies)</v>
          </cell>
        </row>
        <row r="225">
          <cell r="E225" t="str">
            <v>Black-faced Antthrush</v>
          </cell>
          <cell r="F225" t="str">
            <v>Tétéma coq-de-bois</v>
          </cell>
          <cell r="G225" t="str">
            <v>Formicarius analis</v>
          </cell>
          <cell r="H225" t="str">
            <v>Passeriformes</v>
          </cell>
          <cell r="I225" t="str">
            <v>Formicariidae (Antthrushes)</v>
          </cell>
        </row>
        <row r="226">
          <cell r="E226" t="str">
            <v>Black-faced Cormorant</v>
          </cell>
          <cell r="F226" t="str">
            <v>Cormoran de Tasmanie</v>
          </cell>
          <cell r="G226" t="str">
            <v>Phalacrocorax fuscescens</v>
          </cell>
          <cell r="H226" t="str">
            <v>Suliformes</v>
          </cell>
          <cell r="I226" t="str">
            <v>Phalacrocoracidae (Cormorants and Shags)</v>
          </cell>
        </row>
        <row r="227">
          <cell r="E227" t="str">
            <v>Black-faced Cuckooshrike</v>
          </cell>
          <cell r="F227" t="str">
            <v>Échenilleur à masque noir</v>
          </cell>
          <cell r="G227" t="str">
            <v>Coracina novaehollandiae</v>
          </cell>
          <cell r="H227" t="str">
            <v>Passeriformes</v>
          </cell>
          <cell r="I227" t="str">
            <v>Campephagidae (Cuckooshrikes)</v>
          </cell>
        </row>
        <row r="228">
          <cell r="E228" t="str">
            <v>Black-faced Grassquit</v>
          </cell>
          <cell r="F228" t="str">
            <v>Cici verdinère</v>
          </cell>
          <cell r="G228" t="str">
            <v>Melanospiza bicolor</v>
          </cell>
          <cell r="H228" t="str">
            <v>Passeriformes</v>
          </cell>
          <cell r="I228" t="str">
            <v>Thraupidae (Tanagers and Allies)</v>
          </cell>
        </row>
        <row r="229">
          <cell r="E229" t="str">
            <v>Black-faced Grosbeak</v>
          </cell>
          <cell r="F229" t="str">
            <v>Cardinal à ventre blanc</v>
          </cell>
          <cell r="G229" t="str">
            <v>Caryothraustes poliogaster</v>
          </cell>
          <cell r="H229" t="str">
            <v>Passeriformes</v>
          </cell>
          <cell r="I229" t="str">
            <v>Cardinalidae (Cardinals and Allies)</v>
          </cell>
        </row>
        <row r="230">
          <cell r="E230" t="str">
            <v>Black-faced Solitaire</v>
          </cell>
          <cell r="F230" t="str">
            <v>Solitaire masqué</v>
          </cell>
          <cell r="G230" t="str">
            <v>Myadestes melanops</v>
          </cell>
          <cell r="H230" t="str">
            <v>Passeriformes</v>
          </cell>
          <cell r="I230" t="str">
            <v>Turdidae (Thrushes and Allies)</v>
          </cell>
        </row>
        <row r="231">
          <cell r="E231" t="str">
            <v>Black-faced Woodswallow</v>
          </cell>
          <cell r="F231" t="str">
            <v>Langrayen gris</v>
          </cell>
          <cell r="G231" t="str">
            <v>Artamus cinereus</v>
          </cell>
          <cell r="H231" t="str">
            <v>Passeriformes</v>
          </cell>
          <cell r="I231" t="str">
            <v>Artamidae (Woodswallows, Bellmagpies, and Allies)</v>
          </cell>
        </row>
        <row r="232">
          <cell r="E232" t="str">
            <v>Black-fronted Bulbul</v>
          </cell>
          <cell r="F232" t="str">
            <v>Bulbul brunoir</v>
          </cell>
          <cell r="G232" t="str">
            <v>Pycnonotus nigricans</v>
          </cell>
          <cell r="H232" t="str">
            <v>Passeriformes</v>
          </cell>
          <cell r="I232" t="str">
            <v>Pycnonotidae (Bulbuls)</v>
          </cell>
        </row>
        <row r="233">
          <cell r="E233" t="str">
            <v>Black-fronted Dotterel</v>
          </cell>
          <cell r="F233" t="str">
            <v>Pluvier à face noire</v>
          </cell>
          <cell r="G233" t="str">
            <v>Thinornis melanops</v>
          </cell>
          <cell r="H233" t="str">
            <v>Charadriiformes</v>
          </cell>
          <cell r="I233" t="str">
            <v>Charadriidae (Plovers and Lapwings)</v>
          </cell>
        </row>
        <row r="234">
          <cell r="E234" t="str">
            <v>Black-fronted Nunbird</v>
          </cell>
          <cell r="F234" t="str">
            <v>Barbacou unicolore</v>
          </cell>
          <cell r="G234" t="str">
            <v>Monasa nigrifrons</v>
          </cell>
          <cell r="H234" t="str">
            <v>Piciformes</v>
          </cell>
          <cell r="I234" t="str">
            <v>Bucconidae (Puffbirds)</v>
          </cell>
        </row>
        <row r="235">
          <cell r="E235" t="str">
            <v>Black-headed Gull</v>
          </cell>
          <cell r="F235" t="str">
            <v>Mouette rieuse</v>
          </cell>
          <cell r="G235" t="str">
            <v>Chroicocephalus ridibundus</v>
          </cell>
          <cell r="H235" t="str">
            <v>Charadriiformes</v>
          </cell>
          <cell r="I235" t="str">
            <v>Laridae (Gulls, Terns, and Skimmers)</v>
          </cell>
        </row>
        <row r="236">
          <cell r="E236" t="str">
            <v>Black-headed Heron</v>
          </cell>
          <cell r="F236" t="str">
            <v>Héron mélanocéphale</v>
          </cell>
          <cell r="G236" t="str">
            <v>Ardea melanocephala</v>
          </cell>
          <cell r="H236" t="str">
            <v>Pelecaniformes</v>
          </cell>
          <cell r="I236" t="str">
            <v>Ardeidae (Herons, Egrets, and Bitterns)</v>
          </cell>
        </row>
        <row r="237">
          <cell r="E237" t="str">
            <v>Black-headed Honeyeater</v>
          </cell>
          <cell r="F237" t="str">
            <v>Méliphage à tête noire</v>
          </cell>
          <cell r="G237" t="str">
            <v>Melithreptus affinis</v>
          </cell>
          <cell r="H237" t="str">
            <v>Passeriformes</v>
          </cell>
          <cell r="I237" t="str">
            <v>Meliphagidae (Honeyeaters)</v>
          </cell>
        </row>
        <row r="238">
          <cell r="E238" t="str">
            <v>Black-headed Nightingale-Thrush</v>
          </cell>
          <cell r="F238" t="str">
            <v>Grive à tête noire</v>
          </cell>
          <cell r="G238" t="str">
            <v>Catharus mexicanus</v>
          </cell>
          <cell r="H238" t="str">
            <v>Passeriformes</v>
          </cell>
          <cell r="I238" t="str">
            <v>Turdidae (Thrushes and Allies)</v>
          </cell>
        </row>
        <row r="239">
          <cell r="E239" t="str">
            <v>Black-headed Saltator</v>
          </cell>
          <cell r="F239" t="str">
            <v>Saltator à tête noire</v>
          </cell>
          <cell r="G239" t="str">
            <v>Saltator atriceps</v>
          </cell>
          <cell r="H239" t="str">
            <v>Passeriformes</v>
          </cell>
          <cell r="I239" t="str">
            <v>Thraupidae (Tanagers and Allies)</v>
          </cell>
        </row>
        <row r="240">
          <cell r="E240" t="str">
            <v>Black-headed Siskin</v>
          </cell>
          <cell r="F240" t="str">
            <v>Tarin à tête noire</v>
          </cell>
          <cell r="G240" t="str">
            <v>Spinus notatus</v>
          </cell>
          <cell r="H240" t="str">
            <v>Passeriformes</v>
          </cell>
          <cell r="I240" t="str">
            <v>Fringillidae (Finches, Euphonias, and Allies)</v>
          </cell>
        </row>
        <row r="241">
          <cell r="E241" t="str">
            <v>Black-headed Tanager</v>
          </cell>
          <cell r="F241" t="str">
            <v>Calliste à tête noire</v>
          </cell>
          <cell r="G241" t="str">
            <v>Stilpnia cyanoptera</v>
          </cell>
          <cell r="H241" t="str">
            <v>Passeriformes</v>
          </cell>
          <cell r="I241" t="str">
            <v>Thraupidae (Tanagers and Allies)</v>
          </cell>
        </row>
        <row r="242">
          <cell r="E242" t="str">
            <v>Black-headed Tody-Flycatcher</v>
          </cell>
          <cell r="F242" t="str">
            <v>Todirostre à tête noire</v>
          </cell>
          <cell r="G242" t="str">
            <v>Todirostrum nigriceps</v>
          </cell>
          <cell r="H242" t="str">
            <v>Passeriformes</v>
          </cell>
          <cell r="I242" t="str">
            <v>Tyrannidae (Tyrant Flycatchers)</v>
          </cell>
        </row>
        <row r="243">
          <cell r="E243" t="str">
            <v>Black-headed Trogon</v>
          </cell>
          <cell r="F243" t="str">
            <v>Trogon à tête noire</v>
          </cell>
          <cell r="G243" t="str">
            <v>Trogon melanocephalus</v>
          </cell>
          <cell r="H243" t="str">
            <v>Trogoniformes</v>
          </cell>
          <cell r="I243" t="str">
            <v>Trogonidae (Trogons)</v>
          </cell>
        </row>
        <row r="244">
          <cell r="E244" t="str">
            <v>Black-hooded Antshrike</v>
          </cell>
          <cell r="F244" t="str">
            <v>Batara capucin</v>
          </cell>
          <cell r="G244" t="str">
            <v>Thamnophilus bridgesi</v>
          </cell>
          <cell r="H244" t="str">
            <v>Passeriformes</v>
          </cell>
          <cell r="I244" t="str">
            <v>Thamnophilidae (Typical Antbirds)</v>
          </cell>
        </row>
        <row r="245">
          <cell r="E245" t="str">
            <v>Black-hooded Thrush</v>
          </cell>
          <cell r="F245" t="str">
            <v>Merle à froc noir</v>
          </cell>
          <cell r="G245" t="str">
            <v>Turdus olivater</v>
          </cell>
          <cell r="H245" t="str">
            <v>Passeriformes</v>
          </cell>
          <cell r="I245" t="str">
            <v>Turdidae (Thrushes and Allies)</v>
          </cell>
        </row>
        <row r="246">
          <cell r="E246" t="str">
            <v>Black-legged Kittiwake</v>
          </cell>
          <cell r="F246" t="str">
            <v>Mouette tridactyle</v>
          </cell>
          <cell r="G246" t="str">
            <v>Rissa tridactyla</v>
          </cell>
          <cell r="H246" t="str">
            <v>Charadriiformes</v>
          </cell>
          <cell r="I246" t="str">
            <v>Laridae (Gulls, Terns, and Skimmers)</v>
          </cell>
        </row>
        <row r="247">
          <cell r="E247" t="str">
            <v>Black-necked Stilt</v>
          </cell>
          <cell r="F247" t="str">
            <v>Échasse d'Amérique</v>
          </cell>
          <cell r="G247" t="str">
            <v>Himantopus mexicanus</v>
          </cell>
          <cell r="H247" t="str">
            <v>Charadriiformes</v>
          </cell>
          <cell r="I247" t="str">
            <v>Recurvirostridae (Stilts and Avocets)</v>
          </cell>
        </row>
        <row r="248">
          <cell r="E248" t="str">
            <v>Black-shouldered Kite</v>
          </cell>
          <cell r="F248" t="str">
            <v>Élanion d'Australie</v>
          </cell>
          <cell r="G248" t="str">
            <v>Elanus axillaris</v>
          </cell>
          <cell r="H248" t="str">
            <v>Accipitriformes</v>
          </cell>
          <cell r="I248" t="str">
            <v>Accipitridae (Hawks, Eagles, and Kites)</v>
          </cell>
        </row>
        <row r="249">
          <cell r="E249" t="str">
            <v>Black-striped Sparrow</v>
          </cell>
          <cell r="F249" t="str">
            <v>Tohi ligné</v>
          </cell>
          <cell r="G249" t="str">
            <v>Arremonops conirostris</v>
          </cell>
          <cell r="H249" t="str">
            <v>Passeriformes</v>
          </cell>
          <cell r="I249" t="str">
            <v>Passerellidae (New World Sparrows)</v>
          </cell>
        </row>
        <row r="250">
          <cell r="E250" t="str">
            <v>Black-striped Woodcreeper</v>
          </cell>
          <cell r="F250" t="str">
            <v>Grimpar maillé</v>
          </cell>
          <cell r="G250" t="str">
            <v>Xiphorhynchus lachrymosus</v>
          </cell>
          <cell r="H250" t="str">
            <v>Passeriformes</v>
          </cell>
          <cell r="I250" t="str">
            <v>Furnariidae (Ovenbirds and Woodcreepers)</v>
          </cell>
        </row>
        <row r="251">
          <cell r="E251" t="str">
            <v>Black-tailed Flycatcher</v>
          </cell>
          <cell r="F251" t="str">
            <v>Barbichon à queue noire</v>
          </cell>
          <cell r="G251" t="str">
            <v>Myiobius atricaudus</v>
          </cell>
          <cell r="H251" t="str">
            <v>Passeriformes</v>
          </cell>
          <cell r="I251" t="str">
            <v>Onychorhynchidae (Royal Flycatchers and Allies)</v>
          </cell>
        </row>
        <row r="252">
          <cell r="E252" t="str">
            <v>Black-tailed Nativehen</v>
          </cell>
          <cell r="F252" t="str">
            <v>Gallinule aborigène</v>
          </cell>
          <cell r="G252" t="str">
            <v>Tribonyx ventralis</v>
          </cell>
          <cell r="H252" t="str">
            <v>Gruiformes</v>
          </cell>
          <cell r="I252" t="str">
            <v>Rallidae (Rails, Gallinules, and Coots)</v>
          </cell>
        </row>
        <row r="253">
          <cell r="E253" t="str">
            <v>Black-tailed Trainbearer</v>
          </cell>
          <cell r="F253" t="str">
            <v>Porte-traîne lesbie</v>
          </cell>
          <cell r="G253" t="str">
            <v>Lesbia victoriae</v>
          </cell>
          <cell r="H253" t="str">
            <v>Apodiformes</v>
          </cell>
          <cell r="I253" t="str">
            <v>Trochilidae (Hummingbirds)</v>
          </cell>
        </row>
        <row r="254">
          <cell r="E254" t="str">
            <v>Black-tailed Trogon</v>
          </cell>
          <cell r="F254" t="str">
            <v>Trogon à queue noire</v>
          </cell>
          <cell r="G254" t="str">
            <v>Trogon melanurus</v>
          </cell>
          <cell r="H254" t="str">
            <v>Trogoniformes</v>
          </cell>
          <cell r="I254" t="str">
            <v>Trogonidae (Trogons)</v>
          </cell>
        </row>
        <row r="255">
          <cell r="E255" t="str">
            <v>Black-tailed Waxbill</v>
          </cell>
          <cell r="F255" t="str">
            <v>Astrild à queue noire</v>
          </cell>
          <cell r="G255" t="str">
            <v>Glaucestrilda perreini</v>
          </cell>
          <cell r="H255" t="str">
            <v>Passeriformes</v>
          </cell>
          <cell r="I255" t="str">
            <v>Estrildidae (Waxbills and Allies)</v>
          </cell>
        </row>
        <row r="256">
          <cell r="E256" t="str">
            <v>Black-thighed Grosbeak</v>
          </cell>
          <cell r="F256" t="str">
            <v>Cardinal à cuisses noires</v>
          </cell>
          <cell r="G256" t="str">
            <v>Pheucticus tibialis</v>
          </cell>
          <cell r="H256" t="str">
            <v>Passeriformes</v>
          </cell>
          <cell r="I256" t="str">
            <v>Cardinalidae (Cardinals and Allies)</v>
          </cell>
        </row>
        <row r="257">
          <cell r="E257" t="str">
            <v>Black-thighed Puffleg</v>
          </cell>
          <cell r="F257" t="str">
            <v>Érione de Derby</v>
          </cell>
          <cell r="G257" t="str">
            <v>Eriocnemis derbyi</v>
          </cell>
          <cell r="H257" t="str">
            <v>Apodiformes</v>
          </cell>
          <cell r="I257" t="str">
            <v>Trochilidae (Hummingbirds)</v>
          </cell>
        </row>
        <row r="258">
          <cell r="E258" t="str">
            <v>Black-throated Blue Warbler</v>
          </cell>
          <cell r="F258" t="str">
            <v>Paruline bleue</v>
          </cell>
          <cell r="G258" t="str">
            <v>Setophaga caerulescens</v>
          </cell>
          <cell r="H258" t="str">
            <v>Passeriformes</v>
          </cell>
          <cell r="I258" t="str">
            <v>Parulidae (New World Warblers)</v>
          </cell>
        </row>
        <row r="259">
          <cell r="E259" t="str">
            <v>Black-throated Bobwhite</v>
          </cell>
          <cell r="F259" t="str">
            <v>Colin à gorge noire</v>
          </cell>
          <cell r="G259" t="str">
            <v>Colinus nigrogularis</v>
          </cell>
          <cell r="H259" t="str">
            <v>Galliformes</v>
          </cell>
          <cell r="I259" t="str">
            <v>Odontophoridae (New World Quail)</v>
          </cell>
        </row>
        <row r="260">
          <cell r="E260" t="str">
            <v>Black-throated Gray Warbler</v>
          </cell>
          <cell r="F260" t="str">
            <v>Paruline grise</v>
          </cell>
          <cell r="G260" t="str">
            <v>Setophaga nigrescens</v>
          </cell>
          <cell r="H260" t="str">
            <v>Passeriformes</v>
          </cell>
          <cell r="I260" t="str">
            <v>Parulidae (New World Warblers)</v>
          </cell>
        </row>
        <row r="261">
          <cell r="E261" t="str">
            <v>Black-throated Green Warbler</v>
          </cell>
          <cell r="F261" t="str">
            <v>Paruline à gorge noire</v>
          </cell>
          <cell r="G261" t="str">
            <v>Setophaga virens</v>
          </cell>
          <cell r="H261" t="str">
            <v>Passeriformes</v>
          </cell>
          <cell r="I261" t="str">
            <v>Parulidae (New World Warblers)</v>
          </cell>
        </row>
        <row r="262">
          <cell r="E262" t="str">
            <v>Black-throated Mango</v>
          </cell>
          <cell r="F262" t="str">
            <v>Mango à cravate noire</v>
          </cell>
          <cell r="G262" t="str">
            <v>Anthracothorax nigricollis</v>
          </cell>
          <cell r="H262" t="str">
            <v>Apodiformes</v>
          </cell>
          <cell r="I262" t="str">
            <v>Trochilidae (Hummingbirds)</v>
          </cell>
        </row>
        <row r="263">
          <cell r="E263" t="str">
            <v>Black-throated Shrike-Tanager</v>
          </cell>
          <cell r="F263" t="str">
            <v>Tangara à gorge noire</v>
          </cell>
          <cell r="G263" t="str">
            <v>Lanio aurantius</v>
          </cell>
          <cell r="H263" t="str">
            <v>Passeriformes</v>
          </cell>
          <cell r="I263" t="str">
            <v>Thraupidae (Tanagers and Allies)</v>
          </cell>
        </row>
        <row r="264">
          <cell r="E264" t="str">
            <v>Black-throated Wren</v>
          </cell>
          <cell r="F264" t="str">
            <v>Troglodyte à gorge noire</v>
          </cell>
          <cell r="G264" t="str">
            <v>Pheugopedius atrogularis</v>
          </cell>
          <cell r="H264" t="str">
            <v>Passeriformes</v>
          </cell>
          <cell r="I264" t="str">
            <v>Troglodytidae (Wrens)</v>
          </cell>
        </row>
        <row r="265">
          <cell r="E265" t="str">
            <v>Black-vented Shearwater</v>
          </cell>
          <cell r="F265" t="str">
            <v>Puffin cul-noir</v>
          </cell>
          <cell r="G265" t="str">
            <v>Puffinus opisthomelas</v>
          </cell>
          <cell r="H265" t="str">
            <v>Procellariiformes</v>
          </cell>
          <cell r="I265" t="str">
            <v>Procellariidae (Shearwaters and Petrels)</v>
          </cell>
        </row>
        <row r="266">
          <cell r="E266" t="str">
            <v>Black-winged Ground Dove</v>
          </cell>
          <cell r="F266" t="str">
            <v>Colombe à ailes noires</v>
          </cell>
          <cell r="G266" t="str">
            <v>Metriopelia melanoptera</v>
          </cell>
          <cell r="H266" t="str">
            <v>Columbiformes</v>
          </cell>
          <cell r="I266" t="str">
            <v>Columbidae (Pigeons and Doves)</v>
          </cell>
        </row>
        <row r="267">
          <cell r="E267" t="str">
            <v>Black-winged Kite</v>
          </cell>
          <cell r="F267" t="str">
            <v>Élanion blanc</v>
          </cell>
          <cell r="G267" t="str">
            <v>Elanus caeruleus</v>
          </cell>
          <cell r="H267" t="str">
            <v>Accipitriformes</v>
          </cell>
          <cell r="I267" t="str">
            <v>Accipitridae (Hawks, Eagles, and Kites)</v>
          </cell>
        </row>
        <row r="268">
          <cell r="E268" t="str">
            <v>Black-winged Saltator</v>
          </cell>
          <cell r="F268" t="str">
            <v>Saltator à ailes noires</v>
          </cell>
          <cell r="G268" t="str">
            <v>Saltator atripennis</v>
          </cell>
          <cell r="H268" t="str">
            <v>Passeriformes</v>
          </cell>
          <cell r="I268" t="str">
            <v>Thraupidae (Tanagers and Allies)</v>
          </cell>
        </row>
        <row r="269">
          <cell r="E269" t="str">
            <v>Black-winged Stilt</v>
          </cell>
          <cell r="F269" t="str">
            <v>Échasse blanche</v>
          </cell>
          <cell r="G269" t="str">
            <v>Himantopus himantopus</v>
          </cell>
          <cell r="H269" t="str">
            <v>Charadriiformes</v>
          </cell>
          <cell r="I269" t="str">
            <v>Recurvirostridae (Stilts and Avocets)</v>
          </cell>
        </row>
        <row r="270">
          <cell r="E270" t="str">
            <v>Blackburnian Warbler</v>
          </cell>
          <cell r="F270" t="str">
            <v>Paruline à gorge orangée</v>
          </cell>
          <cell r="G270" t="str">
            <v>Setophaga fusca</v>
          </cell>
          <cell r="H270" t="str">
            <v>Passeriformes</v>
          </cell>
          <cell r="I270" t="str">
            <v>Parulidae (New World Warblers)</v>
          </cell>
        </row>
        <row r="271">
          <cell r="E271" t="str">
            <v>Blackish Rail</v>
          </cell>
          <cell r="F271" t="str">
            <v>Râle noirâtre</v>
          </cell>
          <cell r="G271" t="str">
            <v>Pardirallus nigricans</v>
          </cell>
          <cell r="H271" t="str">
            <v>Gruiformes</v>
          </cell>
          <cell r="I271" t="str">
            <v>Rallidae (Rails, Gallinules, and Coots)</v>
          </cell>
        </row>
        <row r="272">
          <cell r="E272" t="str">
            <v>Blackpoll Warbler</v>
          </cell>
          <cell r="F272" t="str">
            <v>Paruline rayée</v>
          </cell>
          <cell r="G272" t="str">
            <v>Setophaga striata</v>
          </cell>
          <cell r="H272" t="str">
            <v>Passeriformes</v>
          </cell>
          <cell r="I272" t="str">
            <v>Parulidae (New World Warblers)</v>
          </cell>
        </row>
        <row r="273">
          <cell r="E273" t="str">
            <v>Blacksmith Lapwing</v>
          </cell>
          <cell r="F273" t="str">
            <v>Vanneau armé</v>
          </cell>
          <cell r="G273" t="str">
            <v>Vanellus armatus</v>
          </cell>
          <cell r="H273" t="str">
            <v>Charadriiformes</v>
          </cell>
          <cell r="I273" t="str">
            <v>Charadriidae (Plovers and Lapwings)</v>
          </cell>
        </row>
        <row r="274">
          <cell r="E274" t="str">
            <v>Blue Cotinga</v>
          </cell>
          <cell r="F274" t="str">
            <v>Cotinga bleu</v>
          </cell>
          <cell r="G274" t="str">
            <v>Cotinga nattererii</v>
          </cell>
          <cell r="H274" t="str">
            <v>Passeriformes</v>
          </cell>
          <cell r="I274" t="str">
            <v>Cotingidae (Cotingas)</v>
          </cell>
        </row>
        <row r="275">
          <cell r="E275" t="str">
            <v>Blue Coua</v>
          </cell>
          <cell r="F275" t="str">
            <v>Coua bleu</v>
          </cell>
          <cell r="G275" t="str">
            <v>Coua caerulea</v>
          </cell>
          <cell r="H275" t="str">
            <v>Cuculiformes</v>
          </cell>
          <cell r="I275" t="str">
            <v>Cuculidae (Cuckoos)</v>
          </cell>
        </row>
        <row r="276">
          <cell r="E276" t="str">
            <v>Blue Crane</v>
          </cell>
          <cell r="F276" t="str">
            <v>Grue de paradis</v>
          </cell>
          <cell r="G276" t="str">
            <v>Grus paradiseus</v>
          </cell>
          <cell r="H276" t="str">
            <v>Gruiformes</v>
          </cell>
          <cell r="I276" t="str">
            <v>Gruidae (Cranes)</v>
          </cell>
        </row>
        <row r="277">
          <cell r="E277" t="str">
            <v>Blue Dacnis</v>
          </cell>
          <cell r="F277" t="str">
            <v>Dacnis bleu</v>
          </cell>
          <cell r="G277" t="str">
            <v>Dacnis cayana</v>
          </cell>
          <cell r="H277" t="str">
            <v>Passeriformes</v>
          </cell>
          <cell r="I277" t="str">
            <v>Thraupidae (Tanagers and Allies)</v>
          </cell>
        </row>
        <row r="278">
          <cell r="E278" t="str">
            <v>Blue Grosbeak</v>
          </cell>
          <cell r="F278" t="str">
            <v>Guiraca bleu</v>
          </cell>
          <cell r="G278" t="str">
            <v>Passerina caerulea</v>
          </cell>
          <cell r="H278" t="str">
            <v>Passeriformes</v>
          </cell>
          <cell r="I278" t="str">
            <v>Cardinalidae (Cardinals and Allies)</v>
          </cell>
        </row>
        <row r="279">
          <cell r="E279" t="str">
            <v>Blue Ground Dove</v>
          </cell>
          <cell r="F279" t="str">
            <v>Colombe bleutée</v>
          </cell>
          <cell r="G279" t="str">
            <v>Claravis pretiosa</v>
          </cell>
          <cell r="H279" t="str">
            <v>Columbiformes</v>
          </cell>
          <cell r="I279" t="str">
            <v>Columbidae (Pigeons and Doves)</v>
          </cell>
        </row>
        <row r="280">
          <cell r="E280" t="str">
            <v>Blue Jay</v>
          </cell>
          <cell r="F280" t="str">
            <v>Geai bleu</v>
          </cell>
          <cell r="G280" t="str">
            <v>Cyanocitta cristata</v>
          </cell>
          <cell r="H280" t="str">
            <v>Passeriformes</v>
          </cell>
          <cell r="I280" t="str">
            <v>Corvidae (Crows, Jays, and Magpies)</v>
          </cell>
        </row>
        <row r="281">
          <cell r="E281" t="str">
            <v>Blue-and-black Tanager</v>
          </cell>
          <cell r="F281" t="str">
            <v>Calliste bleu et noir</v>
          </cell>
          <cell r="G281" t="str">
            <v>Tangara vassorii</v>
          </cell>
          <cell r="H281" t="str">
            <v>Passeriformes</v>
          </cell>
          <cell r="I281" t="str">
            <v>Thraupidae (Tanagers and Allies)</v>
          </cell>
        </row>
        <row r="282">
          <cell r="E282" t="str">
            <v>Blue-and-white Swallow</v>
          </cell>
          <cell r="F282" t="str">
            <v>Hirondelle bleu et blanc</v>
          </cell>
          <cell r="G282" t="str">
            <v>Pygochelidon cyanoleuca</v>
          </cell>
          <cell r="H282" t="str">
            <v>Passeriformes</v>
          </cell>
          <cell r="I282" t="str">
            <v>Hirundinidae (Swallows)</v>
          </cell>
        </row>
        <row r="283">
          <cell r="E283" t="str">
            <v>Blue-and-yellow Macaw</v>
          </cell>
          <cell r="F283" t="str">
            <v>Ara bleu</v>
          </cell>
          <cell r="G283" t="str">
            <v>Ara ararauna</v>
          </cell>
          <cell r="H283" t="str">
            <v>Psittaciformes</v>
          </cell>
          <cell r="I283" t="str">
            <v>Psittacidae (New World and African Parrots)</v>
          </cell>
        </row>
        <row r="284">
          <cell r="E284" t="str">
            <v>Blue-and-yellow Tanager</v>
          </cell>
          <cell r="F284" t="str">
            <v>Tangara fourchu</v>
          </cell>
          <cell r="G284" t="str">
            <v>Rauenia bonariensis</v>
          </cell>
          <cell r="H284" t="str">
            <v>Passeriformes</v>
          </cell>
          <cell r="I284" t="str">
            <v>Thraupidae (Tanagers and Allies)</v>
          </cell>
        </row>
        <row r="285">
          <cell r="E285" t="str">
            <v>Blue-backed Manakin</v>
          </cell>
          <cell r="F285" t="str">
            <v>Manakin tijé</v>
          </cell>
          <cell r="G285" t="str">
            <v>Chiroxiphia pareola</v>
          </cell>
          <cell r="H285" t="str">
            <v>Passeriformes</v>
          </cell>
          <cell r="I285" t="str">
            <v>Pipridae (Manakins)</v>
          </cell>
        </row>
        <row r="286">
          <cell r="E286" t="str">
            <v>Blue-billed Duck</v>
          </cell>
          <cell r="F286" t="str">
            <v>Érismature australe</v>
          </cell>
          <cell r="G286" t="str">
            <v>Oxyura australis</v>
          </cell>
          <cell r="H286" t="str">
            <v>Anseriformes</v>
          </cell>
          <cell r="I286" t="str">
            <v>Anatidae (Ducks, Geese, and Waterfowl)</v>
          </cell>
        </row>
        <row r="287">
          <cell r="E287" t="str">
            <v>Blue-billed Teal</v>
          </cell>
          <cell r="F287" t="str">
            <v>Sarcelle à bec bleu</v>
          </cell>
          <cell r="G287" t="str">
            <v>Spatula hottentota</v>
          </cell>
          <cell r="H287" t="str">
            <v>Anseriformes</v>
          </cell>
          <cell r="I287" t="str">
            <v>Anatidae (Ducks, Geese, and Waterfowl)</v>
          </cell>
        </row>
        <row r="288">
          <cell r="E288" t="str">
            <v>Blue-black Grassquit</v>
          </cell>
          <cell r="F288" t="str">
            <v>Jacarini noir</v>
          </cell>
          <cell r="G288" t="str">
            <v>Volatinia jacarina</v>
          </cell>
          <cell r="H288" t="str">
            <v>Passeriformes</v>
          </cell>
          <cell r="I288" t="str">
            <v>Thraupidae (Tanagers and Allies)</v>
          </cell>
        </row>
        <row r="289">
          <cell r="E289" t="str">
            <v>Blue-black Grosbeak</v>
          </cell>
          <cell r="F289" t="str">
            <v>Évêque bleu-noir</v>
          </cell>
          <cell r="G289" t="str">
            <v>Cyanoloxia cyanoides</v>
          </cell>
          <cell r="H289" t="str">
            <v>Passeriformes</v>
          </cell>
          <cell r="I289" t="str">
            <v>Cardinalidae (Cardinals and Allies)</v>
          </cell>
        </row>
        <row r="290">
          <cell r="E290" t="str">
            <v>Blue-capped Tanager</v>
          </cell>
          <cell r="F290" t="str">
            <v>Tangara à tête bleue</v>
          </cell>
          <cell r="G290" t="str">
            <v>Sporathraupis cyanocephala</v>
          </cell>
          <cell r="H290" t="str">
            <v>Passeriformes</v>
          </cell>
          <cell r="I290" t="str">
            <v>Thraupidae (Tanagers and Allies)</v>
          </cell>
        </row>
        <row r="291">
          <cell r="E291" t="str">
            <v>Blue-chested Hummingbird</v>
          </cell>
          <cell r="F291" t="str">
            <v>Ariane aimable</v>
          </cell>
          <cell r="G291" t="str">
            <v>Polyerata amabilis</v>
          </cell>
          <cell r="H291" t="str">
            <v>Apodiformes</v>
          </cell>
          <cell r="I291" t="str">
            <v>Trochilidae (Hummingbirds)</v>
          </cell>
        </row>
        <row r="292">
          <cell r="E292" t="str">
            <v>Blue-chinned Sapphire</v>
          </cell>
          <cell r="F292" t="str">
            <v>Colibri à menton bleu</v>
          </cell>
          <cell r="G292" t="str">
            <v>Chlorestes notata</v>
          </cell>
          <cell r="H292" t="str">
            <v>Apodiformes</v>
          </cell>
          <cell r="I292" t="str">
            <v>Trochilidae (Hummingbirds)</v>
          </cell>
        </row>
        <row r="293">
          <cell r="E293" t="str">
            <v>Blue-crowned Parakeet</v>
          </cell>
          <cell r="F293" t="str">
            <v>Conure à tête bleue</v>
          </cell>
          <cell r="G293" t="str">
            <v>Thectocercus acuticaudatus</v>
          </cell>
          <cell r="H293" t="str">
            <v>Psittaciformes</v>
          </cell>
          <cell r="I293" t="str">
            <v>Psittacidae (New World and African Parrots)</v>
          </cell>
        </row>
        <row r="294">
          <cell r="E294" t="str">
            <v>Blue-faced Honeyeater</v>
          </cell>
          <cell r="F294" t="str">
            <v>Méliphage à oreillons bleus</v>
          </cell>
          <cell r="G294" t="str">
            <v>Entomyzon cyanotis</v>
          </cell>
          <cell r="H294" t="str">
            <v>Passeriformes</v>
          </cell>
          <cell r="I294" t="str">
            <v>Meliphagidae (Honeyeaters)</v>
          </cell>
        </row>
        <row r="295">
          <cell r="E295" t="str">
            <v>Blue-footed Booby</v>
          </cell>
          <cell r="F295" t="str">
            <v>Fou à pieds bleus</v>
          </cell>
          <cell r="G295" t="str">
            <v>Sula nebouxii</v>
          </cell>
          <cell r="H295" t="str">
            <v>Suliformes</v>
          </cell>
          <cell r="I295" t="str">
            <v>Sulidae (Boobies and Gannets)</v>
          </cell>
        </row>
        <row r="296">
          <cell r="E296" t="str">
            <v>Blue-fronted Parrotlet</v>
          </cell>
          <cell r="F296" t="str">
            <v>Toui à front bleu</v>
          </cell>
          <cell r="G296" t="str">
            <v>Touit dilectissimus</v>
          </cell>
          <cell r="H296" t="str">
            <v>Psittaciformes</v>
          </cell>
          <cell r="I296" t="str">
            <v>Psittacidae (New World and African Parrots)</v>
          </cell>
        </row>
        <row r="297">
          <cell r="E297" t="str">
            <v>Blue-gray Gnatcatcher</v>
          </cell>
          <cell r="F297" t="str">
            <v>Gobemoucheron gris-bleu</v>
          </cell>
          <cell r="G297" t="str">
            <v>Polioptila caerulea</v>
          </cell>
          <cell r="H297" t="str">
            <v>Passeriformes</v>
          </cell>
          <cell r="I297" t="str">
            <v>Polioptilidae (Gnatcatchers)</v>
          </cell>
        </row>
        <row r="298">
          <cell r="E298" t="str">
            <v>Blue-gray Tanager</v>
          </cell>
          <cell r="F298" t="str">
            <v>Tangara évêque</v>
          </cell>
          <cell r="G298" t="str">
            <v>Thraupis episcopus</v>
          </cell>
          <cell r="H298" t="str">
            <v>Passeriformes</v>
          </cell>
          <cell r="I298" t="str">
            <v>Thraupidae (Tanagers and Allies)</v>
          </cell>
        </row>
        <row r="299">
          <cell r="E299" t="str">
            <v>Blue-headed Parrot</v>
          </cell>
          <cell r="F299" t="str">
            <v>Pione à tête bleue</v>
          </cell>
          <cell r="G299" t="str">
            <v>Pionus menstruus</v>
          </cell>
          <cell r="H299" t="str">
            <v>Psittaciformes</v>
          </cell>
          <cell r="I299" t="str">
            <v>Psittacidae (New World and African Parrots)</v>
          </cell>
        </row>
        <row r="300">
          <cell r="E300" t="str">
            <v>Blue-headed Vireo</v>
          </cell>
          <cell r="F300" t="str">
            <v>Viréo à tête bleue</v>
          </cell>
          <cell r="G300" t="str">
            <v>Vireo solitarius</v>
          </cell>
          <cell r="H300" t="str">
            <v>Passeriformes</v>
          </cell>
          <cell r="I300" t="str">
            <v>Vireonidae (Vireos, Shrike-Babblers, and Erpornis)</v>
          </cell>
        </row>
        <row r="301">
          <cell r="E301" t="str">
            <v>Blue-naped Chlorophonia</v>
          </cell>
          <cell r="F301" t="str">
            <v>Organiste à nuque bleue</v>
          </cell>
          <cell r="G301" t="str">
            <v>Chlorophonia cyanea</v>
          </cell>
          <cell r="H301" t="str">
            <v>Passeriformes</v>
          </cell>
          <cell r="I301" t="str">
            <v>Fringillidae (Finches, Euphonias, and Allies)</v>
          </cell>
        </row>
        <row r="302">
          <cell r="E302" t="str">
            <v>Blue-necked Tanager</v>
          </cell>
          <cell r="F302" t="str">
            <v>Calliste à cou bleu</v>
          </cell>
          <cell r="G302" t="str">
            <v>Stilpnia cyanicollis</v>
          </cell>
          <cell r="H302" t="str">
            <v>Passeriformes</v>
          </cell>
          <cell r="I302" t="str">
            <v>Thraupidae (Tanagers and Allies)</v>
          </cell>
        </row>
        <row r="303">
          <cell r="E303" t="str">
            <v>Blue-tailed Trogon</v>
          </cell>
          <cell r="F303" t="str">
            <v>Trogon aux yeux blancs</v>
          </cell>
          <cell r="G303" t="str">
            <v>Trogon comptus</v>
          </cell>
          <cell r="H303" t="str">
            <v>Trogoniformes</v>
          </cell>
          <cell r="I303" t="str">
            <v>Trogonidae (Trogons)</v>
          </cell>
        </row>
        <row r="304">
          <cell r="E304" t="str">
            <v>Blue-throated Goldentail</v>
          </cell>
          <cell r="F304" t="str">
            <v>Colibri d'Élicia</v>
          </cell>
          <cell r="G304" t="str">
            <v>Chlorestes eliciae</v>
          </cell>
          <cell r="H304" t="str">
            <v>Apodiformes</v>
          </cell>
          <cell r="I304" t="str">
            <v>Trochilidae (Hummingbirds)</v>
          </cell>
        </row>
        <row r="305">
          <cell r="E305" t="str">
            <v>Blue-throated Starfrontlet</v>
          </cell>
          <cell r="F305" t="str">
            <v>Inca porphyre</v>
          </cell>
          <cell r="G305" t="str">
            <v>Coeligena helianthea</v>
          </cell>
          <cell r="H305" t="str">
            <v>Apodiformes</v>
          </cell>
          <cell r="I305" t="str">
            <v>Trochilidae (Hummingbirds)</v>
          </cell>
        </row>
        <row r="306">
          <cell r="E306" t="str">
            <v>Blue-vented Hummingbird</v>
          </cell>
          <cell r="F306" t="str">
            <v>Ariane de Hoffmann</v>
          </cell>
          <cell r="G306" t="str">
            <v>Saucerottia hoffmanni</v>
          </cell>
          <cell r="H306" t="str">
            <v>Apodiformes</v>
          </cell>
          <cell r="I306" t="str">
            <v>Trochilidae (Hummingbirds)</v>
          </cell>
        </row>
        <row r="307">
          <cell r="E307" t="str">
            <v>Blue-winged Mountain Tanager</v>
          </cell>
          <cell r="F307" t="str">
            <v>Tangara somptueux</v>
          </cell>
          <cell r="G307" t="str">
            <v>Anisognathus somptuosus</v>
          </cell>
          <cell r="H307" t="str">
            <v>Passeriformes</v>
          </cell>
          <cell r="I307" t="str">
            <v>Thraupidae (Tanagers and Allies)</v>
          </cell>
        </row>
        <row r="308">
          <cell r="E308" t="str">
            <v>Blue-winged Parrot</v>
          </cell>
          <cell r="F308" t="str">
            <v>Perruche à bouche d'or</v>
          </cell>
          <cell r="G308" t="str">
            <v>Neophema chrysostoma</v>
          </cell>
          <cell r="H308" t="str">
            <v>Psittaciformes</v>
          </cell>
          <cell r="I308" t="str">
            <v>Psittaculidae (Old World Parrots)</v>
          </cell>
        </row>
        <row r="309">
          <cell r="E309" t="str">
            <v>Blue-winged Teal</v>
          </cell>
          <cell r="F309" t="str">
            <v>Sarcelle à ailes bleues</v>
          </cell>
          <cell r="G309" t="str">
            <v>Spatula discors</v>
          </cell>
          <cell r="H309" t="str">
            <v>Anseriformes</v>
          </cell>
          <cell r="I309" t="str">
            <v>Anatidae (Ducks, Geese, and Waterfowl)</v>
          </cell>
        </row>
        <row r="310">
          <cell r="E310" t="str">
            <v>Blue-winged Warbler</v>
          </cell>
          <cell r="F310" t="str">
            <v>Paruline à ailes bleues</v>
          </cell>
          <cell r="G310" t="str">
            <v>Vermivora cyanoptera</v>
          </cell>
          <cell r="H310" t="str">
            <v>Passeriformes</v>
          </cell>
          <cell r="I310" t="str">
            <v>Parulidae (New World Warblers)</v>
          </cell>
        </row>
        <row r="311">
          <cell r="E311" t="str">
            <v>Bluish Flowerpiercer</v>
          </cell>
          <cell r="F311" t="str">
            <v>Percefleur bleuté</v>
          </cell>
          <cell r="G311" t="str">
            <v>Diglossa caerulescens</v>
          </cell>
          <cell r="H311" t="str">
            <v>Passeriformes</v>
          </cell>
          <cell r="I311" t="str">
            <v>Thraupidae (Tanagers and Allies)</v>
          </cell>
        </row>
        <row r="312">
          <cell r="E312" t="str">
            <v>Boat-billed Flycatcher</v>
          </cell>
          <cell r="F312" t="str">
            <v>Tyran pitangua</v>
          </cell>
          <cell r="G312" t="str">
            <v>Megarynchus pitangua</v>
          </cell>
          <cell r="H312" t="str">
            <v>Passeriformes</v>
          </cell>
          <cell r="I312" t="str">
            <v>Tyrannidae (Tyrant Flycatchers)</v>
          </cell>
        </row>
        <row r="313">
          <cell r="E313" t="str">
            <v>Boat-billed Heron</v>
          </cell>
          <cell r="F313" t="str">
            <v>Savacou huppé</v>
          </cell>
          <cell r="G313" t="str">
            <v>Cochlearius cochlearius</v>
          </cell>
          <cell r="H313" t="str">
            <v>Pelecaniformes</v>
          </cell>
          <cell r="I313" t="str">
            <v>Ardeidae (Herons, Egrets, and Bitterns)</v>
          </cell>
        </row>
        <row r="314">
          <cell r="E314" t="str">
            <v>Boat-tailed Grackle</v>
          </cell>
          <cell r="F314" t="str">
            <v>Quiscale des marais</v>
          </cell>
          <cell r="G314" t="str">
            <v>Quiscalus major</v>
          </cell>
          <cell r="H314" t="str">
            <v>Passeriformes</v>
          </cell>
          <cell r="I314" t="str">
            <v>Icteridae (Troupials and Allies)</v>
          </cell>
        </row>
        <row r="315">
          <cell r="E315" t="str">
            <v>Bobolink</v>
          </cell>
          <cell r="F315" t="str">
            <v>Goglu des prés</v>
          </cell>
          <cell r="G315" t="str">
            <v>Dolichonyx oryzivorus</v>
          </cell>
          <cell r="H315" t="str">
            <v>Passeriformes</v>
          </cell>
          <cell r="I315" t="str">
            <v>Icteridae (Troupials and Allies)</v>
          </cell>
        </row>
        <row r="316">
          <cell r="E316" t="str">
            <v>Bogota Rail</v>
          </cell>
          <cell r="F316" t="str">
            <v>Râle de Bogota</v>
          </cell>
          <cell r="G316" t="str">
            <v>Rallus semiplumbeus</v>
          </cell>
          <cell r="H316" t="str">
            <v>Gruiformes</v>
          </cell>
          <cell r="I316" t="str">
            <v>Rallidae (Rails, Gallinules, and Coots)</v>
          </cell>
        </row>
        <row r="317">
          <cell r="E317" t="str">
            <v>Bohemian Waxwing</v>
          </cell>
          <cell r="F317" t="str">
            <v>Jaseur boréal</v>
          </cell>
          <cell r="G317" t="str">
            <v>Bombycilla garrulus</v>
          </cell>
          <cell r="H317" t="str">
            <v>Passeriformes</v>
          </cell>
          <cell r="I317" t="str">
            <v>Bombycillidae (Waxwings)</v>
          </cell>
        </row>
        <row r="318">
          <cell r="E318" t="str">
            <v>Bonaparte's Gull</v>
          </cell>
          <cell r="F318" t="str">
            <v>Mouette de Bonaparte</v>
          </cell>
          <cell r="G318" t="str">
            <v>Chroicocephalus philadelphia</v>
          </cell>
          <cell r="H318" t="str">
            <v>Charadriiformes</v>
          </cell>
          <cell r="I318" t="str">
            <v>Laridae (Gulls, Terns, and Skimmers)</v>
          </cell>
        </row>
        <row r="319">
          <cell r="E319" t="str">
            <v>Bradfield's Hornbill</v>
          </cell>
          <cell r="F319" t="str">
            <v>Calao de Bradfield</v>
          </cell>
          <cell r="G319" t="str">
            <v>Lophoceros bradfieldi</v>
          </cell>
          <cell r="H319" t="str">
            <v>Bucerotiformes</v>
          </cell>
          <cell r="I319" t="str">
            <v>Bucerotidae (Hornbills)</v>
          </cell>
        </row>
        <row r="320">
          <cell r="E320" t="str">
            <v>Bran-colored Flycatcher</v>
          </cell>
          <cell r="F320" t="str">
            <v>Moucherolle fascié</v>
          </cell>
          <cell r="G320" t="str">
            <v>Myiophobus fasciatus</v>
          </cell>
          <cell r="H320" t="str">
            <v>Passeriformes</v>
          </cell>
          <cell r="I320" t="str">
            <v>Tyrannidae (Tyrant Flycatchers)</v>
          </cell>
        </row>
        <row r="321">
          <cell r="E321" t="str">
            <v>Brandt's Cormorant</v>
          </cell>
          <cell r="F321" t="str">
            <v>Cormoran de Brandt</v>
          </cell>
          <cell r="G321" t="str">
            <v>Urile penicillatus</v>
          </cell>
          <cell r="H321" t="str">
            <v>Suliformes</v>
          </cell>
          <cell r="I321" t="str">
            <v>Phalacrocoracidae (Cormorants and Shags)</v>
          </cell>
        </row>
        <row r="322">
          <cell r="E322" t="str">
            <v>Brant</v>
          </cell>
          <cell r="F322" t="str">
            <v>Bernache cravant</v>
          </cell>
          <cell r="G322" t="str">
            <v>Branta bernicla</v>
          </cell>
          <cell r="H322" t="str">
            <v>Anseriformes</v>
          </cell>
          <cell r="I322" t="str">
            <v>Anatidae (Ducks, Geese, and Waterfowl)</v>
          </cell>
        </row>
        <row r="323">
          <cell r="E323" t="str">
            <v>Brewer's Blackbird</v>
          </cell>
          <cell r="F323" t="str">
            <v>Quiscale de Brewer</v>
          </cell>
          <cell r="G323" t="str">
            <v>Euphagus cyanocephalus</v>
          </cell>
          <cell r="H323" t="str">
            <v>Passeriformes</v>
          </cell>
          <cell r="I323" t="str">
            <v>Icteridae (Troupials and Allies)</v>
          </cell>
        </row>
        <row r="324">
          <cell r="E324" t="str">
            <v>Bright-rumped Attila</v>
          </cell>
          <cell r="F324" t="str">
            <v>Attila à croupion jaune</v>
          </cell>
          <cell r="G324" t="str">
            <v>Attila spadiceus</v>
          </cell>
          <cell r="H324" t="str">
            <v>Passeriformes</v>
          </cell>
          <cell r="I324" t="str">
            <v>Tyrannidae (Tyrant Flycatchers)</v>
          </cell>
        </row>
        <row r="325">
          <cell r="E325" t="str">
            <v>Broad-billed Motmot</v>
          </cell>
          <cell r="F325" t="str">
            <v>Motmot à bec large</v>
          </cell>
          <cell r="G325" t="str">
            <v>Electron platyrhynchum</v>
          </cell>
          <cell r="H325" t="str">
            <v>Coraciiformes</v>
          </cell>
          <cell r="I325" t="str">
            <v>Momotidae (Motmots)</v>
          </cell>
        </row>
        <row r="326">
          <cell r="E326" t="str">
            <v>Broad-billed Roller</v>
          </cell>
          <cell r="F326" t="str">
            <v>Rolle violet</v>
          </cell>
          <cell r="G326" t="str">
            <v>Eurystomus glaucurus</v>
          </cell>
          <cell r="H326" t="str">
            <v>Coraciiformes</v>
          </cell>
          <cell r="I326" t="str">
            <v>Coraciidae (Rollers)</v>
          </cell>
        </row>
        <row r="327">
          <cell r="E327" t="str">
            <v>Broad-winged Hawk</v>
          </cell>
          <cell r="F327" t="str">
            <v>Petite Buse</v>
          </cell>
          <cell r="G327" t="str">
            <v>Buteo platypterus</v>
          </cell>
          <cell r="H327" t="str">
            <v>Accipitriformes</v>
          </cell>
          <cell r="I327" t="str">
            <v>Accipitridae (Hawks, Eagles, and Kites)</v>
          </cell>
        </row>
        <row r="328">
          <cell r="E328" t="str">
            <v>Brolga</v>
          </cell>
          <cell r="F328" t="str">
            <v>Grue brolga</v>
          </cell>
          <cell r="G328" t="str">
            <v>Antigone rubicunda</v>
          </cell>
          <cell r="H328" t="str">
            <v>Gruiformes</v>
          </cell>
          <cell r="I328" t="str">
            <v>Gruidae (Cranes)</v>
          </cell>
        </row>
        <row r="329">
          <cell r="E329" t="str">
            <v>Bronze-tailed Plumeleteer</v>
          </cell>
          <cell r="F329" t="str">
            <v>Colibri à queue bronzée</v>
          </cell>
          <cell r="G329" t="str">
            <v>Chalybura urochrysia</v>
          </cell>
          <cell r="H329" t="str">
            <v>Apodiformes</v>
          </cell>
          <cell r="I329" t="str">
            <v>Trochilidae (Hummingbirds)</v>
          </cell>
        </row>
        <row r="330">
          <cell r="E330" t="str">
            <v>Bronze-tailed Thornbill</v>
          </cell>
          <cell r="F330" t="str">
            <v>Métallure à queue bronzée</v>
          </cell>
          <cell r="G330" t="str">
            <v>Chalcostigma heteropogon</v>
          </cell>
          <cell r="H330" t="str">
            <v>Apodiformes</v>
          </cell>
          <cell r="I330" t="str">
            <v>Trochilidae (Hummingbirds)</v>
          </cell>
        </row>
        <row r="331">
          <cell r="E331" t="str">
            <v>Bronze-winged Parrot</v>
          </cell>
          <cell r="F331" t="str">
            <v>Pione noire</v>
          </cell>
          <cell r="G331" t="str">
            <v>Pionus chalcopterus</v>
          </cell>
          <cell r="H331" t="str">
            <v>Psittaciformes</v>
          </cell>
          <cell r="I331" t="str">
            <v>Psittacidae (New World and African Parrots)</v>
          </cell>
        </row>
        <row r="332">
          <cell r="E332" t="str">
            <v>Bronzed Cowbird</v>
          </cell>
          <cell r="F332" t="str">
            <v>Vacher bronzé</v>
          </cell>
          <cell r="G332" t="str">
            <v>Molothrus aeneus</v>
          </cell>
          <cell r="H332" t="str">
            <v>Passeriformes</v>
          </cell>
          <cell r="I332" t="str">
            <v>Icteridae (Troupials and Allies)</v>
          </cell>
        </row>
        <row r="333">
          <cell r="E333" t="str">
            <v>Bronzy Inca</v>
          </cell>
          <cell r="F333" t="str">
            <v>Inca céleste</v>
          </cell>
          <cell r="G333" t="str">
            <v>Coeligena coeligena</v>
          </cell>
          <cell r="H333" t="str">
            <v>Apodiformes</v>
          </cell>
          <cell r="I333" t="str">
            <v>Trochilidae (Hummingbirds)</v>
          </cell>
        </row>
        <row r="334">
          <cell r="E334" t="str">
            <v>Brown Booby</v>
          </cell>
          <cell r="F334" t="str">
            <v>Fou brun</v>
          </cell>
          <cell r="G334" t="str">
            <v>Sula leucogaster</v>
          </cell>
          <cell r="H334" t="str">
            <v>Suliformes</v>
          </cell>
          <cell r="I334" t="str">
            <v>Sulidae (Boobies and Gannets)</v>
          </cell>
        </row>
        <row r="335">
          <cell r="E335" t="str">
            <v>Brown Creeper</v>
          </cell>
          <cell r="F335" t="str">
            <v>Grimpereau brun</v>
          </cell>
          <cell r="G335" t="str">
            <v>Certhia americana</v>
          </cell>
          <cell r="H335" t="str">
            <v>Passeriformes</v>
          </cell>
          <cell r="I335" t="str">
            <v>Certhiidae (Treecreepers)</v>
          </cell>
        </row>
        <row r="336">
          <cell r="E336" t="str">
            <v>Brown Cuckoo-Dove</v>
          </cell>
          <cell r="F336" t="str">
            <v>Phasianelle brune</v>
          </cell>
          <cell r="G336" t="str">
            <v>Macropygia phasianella</v>
          </cell>
          <cell r="H336" t="str">
            <v>Columbiformes</v>
          </cell>
          <cell r="I336" t="str">
            <v>Columbidae (Pigeons and Doves)</v>
          </cell>
        </row>
        <row r="337">
          <cell r="E337" t="str">
            <v>Brown Falcon</v>
          </cell>
          <cell r="F337" t="str">
            <v>Faucon bérigora</v>
          </cell>
          <cell r="G337" t="str">
            <v>Falco berigora</v>
          </cell>
          <cell r="H337" t="str">
            <v>Falconiformes</v>
          </cell>
          <cell r="I337" t="str">
            <v>Falconidae (Falcons and Caracaras)</v>
          </cell>
        </row>
        <row r="338">
          <cell r="E338" t="str">
            <v>Brown Goshawk</v>
          </cell>
          <cell r="F338" t="str">
            <v>Autour australien</v>
          </cell>
          <cell r="G338" t="str">
            <v>Tachyspiza fasciata</v>
          </cell>
          <cell r="H338" t="str">
            <v>Accipitriformes</v>
          </cell>
          <cell r="I338" t="str">
            <v>Accipitridae (Hawks, Eagles, and Kites)</v>
          </cell>
        </row>
        <row r="339">
          <cell r="E339" t="str">
            <v>Brown Inca</v>
          </cell>
          <cell r="F339" t="str">
            <v>Inca brun</v>
          </cell>
          <cell r="G339" t="str">
            <v>Coeligena wilsoni</v>
          </cell>
          <cell r="H339" t="str">
            <v>Apodiformes</v>
          </cell>
          <cell r="I339" t="str">
            <v>Trochilidae (Hummingbirds)</v>
          </cell>
        </row>
        <row r="340">
          <cell r="E340" t="str">
            <v>Brown Jay</v>
          </cell>
          <cell r="F340" t="str">
            <v>Geai enfumé</v>
          </cell>
          <cell r="G340" t="str">
            <v>Cyanocorax morio</v>
          </cell>
          <cell r="H340" t="str">
            <v>Passeriformes</v>
          </cell>
          <cell r="I340" t="str">
            <v>Corvidae (Crows, Jays, and Magpies)</v>
          </cell>
        </row>
        <row r="341">
          <cell r="E341" t="str">
            <v>Brown Mesite</v>
          </cell>
          <cell r="F341" t="str">
            <v>Mésite unicolore</v>
          </cell>
          <cell r="G341" t="str">
            <v>Mesitornis unicolor</v>
          </cell>
          <cell r="H341" t="str">
            <v>Mesitornithiformes</v>
          </cell>
          <cell r="I341" t="str">
            <v>Mesitornithidae (Mesites)</v>
          </cell>
        </row>
        <row r="342">
          <cell r="E342" t="str">
            <v>Brown Pelican</v>
          </cell>
          <cell r="F342" t="str">
            <v>Pélican brun</v>
          </cell>
          <cell r="G342" t="str">
            <v>Pelecanus occidentalis</v>
          </cell>
          <cell r="H342" t="str">
            <v>Pelecaniformes</v>
          </cell>
          <cell r="I342" t="str">
            <v>Pelecanidae (Pelicans)</v>
          </cell>
        </row>
        <row r="343">
          <cell r="E343" t="str">
            <v>Brown Snake-Eagle</v>
          </cell>
          <cell r="F343" t="str">
            <v>Circaète brun</v>
          </cell>
          <cell r="G343" t="str">
            <v>Circaetus cinereus</v>
          </cell>
          <cell r="H343" t="str">
            <v>Accipitriformes</v>
          </cell>
          <cell r="I343" t="str">
            <v>Accipitridae (Hawks, Eagles, and Kites)</v>
          </cell>
        </row>
        <row r="344">
          <cell r="E344" t="str">
            <v>Brown Songlark</v>
          </cell>
          <cell r="F344" t="str">
            <v>Mégalure brune</v>
          </cell>
          <cell r="G344" t="str">
            <v>Cincloramphus cruralis</v>
          </cell>
          <cell r="H344" t="str">
            <v>Passeriformes</v>
          </cell>
          <cell r="I344" t="str">
            <v>Locustellidae (Grassbirds and Allies)</v>
          </cell>
        </row>
        <row r="345">
          <cell r="E345" t="str">
            <v>Brown Thornbill</v>
          </cell>
          <cell r="F345" t="str">
            <v>Acanthize mignon</v>
          </cell>
          <cell r="G345" t="str">
            <v>Acanthiza pusilla</v>
          </cell>
          <cell r="H345" t="str">
            <v>Passeriformes</v>
          </cell>
          <cell r="I345" t="str">
            <v>Acanthizidae (Thornbills and Allies)</v>
          </cell>
        </row>
        <row r="346">
          <cell r="E346" t="str">
            <v>Brown Thrasher</v>
          </cell>
          <cell r="F346" t="str">
            <v>Moqueur roux</v>
          </cell>
          <cell r="G346" t="str">
            <v>Toxostoma rufum</v>
          </cell>
          <cell r="H346" t="str">
            <v>Passeriformes</v>
          </cell>
          <cell r="I346" t="str">
            <v>Mimidae (Mockingbirds and Thrashers)</v>
          </cell>
        </row>
        <row r="347">
          <cell r="E347" t="str">
            <v>Brown Treecreeper</v>
          </cell>
          <cell r="F347" t="str">
            <v>Échelet brun</v>
          </cell>
          <cell r="G347" t="str">
            <v>Climacteris picumnus</v>
          </cell>
          <cell r="H347" t="str">
            <v>Passeriformes</v>
          </cell>
          <cell r="I347" t="str">
            <v>Climacteridae (Australasian Treecreepers)</v>
          </cell>
        </row>
        <row r="348">
          <cell r="E348" t="str">
            <v>Brown Violetear</v>
          </cell>
          <cell r="F348" t="str">
            <v>Colibri de Delphine</v>
          </cell>
          <cell r="G348" t="str">
            <v>Colibri delphinae</v>
          </cell>
          <cell r="H348" t="str">
            <v>Apodiformes</v>
          </cell>
          <cell r="I348" t="str">
            <v>Trochilidae (Hummingbirds)</v>
          </cell>
        </row>
        <row r="349">
          <cell r="E349" t="str">
            <v>Brown-backed Chat-Tyrant</v>
          </cell>
          <cell r="F349" t="str">
            <v>Pitajo à dos brun</v>
          </cell>
          <cell r="G349" t="str">
            <v>Ochthoeca fumicolor</v>
          </cell>
          <cell r="H349" t="str">
            <v>Passeriformes</v>
          </cell>
          <cell r="I349" t="str">
            <v>Tyrannidae (Tyrant Flycatchers)</v>
          </cell>
        </row>
        <row r="350">
          <cell r="E350" t="str">
            <v>Brown-banded Antpitta</v>
          </cell>
          <cell r="F350" t="str">
            <v>Grallaire ceinturée</v>
          </cell>
          <cell r="G350" t="str">
            <v>Grallaria milleri</v>
          </cell>
          <cell r="H350" t="str">
            <v>Passeriformes</v>
          </cell>
          <cell r="I350" t="str">
            <v>Grallariidae (Antpittas)</v>
          </cell>
        </row>
        <row r="351">
          <cell r="E351" t="str">
            <v>Brown-bellied Swallow</v>
          </cell>
          <cell r="F351" t="str">
            <v>Hirondelle à ventre brun</v>
          </cell>
          <cell r="G351" t="str">
            <v>Orochelidon murina</v>
          </cell>
          <cell r="H351" t="str">
            <v>Passeriformes</v>
          </cell>
          <cell r="I351" t="str">
            <v>Hirundinidae (Swallows)</v>
          </cell>
        </row>
        <row r="352">
          <cell r="E352" t="str">
            <v>Brown-billed Scythebill</v>
          </cell>
          <cell r="F352" t="str">
            <v>Grimpar à bec brun</v>
          </cell>
          <cell r="G352" t="str">
            <v>Campylorhamphus pusillus</v>
          </cell>
          <cell r="H352" t="str">
            <v>Passeriformes</v>
          </cell>
          <cell r="I352" t="str">
            <v>Furnariidae (Ovenbirds and Woodcreepers)</v>
          </cell>
        </row>
        <row r="353">
          <cell r="E353" t="str">
            <v>Brown-breasted Parakeet</v>
          </cell>
          <cell r="F353" t="str">
            <v>Conure à poitrine brune</v>
          </cell>
          <cell r="G353" t="str">
            <v>Pyrrhura calliptera</v>
          </cell>
          <cell r="H353" t="str">
            <v>Psittaciformes</v>
          </cell>
          <cell r="I353" t="str">
            <v>Psittacidae (New World and African Parrots)</v>
          </cell>
        </row>
        <row r="354">
          <cell r="E354" t="str">
            <v>Brown-capped Tyrannulet</v>
          </cell>
          <cell r="F354" t="str">
            <v>Tyranneau à tête brune</v>
          </cell>
          <cell r="G354" t="str">
            <v>Ornithion brunneicapillus</v>
          </cell>
          <cell r="H354" t="str">
            <v>Passeriformes</v>
          </cell>
          <cell r="I354" t="str">
            <v>Tyrannidae (Tyrant Flycatchers)</v>
          </cell>
        </row>
        <row r="355">
          <cell r="E355" t="str">
            <v>Brown-capped Vireo</v>
          </cell>
          <cell r="F355" t="str">
            <v>Viréo à calotte brune</v>
          </cell>
          <cell r="G355" t="str">
            <v>Vireo leucophrys</v>
          </cell>
          <cell r="H355" t="str">
            <v>Passeriformes</v>
          </cell>
          <cell r="I355" t="str">
            <v>Vireonidae (Vireos, Shrike-Babblers, and Erpornis)</v>
          </cell>
        </row>
        <row r="356">
          <cell r="E356" t="str">
            <v>Brown-crested Flycatcher</v>
          </cell>
          <cell r="F356" t="str">
            <v>Tyran de Wied</v>
          </cell>
          <cell r="G356" t="str">
            <v>Myiarchus tyrannulus</v>
          </cell>
          <cell r="H356" t="str">
            <v>Passeriformes</v>
          </cell>
          <cell r="I356" t="str">
            <v>Tyrannidae (Tyrant Flycatchers)</v>
          </cell>
        </row>
        <row r="357">
          <cell r="E357" t="str">
            <v>Brown-crowned Tchagra</v>
          </cell>
          <cell r="F357" t="str">
            <v>Tchagra à tête brune</v>
          </cell>
          <cell r="G357" t="str">
            <v>Tchagra australis</v>
          </cell>
          <cell r="H357" t="str">
            <v>Passeriformes</v>
          </cell>
          <cell r="I357" t="str">
            <v>Malaconotidae (Bushshrikes and Allies)</v>
          </cell>
        </row>
        <row r="358">
          <cell r="E358" t="str">
            <v>Brown-headed Cowbird</v>
          </cell>
          <cell r="F358" t="str">
            <v>Vacher à tête brune</v>
          </cell>
          <cell r="G358" t="str">
            <v>Molothrus ater</v>
          </cell>
          <cell r="H358" t="str">
            <v>Passeriformes</v>
          </cell>
          <cell r="I358" t="str">
            <v>Icteridae (Troupials and Allies)</v>
          </cell>
        </row>
        <row r="359">
          <cell r="E359" t="str">
            <v>Brown-headed Honeyeater</v>
          </cell>
          <cell r="F359" t="str">
            <v>Méliphage à tête brune</v>
          </cell>
          <cell r="G359" t="str">
            <v>Melithreptus brevirostris</v>
          </cell>
          <cell r="H359" t="str">
            <v>Passeriformes</v>
          </cell>
          <cell r="I359" t="str">
            <v>Meliphagidae (Honeyeaters)</v>
          </cell>
        </row>
        <row r="360">
          <cell r="E360" t="str">
            <v>Brown-headed Nuthatch</v>
          </cell>
          <cell r="F360" t="str">
            <v>Sittelle à tête brune</v>
          </cell>
          <cell r="G360" t="str">
            <v>Sitta pusilla</v>
          </cell>
          <cell r="H360" t="str">
            <v>Passeriformes</v>
          </cell>
          <cell r="I360" t="str">
            <v>Sittidae (Nuthatches)</v>
          </cell>
        </row>
        <row r="361">
          <cell r="E361" t="str">
            <v>Brown-headed Parrot</v>
          </cell>
          <cell r="F361" t="str">
            <v>Perroquet à tête brune</v>
          </cell>
          <cell r="G361" t="str">
            <v>Poicephalus cryptoxanthus</v>
          </cell>
          <cell r="H361" t="str">
            <v>Psittaciformes</v>
          </cell>
          <cell r="I361" t="str">
            <v>Psittacidae (New World and African Parrots)</v>
          </cell>
        </row>
        <row r="362">
          <cell r="E362" t="str">
            <v>Brown-hooded Kingfisher</v>
          </cell>
          <cell r="F362" t="str">
            <v>Martin-chasseur à tête brune</v>
          </cell>
          <cell r="G362" t="str">
            <v>Halcyon albiventris</v>
          </cell>
          <cell r="H362" t="str">
            <v>Coraciiformes</v>
          </cell>
          <cell r="I362" t="str">
            <v>Alcedinidae (Kingfishers)</v>
          </cell>
        </row>
        <row r="363">
          <cell r="E363" t="str">
            <v>Brown-hooded Parrot</v>
          </cell>
          <cell r="F363" t="str">
            <v>Caïque à capuchon</v>
          </cell>
          <cell r="G363" t="str">
            <v>Pyrilia haematotis</v>
          </cell>
          <cell r="H363" t="str">
            <v>Psittaciformes</v>
          </cell>
          <cell r="I363" t="str">
            <v>Psittacidae (New World and African Parrots)</v>
          </cell>
        </row>
        <row r="364">
          <cell r="E364" t="str">
            <v>Brown-throated Parakeet</v>
          </cell>
          <cell r="F364" t="str">
            <v>Conure cuivrée</v>
          </cell>
          <cell r="G364" t="str">
            <v>Eupsittula pertinax</v>
          </cell>
          <cell r="H364" t="str">
            <v>Psittaciformes</v>
          </cell>
          <cell r="I364" t="str">
            <v>Psittacidae (New World and African Parrots)</v>
          </cell>
        </row>
        <row r="365">
          <cell r="E365" t="str">
            <v>Brubru</v>
          </cell>
          <cell r="F365" t="str">
            <v>Brubru africain</v>
          </cell>
          <cell r="G365" t="str">
            <v>Nilaus afer</v>
          </cell>
          <cell r="H365" t="str">
            <v>Passeriformes</v>
          </cell>
          <cell r="I365" t="str">
            <v>Malaconotidae (Bushshrikes and Allies)</v>
          </cell>
        </row>
        <row r="366">
          <cell r="E366" t="str">
            <v>Buff-banded Mountain Tanager</v>
          </cell>
          <cell r="F366" t="str">
            <v>Tangara à poitrine fauve</v>
          </cell>
          <cell r="G366" t="str">
            <v>Dubusia taeniata</v>
          </cell>
          <cell r="H366" t="str">
            <v>Passeriformes</v>
          </cell>
          <cell r="I366" t="str">
            <v>Thraupidae (Tanagers and Allies)</v>
          </cell>
        </row>
        <row r="367">
          <cell r="E367" t="str">
            <v>Buff-breasted Wren</v>
          </cell>
          <cell r="F367" t="str">
            <v>Troglodyte à face pâle</v>
          </cell>
          <cell r="G367" t="str">
            <v>Cantorchilus leucotis</v>
          </cell>
          <cell r="H367" t="str">
            <v>Passeriformes</v>
          </cell>
          <cell r="I367" t="str">
            <v>Troglodytidae (Wrens)</v>
          </cell>
        </row>
        <row r="368">
          <cell r="E368" t="str">
            <v>Buff-fronted Foliage-gleaner</v>
          </cell>
          <cell r="F368" t="str">
            <v>Anabate roux</v>
          </cell>
          <cell r="G368" t="str">
            <v>Dendroma rufa</v>
          </cell>
          <cell r="H368" t="str">
            <v>Passeriformes</v>
          </cell>
          <cell r="I368" t="str">
            <v>Furnariidae (Ovenbirds and Woodcreepers)</v>
          </cell>
        </row>
        <row r="369">
          <cell r="E369" t="str">
            <v>Buff-fronted Quail-Dove</v>
          </cell>
          <cell r="F369" t="str">
            <v>Colombe du Costa Rica</v>
          </cell>
          <cell r="G369" t="str">
            <v>Zentrygon costaricensis</v>
          </cell>
          <cell r="H369" t="str">
            <v>Columbiformes</v>
          </cell>
          <cell r="I369" t="str">
            <v>Columbidae (Pigeons and Doves)</v>
          </cell>
        </row>
        <row r="370">
          <cell r="E370" t="str">
            <v>Buff-necked Ibis</v>
          </cell>
          <cell r="F370" t="str">
            <v>Ibis mandore</v>
          </cell>
          <cell r="G370" t="str">
            <v>Theristicus caudatus</v>
          </cell>
          <cell r="H370" t="str">
            <v>Pelecaniformes</v>
          </cell>
          <cell r="I370" t="str">
            <v>Threskiornithidae (Ibises and Spoonbills)</v>
          </cell>
        </row>
        <row r="371">
          <cell r="E371" t="str">
            <v>Buff-rumped Thornbill</v>
          </cell>
          <cell r="F371" t="str">
            <v>Acanthize à croupion beige</v>
          </cell>
          <cell r="G371" t="str">
            <v>Acanthiza reguloides</v>
          </cell>
          <cell r="H371" t="str">
            <v>Passeriformes</v>
          </cell>
          <cell r="I371" t="str">
            <v>Acanthizidae (Thornbills and Allies)</v>
          </cell>
        </row>
        <row r="372">
          <cell r="E372" t="str">
            <v>Buff-rumped Warbler</v>
          </cell>
          <cell r="F372" t="str">
            <v>Paruline à croupion fauve</v>
          </cell>
          <cell r="G372" t="str">
            <v>Myiothlypis fulvicauda</v>
          </cell>
          <cell r="H372" t="str">
            <v>Passeriformes</v>
          </cell>
          <cell r="I372" t="str">
            <v>Parulidae (New World Warblers)</v>
          </cell>
        </row>
        <row r="373">
          <cell r="E373" t="str">
            <v>Buff-tailed Coronet</v>
          </cell>
          <cell r="F373" t="str">
            <v>Colibri flavescent</v>
          </cell>
          <cell r="G373" t="str">
            <v>Boissonneaua flavescens</v>
          </cell>
          <cell r="H373" t="str">
            <v>Apodiformes</v>
          </cell>
          <cell r="I373" t="str">
            <v>Trochilidae (Hummingbirds)</v>
          </cell>
        </row>
        <row r="374">
          <cell r="E374" t="str">
            <v>Buff-throated Saltator</v>
          </cell>
          <cell r="F374" t="str">
            <v>Saltator des grands-bois</v>
          </cell>
          <cell r="G374" t="str">
            <v>Saltator maximus</v>
          </cell>
          <cell r="H374" t="str">
            <v>Passeriformes</v>
          </cell>
          <cell r="I374" t="str">
            <v>Thraupidae (Tanagers and Allies)</v>
          </cell>
        </row>
        <row r="375">
          <cell r="E375" t="str">
            <v>Buff-winged Starfrontlet</v>
          </cell>
          <cell r="F375" t="str">
            <v>Inca à gemme bleue</v>
          </cell>
          <cell r="G375" t="str">
            <v>Coeligena lutetiae</v>
          </cell>
          <cell r="H375" t="str">
            <v>Apodiformes</v>
          </cell>
          <cell r="I375" t="str">
            <v>Trochilidae (Hummingbirds)</v>
          </cell>
        </row>
        <row r="376">
          <cell r="E376" t="str">
            <v>Bufflehead</v>
          </cell>
          <cell r="F376" t="str">
            <v>Petit Garrot</v>
          </cell>
          <cell r="G376" t="str">
            <v>Bucephala albeola</v>
          </cell>
          <cell r="H376" t="str">
            <v>Anseriformes</v>
          </cell>
          <cell r="I376" t="str">
            <v>Anatidae (Ducks, Geese, and Waterfowl)</v>
          </cell>
        </row>
        <row r="377">
          <cell r="E377" t="str">
            <v>Buffy Helmetcrest</v>
          </cell>
          <cell r="F377" t="str">
            <v>Colibri de Stübel</v>
          </cell>
          <cell r="G377" t="str">
            <v>Oxypogon stuebelii</v>
          </cell>
          <cell r="H377" t="str">
            <v>Apodiformes</v>
          </cell>
          <cell r="I377" t="str">
            <v>Trochilidae (Hummingbirds)</v>
          </cell>
        </row>
        <row r="378">
          <cell r="E378" t="str">
            <v>Buffy Hummingbird</v>
          </cell>
          <cell r="F378" t="str">
            <v>Colibri trompeur</v>
          </cell>
          <cell r="G378" t="str">
            <v>Leucippus fallax</v>
          </cell>
          <cell r="H378" t="str">
            <v>Apodiformes</v>
          </cell>
          <cell r="I378" t="str">
            <v>Trochilidae (Hummingbirds)</v>
          </cell>
        </row>
        <row r="379">
          <cell r="E379" t="str">
            <v>Buffy Tuftedcheek</v>
          </cell>
          <cell r="F379" t="str">
            <v>Anabate chamois</v>
          </cell>
          <cell r="G379" t="str">
            <v>Pseudocolaptes lawrencii</v>
          </cell>
          <cell r="H379" t="str">
            <v>Passeriformes</v>
          </cell>
          <cell r="I379" t="str">
            <v>Furnariidae (Ovenbirds and Woodcreepers)</v>
          </cell>
        </row>
        <row r="380">
          <cell r="E380" t="str">
            <v>Burchell's Coucal</v>
          </cell>
          <cell r="F380" t="str">
            <v>Coucal de Burchell</v>
          </cell>
          <cell r="G380" t="str">
            <v>Centropus burchellii</v>
          </cell>
          <cell r="H380" t="str">
            <v>Cuculiformes</v>
          </cell>
          <cell r="I380" t="str">
            <v>Cuculidae (Cuckoos)</v>
          </cell>
        </row>
        <row r="381">
          <cell r="E381" t="str">
            <v>Burchell's Sandgrouse</v>
          </cell>
          <cell r="F381" t="str">
            <v>Ganga de Burchell</v>
          </cell>
          <cell r="G381" t="str">
            <v>Pterocles burchelli</v>
          </cell>
          <cell r="H381" t="str">
            <v>Pterocliformes</v>
          </cell>
          <cell r="I381" t="str">
            <v>Pteroclidae (Sandgrouse)</v>
          </cell>
        </row>
        <row r="382">
          <cell r="E382" t="str">
            <v>Burchell's Starling</v>
          </cell>
          <cell r="F382" t="str">
            <v>Choucador de Burchell</v>
          </cell>
          <cell r="G382" t="str">
            <v>Lamprotornis australis</v>
          </cell>
          <cell r="H382" t="str">
            <v>Passeriformes</v>
          </cell>
          <cell r="I382" t="str">
            <v>Sturnidae (Starlings)</v>
          </cell>
        </row>
        <row r="383">
          <cell r="E383" t="str">
            <v>Burrowing Owl</v>
          </cell>
          <cell r="F383" t="str">
            <v>Chevêche des terriers</v>
          </cell>
          <cell r="G383" t="str">
            <v>Athene cunicularia</v>
          </cell>
          <cell r="H383" t="str">
            <v>Strigiformes</v>
          </cell>
          <cell r="I383" t="str">
            <v>Strigidae (Owls)</v>
          </cell>
        </row>
        <row r="384">
          <cell r="E384" t="str">
            <v>Bushtit</v>
          </cell>
          <cell r="F384" t="str">
            <v>Orite buissonnière</v>
          </cell>
          <cell r="G384" t="str">
            <v>Psaltriparus minimus</v>
          </cell>
          <cell r="H384" t="str">
            <v>Passeriformes</v>
          </cell>
          <cell r="I384" t="str">
            <v>Aegithalidae (Long-tailed Tits)</v>
          </cell>
        </row>
        <row r="385">
          <cell r="E385" t="str">
            <v>Cabanis's Ground-Sparrow</v>
          </cell>
          <cell r="F385" t="str">
            <v>Tohi de Cabanis</v>
          </cell>
          <cell r="G385" t="str">
            <v>Melozone cabanisi</v>
          </cell>
          <cell r="H385" t="str">
            <v>Passeriformes</v>
          </cell>
          <cell r="I385" t="str">
            <v>Passerellidae (New World Sparrows)</v>
          </cell>
        </row>
        <row r="386">
          <cell r="E386" t="str">
            <v>Cabanis's Wren</v>
          </cell>
          <cell r="F386" t="str">
            <v>Troglodyte modeste</v>
          </cell>
          <cell r="G386" t="str">
            <v>Cantorchilus modestus</v>
          </cell>
          <cell r="H386" t="str">
            <v>Passeriformes</v>
          </cell>
          <cell r="I386" t="str">
            <v>Troglodytidae (Wrens)</v>
          </cell>
        </row>
        <row r="387">
          <cell r="E387" t="str">
            <v>Cackling Goose</v>
          </cell>
          <cell r="F387" t="str">
            <v>Bernache de Hutchins</v>
          </cell>
          <cell r="G387" t="str">
            <v>Branta hutchinsii</v>
          </cell>
          <cell r="H387" t="str">
            <v>Anseriformes</v>
          </cell>
          <cell r="I387" t="str">
            <v>Anatidae (Ducks, Geese, and Waterfowl)</v>
          </cell>
        </row>
        <row r="388">
          <cell r="E388" t="str">
            <v>California Condor</v>
          </cell>
          <cell r="F388" t="str">
            <v>Condor de Californie</v>
          </cell>
          <cell r="G388" t="str">
            <v>Gymnogyps californianus</v>
          </cell>
          <cell r="H388" t="str">
            <v>Cathartiformes</v>
          </cell>
          <cell r="I388" t="str">
            <v>Cathartidae (New World Vultures)</v>
          </cell>
        </row>
        <row r="389">
          <cell r="E389" t="str">
            <v>California Gull</v>
          </cell>
          <cell r="F389" t="str">
            <v>Goéland de Californie</v>
          </cell>
          <cell r="G389" t="str">
            <v>Larus californicus</v>
          </cell>
          <cell r="H389" t="str">
            <v>Charadriiformes</v>
          </cell>
          <cell r="I389" t="str">
            <v>Laridae (Gulls, Terns, and Skimmers)</v>
          </cell>
        </row>
        <row r="390">
          <cell r="E390" t="str">
            <v>California Quail</v>
          </cell>
          <cell r="F390" t="str">
            <v>Colin de Californie</v>
          </cell>
          <cell r="G390" t="str">
            <v>Callipepla californica</v>
          </cell>
          <cell r="H390" t="str">
            <v>Galliformes</v>
          </cell>
          <cell r="I390" t="str">
            <v>Odontophoridae (New World Quail)</v>
          </cell>
        </row>
        <row r="391">
          <cell r="E391" t="str">
            <v>California Scrub-Jay</v>
          </cell>
          <cell r="F391" t="str">
            <v>Geai buissonnier</v>
          </cell>
          <cell r="G391" t="str">
            <v>Aphelocoma californica</v>
          </cell>
          <cell r="H391" t="str">
            <v>Passeriformes</v>
          </cell>
          <cell r="I391" t="str">
            <v>Corvidae (Crows, Jays, and Magpies)</v>
          </cell>
        </row>
        <row r="392">
          <cell r="E392" t="str">
            <v>California Thrasher</v>
          </cell>
          <cell r="F392" t="str">
            <v>Moqueur de Californie</v>
          </cell>
          <cell r="G392" t="str">
            <v>Toxostoma redivivum</v>
          </cell>
          <cell r="H392" t="str">
            <v>Passeriformes</v>
          </cell>
          <cell r="I392" t="str">
            <v>Mimidae (Mockingbirds and Thrashers)</v>
          </cell>
        </row>
        <row r="393">
          <cell r="E393" t="str">
            <v>California Towhee</v>
          </cell>
          <cell r="F393" t="str">
            <v>Tohi de Californie</v>
          </cell>
          <cell r="G393" t="str">
            <v>Melozone crissalis</v>
          </cell>
          <cell r="H393" t="str">
            <v>Passeriformes</v>
          </cell>
          <cell r="I393" t="str">
            <v>Passerellidae (New World Sparrows)</v>
          </cell>
        </row>
        <row r="394">
          <cell r="E394" t="str">
            <v>Canada Goose</v>
          </cell>
          <cell r="F394" t="str">
            <v>Bernache du Canada</v>
          </cell>
          <cell r="G394" t="str">
            <v>Branta canadensis</v>
          </cell>
          <cell r="H394" t="str">
            <v>Anseriformes</v>
          </cell>
          <cell r="I394" t="str">
            <v>Anatidae (Ducks, Geese, and Waterfowl)</v>
          </cell>
        </row>
        <row r="395">
          <cell r="E395" t="str">
            <v>Canada Jay</v>
          </cell>
          <cell r="F395" t="str">
            <v>Mésangeai du Canada</v>
          </cell>
          <cell r="G395" t="str">
            <v>Perisoreus canadensis</v>
          </cell>
          <cell r="H395" t="str">
            <v>Passeriformes</v>
          </cell>
          <cell r="I395" t="str">
            <v>Corvidae (Crows, Jays, and Magpies)</v>
          </cell>
        </row>
        <row r="396">
          <cell r="E396" t="str">
            <v>Canada Warbler</v>
          </cell>
          <cell r="F396" t="str">
            <v>Paruline du Canada</v>
          </cell>
          <cell r="G396" t="str">
            <v>Cardellina canadensis</v>
          </cell>
          <cell r="H396" t="str">
            <v>Passeriformes</v>
          </cell>
          <cell r="I396" t="str">
            <v>Parulidae (New World Warblers)</v>
          </cell>
        </row>
        <row r="397">
          <cell r="E397" t="str">
            <v>Canebrake Wren</v>
          </cell>
          <cell r="F397" t="str">
            <v>Troglodyte de Zeledon</v>
          </cell>
          <cell r="G397" t="str">
            <v>Cantorchilus zeledoni</v>
          </cell>
          <cell r="H397" t="str">
            <v>Passeriformes</v>
          </cell>
          <cell r="I397" t="str">
            <v>Troglodytidae (Wrens)</v>
          </cell>
        </row>
        <row r="398">
          <cell r="E398" t="str">
            <v>Canivet's Emerald</v>
          </cell>
          <cell r="F398" t="str">
            <v>Émeraude de Canivet</v>
          </cell>
          <cell r="G398" t="str">
            <v>Cynanthus canivetii</v>
          </cell>
          <cell r="H398" t="str">
            <v>Apodiformes</v>
          </cell>
          <cell r="I398" t="str">
            <v>Trochilidae (Hummingbirds)</v>
          </cell>
        </row>
        <row r="399">
          <cell r="E399" t="str">
            <v>Canvasback</v>
          </cell>
          <cell r="F399" t="str">
            <v>Fuligule à dos blanc</v>
          </cell>
          <cell r="G399" t="str">
            <v>Aythya valisineria</v>
          </cell>
          <cell r="H399" t="str">
            <v>Anseriformes</v>
          </cell>
          <cell r="I399" t="str">
            <v>Anatidae (Ducks, Geese, and Waterfowl)</v>
          </cell>
        </row>
        <row r="400">
          <cell r="E400" t="str">
            <v>Cape Barren Goose</v>
          </cell>
          <cell r="F400" t="str">
            <v>Céréopse cendré</v>
          </cell>
          <cell r="G400" t="str">
            <v>Cereopsis novaehollandiae</v>
          </cell>
          <cell r="H400" t="str">
            <v>Anseriformes</v>
          </cell>
          <cell r="I400" t="str">
            <v>Anatidae (Ducks, Geese, and Waterfowl)</v>
          </cell>
        </row>
        <row r="401">
          <cell r="E401" t="str">
            <v>Cape Bunting</v>
          </cell>
          <cell r="F401" t="str">
            <v>Bruant du Cap</v>
          </cell>
          <cell r="G401" t="str">
            <v>Emberiza capensis</v>
          </cell>
          <cell r="H401" t="str">
            <v>Passeriformes</v>
          </cell>
          <cell r="I401" t="str">
            <v>Emberizidae (Old World Buntings)</v>
          </cell>
        </row>
        <row r="402">
          <cell r="E402" t="str">
            <v>Cape Cormorant</v>
          </cell>
          <cell r="F402" t="str">
            <v>Cormoran du Cap</v>
          </cell>
          <cell r="G402" t="str">
            <v>Phalacrocorax capensis</v>
          </cell>
          <cell r="H402" t="str">
            <v>Suliformes</v>
          </cell>
          <cell r="I402" t="str">
            <v>Phalacrocoracidae (Cormorants and Shags)</v>
          </cell>
        </row>
        <row r="403">
          <cell r="E403" t="str">
            <v>Cape Griffon</v>
          </cell>
          <cell r="F403" t="str">
            <v>Vautour chassefiente</v>
          </cell>
          <cell r="G403" t="str">
            <v>Gyps coprotheres</v>
          </cell>
          <cell r="H403" t="str">
            <v>Accipitriformes</v>
          </cell>
          <cell r="I403" t="str">
            <v>Accipitridae (Hawks, Eagles, and Kites)</v>
          </cell>
        </row>
        <row r="404">
          <cell r="E404" t="str">
            <v>Cape May Warbler</v>
          </cell>
          <cell r="F404" t="str">
            <v>Paruline tigrée</v>
          </cell>
          <cell r="G404" t="str">
            <v>Setophaga tigrina</v>
          </cell>
          <cell r="H404" t="str">
            <v>Passeriformes</v>
          </cell>
          <cell r="I404" t="str">
            <v>Parulidae (New World Warblers)</v>
          </cell>
        </row>
        <row r="405">
          <cell r="E405" t="str">
            <v>Cape Robin-Chat</v>
          </cell>
          <cell r="F405" t="str">
            <v>Cossyphe du Cap</v>
          </cell>
          <cell r="G405" t="str">
            <v>Dessonornis caffer</v>
          </cell>
          <cell r="H405" t="str">
            <v>Passeriformes</v>
          </cell>
          <cell r="I405" t="str">
            <v>Muscicapidae (Old World Flycatchers)</v>
          </cell>
        </row>
        <row r="406">
          <cell r="E406" t="str">
            <v>Cape Rock-Thrush</v>
          </cell>
          <cell r="F406" t="str">
            <v>Traquet familier</v>
          </cell>
          <cell r="G406" t="str">
            <v>Monticola rupestris</v>
          </cell>
          <cell r="H406" t="str">
            <v>Passeriformes</v>
          </cell>
          <cell r="I406" t="str">
            <v>Muscicapidae (Old World Flycatchers)</v>
          </cell>
        </row>
        <row r="407">
          <cell r="E407" t="str">
            <v>Cape Sparrow</v>
          </cell>
          <cell r="F407" t="str">
            <v>Moineau mélanure</v>
          </cell>
          <cell r="G407" t="str">
            <v>Passer melanurus</v>
          </cell>
          <cell r="H407" t="str">
            <v>Passeriformes</v>
          </cell>
          <cell r="I407" t="str">
            <v>Passeridae (Old World Sparrows)</v>
          </cell>
        </row>
        <row r="408">
          <cell r="E408" t="str">
            <v>Cape Starling</v>
          </cell>
          <cell r="F408" t="str">
            <v>Choucador à épaulettes rouges</v>
          </cell>
          <cell r="G408" t="str">
            <v>Lamprotornis nitens</v>
          </cell>
          <cell r="H408" t="str">
            <v>Passeriformes</v>
          </cell>
          <cell r="I408" t="str">
            <v>Sturnidae (Starlings)</v>
          </cell>
        </row>
        <row r="409">
          <cell r="E409" t="str">
            <v>Cape Teal</v>
          </cell>
          <cell r="F409" t="str">
            <v>Canard du Cap</v>
          </cell>
          <cell r="G409" t="str">
            <v>Anas capensis</v>
          </cell>
          <cell r="H409" t="str">
            <v>Anseriformes</v>
          </cell>
          <cell r="I409" t="str">
            <v>Anatidae (Ducks, Geese, and Waterfowl)</v>
          </cell>
        </row>
        <row r="410">
          <cell r="E410" t="str">
            <v>Cape Wagtail</v>
          </cell>
          <cell r="F410" t="str">
            <v>Bergeronnette du Cap</v>
          </cell>
          <cell r="G410" t="str">
            <v>Motacilla capensis</v>
          </cell>
          <cell r="H410" t="str">
            <v>Passeriformes</v>
          </cell>
          <cell r="I410" t="str">
            <v>Motacillidae (Wagtails and Pipits)</v>
          </cell>
        </row>
        <row r="411">
          <cell r="E411" t="str">
            <v>Cape Weaver</v>
          </cell>
          <cell r="F411" t="str">
            <v>Tisserin du Cap</v>
          </cell>
          <cell r="G411" t="str">
            <v>Ploceus capensis</v>
          </cell>
          <cell r="H411" t="str">
            <v>Passeriformes</v>
          </cell>
          <cell r="I411" t="str">
            <v>Ploceidae (Weavers and Allies)</v>
          </cell>
        </row>
        <row r="412">
          <cell r="E412" t="str">
            <v>Cape White-eye</v>
          </cell>
          <cell r="F412" t="str">
            <v>Zostérops du Cap</v>
          </cell>
          <cell r="G412" t="str">
            <v>Zosterops virens</v>
          </cell>
          <cell r="H412" t="str">
            <v>Passeriformes</v>
          </cell>
          <cell r="I412" t="str">
            <v>Zosteropidae (White-eyes, Yuhinas, and Allies)</v>
          </cell>
        </row>
        <row r="413">
          <cell r="E413" t="str">
            <v>Capped Conebill</v>
          </cell>
          <cell r="F413" t="str">
            <v>Conirostre coiffé</v>
          </cell>
          <cell r="G413" t="str">
            <v>Conirostrum albifrons</v>
          </cell>
          <cell r="H413" t="str">
            <v>Passeriformes</v>
          </cell>
          <cell r="I413" t="str">
            <v>Thraupidae (Tanagers and Allies)</v>
          </cell>
        </row>
        <row r="414">
          <cell r="E414" t="str">
            <v>Capped Heron</v>
          </cell>
          <cell r="F414" t="str">
            <v>Héron coiffé</v>
          </cell>
          <cell r="G414" t="str">
            <v>Pilherodius pileatus</v>
          </cell>
          <cell r="H414" t="str">
            <v>Pelecaniformes</v>
          </cell>
          <cell r="I414" t="str">
            <v>Ardeidae (Herons, Egrets, and Bitterns)</v>
          </cell>
        </row>
        <row r="415">
          <cell r="E415" t="str">
            <v>Cardinal Woodpecker</v>
          </cell>
          <cell r="F415" t="str">
            <v>Pic cardinal</v>
          </cell>
          <cell r="G415" t="str">
            <v>Dendropicos fuscescens</v>
          </cell>
          <cell r="H415" t="str">
            <v>Piciformes</v>
          </cell>
          <cell r="I415" t="str">
            <v>Picidae (Woodpeckers)</v>
          </cell>
        </row>
        <row r="416">
          <cell r="E416" t="str">
            <v>Carib Grackle</v>
          </cell>
          <cell r="F416" t="str">
            <v>Quiscale merle</v>
          </cell>
          <cell r="G416" t="str">
            <v>Quiscalus lugubris</v>
          </cell>
          <cell r="H416" t="str">
            <v>Passeriformes</v>
          </cell>
          <cell r="I416" t="str">
            <v>Icteridae (Troupials and Allies)</v>
          </cell>
        </row>
        <row r="417">
          <cell r="E417" t="str">
            <v>Caribbean Hornero</v>
          </cell>
          <cell r="F417" t="str">
            <v>Fournier du Venezuela</v>
          </cell>
          <cell r="G417" t="str">
            <v>Furnarius longirostris</v>
          </cell>
          <cell r="H417" t="str">
            <v>Passeriformes</v>
          </cell>
          <cell r="I417" t="str">
            <v>Furnariidae (Ovenbirds and Woodcreepers)</v>
          </cell>
        </row>
        <row r="418">
          <cell r="E418" t="str">
            <v>Caribbean Martin</v>
          </cell>
          <cell r="F418" t="str">
            <v>Hirondelle à ventre blanc</v>
          </cell>
          <cell r="G418" t="str">
            <v>Progne dominicensis</v>
          </cell>
          <cell r="H418" t="str">
            <v>Passeriformes</v>
          </cell>
          <cell r="I418" t="str">
            <v>Hirundinidae (Swallows)</v>
          </cell>
        </row>
        <row r="419">
          <cell r="E419" t="str">
            <v>Carmiol's Tanager</v>
          </cell>
          <cell r="F419" t="str">
            <v>Habia de Carmiol</v>
          </cell>
          <cell r="G419" t="str">
            <v>Chlorothraupis carmioli</v>
          </cell>
          <cell r="H419" t="str">
            <v>Passeriformes</v>
          </cell>
          <cell r="I419" t="str">
            <v>Cardinalidae (Cardinals and Allies)</v>
          </cell>
        </row>
        <row r="420">
          <cell r="E420" t="str">
            <v>Carolina Chickadee</v>
          </cell>
          <cell r="F420" t="str">
            <v>Mésange de Caroline</v>
          </cell>
          <cell r="G420" t="str">
            <v>Poecile carolinensis</v>
          </cell>
          <cell r="H420" t="str">
            <v>Passeriformes</v>
          </cell>
          <cell r="I420" t="str">
            <v>Paridae (Tits, Chickadees, and Titmice)</v>
          </cell>
        </row>
        <row r="421">
          <cell r="E421" t="str">
            <v>Carolina Wren</v>
          </cell>
          <cell r="F421" t="str">
            <v>Troglodyte de Caroline</v>
          </cell>
          <cell r="G421" t="str">
            <v>Thryothorus ludovicianus</v>
          </cell>
          <cell r="H421" t="str">
            <v>Passeriformes</v>
          </cell>
          <cell r="I421" t="str">
            <v>Troglodytidae (Wrens)</v>
          </cell>
        </row>
        <row r="422">
          <cell r="E422" t="str">
            <v>Carrion Crow</v>
          </cell>
          <cell r="F422" t="str">
            <v>Corneille noire</v>
          </cell>
          <cell r="G422" t="str">
            <v>Corvus corone</v>
          </cell>
          <cell r="H422" t="str">
            <v>Passeriformes</v>
          </cell>
          <cell r="I422" t="str">
            <v>Corvidae (Crows, Jays, and Magpies)</v>
          </cell>
        </row>
        <row r="423">
          <cell r="E423" t="str">
            <v>Carunculated Caracara</v>
          </cell>
          <cell r="F423" t="str">
            <v>Caracara caronculé</v>
          </cell>
          <cell r="G423" t="str">
            <v>Daptrius carunculatus</v>
          </cell>
          <cell r="H423" t="str">
            <v>Falconiformes</v>
          </cell>
          <cell r="I423" t="str">
            <v>Falconidae (Falcons and Caracaras)</v>
          </cell>
        </row>
        <row r="424">
          <cell r="E424" t="str">
            <v>Caspian Tern</v>
          </cell>
          <cell r="F424" t="str">
            <v>Sterne caspienne</v>
          </cell>
          <cell r="G424" t="str">
            <v>Hydroprogne caspia</v>
          </cell>
          <cell r="H424" t="str">
            <v>Charadriiformes</v>
          </cell>
          <cell r="I424" t="str">
            <v>Laridae (Gulls, Terns, and Skimmers)</v>
          </cell>
        </row>
        <row r="425">
          <cell r="E425" t="str">
            <v>Cassin's Kingbird</v>
          </cell>
          <cell r="F425" t="str">
            <v>Tyran de Cassin</v>
          </cell>
          <cell r="G425" t="str">
            <v>Tyrannus vociferans</v>
          </cell>
          <cell r="H425" t="str">
            <v>Passeriformes</v>
          </cell>
          <cell r="I425" t="str">
            <v>Tyrannidae (Tyrant Flycatchers)</v>
          </cell>
        </row>
        <row r="426">
          <cell r="E426" t="str">
            <v>Cattle Tyrant</v>
          </cell>
          <cell r="F426" t="str">
            <v>Tyran querelleur</v>
          </cell>
          <cell r="G426" t="str">
            <v>Machetornis rixosa</v>
          </cell>
          <cell r="H426" t="str">
            <v>Passeriformes</v>
          </cell>
          <cell r="I426" t="str">
            <v>Tyrannidae (Tyrant Flycatchers)</v>
          </cell>
        </row>
        <row r="427">
          <cell r="E427" t="str">
            <v>Cedar Waxwing</v>
          </cell>
          <cell r="F427" t="str">
            <v>Jaseur d'Amérique</v>
          </cell>
          <cell r="G427" t="str">
            <v>Bombycilla cedrorum</v>
          </cell>
          <cell r="H427" t="str">
            <v>Passeriformes</v>
          </cell>
          <cell r="I427" t="str">
            <v>Bombycillidae (Waxwings)</v>
          </cell>
        </row>
        <row r="428">
          <cell r="E428" t="str">
            <v>Cerulean Warbler</v>
          </cell>
          <cell r="F428" t="str">
            <v>Paruline azurée</v>
          </cell>
          <cell r="G428" t="str">
            <v>Setophaga cerulea</v>
          </cell>
          <cell r="H428" t="str">
            <v>Passeriformes</v>
          </cell>
          <cell r="I428" t="str">
            <v>Parulidae (New World Warblers)</v>
          </cell>
        </row>
        <row r="429">
          <cell r="E429" t="str">
            <v>Chabert Vanga</v>
          </cell>
          <cell r="F429" t="str">
            <v>Artamie chabert</v>
          </cell>
          <cell r="G429" t="str">
            <v>Leptopterus chabert</v>
          </cell>
          <cell r="H429" t="str">
            <v>Passeriformes</v>
          </cell>
          <cell r="I429" t="str">
            <v>Vangidae (Vangas, Helmetshrikes, and Allies)</v>
          </cell>
        </row>
        <row r="430">
          <cell r="E430" t="str">
            <v>Channel-billed Toucan</v>
          </cell>
          <cell r="F430" t="str">
            <v>Toucan vitellin</v>
          </cell>
          <cell r="G430" t="str">
            <v>Ramphastos vitellinus</v>
          </cell>
          <cell r="H430" t="str">
            <v>Piciformes</v>
          </cell>
          <cell r="I430" t="str">
            <v>Ramphastidae (Toucans)</v>
          </cell>
        </row>
        <row r="431">
          <cell r="E431" t="str">
            <v>Checker-throated Stipplethroat</v>
          </cell>
          <cell r="F431" t="str">
            <v>Myrmidon fauve</v>
          </cell>
          <cell r="G431" t="str">
            <v>Epinecrophylla fulviventris</v>
          </cell>
          <cell r="H431" t="str">
            <v>Passeriformes</v>
          </cell>
          <cell r="I431" t="str">
            <v>Thamnophilidae (Typical Antbirds)</v>
          </cell>
        </row>
        <row r="432">
          <cell r="E432" t="str">
            <v>Chestnut Piculet</v>
          </cell>
          <cell r="F432" t="str">
            <v>Picumne cannelle</v>
          </cell>
          <cell r="G432" t="str">
            <v>Picumnus cinnamomeus</v>
          </cell>
          <cell r="H432" t="str">
            <v>Piciformes</v>
          </cell>
          <cell r="I432" t="str">
            <v>Picidae (Woodpeckers)</v>
          </cell>
        </row>
        <row r="433">
          <cell r="E433" t="str">
            <v>Chestnut Quail-thrush</v>
          </cell>
          <cell r="F433" t="str">
            <v>Cinclosome marron</v>
          </cell>
          <cell r="G433" t="str">
            <v>Cinclosoma castanotum</v>
          </cell>
          <cell r="H433" t="str">
            <v>Passeriformes</v>
          </cell>
          <cell r="I433" t="str">
            <v>Cinclosomatidae (Quail-thrushes and Jewel-babblers)</v>
          </cell>
        </row>
        <row r="434">
          <cell r="E434" t="str">
            <v>Chestnut Teal</v>
          </cell>
          <cell r="F434" t="str">
            <v>Sarcelle rousse</v>
          </cell>
          <cell r="G434" t="str">
            <v>Anas castanea</v>
          </cell>
          <cell r="H434" t="str">
            <v>Anseriformes</v>
          </cell>
          <cell r="I434" t="str">
            <v>Anatidae (Ducks, Geese, and Waterfowl)</v>
          </cell>
        </row>
        <row r="435">
          <cell r="E435" t="str">
            <v>Chestnut-backed Antbird</v>
          </cell>
          <cell r="F435" t="str">
            <v>Alapi à dos roux</v>
          </cell>
          <cell r="G435" t="str">
            <v>Poliocrania exsul</v>
          </cell>
          <cell r="H435" t="str">
            <v>Passeriformes</v>
          </cell>
          <cell r="I435" t="str">
            <v>Thamnophilidae (Typical Antbirds)</v>
          </cell>
        </row>
        <row r="436">
          <cell r="E436" t="str">
            <v>Chestnut-backed Chickadee</v>
          </cell>
          <cell r="F436" t="str">
            <v>Mésange à dos marron</v>
          </cell>
          <cell r="G436" t="str">
            <v>Poecile rufescens</v>
          </cell>
          <cell r="H436" t="str">
            <v>Passeriformes</v>
          </cell>
          <cell r="I436" t="str">
            <v>Paridae (Tits, Chickadees, and Titmice)</v>
          </cell>
        </row>
        <row r="437">
          <cell r="E437" t="str">
            <v>Chestnut-bellied Hummingbird</v>
          </cell>
          <cell r="F437" t="str">
            <v>Ariane à ventre roux</v>
          </cell>
          <cell r="G437" t="str">
            <v>Saucerottia castaneiventris</v>
          </cell>
          <cell r="H437" t="str">
            <v>Apodiformes</v>
          </cell>
          <cell r="I437" t="str">
            <v>Trochilidae (Hummingbirds)</v>
          </cell>
        </row>
        <row r="438">
          <cell r="E438" t="str">
            <v>Chestnut-capped Brushfinch</v>
          </cell>
          <cell r="F438" t="str">
            <v>Tohi à nuque brune</v>
          </cell>
          <cell r="G438" t="str">
            <v>Arremon brunneinucha</v>
          </cell>
          <cell r="H438" t="str">
            <v>Passeriformes</v>
          </cell>
          <cell r="I438" t="str">
            <v>Passerellidae (New World Sparrows)</v>
          </cell>
        </row>
        <row r="439">
          <cell r="E439" t="str">
            <v>Chestnut-capped Warbler</v>
          </cell>
          <cell r="F439" t="str">
            <v>Paruline de Delattre</v>
          </cell>
          <cell r="G439" t="str">
            <v>Basileuterus delattrii</v>
          </cell>
          <cell r="H439" t="str">
            <v>Passeriformes</v>
          </cell>
          <cell r="I439" t="str">
            <v>Parulidae (New World Warblers)</v>
          </cell>
        </row>
        <row r="440">
          <cell r="E440" t="str">
            <v>Chestnut-colored Woodpecker</v>
          </cell>
          <cell r="F440" t="str">
            <v>Pic roux</v>
          </cell>
          <cell r="G440" t="str">
            <v>Celeus castaneus</v>
          </cell>
          <cell r="H440" t="str">
            <v>Piciformes</v>
          </cell>
          <cell r="I440" t="str">
            <v>Picidae (Woodpeckers)</v>
          </cell>
        </row>
        <row r="441">
          <cell r="E441" t="str">
            <v>Chestnut-crowned Antpitta</v>
          </cell>
          <cell r="F441" t="str">
            <v>Grallaire à tête rousse</v>
          </cell>
          <cell r="G441" t="str">
            <v>Grallaria ruficapilla</v>
          </cell>
          <cell r="H441" t="str">
            <v>Passeriformes</v>
          </cell>
          <cell r="I441" t="str">
            <v>Grallariidae (Antpittas)</v>
          </cell>
        </row>
        <row r="442">
          <cell r="E442" t="str">
            <v>Chestnut-crowned Babbler</v>
          </cell>
          <cell r="F442" t="str">
            <v>Pomatostome à calotte marron</v>
          </cell>
          <cell r="G442" t="str">
            <v>Pomatostomus ruficeps</v>
          </cell>
          <cell r="H442" t="str">
            <v>Passeriformes</v>
          </cell>
          <cell r="I442" t="str">
            <v>Pomatostomidae (Pseudo-Babblers)</v>
          </cell>
        </row>
        <row r="443">
          <cell r="E443" t="str">
            <v>Chestnut-fronted Macaw</v>
          </cell>
          <cell r="F443" t="str">
            <v>Ara vert</v>
          </cell>
          <cell r="G443" t="str">
            <v>Ara severus</v>
          </cell>
          <cell r="H443" t="str">
            <v>Psittaciformes</v>
          </cell>
          <cell r="I443" t="str">
            <v>Psittacidae (New World and African Parrots)</v>
          </cell>
        </row>
        <row r="444">
          <cell r="E444" t="str">
            <v>Chestnut-headed Oropendola</v>
          </cell>
          <cell r="F444" t="str">
            <v>Cassique à tête brune</v>
          </cell>
          <cell r="G444" t="str">
            <v>Psarocolius wagleri</v>
          </cell>
          <cell r="H444" t="str">
            <v>Passeriformes</v>
          </cell>
          <cell r="I444" t="str">
            <v>Icteridae (Troupials and Allies)</v>
          </cell>
        </row>
        <row r="445">
          <cell r="E445" t="str">
            <v>Chestnut-naped Antpitta</v>
          </cell>
          <cell r="F445" t="str">
            <v>Grallaire à nuque rousse</v>
          </cell>
          <cell r="G445" t="str">
            <v>Grallaria nuchalis</v>
          </cell>
          <cell r="H445" t="str">
            <v>Passeriformes</v>
          </cell>
          <cell r="I445" t="str">
            <v>Grallariidae (Antpittas)</v>
          </cell>
        </row>
        <row r="446">
          <cell r="E446" t="str">
            <v>Chestnut-rumped Thornbill</v>
          </cell>
          <cell r="F446" t="str">
            <v>Acanthize à croupion roux</v>
          </cell>
          <cell r="G446" t="str">
            <v>Acanthiza uropygialis</v>
          </cell>
          <cell r="H446" t="str">
            <v>Passeriformes</v>
          </cell>
          <cell r="I446" t="str">
            <v>Acanthizidae (Thornbills and Allies)</v>
          </cell>
        </row>
        <row r="447">
          <cell r="E447" t="str">
            <v>Chestnut-sided Warbler</v>
          </cell>
          <cell r="F447" t="str">
            <v>Paruline à flancs marron</v>
          </cell>
          <cell r="G447" t="str">
            <v>Setophaga pensylvanica</v>
          </cell>
          <cell r="H447" t="str">
            <v>Passeriformes</v>
          </cell>
          <cell r="I447" t="str">
            <v>Parulidae (New World Warblers)</v>
          </cell>
        </row>
        <row r="448">
          <cell r="E448" t="str">
            <v>Chestnut-winged Chachalaca</v>
          </cell>
          <cell r="F448" t="str">
            <v>Ortalide babillarde</v>
          </cell>
          <cell r="G448" t="str">
            <v>Ortalis garrula</v>
          </cell>
          <cell r="H448" t="str">
            <v>Galliformes</v>
          </cell>
          <cell r="I448" t="str">
            <v>Cracidae (Guans, Chachalacas, and Curassows)</v>
          </cell>
        </row>
        <row r="449">
          <cell r="E449" t="str">
            <v>Chestnut-winged Cinclodes</v>
          </cell>
          <cell r="F449" t="str">
            <v>Cinclode à miroir marron</v>
          </cell>
          <cell r="G449" t="str">
            <v>Cinclodes albidiventris</v>
          </cell>
          <cell r="H449" t="str">
            <v>Passeriformes</v>
          </cell>
          <cell r="I449" t="str">
            <v>Furnariidae (Ovenbirds and Woodcreepers)</v>
          </cell>
        </row>
        <row r="450">
          <cell r="E450" t="str">
            <v>Chimney Swift</v>
          </cell>
          <cell r="F450" t="str">
            <v>Martinet ramoneur</v>
          </cell>
          <cell r="G450" t="str">
            <v>Chaetura pelagica</v>
          </cell>
          <cell r="H450" t="str">
            <v>Apodiformes</v>
          </cell>
          <cell r="I450" t="str">
            <v>Apodidae (Swifts)</v>
          </cell>
        </row>
        <row r="451">
          <cell r="E451" t="str">
            <v>Chinspot Batis</v>
          </cell>
          <cell r="F451" t="str">
            <v>Pririt molitor</v>
          </cell>
          <cell r="G451" t="str">
            <v>Batis molitor</v>
          </cell>
          <cell r="H451" t="str">
            <v>Passeriformes</v>
          </cell>
          <cell r="I451" t="str">
            <v>Platysteiridae (Wattle-eyes and Batises)</v>
          </cell>
        </row>
        <row r="452">
          <cell r="E452" t="str">
            <v>Chipping Sparrow</v>
          </cell>
          <cell r="F452" t="str">
            <v>Bruant familier</v>
          </cell>
          <cell r="G452" t="str">
            <v>Spizella passerina</v>
          </cell>
          <cell r="H452" t="str">
            <v>Passeriformes</v>
          </cell>
          <cell r="I452" t="str">
            <v>Passerellidae (New World Sparrows)</v>
          </cell>
        </row>
        <row r="453">
          <cell r="E453" t="str">
            <v>Chirruping Wedgebill</v>
          </cell>
          <cell r="F453" t="str">
            <v>Psophode babillard</v>
          </cell>
          <cell r="G453" t="str">
            <v>Psophodes cristatus</v>
          </cell>
          <cell r="H453" t="str">
            <v>Passeriformes</v>
          </cell>
          <cell r="I453" t="str">
            <v>Psophodidae (Whipbirds and Wedgebills)</v>
          </cell>
        </row>
        <row r="454">
          <cell r="E454" t="str">
            <v>Chivi Vireo</v>
          </cell>
          <cell r="F454" t="str">
            <v>Viréo chivi</v>
          </cell>
          <cell r="G454" t="str">
            <v>Vireo chivi</v>
          </cell>
          <cell r="H454" t="str">
            <v>Passeriformes</v>
          </cell>
          <cell r="I454" t="str">
            <v>Vireonidae (Vireos, Shrike-Babblers, and Erpornis)</v>
          </cell>
        </row>
        <row r="455">
          <cell r="E455" t="str">
            <v>Choco Brushfinch</v>
          </cell>
          <cell r="F455" t="str">
            <v>Tohi à bec fort</v>
          </cell>
          <cell r="G455" t="str">
            <v>Atlapetes crassus</v>
          </cell>
          <cell r="H455" t="str">
            <v>Passeriformes</v>
          </cell>
          <cell r="I455" t="str">
            <v>Passerellidae (New World Sparrows)</v>
          </cell>
        </row>
        <row r="456">
          <cell r="E456" t="str">
            <v>Choco Sirystes</v>
          </cell>
          <cell r="F456" t="str">
            <v>Tyran du Choco</v>
          </cell>
          <cell r="G456" t="str">
            <v>Sirystes albogriseus</v>
          </cell>
          <cell r="H456" t="str">
            <v>Passeriformes</v>
          </cell>
          <cell r="I456" t="str">
            <v>Tyrannidae (Tyrant Flycatchers)</v>
          </cell>
        </row>
        <row r="457">
          <cell r="E457" t="str">
            <v>Choco Toucan</v>
          </cell>
          <cell r="F457" t="str">
            <v>Toucan du Choco</v>
          </cell>
          <cell r="G457" t="str">
            <v>Ramphastos brevis</v>
          </cell>
          <cell r="H457" t="str">
            <v>Piciformes</v>
          </cell>
          <cell r="I457" t="str">
            <v>Ramphastidae (Toucans)</v>
          </cell>
        </row>
        <row r="458">
          <cell r="E458" t="str">
            <v>Choco Tyrannulet</v>
          </cell>
          <cell r="F458" t="str">
            <v>Tyranneau du Choco</v>
          </cell>
          <cell r="G458" t="str">
            <v>Zimmerius albigularis</v>
          </cell>
          <cell r="H458" t="str">
            <v>Passeriformes</v>
          </cell>
          <cell r="I458" t="str">
            <v>Tyrannidae (Tyrant Flycatchers)</v>
          </cell>
        </row>
        <row r="459">
          <cell r="E459" t="str">
            <v>Choco Warbler</v>
          </cell>
          <cell r="F459" t="str">
            <v>Paruline du Choco</v>
          </cell>
          <cell r="G459" t="str">
            <v>Myiothlypis chlorophrys</v>
          </cell>
          <cell r="H459" t="str">
            <v>Passeriformes</v>
          </cell>
          <cell r="I459" t="str">
            <v>Parulidae (New World Warblers)</v>
          </cell>
        </row>
        <row r="460">
          <cell r="E460" t="str">
            <v>Chuck-will's-widow</v>
          </cell>
          <cell r="F460" t="str">
            <v>Engoulevent de Caroline</v>
          </cell>
          <cell r="G460" t="str">
            <v>Antrostomus carolinensis</v>
          </cell>
          <cell r="H460" t="str">
            <v>Caprimulgiformes</v>
          </cell>
          <cell r="I460" t="str">
            <v>Caprimulgidae (Nightjars and Allies)</v>
          </cell>
        </row>
        <row r="461">
          <cell r="E461" t="str">
            <v>Chukar</v>
          </cell>
          <cell r="F461" t="str">
            <v>Perdrix choukar</v>
          </cell>
          <cell r="G461" t="str">
            <v>Alectoris chukar</v>
          </cell>
          <cell r="H461" t="str">
            <v>Galliformes</v>
          </cell>
          <cell r="I461" t="str">
            <v>Phasianidae (Pheasants, Grouse, and Allies)</v>
          </cell>
        </row>
        <row r="462">
          <cell r="E462" t="str">
            <v>Cinereous Becard</v>
          </cell>
          <cell r="F462" t="str">
            <v>Bécarde cendrée</v>
          </cell>
          <cell r="G462" t="str">
            <v>Pachyramphus rufus</v>
          </cell>
          <cell r="H462" t="str">
            <v>Passeriformes</v>
          </cell>
          <cell r="I462" t="str">
            <v>Tityridae (Tityras and Allies)</v>
          </cell>
        </row>
        <row r="463">
          <cell r="E463" t="str">
            <v>Cinereous Conebill</v>
          </cell>
          <cell r="F463" t="str">
            <v>Conirostre cendré</v>
          </cell>
          <cell r="G463" t="str">
            <v>Conirostrum cinereum</v>
          </cell>
          <cell r="H463" t="str">
            <v>Passeriformes</v>
          </cell>
          <cell r="I463" t="str">
            <v>Thraupidae (Tanagers and Allies)</v>
          </cell>
        </row>
        <row r="464">
          <cell r="E464" t="str">
            <v>Cinnamon Becard</v>
          </cell>
          <cell r="F464" t="str">
            <v>Bécarde cannelle</v>
          </cell>
          <cell r="G464" t="str">
            <v>Pachyramphus cinnamomeus</v>
          </cell>
          <cell r="H464" t="str">
            <v>Passeriformes</v>
          </cell>
          <cell r="I464" t="str">
            <v>Tityridae (Tityras and Allies)</v>
          </cell>
        </row>
        <row r="465">
          <cell r="E465" t="str">
            <v>Cinnamon Flycatcher</v>
          </cell>
          <cell r="F465" t="str">
            <v>Moucherolle cannelle</v>
          </cell>
          <cell r="G465" t="str">
            <v>Pyrrhomyias cinnamomeus</v>
          </cell>
          <cell r="H465" t="str">
            <v>Passeriformes</v>
          </cell>
          <cell r="I465" t="str">
            <v>Tyrannidae (Tyrant Flycatchers)</v>
          </cell>
        </row>
        <row r="466">
          <cell r="E466" t="str">
            <v>Cinnamon Hummingbird</v>
          </cell>
          <cell r="F466" t="str">
            <v>Ariane cannelle</v>
          </cell>
          <cell r="G466" t="str">
            <v>Amazilia rutila</v>
          </cell>
          <cell r="H466" t="str">
            <v>Apodiformes</v>
          </cell>
          <cell r="I466" t="str">
            <v>Trochilidae (Hummingbirds)</v>
          </cell>
        </row>
        <row r="467">
          <cell r="E467" t="str">
            <v>Cinnamon Quail-thrush</v>
          </cell>
          <cell r="F467" t="str">
            <v>Cinclosome cannelle</v>
          </cell>
          <cell r="G467" t="str">
            <v>Cinclosoma cinnamomeum</v>
          </cell>
          <cell r="H467" t="str">
            <v>Passeriformes</v>
          </cell>
          <cell r="I467" t="str">
            <v>Cinclosomatidae (Quail-thrushes and Jewel-babblers)</v>
          </cell>
        </row>
        <row r="468">
          <cell r="E468" t="str">
            <v>Cinnamon Woodpecker</v>
          </cell>
          <cell r="F468" t="str">
            <v>Pic cannelle</v>
          </cell>
          <cell r="G468" t="str">
            <v>Celeus loricatus</v>
          </cell>
          <cell r="H468" t="str">
            <v>Piciformes</v>
          </cell>
          <cell r="I468" t="str">
            <v>Picidae (Woodpeckers)</v>
          </cell>
        </row>
        <row r="469">
          <cell r="E469" t="str">
            <v>Cinnamon-bellied Saltator</v>
          </cell>
          <cell r="F469" t="str">
            <v>Saltator du Mexique</v>
          </cell>
          <cell r="G469" t="str">
            <v>Saltator grandis</v>
          </cell>
          <cell r="H469" t="str">
            <v>Passeriformes</v>
          </cell>
          <cell r="I469" t="str">
            <v>Thraupidae (Tanagers and Allies)</v>
          </cell>
        </row>
        <row r="470">
          <cell r="E470" t="str">
            <v>Cinnamon-chested Bee-eater</v>
          </cell>
          <cell r="F470" t="str">
            <v>Guêpier montagnard</v>
          </cell>
          <cell r="G470" t="str">
            <v>Merops oreobates</v>
          </cell>
          <cell r="H470" t="str">
            <v>Coraciiformes</v>
          </cell>
          <cell r="I470" t="str">
            <v>Meropidae (Bee-eaters)</v>
          </cell>
        </row>
        <row r="471">
          <cell r="E471" t="str">
            <v>Clark's Nutcracker</v>
          </cell>
          <cell r="F471" t="str">
            <v>Cassenoix d'Amérique</v>
          </cell>
          <cell r="G471" t="str">
            <v>Nucifraga columbiana</v>
          </cell>
          <cell r="H471" t="str">
            <v>Passeriformes</v>
          </cell>
          <cell r="I471" t="str">
            <v>Corvidae (Crows, Jays, and Magpies)</v>
          </cell>
        </row>
        <row r="472">
          <cell r="E472" t="str">
            <v>Clay-colored Sparrow</v>
          </cell>
          <cell r="F472" t="str">
            <v>Bruant des plaines</v>
          </cell>
          <cell r="G472" t="str">
            <v>Spizella pallida</v>
          </cell>
          <cell r="H472" t="str">
            <v>Passeriformes</v>
          </cell>
          <cell r="I472" t="str">
            <v>Passerellidae (New World Sparrows)</v>
          </cell>
        </row>
        <row r="473">
          <cell r="E473" t="str">
            <v>Clay-colored Thrush</v>
          </cell>
          <cell r="F473" t="str">
            <v>Merle fauve</v>
          </cell>
          <cell r="G473" t="str">
            <v>Turdus grayi</v>
          </cell>
          <cell r="H473" t="str">
            <v>Passeriformes</v>
          </cell>
          <cell r="I473" t="str">
            <v>Turdidae (Thrushes and Allies)</v>
          </cell>
        </row>
        <row r="474">
          <cell r="E474" t="str">
            <v>Cliff Swallow</v>
          </cell>
          <cell r="F474" t="str">
            <v>Hirondelle à front blanc</v>
          </cell>
          <cell r="G474" t="str">
            <v>Petrochelidon pyrrhonota</v>
          </cell>
          <cell r="H474" t="str">
            <v>Passeriformes</v>
          </cell>
          <cell r="I474" t="str">
            <v>Hirundinidae (Swallows)</v>
          </cell>
        </row>
        <row r="475">
          <cell r="E475" t="str">
            <v>Cocoa Thrush</v>
          </cell>
          <cell r="F475" t="str">
            <v>Merle cacao</v>
          </cell>
          <cell r="G475" t="str">
            <v>Turdus fumigatus</v>
          </cell>
          <cell r="H475" t="str">
            <v>Passeriformes</v>
          </cell>
          <cell r="I475" t="str">
            <v>Turdidae (Thrushes and Allies)</v>
          </cell>
        </row>
        <row r="476">
          <cell r="E476" t="str">
            <v>Cocoa Woodcreeper</v>
          </cell>
          <cell r="F476" t="str">
            <v>Grimpar cacao</v>
          </cell>
          <cell r="G476" t="str">
            <v>Xiphorhynchus susurrans</v>
          </cell>
          <cell r="H476" t="str">
            <v>Passeriformes</v>
          </cell>
          <cell r="I476" t="str">
            <v>Furnariidae (Ovenbirds and Woodcreepers)</v>
          </cell>
        </row>
        <row r="477">
          <cell r="E477" t="str">
            <v>Cocoi Heron</v>
          </cell>
          <cell r="F477" t="str">
            <v>Héron cocoi</v>
          </cell>
          <cell r="G477" t="str">
            <v>Ardea cocoi</v>
          </cell>
          <cell r="H477" t="str">
            <v>Pelecaniformes</v>
          </cell>
          <cell r="I477" t="str">
            <v>Ardeidae (Herons, Egrets, and Bitterns)</v>
          </cell>
        </row>
        <row r="478">
          <cell r="E478" t="str">
            <v>Cocos Booby</v>
          </cell>
          <cell r="F478" t="str">
            <v>Fou des Cocos</v>
          </cell>
          <cell r="G478" t="str">
            <v>Sula brewsteri</v>
          </cell>
          <cell r="H478" t="str">
            <v>Suliformes</v>
          </cell>
          <cell r="I478" t="str">
            <v>Sulidae (Boobies and Gannets)</v>
          </cell>
        </row>
        <row r="479">
          <cell r="E479" t="str">
            <v>Collared Aracari</v>
          </cell>
          <cell r="F479" t="str">
            <v>Araçari à collier</v>
          </cell>
          <cell r="G479" t="str">
            <v>Pteroglossus torquatus</v>
          </cell>
          <cell r="H479" t="str">
            <v>Piciformes</v>
          </cell>
          <cell r="I479" t="str">
            <v>Ramphastidae (Toucans)</v>
          </cell>
        </row>
        <row r="480">
          <cell r="E480" t="str">
            <v>Collared Inca</v>
          </cell>
          <cell r="F480" t="str">
            <v>Inca à collier</v>
          </cell>
          <cell r="G480" t="str">
            <v>Coeligena torquata</v>
          </cell>
          <cell r="H480" t="str">
            <v>Apodiformes</v>
          </cell>
          <cell r="I480" t="str">
            <v>Trochilidae (Hummingbirds)</v>
          </cell>
        </row>
        <row r="481">
          <cell r="E481" t="str">
            <v>Collared Plover</v>
          </cell>
          <cell r="F481" t="str">
            <v>Pluvier d'Azara</v>
          </cell>
          <cell r="G481" t="str">
            <v>Anarhynchus collaris</v>
          </cell>
          <cell r="H481" t="str">
            <v>Charadriiformes</v>
          </cell>
          <cell r="I481" t="str">
            <v>Charadriidae (Plovers and Lapwings)</v>
          </cell>
        </row>
        <row r="482">
          <cell r="E482" t="str">
            <v>Collared Pratincole</v>
          </cell>
          <cell r="F482" t="str">
            <v>Glaréole à collier</v>
          </cell>
          <cell r="G482" t="str">
            <v>Glareola pratincola</v>
          </cell>
          <cell r="H482" t="str">
            <v>Charadriiformes</v>
          </cell>
          <cell r="I482" t="str">
            <v>Glareolidae (Pratincoles and Coursers)</v>
          </cell>
        </row>
        <row r="483">
          <cell r="E483" t="str">
            <v>Collared Redstart</v>
          </cell>
          <cell r="F483" t="str">
            <v>Paruline ceinturée</v>
          </cell>
          <cell r="G483" t="str">
            <v>Myioborus torquatus</v>
          </cell>
          <cell r="H483" t="str">
            <v>Passeriformes</v>
          </cell>
          <cell r="I483" t="str">
            <v>Parulidae (New World Warblers)</v>
          </cell>
        </row>
        <row r="484">
          <cell r="E484" t="str">
            <v>Collared Sunbird</v>
          </cell>
          <cell r="F484" t="str">
            <v>Souimanga à collier</v>
          </cell>
          <cell r="G484" t="str">
            <v>Hedydipna collaris</v>
          </cell>
          <cell r="H484" t="str">
            <v>Passeriformes</v>
          </cell>
          <cell r="I484" t="str">
            <v>Nectariniidae (Sunbirds and Spiderhunters)</v>
          </cell>
        </row>
        <row r="485">
          <cell r="E485" t="str">
            <v>Collared Trogon</v>
          </cell>
          <cell r="F485" t="str">
            <v>Trogon rosalba</v>
          </cell>
          <cell r="G485" t="str">
            <v>Trogon collaris</v>
          </cell>
          <cell r="H485" t="str">
            <v>Trogoniformes</v>
          </cell>
          <cell r="I485" t="str">
            <v>Trogonidae (Trogons)</v>
          </cell>
        </row>
        <row r="486">
          <cell r="E486" t="str">
            <v>Colombian Chachalaca</v>
          </cell>
          <cell r="F486" t="str">
            <v>Ortalide de Colombie</v>
          </cell>
          <cell r="G486" t="str">
            <v>Ortalis columbiana</v>
          </cell>
          <cell r="H486" t="str">
            <v>Galliformes</v>
          </cell>
          <cell r="I486" t="str">
            <v>Cracidae (Guans, Chachalacas, and Curassows)</v>
          </cell>
        </row>
        <row r="487">
          <cell r="E487" t="str">
            <v>Common Black Hawk</v>
          </cell>
          <cell r="F487" t="str">
            <v>Buse noire</v>
          </cell>
          <cell r="G487" t="str">
            <v>Buteogallus anthracinus</v>
          </cell>
          <cell r="H487" t="str">
            <v>Accipitriformes</v>
          </cell>
          <cell r="I487" t="str">
            <v>Accipitridae (Hawks, Eagles, and Kites)</v>
          </cell>
        </row>
        <row r="488">
          <cell r="E488" t="str">
            <v>Common Bronzewing</v>
          </cell>
          <cell r="F488" t="str">
            <v>Colombine lumachelle</v>
          </cell>
          <cell r="G488" t="str">
            <v>Phaps chalcoptera</v>
          </cell>
          <cell r="H488" t="str">
            <v>Columbiformes</v>
          </cell>
          <cell r="I488" t="str">
            <v>Columbidae (Pigeons and Doves)</v>
          </cell>
        </row>
        <row r="489">
          <cell r="E489" t="str">
            <v>Common Bulbul</v>
          </cell>
          <cell r="F489" t="str">
            <v>Bulbul des jardins</v>
          </cell>
          <cell r="G489" t="str">
            <v>Pycnonotus barbatus</v>
          </cell>
          <cell r="H489" t="str">
            <v>Passeriformes</v>
          </cell>
          <cell r="I489" t="str">
            <v>Pycnonotidae (Bulbuls)</v>
          </cell>
        </row>
        <row r="490">
          <cell r="E490" t="str">
            <v>Common Buzzard</v>
          </cell>
          <cell r="F490" t="str">
            <v>Buse variable</v>
          </cell>
          <cell r="G490" t="str">
            <v>Buteo buteo</v>
          </cell>
          <cell r="H490" t="str">
            <v>Accipitriformes</v>
          </cell>
          <cell r="I490" t="str">
            <v>Accipitridae (Hawks, Eagles, and Kites)</v>
          </cell>
        </row>
        <row r="491">
          <cell r="E491" t="str">
            <v>Common Chaffinch</v>
          </cell>
          <cell r="F491" t="str">
            <v>Pinson des arbres</v>
          </cell>
          <cell r="G491" t="str">
            <v>Fringilla coelebs</v>
          </cell>
          <cell r="H491" t="str">
            <v>Passeriformes</v>
          </cell>
          <cell r="I491" t="str">
            <v>Fringillidae (Finches, Euphonias, and Allies)</v>
          </cell>
        </row>
        <row r="492">
          <cell r="E492" t="str">
            <v>Common Chlorospingus</v>
          </cell>
          <cell r="F492" t="str">
            <v>Chlorospin des buissons</v>
          </cell>
          <cell r="G492" t="str">
            <v>Chlorospingus flavopectus</v>
          </cell>
          <cell r="H492" t="str">
            <v>Passeriformes</v>
          </cell>
          <cell r="I492" t="str">
            <v>Passerellidae (New World Sparrows)</v>
          </cell>
        </row>
        <row r="493">
          <cell r="E493" t="str">
            <v>Common Eider</v>
          </cell>
          <cell r="F493" t="str">
            <v>Eider à duvet</v>
          </cell>
          <cell r="G493" t="str">
            <v>Somateria mollissima</v>
          </cell>
          <cell r="H493" t="str">
            <v>Anseriformes</v>
          </cell>
          <cell r="I493" t="str">
            <v>Anatidae (Ducks, Geese, and Waterfowl)</v>
          </cell>
        </row>
        <row r="494">
          <cell r="E494" t="str">
            <v>Common Gallinule</v>
          </cell>
          <cell r="F494" t="str">
            <v>Gallinule d'Amérique</v>
          </cell>
          <cell r="G494" t="str">
            <v>Gallinula galeata</v>
          </cell>
          <cell r="H494" t="str">
            <v>Gruiformes</v>
          </cell>
          <cell r="I494" t="str">
            <v>Rallidae (Rails, Gallinules, and Coots)</v>
          </cell>
        </row>
        <row r="495">
          <cell r="E495" t="str">
            <v>Common Goldeneye</v>
          </cell>
          <cell r="F495" t="str">
            <v>Garrot à oeil d'or</v>
          </cell>
          <cell r="G495" t="str">
            <v>Bucephala clangula</v>
          </cell>
          <cell r="H495" t="str">
            <v>Anseriformes</v>
          </cell>
          <cell r="I495" t="str">
            <v>Anatidae (Ducks, Geese, and Waterfowl)</v>
          </cell>
        </row>
        <row r="496">
          <cell r="E496" t="str">
            <v>Common Grackle</v>
          </cell>
          <cell r="F496" t="str">
            <v>Quiscale bronzé</v>
          </cell>
          <cell r="G496" t="str">
            <v>Quiscalus quiscula</v>
          </cell>
          <cell r="H496" t="str">
            <v>Passeriformes</v>
          </cell>
          <cell r="I496" t="str">
            <v>Icteridae (Troupials and Allies)</v>
          </cell>
        </row>
        <row r="497">
          <cell r="E497" t="str">
            <v>Common Greenshank</v>
          </cell>
          <cell r="F497" t="str">
            <v>Chevalier aboyeur</v>
          </cell>
          <cell r="G497" t="str">
            <v>Tringa nebularia</v>
          </cell>
          <cell r="H497" t="str">
            <v>Charadriiformes</v>
          </cell>
          <cell r="I497" t="str">
            <v>Scolopacidae (Sandpipers and Allies)</v>
          </cell>
        </row>
        <row r="498">
          <cell r="E498" t="str">
            <v>Common Ground Dove</v>
          </cell>
          <cell r="F498" t="str">
            <v>Colombe à queue noire</v>
          </cell>
          <cell r="G498" t="str">
            <v>Columbina passerina</v>
          </cell>
          <cell r="H498" t="str">
            <v>Columbiformes</v>
          </cell>
          <cell r="I498" t="str">
            <v>Columbidae (Pigeons and Doves)</v>
          </cell>
        </row>
        <row r="499">
          <cell r="E499" t="str">
            <v>Common Hoopoe</v>
          </cell>
          <cell r="F499" t="str">
            <v>Huppe fasciée</v>
          </cell>
          <cell r="G499" t="str">
            <v>Upupa epops</v>
          </cell>
          <cell r="H499" t="str">
            <v>Bucerotiformes</v>
          </cell>
          <cell r="I499" t="str">
            <v>Upupidae (Hoopoes)</v>
          </cell>
        </row>
        <row r="500">
          <cell r="E500" t="str">
            <v>Common Jery</v>
          </cell>
          <cell r="F500" t="str">
            <v>Petite Éroesse</v>
          </cell>
          <cell r="G500" t="str">
            <v>Neomixis tenella</v>
          </cell>
          <cell r="H500" t="str">
            <v>Passeriformes</v>
          </cell>
          <cell r="I500" t="str">
            <v>Cisticolidae (Cisticolas and Allies)</v>
          </cell>
        </row>
        <row r="501">
          <cell r="E501" t="str">
            <v>Common Loon</v>
          </cell>
          <cell r="F501" t="str">
            <v>Plongeon huard</v>
          </cell>
          <cell r="G501" t="str">
            <v>Gavia immer</v>
          </cell>
          <cell r="H501" t="str">
            <v>Gaviiformes</v>
          </cell>
          <cell r="I501" t="str">
            <v>Gaviidae (Loons)</v>
          </cell>
        </row>
        <row r="502">
          <cell r="E502" t="str">
            <v>Common Merganser</v>
          </cell>
          <cell r="F502" t="str">
            <v>Grand Harle</v>
          </cell>
          <cell r="G502" t="str">
            <v>Mergus merganser</v>
          </cell>
          <cell r="H502" t="str">
            <v>Anseriformes</v>
          </cell>
          <cell r="I502" t="str">
            <v>Anatidae (Ducks, Geese, and Waterfowl)</v>
          </cell>
        </row>
        <row r="503">
          <cell r="E503" t="str">
            <v>Common Murre</v>
          </cell>
          <cell r="F503" t="str">
            <v>Guillemot marmette</v>
          </cell>
          <cell r="G503" t="str">
            <v>Uria aalge</v>
          </cell>
          <cell r="H503" t="str">
            <v>Charadriiformes</v>
          </cell>
          <cell r="I503" t="str">
            <v>Alcidae (Auks, Murres, and Puffins)</v>
          </cell>
        </row>
        <row r="504">
          <cell r="E504" t="str">
            <v>Common Myna</v>
          </cell>
          <cell r="F504" t="str">
            <v>Martin triste</v>
          </cell>
          <cell r="G504" t="str">
            <v>Acridotheres tristis</v>
          </cell>
          <cell r="H504" t="str">
            <v>Passeriformes</v>
          </cell>
          <cell r="I504" t="str">
            <v>Sturnidae (Starlings)</v>
          </cell>
        </row>
        <row r="505">
          <cell r="E505" t="str">
            <v>Common Newtonia</v>
          </cell>
          <cell r="F505" t="str">
            <v>Newtonie commune</v>
          </cell>
          <cell r="G505" t="str">
            <v>Newtonia brunneicauda</v>
          </cell>
          <cell r="H505" t="str">
            <v>Passeriformes</v>
          </cell>
          <cell r="I505" t="str">
            <v>Vangidae (Vangas, Helmetshrikes, and Allies)</v>
          </cell>
        </row>
        <row r="506">
          <cell r="E506" t="str">
            <v>Common Nighthawk</v>
          </cell>
          <cell r="F506" t="str">
            <v>Engoulevent d'Amérique</v>
          </cell>
          <cell r="G506" t="str">
            <v>Chordeiles minor</v>
          </cell>
          <cell r="H506" t="str">
            <v>Caprimulgiformes</v>
          </cell>
          <cell r="I506" t="str">
            <v>Caprimulgidae (Nightjars and Allies)</v>
          </cell>
        </row>
        <row r="507">
          <cell r="E507" t="str">
            <v>Common Ostrich</v>
          </cell>
          <cell r="F507" t="str">
            <v>Autruche d'Afrique</v>
          </cell>
          <cell r="G507" t="str">
            <v>Struthio camelus</v>
          </cell>
          <cell r="H507" t="str">
            <v>Struthioniformes</v>
          </cell>
          <cell r="I507" t="str">
            <v>Struthionidae (Ostriches)</v>
          </cell>
        </row>
        <row r="508">
          <cell r="E508" t="str">
            <v>Common Pauraque</v>
          </cell>
          <cell r="F508" t="str">
            <v>Engoulevent pauraqué</v>
          </cell>
          <cell r="G508" t="str">
            <v>Nyctidromus albicollis</v>
          </cell>
          <cell r="H508" t="str">
            <v>Caprimulgiformes</v>
          </cell>
          <cell r="I508" t="str">
            <v>Caprimulgidae (Nightjars and Allies)</v>
          </cell>
        </row>
        <row r="509">
          <cell r="E509" t="str">
            <v>Common Potoo</v>
          </cell>
          <cell r="F509" t="str">
            <v>Ibijau gris</v>
          </cell>
          <cell r="G509" t="str">
            <v>Nyctibius griseus</v>
          </cell>
          <cell r="H509" t="str">
            <v>Nyctibiiformes</v>
          </cell>
          <cell r="I509" t="str">
            <v>Nyctibiidae (Potoos)</v>
          </cell>
        </row>
        <row r="510">
          <cell r="E510" t="str">
            <v>Common Raven</v>
          </cell>
          <cell r="F510" t="str">
            <v>Grand Corbeau</v>
          </cell>
          <cell r="G510" t="str">
            <v>Corvus corax</v>
          </cell>
          <cell r="H510" t="str">
            <v>Passeriformes</v>
          </cell>
          <cell r="I510" t="str">
            <v>Corvidae (Crows, Jays, and Magpies)</v>
          </cell>
        </row>
        <row r="511">
          <cell r="E511" t="str">
            <v>Common Ringed Plover</v>
          </cell>
          <cell r="F511" t="str">
            <v>Pluvier grand-gravelot</v>
          </cell>
          <cell r="G511" t="str">
            <v>Charadrius hiaticula</v>
          </cell>
          <cell r="H511" t="str">
            <v>Charadriiformes</v>
          </cell>
          <cell r="I511" t="str">
            <v>Charadriidae (Plovers and Lapwings)</v>
          </cell>
        </row>
        <row r="512">
          <cell r="E512" t="str">
            <v>Common Sandpiper</v>
          </cell>
          <cell r="F512" t="str">
            <v>Chevalier guignette</v>
          </cell>
          <cell r="G512" t="str">
            <v>Actitis hypoleucos</v>
          </cell>
          <cell r="H512" t="str">
            <v>Charadriiformes</v>
          </cell>
          <cell r="I512" t="str">
            <v>Scolopacidae (Sandpipers and Allies)</v>
          </cell>
        </row>
        <row r="513">
          <cell r="E513" t="str">
            <v>Common Squirrel-Cuckoo</v>
          </cell>
          <cell r="F513" t="str">
            <v>Piaye écureuil</v>
          </cell>
          <cell r="G513" t="str">
            <v>Piaya cayana</v>
          </cell>
          <cell r="H513" t="str">
            <v>Cuculiformes</v>
          </cell>
          <cell r="I513" t="str">
            <v>Cuculidae (Cuckoos)</v>
          </cell>
        </row>
        <row r="514">
          <cell r="E514" t="str">
            <v>Common Tern</v>
          </cell>
          <cell r="F514" t="str">
            <v>Sterne pierregarin</v>
          </cell>
          <cell r="G514" t="str">
            <v>Sterna hirundo</v>
          </cell>
          <cell r="H514" t="str">
            <v>Charadriiformes</v>
          </cell>
          <cell r="I514" t="str">
            <v>Laridae (Gulls, Terns, and Skimmers)</v>
          </cell>
        </row>
        <row r="515">
          <cell r="E515" t="str">
            <v>Common Tody-Flycatcher</v>
          </cell>
          <cell r="F515" t="str">
            <v>Todirostre familier</v>
          </cell>
          <cell r="G515" t="str">
            <v>Todirostrum cinereum</v>
          </cell>
          <cell r="H515" t="str">
            <v>Passeriformes</v>
          </cell>
          <cell r="I515" t="str">
            <v>Tyrannidae (Tyrant Flycatchers)</v>
          </cell>
        </row>
        <row r="516">
          <cell r="E516" t="str">
            <v>Common Waxbill</v>
          </cell>
          <cell r="F516" t="str">
            <v>Astrild ondulé</v>
          </cell>
          <cell r="G516" t="str">
            <v>Estrilda astrild</v>
          </cell>
          <cell r="H516" t="str">
            <v>Passeriformes</v>
          </cell>
          <cell r="I516" t="str">
            <v>Estrildidae (Waxbills and Allies)</v>
          </cell>
        </row>
        <row r="517">
          <cell r="E517" t="str">
            <v>Common Wood-Pigeon</v>
          </cell>
          <cell r="F517" t="str">
            <v>Pigeon ramier</v>
          </cell>
          <cell r="G517" t="str">
            <v>Columba palumbus</v>
          </cell>
          <cell r="H517" t="str">
            <v>Columbiformes</v>
          </cell>
          <cell r="I517" t="str">
            <v>Columbidae (Pigeons and Doves)</v>
          </cell>
        </row>
        <row r="518">
          <cell r="E518" t="str">
            <v>Common Yellowthroat</v>
          </cell>
          <cell r="F518" t="str">
            <v>Paruline masquée</v>
          </cell>
          <cell r="G518" t="str">
            <v>Geothlypis trichas</v>
          </cell>
          <cell r="H518" t="str">
            <v>Passeriformes</v>
          </cell>
          <cell r="I518" t="str">
            <v>Parulidae (New World Warblers)</v>
          </cell>
        </row>
        <row r="519">
          <cell r="E519" t="str">
            <v>Cooper's Hawk</v>
          </cell>
          <cell r="F519" t="str">
            <v>Épervier de Cooper</v>
          </cell>
          <cell r="G519" t="str">
            <v>Astur cooperii</v>
          </cell>
          <cell r="H519" t="str">
            <v>Accipitriformes</v>
          </cell>
          <cell r="I519" t="str">
            <v>Accipitridae (Hawks, Eagles, and Kites)</v>
          </cell>
        </row>
        <row r="520">
          <cell r="E520" t="str">
            <v>Copper-rumped Hummingbird</v>
          </cell>
          <cell r="F520" t="str">
            <v>Ariane de Félicie</v>
          </cell>
          <cell r="G520" t="str">
            <v>Saucerottia tobaci</v>
          </cell>
          <cell r="H520" t="str">
            <v>Apodiformes</v>
          </cell>
          <cell r="I520" t="str">
            <v>Trochilidae (Hummingbirds)</v>
          </cell>
        </row>
        <row r="521">
          <cell r="E521" t="str">
            <v>Coppery Emerald</v>
          </cell>
          <cell r="F521" t="str">
            <v>Émeraude cuivrée</v>
          </cell>
          <cell r="G521" t="str">
            <v>Chlorostilbon russatus</v>
          </cell>
          <cell r="H521" t="str">
            <v>Apodiformes</v>
          </cell>
          <cell r="I521" t="str">
            <v>Trochilidae (Hummingbirds)</v>
          </cell>
        </row>
        <row r="522">
          <cell r="E522" t="str">
            <v>Coppery-headed Emerald</v>
          </cell>
          <cell r="F522" t="str">
            <v>Colibri à tête cuivrée</v>
          </cell>
          <cell r="G522" t="str">
            <v>Microchera cupreiceps</v>
          </cell>
          <cell r="H522" t="str">
            <v>Apodiformes</v>
          </cell>
          <cell r="I522" t="str">
            <v>Trochilidae (Hummingbirds)</v>
          </cell>
        </row>
        <row r="523">
          <cell r="E523" t="str">
            <v>Coppery-tailed Coucal</v>
          </cell>
          <cell r="F523" t="str">
            <v>Coucal des papyrus</v>
          </cell>
          <cell r="G523" t="str">
            <v>Centropus cupreicaudus</v>
          </cell>
          <cell r="H523" t="str">
            <v>Cuculiformes</v>
          </cell>
          <cell r="I523" t="str">
            <v>Cuculidae (Cuckoos)</v>
          </cell>
        </row>
        <row r="524">
          <cell r="E524" t="str">
            <v>Coquerel's Coua</v>
          </cell>
          <cell r="F524" t="str">
            <v>Coua de Coquerel</v>
          </cell>
          <cell r="G524" t="str">
            <v>Coua coquereli</v>
          </cell>
          <cell r="H524" t="str">
            <v>Cuculiformes</v>
          </cell>
          <cell r="I524" t="str">
            <v>Cuculidae (Cuckoos)</v>
          </cell>
        </row>
        <row r="525">
          <cell r="E525" t="str">
            <v>Coqui Francolin</v>
          </cell>
          <cell r="F525" t="str">
            <v>Francolin coqui</v>
          </cell>
          <cell r="G525" t="str">
            <v>Campocolinus coqui</v>
          </cell>
          <cell r="H525" t="str">
            <v>Galliformes</v>
          </cell>
          <cell r="I525" t="str">
            <v>Phasianidae (Pheasants, Grouse, and Allies)</v>
          </cell>
        </row>
        <row r="526">
          <cell r="E526" t="str">
            <v>Costa Rican Warbler</v>
          </cell>
          <cell r="F526" t="str">
            <v>Paruline du Costa Rica</v>
          </cell>
          <cell r="G526" t="str">
            <v>Basileuterus melanotis</v>
          </cell>
          <cell r="H526" t="str">
            <v>Passeriformes</v>
          </cell>
          <cell r="I526" t="str">
            <v>Parulidae (New World Warblers)</v>
          </cell>
        </row>
        <row r="527">
          <cell r="E527" t="str">
            <v>Couch's Kingbird</v>
          </cell>
          <cell r="F527" t="str">
            <v>Tyran de Couch</v>
          </cell>
          <cell r="G527" t="str">
            <v>Tyrannus couchii</v>
          </cell>
          <cell r="H527" t="str">
            <v>Passeriformes</v>
          </cell>
          <cell r="I527" t="str">
            <v>Tyrannidae (Tyrant Flycatchers)</v>
          </cell>
        </row>
        <row r="528">
          <cell r="E528" t="str">
            <v>Cozumel Emerald</v>
          </cell>
          <cell r="F528" t="str">
            <v>Émeraude de Cozumel</v>
          </cell>
          <cell r="G528" t="str">
            <v>Cynanthus forficatus</v>
          </cell>
          <cell r="H528" t="str">
            <v>Apodiformes</v>
          </cell>
          <cell r="I528" t="str">
            <v>Trochilidae (Hummingbirds)</v>
          </cell>
        </row>
        <row r="529">
          <cell r="E529" t="str">
            <v>Cozumel Vireo</v>
          </cell>
          <cell r="F529" t="str">
            <v>Viréo de Cozumel</v>
          </cell>
          <cell r="G529" t="str">
            <v>Vireo bairdi</v>
          </cell>
          <cell r="H529" t="str">
            <v>Passeriformes</v>
          </cell>
          <cell r="I529" t="str">
            <v>Vireonidae (Vireos, Shrike-Babblers, and Erpornis)</v>
          </cell>
        </row>
        <row r="530">
          <cell r="E530" t="str">
            <v>Crab-Plover</v>
          </cell>
          <cell r="F530" t="str">
            <v>Drome ardéole</v>
          </cell>
          <cell r="G530" t="str">
            <v>Dromas ardeola</v>
          </cell>
          <cell r="H530" t="str">
            <v>Charadriiformes</v>
          </cell>
          <cell r="I530" t="str">
            <v>Dromadidae (Crab-Plover)</v>
          </cell>
        </row>
        <row r="531">
          <cell r="E531" t="str">
            <v>Crane Hawk</v>
          </cell>
          <cell r="F531" t="str">
            <v>Buse échasse</v>
          </cell>
          <cell r="G531" t="str">
            <v>Geranospiza caerulescens</v>
          </cell>
          <cell r="H531" t="str">
            <v>Accipitriformes</v>
          </cell>
          <cell r="I531" t="str">
            <v>Accipitridae (Hawks, Eagles, and Kites)</v>
          </cell>
        </row>
        <row r="532">
          <cell r="E532" t="str">
            <v>Crescent Honeyeater</v>
          </cell>
          <cell r="F532" t="str">
            <v>Méliphage à croissants</v>
          </cell>
          <cell r="G532" t="str">
            <v>Phylidonyris pyrrhopterus</v>
          </cell>
          <cell r="H532" t="str">
            <v>Passeriformes</v>
          </cell>
          <cell r="I532" t="str">
            <v>Meliphagidae (Honeyeaters)</v>
          </cell>
        </row>
        <row r="533">
          <cell r="E533" t="str">
            <v>Crested Barbet</v>
          </cell>
          <cell r="F533" t="str">
            <v>Barbican promépic</v>
          </cell>
          <cell r="G533" t="str">
            <v>Trachyphonus vaillantii</v>
          </cell>
          <cell r="H533" t="str">
            <v>Piciformes</v>
          </cell>
          <cell r="I533" t="str">
            <v>Lybiidae (African Barbets)</v>
          </cell>
        </row>
        <row r="534">
          <cell r="E534" t="str">
            <v>Crested Bellbird</v>
          </cell>
          <cell r="F534" t="str">
            <v>Carillonneur huppé</v>
          </cell>
          <cell r="G534" t="str">
            <v>Oreoica gutturalis</v>
          </cell>
          <cell r="H534" t="str">
            <v>Passeriformes</v>
          </cell>
          <cell r="I534" t="str">
            <v>Oreoicidae (Australo-Papuan Bellbirds)</v>
          </cell>
        </row>
        <row r="535">
          <cell r="E535" t="str">
            <v>Crested Caracara</v>
          </cell>
          <cell r="F535" t="str">
            <v>Caracara huppé</v>
          </cell>
          <cell r="G535" t="str">
            <v>Caracara plancus</v>
          </cell>
          <cell r="H535" t="str">
            <v>Falconiformes</v>
          </cell>
          <cell r="I535" t="str">
            <v>Falconidae (Falcons and Caracaras)</v>
          </cell>
        </row>
        <row r="536">
          <cell r="E536" t="str">
            <v>Crested Coua</v>
          </cell>
          <cell r="F536" t="str">
            <v>Coua huppé</v>
          </cell>
          <cell r="G536" t="str">
            <v>Coua cristata</v>
          </cell>
          <cell r="H536" t="str">
            <v>Cuculiformes</v>
          </cell>
          <cell r="I536" t="str">
            <v>Cuculidae (Cuckoos)</v>
          </cell>
        </row>
        <row r="537">
          <cell r="E537" t="str">
            <v>Crested Drongo</v>
          </cell>
          <cell r="F537" t="str">
            <v>Drongo malgache</v>
          </cell>
          <cell r="G537" t="str">
            <v>Dicrurus forficatus</v>
          </cell>
          <cell r="H537" t="str">
            <v>Passeriformes</v>
          </cell>
          <cell r="I537" t="str">
            <v>Dicruridae (Drongos)</v>
          </cell>
        </row>
        <row r="538">
          <cell r="E538" t="str">
            <v>Crested Eagle</v>
          </cell>
          <cell r="F538" t="str">
            <v>Harpie huppée</v>
          </cell>
          <cell r="G538" t="str">
            <v>Morphnus guianensis</v>
          </cell>
          <cell r="H538" t="str">
            <v>Accipitriformes</v>
          </cell>
          <cell r="I538" t="str">
            <v>Accipitridae (Hawks, Eagles, and Kites)</v>
          </cell>
        </row>
        <row r="539">
          <cell r="E539" t="str">
            <v>Crested Francolin</v>
          </cell>
          <cell r="F539" t="str">
            <v>Francolin huppé</v>
          </cell>
          <cell r="G539" t="str">
            <v>Ortygornis sephaena</v>
          </cell>
          <cell r="H539" t="str">
            <v>Galliformes</v>
          </cell>
          <cell r="I539" t="str">
            <v>Phasianidae (Pheasants, Grouse, and Allies)</v>
          </cell>
        </row>
        <row r="540">
          <cell r="E540" t="str">
            <v>Crested Guan</v>
          </cell>
          <cell r="F540" t="str">
            <v>Pénélope panachée</v>
          </cell>
          <cell r="G540" t="str">
            <v>Penelope purpurascens</v>
          </cell>
          <cell r="H540" t="str">
            <v>Galliformes</v>
          </cell>
          <cell r="I540" t="str">
            <v>Cracidae (Guans, Chachalacas, and Curassows)</v>
          </cell>
        </row>
        <row r="541">
          <cell r="E541" t="str">
            <v>Crested Oropendola</v>
          </cell>
          <cell r="F541" t="str">
            <v>Cassique huppé</v>
          </cell>
          <cell r="G541" t="str">
            <v>Psarocolius decumanus</v>
          </cell>
          <cell r="H541" t="str">
            <v>Passeriformes</v>
          </cell>
          <cell r="I541" t="str">
            <v>Icteridae (Troupials and Allies)</v>
          </cell>
        </row>
        <row r="542">
          <cell r="E542" t="str">
            <v>Crested Owl</v>
          </cell>
          <cell r="F542" t="str">
            <v>Duc à aigrettes</v>
          </cell>
          <cell r="G542" t="str">
            <v>Lophostrix cristata</v>
          </cell>
          <cell r="H542" t="str">
            <v>Strigiformes</v>
          </cell>
          <cell r="I542" t="str">
            <v>Strigidae (Owls)</v>
          </cell>
        </row>
        <row r="543">
          <cell r="E543" t="str">
            <v>Crested Pigeon</v>
          </cell>
          <cell r="F543" t="str">
            <v>Colombine longup</v>
          </cell>
          <cell r="G543" t="str">
            <v>Ocyphaps lophotes</v>
          </cell>
          <cell r="H543" t="str">
            <v>Columbiformes</v>
          </cell>
          <cell r="I543" t="str">
            <v>Columbidae (Pigeons and Doves)</v>
          </cell>
        </row>
        <row r="544">
          <cell r="E544" t="str">
            <v>Crimson Rosella</v>
          </cell>
          <cell r="F544" t="str">
            <v>Perruche de Pennant</v>
          </cell>
          <cell r="G544" t="str">
            <v>Platycercus elegans</v>
          </cell>
          <cell r="H544" t="str">
            <v>Psittaciformes</v>
          </cell>
          <cell r="I544" t="str">
            <v>Psittaculidae (Old World Parrots)</v>
          </cell>
        </row>
        <row r="545">
          <cell r="E545" t="str">
            <v>Crimson-backed Tanager</v>
          </cell>
          <cell r="F545" t="str">
            <v>Tangara à dos rouge</v>
          </cell>
          <cell r="G545" t="str">
            <v>Ramphocelus dimidiatus</v>
          </cell>
          <cell r="H545" t="str">
            <v>Passeriformes</v>
          </cell>
          <cell r="I545" t="str">
            <v>Thraupidae (Tanagers and Allies)</v>
          </cell>
        </row>
        <row r="546">
          <cell r="E546" t="str">
            <v>Crimson-breasted Gonolek</v>
          </cell>
          <cell r="F546" t="str">
            <v>Gonolek rouge et noir</v>
          </cell>
          <cell r="G546" t="str">
            <v>Laniarius atrococcineus</v>
          </cell>
          <cell r="H546" t="str">
            <v>Passeriformes</v>
          </cell>
          <cell r="I546" t="str">
            <v>Malaconotidae (Bushshrikes and Allies)</v>
          </cell>
        </row>
        <row r="547">
          <cell r="E547" t="str">
            <v>Crimson-collared Tanager</v>
          </cell>
          <cell r="F547" t="str">
            <v>Tangara ceinturé</v>
          </cell>
          <cell r="G547" t="str">
            <v>Ramphocelus sanguinolentus</v>
          </cell>
          <cell r="H547" t="str">
            <v>Passeriformes</v>
          </cell>
          <cell r="I547" t="str">
            <v>Thraupidae (Tanagers and Allies)</v>
          </cell>
        </row>
        <row r="548">
          <cell r="E548" t="str">
            <v>Crimson-crested Woodpecker</v>
          </cell>
          <cell r="F548" t="str">
            <v>Pic de Malherbe</v>
          </cell>
          <cell r="G548" t="str">
            <v>Campephilus melanoleucos</v>
          </cell>
          <cell r="H548" t="str">
            <v>Piciformes</v>
          </cell>
          <cell r="I548" t="str">
            <v>Picidae (Woodpeckers)</v>
          </cell>
        </row>
        <row r="549">
          <cell r="E549" t="str">
            <v>Crimson-fronted Parakeet</v>
          </cell>
          <cell r="F549" t="str">
            <v>Conure de Finsch</v>
          </cell>
          <cell r="G549" t="str">
            <v>Psittacara finschi</v>
          </cell>
          <cell r="H549" t="str">
            <v>Psittaciformes</v>
          </cell>
          <cell r="I549" t="str">
            <v>Psittacidae (New World and African Parrots)</v>
          </cell>
        </row>
        <row r="550">
          <cell r="E550" t="str">
            <v>Crimson-mantled Woodpecker</v>
          </cell>
          <cell r="F550" t="str">
            <v>Pic de Rivoli</v>
          </cell>
          <cell r="G550" t="str">
            <v>Colaptes rivolii</v>
          </cell>
          <cell r="H550" t="str">
            <v>Piciformes</v>
          </cell>
          <cell r="I550" t="str">
            <v>Picidae (Woodpeckers)</v>
          </cell>
        </row>
        <row r="551">
          <cell r="E551" t="str">
            <v>Crimson-rumped Toucanet</v>
          </cell>
          <cell r="F551" t="str">
            <v>Toucanet à croupion rouge</v>
          </cell>
          <cell r="G551" t="str">
            <v>Aulacorhynchus haematopygus</v>
          </cell>
          <cell r="H551" t="str">
            <v>Piciformes</v>
          </cell>
          <cell r="I551" t="str">
            <v>Ramphastidae (Toucans)</v>
          </cell>
        </row>
        <row r="552">
          <cell r="E552" t="str">
            <v>Crossley's Vanga</v>
          </cell>
          <cell r="F552" t="str">
            <v>Mystacorne de Crossley</v>
          </cell>
          <cell r="G552" t="str">
            <v>Mystacornis crossleyi</v>
          </cell>
          <cell r="H552" t="str">
            <v>Passeriformes</v>
          </cell>
          <cell r="I552" t="str">
            <v>Vangidae (Vangas, Helmetshrikes, and Allies)</v>
          </cell>
        </row>
        <row r="553">
          <cell r="E553" t="str">
            <v>Crowned Chat-Tyrant</v>
          </cell>
          <cell r="F553" t="str">
            <v>Pitajo couronné</v>
          </cell>
          <cell r="G553" t="str">
            <v>Silvicultrix frontalis</v>
          </cell>
          <cell r="H553" t="str">
            <v>Passeriformes</v>
          </cell>
          <cell r="I553" t="str">
            <v>Tyrannidae (Tyrant Flycatchers)</v>
          </cell>
        </row>
        <row r="554">
          <cell r="E554" t="str">
            <v>Crowned Hornbill</v>
          </cell>
          <cell r="F554" t="str">
            <v>Calao couronné</v>
          </cell>
          <cell r="G554" t="str">
            <v>Lophoceros alboterminatus</v>
          </cell>
          <cell r="H554" t="str">
            <v>Bucerotiformes</v>
          </cell>
          <cell r="I554" t="str">
            <v>Bucerotidae (Hornbills)</v>
          </cell>
        </row>
        <row r="555">
          <cell r="E555" t="str">
            <v>Crowned Lapwing</v>
          </cell>
          <cell r="F555" t="str">
            <v>Vanneau couronné</v>
          </cell>
          <cell r="G555" t="str">
            <v>Vanellus coronatus</v>
          </cell>
          <cell r="H555" t="str">
            <v>Charadriiformes</v>
          </cell>
          <cell r="I555" t="str">
            <v>Charadriidae (Plovers and Lapwings)</v>
          </cell>
        </row>
        <row r="556">
          <cell r="E556" t="str">
            <v>Crowned Woodnymph</v>
          </cell>
          <cell r="F556" t="str">
            <v>Dryade couronnée</v>
          </cell>
          <cell r="G556" t="str">
            <v>Thalurania colombica</v>
          </cell>
          <cell r="H556" t="str">
            <v>Apodiformes</v>
          </cell>
          <cell r="I556" t="str">
            <v>Trochilidae (Hummingbirds)</v>
          </cell>
        </row>
        <row r="557">
          <cell r="E557" t="str">
            <v>Cryptic Warbler</v>
          </cell>
          <cell r="F557" t="str">
            <v>Sylvicole cryptique</v>
          </cell>
          <cell r="G557" t="str">
            <v>Cryptosylvicola randrianasoloi</v>
          </cell>
          <cell r="H557" t="str">
            <v>Passeriformes</v>
          </cell>
          <cell r="I557" t="str">
            <v>Bernieridae (Malagasy Warblers)</v>
          </cell>
        </row>
        <row r="558">
          <cell r="E558" t="str">
            <v>Cuckoo-roller</v>
          </cell>
          <cell r="F558" t="str">
            <v>Courol vouroudriou</v>
          </cell>
          <cell r="G558" t="str">
            <v>Leptosomus discolor</v>
          </cell>
          <cell r="H558" t="str">
            <v>Leptosomiformes</v>
          </cell>
          <cell r="I558" t="str">
            <v>Leptosomidae (Cuckoo-roller)</v>
          </cell>
        </row>
        <row r="559">
          <cell r="E559" t="str">
            <v>Curlew Sandpiper</v>
          </cell>
          <cell r="F559" t="str">
            <v>Bécasseau cocorli</v>
          </cell>
          <cell r="G559" t="str">
            <v>Calidris ferruginea</v>
          </cell>
          <cell r="H559" t="str">
            <v>Charadriiformes</v>
          </cell>
          <cell r="I559" t="str">
            <v>Scolopacidae (Sandpipers and Allies)</v>
          </cell>
        </row>
        <row r="560">
          <cell r="E560" t="str">
            <v>Dark Newtonia</v>
          </cell>
          <cell r="F560" t="str">
            <v>Newtonie sombre</v>
          </cell>
          <cell r="G560" t="str">
            <v>Newtonia amphichroa</v>
          </cell>
          <cell r="H560" t="str">
            <v>Passeriformes</v>
          </cell>
          <cell r="I560" t="str">
            <v>Vangidae (Vangas, Helmetshrikes, and Allies)</v>
          </cell>
        </row>
        <row r="561">
          <cell r="E561" t="str">
            <v>Dark Pewee</v>
          </cell>
          <cell r="F561" t="str">
            <v>Moucherolle ombré</v>
          </cell>
          <cell r="G561" t="str">
            <v>Contopus lugubris</v>
          </cell>
          <cell r="H561" t="str">
            <v>Passeriformes</v>
          </cell>
          <cell r="I561" t="str">
            <v>Tyrannidae (Tyrant Flycatchers)</v>
          </cell>
        </row>
        <row r="562">
          <cell r="E562" t="str">
            <v>Dark-backed Weaver</v>
          </cell>
          <cell r="F562" t="str">
            <v>Tisserin bicolore</v>
          </cell>
          <cell r="G562" t="str">
            <v>Ploceus bicolor</v>
          </cell>
          <cell r="H562" t="str">
            <v>Passeriformes</v>
          </cell>
          <cell r="I562" t="str">
            <v>Ploceidae (Weavers and Allies)</v>
          </cell>
        </row>
        <row r="563">
          <cell r="E563" t="str">
            <v>Dark-eyed Junco</v>
          </cell>
          <cell r="F563" t="str">
            <v>Junco ardoisé</v>
          </cell>
          <cell r="G563" t="str">
            <v>Junco hyemalis</v>
          </cell>
          <cell r="H563" t="str">
            <v>Passeriformes</v>
          </cell>
          <cell r="I563" t="str">
            <v>Passerellidae (New World Sparrows)</v>
          </cell>
        </row>
        <row r="564">
          <cell r="E564" t="str">
            <v>Diamond Firetail</v>
          </cell>
          <cell r="F564" t="str">
            <v>Diamant à gouttelettes</v>
          </cell>
          <cell r="G564" t="str">
            <v>Stagonopleura guttata</v>
          </cell>
          <cell r="H564" t="str">
            <v>Passeriformes</v>
          </cell>
          <cell r="I564" t="str">
            <v>Estrildidae (Waxbills and Allies)</v>
          </cell>
        </row>
        <row r="565">
          <cell r="E565" t="str">
            <v>Dollarbird</v>
          </cell>
          <cell r="F565" t="str">
            <v>Rolle oriental</v>
          </cell>
          <cell r="G565" t="str">
            <v>Eurystomus orientalis</v>
          </cell>
          <cell r="H565" t="str">
            <v>Coraciiformes</v>
          </cell>
          <cell r="I565" t="str">
            <v>Coraciidae (Rollers)</v>
          </cell>
        </row>
        <row r="566">
          <cell r="E566" t="str">
            <v>Dot-winged Antwren</v>
          </cell>
          <cell r="F566" t="str">
            <v>Grisin étoilé</v>
          </cell>
          <cell r="G566" t="str">
            <v>Microrhopias quixensis</v>
          </cell>
          <cell r="H566" t="str">
            <v>Passeriformes</v>
          </cell>
          <cell r="I566" t="str">
            <v>Thamnophilidae (Typical Antbirds)</v>
          </cell>
        </row>
        <row r="567">
          <cell r="E567" t="str">
            <v>Double-banded Graytail</v>
          </cell>
          <cell r="F567" t="str">
            <v>Queue-grise des feuilles</v>
          </cell>
          <cell r="G567" t="str">
            <v>Xenerpestes minlosi</v>
          </cell>
          <cell r="H567" t="str">
            <v>Passeriformes</v>
          </cell>
          <cell r="I567" t="str">
            <v>Furnariidae (Ovenbirds and Woodcreepers)</v>
          </cell>
        </row>
        <row r="568">
          <cell r="E568" t="str">
            <v>Double-banded Sandgrouse</v>
          </cell>
          <cell r="F568" t="str">
            <v>Ganga bibande</v>
          </cell>
          <cell r="G568" t="str">
            <v>Pterocles bicinctus</v>
          </cell>
          <cell r="H568" t="str">
            <v>Pterocliformes</v>
          </cell>
          <cell r="I568" t="str">
            <v>Pteroclidae (Sandgrouse)</v>
          </cell>
        </row>
        <row r="569">
          <cell r="E569" t="str">
            <v>Double-crested Cormorant</v>
          </cell>
          <cell r="F569" t="str">
            <v>Cormoran à aigrettes</v>
          </cell>
          <cell r="G569" t="str">
            <v>Nannopterum auritum</v>
          </cell>
          <cell r="H569" t="str">
            <v>Suliformes</v>
          </cell>
          <cell r="I569" t="str">
            <v>Phalacrocoracidae (Cormorants and Shags)</v>
          </cell>
        </row>
        <row r="570">
          <cell r="E570" t="str">
            <v>Double-striped Thick-knee</v>
          </cell>
          <cell r="F570" t="str">
            <v>Oedicnème bistrié</v>
          </cell>
          <cell r="G570" t="str">
            <v>Hesperoburhinus bistriatus</v>
          </cell>
          <cell r="H570" t="str">
            <v>Charadriiformes</v>
          </cell>
          <cell r="I570" t="str">
            <v>Burhinidae (Thick-knees)</v>
          </cell>
        </row>
        <row r="571">
          <cell r="E571" t="str">
            <v>Downy Woodpecker</v>
          </cell>
          <cell r="F571" t="str">
            <v>Pic mineur</v>
          </cell>
          <cell r="G571" t="str">
            <v>Dryobates pubescens</v>
          </cell>
          <cell r="H571" t="str">
            <v>Piciformes</v>
          </cell>
          <cell r="I571" t="str">
            <v>Picidae (Woodpeckers)</v>
          </cell>
        </row>
        <row r="572">
          <cell r="E572" t="str">
            <v>Dull-colored Grassquit</v>
          </cell>
          <cell r="F572" t="str">
            <v>Cici obscur</v>
          </cell>
          <cell r="G572" t="str">
            <v>Asemospiza obscura</v>
          </cell>
          <cell r="H572" t="str">
            <v>Passeriformes</v>
          </cell>
          <cell r="I572" t="str">
            <v>Thraupidae (Tanagers and Allies)</v>
          </cell>
        </row>
        <row r="573">
          <cell r="E573" t="str">
            <v>Dull-mantled Antbird</v>
          </cell>
          <cell r="F573" t="str">
            <v>Alapi tabac</v>
          </cell>
          <cell r="G573" t="str">
            <v>Sipia laemosticta</v>
          </cell>
          <cell r="H573" t="str">
            <v>Passeriformes</v>
          </cell>
          <cell r="I573" t="str">
            <v>Thamnophilidae (Typical Antbirds)</v>
          </cell>
        </row>
        <row r="574">
          <cell r="E574" t="str">
            <v>Dunlin</v>
          </cell>
          <cell r="F574" t="str">
            <v>Bécasseau variable</v>
          </cell>
          <cell r="G574" t="str">
            <v>Calidris alpina</v>
          </cell>
          <cell r="H574" t="str">
            <v>Charadriiformes</v>
          </cell>
          <cell r="I574" t="str">
            <v>Scolopacidae (Sandpipers and Allies)</v>
          </cell>
        </row>
        <row r="575">
          <cell r="E575" t="str">
            <v>Dusky Antbird</v>
          </cell>
          <cell r="F575" t="str">
            <v>Grisin sombre</v>
          </cell>
          <cell r="G575" t="str">
            <v>Cercomacroides tyrannina</v>
          </cell>
          <cell r="H575" t="str">
            <v>Passeriformes</v>
          </cell>
          <cell r="I575" t="str">
            <v>Thamnophilidae (Typical Antbirds)</v>
          </cell>
        </row>
        <row r="576">
          <cell r="E576" t="str">
            <v>Dusky Chlorospingus</v>
          </cell>
          <cell r="F576" t="str">
            <v>Chlorospin ombré</v>
          </cell>
          <cell r="G576" t="str">
            <v>Chlorospingus semifuscus</v>
          </cell>
          <cell r="H576" t="str">
            <v>Passeriformes</v>
          </cell>
          <cell r="I576" t="str">
            <v>Passerellidae (New World Sparrows)</v>
          </cell>
        </row>
        <row r="577">
          <cell r="E577" t="str">
            <v>Dusky Lark</v>
          </cell>
          <cell r="F577" t="str">
            <v>Alouette brune</v>
          </cell>
          <cell r="G577" t="str">
            <v>Pinarocorys nigricans</v>
          </cell>
          <cell r="H577" t="str">
            <v>Passeriformes</v>
          </cell>
          <cell r="I577" t="str">
            <v>Alaudidae (Larks)</v>
          </cell>
        </row>
        <row r="578">
          <cell r="E578" t="str">
            <v>Dusky Moorhen</v>
          </cell>
          <cell r="F578" t="str">
            <v>Gallinule sombre</v>
          </cell>
          <cell r="G578" t="str">
            <v>Gallinula tenebrosa</v>
          </cell>
          <cell r="H578" t="str">
            <v>Gruiformes</v>
          </cell>
          <cell r="I578" t="str">
            <v>Rallidae (Rails, Gallinules, and Coots)</v>
          </cell>
        </row>
        <row r="579">
          <cell r="E579" t="str">
            <v>Dusky Piha</v>
          </cell>
          <cell r="F579" t="str">
            <v>Piauhau sombre</v>
          </cell>
          <cell r="G579" t="str">
            <v>Lipaugus fuscocinereus</v>
          </cell>
          <cell r="H579" t="str">
            <v>Passeriformes</v>
          </cell>
          <cell r="I579" t="str">
            <v>Cotingidae (Cotingas)</v>
          </cell>
        </row>
        <row r="580">
          <cell r="E580" t="str">
            <v>Dusky Robin</v>
          </cell>
          <cell r="F580" t="str">
            <v>Miro de Tasmanie</v>
          </cell>
          <cell r="G580" t="str">
            <v>Melanodryas vittata</v>
          </cell>
          <cell r="H580" t="str">
            <v>Passeriformes</v>
          </cell>
          <cell r="I580" t="str">
            <v>Petroicidae (Australasian Robins)</v>
          </cell>
        </row>
        <row r="581">
          <cell r="E581" t="str">
            <v>Dusky Woodswallow</v>
          </cell>
          <cell r="F581" t="str">
            <v>Langrayen sordide</v>
          </cell>
          <cell r="G581" t="str">
            <v>Artamus cyanopterus</v>
          </cell>
          <cell r="H581" t="str">
            <v>Passeriformes</v>
          </cell>
          <cell r="I581" t="str">
            <v>Artamidae (Woodswallows, Bellmagpies, and Allies)</v>
          </cell>
        </row>
        <row r="582">
          <cell r="E582" t="str">
            <v>Dusky-backed Jacamar</v>
          </cell>
          <cell r="F582" t="str">
            <v>Jacamar sombre</v>
          </cell>
          <cell r="G582" t="str">
            <v>Brachygalba salmoni</v>
          </cell>
          <cell r="H582" t="str">
            <v>Piciformes</v>
          </cell>
          <cell r="I582" t="str">
            <v>Galbulidae (Jacamars)</v>
          </cell>
        </row>
        <row r="583">
          <cell r="E583" t="str">
            <v>Dusky-capped Flycatcher</v>
          </cell>
          <cell r="F583" t="str">
            <v>Tyran olivâtre</v>
          </cell>
          <cell r="G583" t="str">
            <v>Myiarchus tuberculifer</v>
          </cell>
          <cell r="H583" t="str">
            <v>Passeriformes</v>
          </cell>
          <cell r="I583" t="str">
            <v>Tyrannidae (Tyrant Flycatchers)</v>
          </cell>
        </row>
        <row r="584">
          <cell r="E584" t="str">
            <v>Dusky-faced Tanager</v>
          </cell>
          <cell r="F584" t="str">
            <v>Mitrospin obscur</v>
          </cell>
          <cell r="G584" t="str">
            <v>Mitrospingus cassinii</v>
          </cell>
          <cell r="H584" t="str">
            <v>Passeriformes</v>
          </cell>
          <cell r="I584" t="str">
            <v>Mitrospingidae (Mitrospingid Tanagers)</v>
          </cell>
        </row>
        <row r="585">
          <cell r="E585" t="str">
            <v>Eared Dove</v>
          </cell>
          <cell r="F585" t="str">
            <v>Tourterelle oreillarde</v>
          </cell>
          <cell r="G585" t="str">
            <v>Zenaida auriculata</v>
          </cell>
          <cell r="H585" t="str">
            <v>Columbiformes</v>
          </cell>
          <cell r="I585" t="str">
            <v>Columbidae (Pigeons and Doves)</v>
          </cell>
        </row>
        <row r="586">
          <cell r="E586" t="str">
            <v>Eared Grebe</v>
          </cell>
          <cell r="F586" t="str">
            <v>Grèbe à cou noir</v>
          </cell>
          <cell r="G586" t="str">
            <v>Podiceps nigricollis</v>
          </cell>
          <cell r="H586" t="str">
            <v>Podicipediformes</v>
          </cell>
          <cell r="I586" t="str">
            <v>Podicipedidae (Grebes)</v>
          </cell>
        </row>
        <row r="587">
          <cell r="E587" t="str">
            <v>Eastern Bluebird</v>
          </cell>
          <cell r="F587" t="str">
            <v>Merlebleu de l'Est</v>
          </cell>
          <cell r="G587" t="str">
            <v>Sialia sialis</v>
          </cell>
          <cell r="H587" t="str">
            <v>Passeriformes</v>
          </cell>
          <cell r="I587" t="str">
            <v>Turdidae (Thrushes and Allies)</v>
          </cell>
        </row>
        <row r="588">
          <cell r="E588" t="str">
            <v>Eastern Cattle-Egret</v>
          </cell>
          <cell r="F588" t="str">
            <v>Héron de Coromandel</v>
          </cell>
          <cell r="G588" t="str">
            <v>Ardea coromanda</v>
          </cell>
          <cell r="H588" t="str">
            <v>Pelecaniformes</v>
          </cell>
          <cell r="I588" t="str">
            <v>Ardeidae (Herons, Egrets, and Bitterns)</v>
          </cell>
        </row>
        <row r="589">
          <cell r="E589" t="str">
            <v>Eastern Kingbird</v>
          </cell>
          <cell r="F589" t="str">
            <v>Tyran tritri</v>
          </cell>
          <cell r="G589" t="str">
            <v>Tyrannus tyrannus</v>
          </cell>
          <cell r="H589" t="str">
            <v>Passeriformes</v>
          </cell>
          <cell r="I589" t="str">
            <v>Tyrannidae (Tyrant Flycatchers)</v>
          </cell>
        </row>
        <row r="590">
          <cell r="E590" t="str">
            <v>Eastern Meadowlark</v>
          </cell>
          <cell r="F590" t="str">
            <v>Sturnelle des prés</v>
          </cell>
          <cell r="G590" t="str">
            <v>Sturnella magna</v>
          </cell>
          <cell r="H590" t="str">
            <v>Passeriformes</v>
          </cell>
          <cell r="I590" t="str">
            <v>Icteridae (Troupials and Allies)</v>
          </cell>
        </row>
        <row r="591">
          <cell r="E591" t="str">
            <v>Eastern Phoebe</v>
          </cell>
          <cell r="F591" t="str">
            <v>Moucherolle phébi</v>
          </cell>
          <cell r="G591" t="str">
            <v>Sayornis phoebe</v>
          </cell>
          <cell r="H591" t="str">
            <v>Passeriformes</v>
          </cell>
          <cell r="I591" t="str">
            <v>Tyrannidae (Tyrant Flycatchers)</v>
          </cell>
        </row>
        <row r="592">
          <cell r="E592" t="str">
            <v>Eastern Rosella</v>
          </cell>
          <cell r="F592" t="str">
            <v>Perruche omnicolore</v>
          </cell>
          <cell r="G592" t="str">
            <v>Platycercus eximius</v>
          </cell>
          <cell r="H592" t="str">
            <v>Psittaciformes</v>
          </cell>
          <cell r="I592" t="str">
            <v>Psittaculidae (Old World Parrots)</v>
          </cell>
        </row>
        <row r="593">
          <cell r="E593" t="str">
            <v>Eastern Screech-Owl</v>
          </cell>
          <cell r="F593" t="str">
            <v>Petit-duc maculé</v>
          </cell>
          <cell r="G593" t="str">
            <v>Megascops asio</v>
          </cell>
          <cell r="H593" t="str">
            <v>Strigiformes</v>
          </cell>
          <cell r="I593" t="str">
            <v>Strigidae (Owls)</v>
          </cell>
        </row>
        <row r="594">
          <cell r="E594" t="str">
            <v>Eastern Shrike-tit</v>
          </cell>
          <cell r="F594" t="str">
            <v>Falconelle à casque</v>
          </cell>
          <cell r="G594" t="str">
            <v>Falcunculus frontatus</v>
          </cell>
          <cell r="H594" t="str">
            <v>Passeriformes</v>
          </cell>
          <cell r="I594" t="str">
            <v>Falcunculidae (Shrike-tits)</v>
          </cell>
        </row>
        <row r="595">
          <cell r="E595" t="str">
            <v>Eastern Spinebill</v>
          </cell>
          <cell r="F595" t="str">
            <v>Méliphage à bec grêle</v>
          </cell>
          <cell r="G595" t="str">
            <v>Acanthorhynchus tenuirostris</v>
          </cell>
          <cell r="H595" t="str">
            <v>Passeriformes</v>
          </cell>
          <cell r="I595" t="str">
            <v>Meliphagidae (Honeyeaters)</v>
          </cell>
        </row>
        <row r="596">
          <cell r="E596" t="str">
            <v>Eastern Towhee</v>
          </cell>
          <cell r="F596" t="str">
            <v>Tohi à flancs roux</v>
          </cell>
          <cell r="G596" t="str">
            <v>Pipilo erythrophthalmus</v>
          </cell>
          <cell r="H596" t="str">
            <v>Passeriformes</v>
          </cell>
          <cell r="I596" t="str">
            <v>Passerellidae (New World Sparrows)</v>
          </cell>
        </row>
        <row r="597">
          <cell r="E597" t="str">
            <v>Eastern Warbling Vireo</v>
          </cell>
          <cell r="F597" t="str">
            <v>Viréo mélodieux</v>
          </cell>
          <cell r="G597" t="str">
            <v>Vireo gilvus</v>
          </cell>
          <cell r="H597" t="str">
            <v>Passeriformes</v>
          </cell>
          <cell r="I597" t="str">
            <v>Vireonidae (Vireos, Shrike-Babblers, and Erpornis)</v>
          </cell>
        </row>
        <row r="598">
          <cell r="E598" t="str">
            <v>Eastern Whip-poor-will</v>
          </cell>
          <cell r="F598" t="str">
            <v>Engoulevent bois-pourri</v>
          </cell>
          <cell r="G598" t="str">
            <v>Antrostomus vociferus</v>
          </cell>
          <cell r="H598" t="str">
            <v>Caprimulgiformes</v>
          </cell>
          <cell r="I598" t="str">
            <v>Caprimulgidae (Nightjars and Allies)</v>
          </cell>
        </row>
        <row r="599">
          <cell r="E599" t="str">
            <v>Eastern Wood-Pewee</v>
          </cell>
          <cell r="F599" t="str">
            <v>Pioui de l'Est</v>
          </cell>
          <cell r="G599" t="str">
            <v>Contopus virens</v>
          </cell>
          <cell r="H599" t="str">
            <v>Passeriformes</v>
          </cell>
          <cell r="I599" t="str">
            <v>Tyrannidae (Tyrant Flycatchers)</v>
          </cell>
        </row>
        <row r="600">
          <cell r="E600" t="str">
            <v>Eastern Yellow Robin</v>
          </cell>
          <cell r="F600" t="str">
            <v>Miro à poitrine jaune</v>
          </cell>
          <cell r="G600" t="str">
            <v>Eopsaltria australis</v>
          </cell>
          <cell r="H600" t="str">
            <v>Passeriformes</v>
          </cell>
          <cell r="I600" t="str">
            <v>Petroicidae (Australasian Robins)</v>
          </cell>
        </row>
        <row r="601">
          <cell r="E601" t="str">
            <v>Ecuadorian Hillstar</v>
          </cell>
          <cell r="F601" t="str">
            <v>Colibri du Chimborazo</v>
          </cell>
          <cell r="G601" t="str">
            <v>Oreotrochilus chimborazo</v>
          </cell>
          <cell r="H601" t="str">
            <v>Apodiformes</v>
          </cell>
          <cell r="I601" t="str">
            <v>Trochilidae (Hummingbirds)</v>
          </cell>
        </row>
        <row r="602">
          <cell r="E602" t="str">
            <v>Ecuadorian Thrush</v>
          </cell>
          <cell r="F602" t="str">
            <v>Merle d'Équateur</v>
          </cell>
          <cell r="G602" t="str">
            <v>Turdus maculirostris</v>
          </cell>
          <cell r="H602" t="str">
            <v>Passeriformes</v>
          </cell>
          <cell r="I602" t="str">
            <v>Turdidae (Thrushes and Allies)</v>
          </cell>
        </row>
        <row r="603">
          <cell r="E603" t="str">
            <v>Egyptian Goose</v>
          </cell>
          <cell r="F603" t="str">
            <v>Ouette d'Égypte</v>
          </cell>
          <cell r="G603" t="str">
            <v>Alopochen aegyptiaca</v>
          </cell>
          <cell r="H603" t="str">
            <v>Anseriformes</v>
          </cell>
          <cell r="I603" t="str">
            <v>Anatidae (Ducks, Geese, and Waterfowl)</v>
          </cell>
        </row>
        <row r="604">
          <cell r="E604" t="str">
            <v>Elegant Euphonia</v>
          </cell>
          <cell r="F604" t="str">
            <v>Organiste à capuchon</v>
          </cell>
          <cell r="G604" t="str">
            <v>Chlorophonia elegantissima</v>
          </cell>
          <cell r="H604" t="str">
            <v>Passeriformes</v>
          </cell>
          <cell r="I604" t="str">
            <v>Fringillidae (Finches, Euphonias, and Allies)</v>
          </cell>
        </row>
        <row r="605">
          <cell r="E605" t="str">
            <v>Elegant Parrot</v>
          </cell>
          <cell r="F605" t="str">
            <v>Perruche élégante</v>
          </cell>
          <cell r="G605" t="str">
            <v>Neophema elegans</v>
          </cell>
          <cell r="H605" t="str">
            <v>Psittaciformes</v>
          </cell>
          <cell r="I605" t="str">
            <v>Psittaculidae (Old World Parrots)</v>
          </cell>
        </row>
        <row r="606">
          <cell r="E606" t="str">
            <v>Emerald Tanager</v>
          </cell>
          <cell r="F606" t="str">
            <v>Calliste émeraude</v>
          </cell>
          <cell r="G606" t="str">
            <v>Tangara florida</v>
          </cell>
          <cell r="H606" t="str">
            <v>Passeriformes</v>
          </cell>
          <cell r="I606" t="str">
            <v>Thraupidae (Tanagers and Allies)</v>
          </cell>
        </row>
        <row r="607">
          <cell r="E607" t="str">
            <v>Emerald-spotted Wood-Dove</v>
          </cell>
          <cell r="F607" t="str">
            <v>Tourtelette émeraudine</v>
          </cell>
          <cell r="G607" t="str">
            <v>Turtur chalcospilos</v>
          </cell>
          <cell r="H607" t="str">
            <v>Columbiformes</v>
          </cell>
          <cell r="I607" t="str">
            <v>Columbidae (Pigeons and Doves)</v>
          </cell>
        </row>
        <row r="608">
          <cell r="E608" t="str">
            <v>Empress Brilliant</v>
          </cell>
          <cell r="F608" t="str">
            <v>Brillant impératrice</v>
          </cell>
          <cell r="G608" t="str">
            <v>Heliodoxa imperatrix</v>
          </cell>
          <cell r="H608" t="str">
            <v>Apodiformes</v>
          </cell>
          <cell r="I608" t="str">
            <v>Trochilidae (Hummingbirds)</v>
          </cell>
        </row>
        <row r="609">
          <cell r="E609" t="str">
            <v>Emu</v>
          </cell>
          <cell r="F609" t="str">
            <v>Émeu d'Australie</v>
          </cell>
          <cell r="G609" t="str">
            <v>Dromaius novaehollandiae</v>
          </cell>
          <cell r="H609" t="str">
            <v>Casuariiformes</v>
          </cell>
          <cell r="I609" t="str">
            <v>Casuariidae (Cassowaries and Emu)</v>
          </cell>
        </row>
        <row r="610">
          <cell r="E610" t="str">
            <v>Equatorial Antpitta</v>
          </cell>
          <cell r="F610" t="str">
            <v>Grallaire d'Équateur</v>
          </cell>
          <cell r="G610" t="str">
            <v>Grallaria saturata</v>
          </cell>
          <cell r="H610" t="str">
            <v>Passeriformes</v>
          </cell>
          <cell r="I610" t="str">
            <v>Grallariidae (Antpittas)</v>
          </cell>
        </row>
        <row r="611">
          <cell r="E611" t="str">
            <v>Erckel's Spurfowl</v>
          </cell>
          <cell r="F611" t="str">
            <v>Francolin d'Erckel</v>
          </cell>
          <cell r="G611" t="str">
            <v>Pternistis erckelii</v>
          </cell>
          <cell r="H611" t="str">
            <v>Galliformes</v>
          </cell>
          <cell r="I611" t="str">
            <v>Phasianidae (Pheasants, Grouse, and Allies)</v>
          </cell>
        </row>
        <row r="612">
          <cell r="E612" t="str">
            <v>Euler's Flycatcher</v>
          </cell>
          <cell r="F612" t="str">
            <v>Moucherolle d'Euler</v>
          </cell>
          <cell r="G612" t="str">
            <v>Lathrotriccus euleri</v>
          </cell>
          <cell r="H612" t="str">
            <v>Passeriformes</v>
          </cell>
          <cell r="I612" t="str">
            <v>Tyrannidae (Tyrant Flycatchers)</v>
          </cell>
        </row>
        <row r="613">
          <cell r="E613" t="str">
            <v>Eurasian Blackbird</v>
          </cell>
          <cell r="F613" t="str">
            <v>Merle noir</v>
          </cell>
          <cell r="G613" t="str">
            <v>Turdus merula</v>
          </cell>
          <cell r="H613" t="str">
            <v>Passeriformes</v>
          </cell>
          <cell r="I613" t="str">
            <v>Turdidae (Thrushes and Allies)</v>
          </cell>
        </row>
        <row r="614">
          <cell r="E614" t="str">
            <v>Eurasian Blue Tit</v>
          </cell>
          <cell r="F614" t="str">
            <v>Mésange bleue</v>
          </cell>
          <cell r="G614" t="str">
            <v>Cyanistes caeruleus</v>
          </cell>
          <cell r="H614" t="str">
            <v>Passeriformes</v>
          </cell>
          <cell r="I614" t="str">
            <v>Paridae (Tits, Chickadees, and Titmice)</v>
          </cell>
        </row>
        <row r="615">
          <cell r="E615" t="str">
            <v>Eurasian Collared-Dove</v>
          </cell>
          <cell r="F615" t="str">
            <v>Tourterelle turque</v>
          </cell>
          <cell r="G615" t="str">
            <v>Streptopelia decaocto</v>
          </cell>
          <cell r="H615" t="str">
            <v>Columbiformes</v>
          </cell>
          <cell r="I615" t="str">
            <v>Columbidae (Pigeons and Doves)</v>
          </cell>
        </row>
        <row r="616">
          <cell r="E616" t="str">
            <v>Eurasian Coot</v>
          </cell>
          <cell r="F616" t="str">
            <v>Foulque macroule</v>
          </cell>
          <cell r="G616" t="str">
            <v>Fulica atra</v>
          </cell>
          <cell r="H616" t="str">
            <v>Gruiformes</v>
          </cell>
          <cell r="I616" t="str">
            <v>Rallidae (Rails, Gallinules, and Coots)</v>
          </cell>
        </row>
        <row r="617">
          <cell r="E617" t="str">
            <v>Eurasian Jackdaw</v>
          </cell>
          <cell r="F617" t="str">
            <v>Choucas des tours</v>
          </cell>
          <cell r="G617" t="str">
            <v>Coloeus monedula</v>
          </cell>
          <cell r="H617" t="str">
            <v>Passeriformes</v>
          </cell>
          <cell r="I617" t="str">
            <v>Corvidae (Crows, Jays, and Magpies)</v>
          </cell>
        </row>
        <row r="618">
          <cell r="E618" t="str">
            <v>Eurasian Kestrel</v>
          </cell>
          <cell r="F618" t="str">
            <v>Faucon crécerelle</v>
          </cell>
          <cell r="G618" t="str">
            <v>Falco tinnunculus</v>
          </cell>
          <cell r="H618" t="str">
            <v>Falconiformes</v>
          </cell>
          <cell r="I618" t="str">
            <v>Falconidae (Falcons and Caracaras)</v>
          </cell>
        </row>
        <row r="619">
          <cell r="E619" t="str">
            <v>Eurasian Magpie</v>
          </cell>
          <cell r="F619" t="str">
            <v>Pie bavarde</v>
          </cell>
          <cell r="G619" t="str">
            <v>Pica pica</v>
          </cell>
          <cell r="H619" t="str">
            <v>Passeriformes</v>
          </cell>
          <cell r="I619" t="str">
            <v>Corvidae (Crows, Jays, and Magpies)</v>
          </cell>
        </row>
        <row r="620">
          <cell r="E620" t="str">
            <v>Eurasian Moorhen</v>
          </cell>
          <cell r="F620" t="str">
            <v>Gallinule poule-d'eau</v>
          </cell>
          <cell r="G620" t="str">
            <v>Gallinula chloropus</v>
          </cell>
          <cell r="H620" t="str">
            <v>Gruiformes</v>
          </cell>
          <cell r="I620" t="str">
            <v>Rallidae (Rails, Gallinules, and Coots)</v>
          </cell>
        </row>
        <row r="621">
          <cell r="E621" t="str">
            <v>Eurasian Skylark</v>
          </cell>
          <cell r="F621" t="str">
            <v>Alouette des champs</v>
          </cell>
          <cell r="G621" t="str">
            <v>Alauda arvensis</v>
          </cell>
          <cell r="H621" t="str">
            <v>Passeriformes</v>
          </cell>
          <cell r="I621" t="str">
            <v>Alaudidae (Larks)</v>
          </cell>
        </row>
        <row r="622">
          <cell r="E622" t="str">
            <v>Eurasian Tree Sparrow</v>
          </cell>
          <cell r="F622" t="str">
            <v>Moineau friquet</v>
          </cell>
          <cell r="G622" t="str">
            <v>Passer montanus</v>
          </cell>
          <cell r="H622" t="str">
            <v>Passeriformes</v>
          </cell>
          <cell r="I622" t="str">
            <v>Passeridae (Old World Sparrows)</v>
          </cell>
        </row>
        <row r="623">
          <cell r="E623" t="str">
            <v>Eurasian Whimbrel</v>
          </cell>
          <cell r="F623" t="str">
            <v>Courlis corlieu</v>
          </cell>
          <cell r="G623" t="str">
            <v>Numenius phaeopus</v>
          </cell>
          <cell r="H623" t="str">
            <v>Charadriiformes</v>
          </cell>
          <cell r="I623" t="str">
            <v>Scolopacidae (Sandpipers and Allies)</v>
          </cell>
        </row>
        <row r="624">
          <cell r="E624" t="str">
            <v>Eurasian Wigeon</v>
          </cell>
          <cell r="F624" t="str">
            <v>Canard siffleur</v>
          </cell>
          <cell r="G624" t="str">
            <v>Mareca penelope</v>
          </cell>
          <cell r="H624" t="str">
            <v>Anseriformes</v>
          </cell>
          <cell r="I624" t="str">
            <v>Anatidae (Ducks, Geese, and Waterfowl)</v>
          </cell>
        </row>
        <row r="625">
          <cell r="E625" t="str">
            <v>European Bee-eater</v>
          </cell>
          <cell r="F625" t="str">
            <v>Guêpier d'Europe</v>
          </cell>
          <cell r="G625" t="str">
            <v>Merops apiaster</v>
          </cell>
          <cell r="H625" t="str">
            <v>Coraciiformes</v>
          </cell>
          <cell r="I625" t="str">
            <v>Meropidae (Bee-eaters)</v>
          </cell>
        </row>
        <row r="626">
          <cell r="E626" t="str">
            <v>European Goldfinch</v>
          </cell>
          <cell r="F626" t="str">
            <v>Chardonneret élégant</v>
          </cell>
          <cell r="G626" t="str">
            <v>Carduelis carduelis</v>
          </cell>
          <cell r="H626" t="str">
            <v>Passeriformes</v>
          </cell>
          <cell r="I626" t="str">
            <v>Fringillidae (Finches, Euphonias, and Allies)</v>
          </cell>
        </row>
        <row r="627">
          <cell r="E627" t="str">
            <v>European Greenfinch</v>
          </cell>
          <cell r="F627" t="str">
            <v>Verdier d'Europe</v>
          </cell>
          <cell r="G627" t="str">
            <v>Chloris chloris</v>
          </cell>
          <cell r="H627" t="str">
            <v>Passeriformes</v>
          </cell>
          <cell r="I627" t="str">
            <v>Fringillidae (Finches, Euphonias, and Allies)</v>
          </cell>
        </row>
        <row r="628">
          <cell r="E628" t="str">
            <v>European Starling</v>
          </cell>
          <cell r="F628" t="str">
            <v>Étourneau sansonnet</v>
          </cell>
          <cell r="G628" t="str">
            <v>Sturnus vulgaris</v>
          </cell>
          <cell r="H628" t="str">
            <v>Passeriformes</v>
          </cell>
          <cell r="I628" t="str">
            <v>Sturnidae (Starlings)</v>
          </cell>
        </row>
        <row r="629">
          <cell r="E629" t="str">
            <v>Evening Grosbeak</v>
          </cell>
          <cell r="F629" t="str">
            <v>Gros-bec errant</v>
          </cell>
          <cell r="G629" t="str">
            <v>Hesperiphona vespertina</v>
          </cell>
          <cell r="H629" t="str">
            <v>Passeriformes</v>
          </cell>
          <cell r="I629" t="str">
            <v>Fringillidae (Finches, Euphonias, and Allies)</v>
          </cell>
        </row>
        <row r="630">
          <cell r="E630" t="str">
            <v>Eye-ringed Flatbill</v>
          </cell>
          <cell r="F630" t="str">
            <v>Tyranneau à bec court</v>
          </cell>
          <cell r="G630" t="str">
            <v>Rhynchocyclus brevirostris</v>
          </cell>
          <cell r="H630" t="str">
            <v>Passeriformes</v>
          </cell>
          <cell r="I630" t="str">
            <v>Tyrannidae (Tyrant Flycatchers)</v>
          </cell>
        </row>
        <row r="631">
          <cell r="E631" t="str">
            <v>Fairy Martin</v>
          </cell>
          <cell r="F631" t="str">
            <v>Hirondelle ariel</v>
          </cell>
          <cell r="G631" t="str">
            <v>Petrochelidon ariel</v>
          </cell>
          <cell r="H631" t="str">
            <v>Passeriformes</v>
          </cell>
          <cell r="I631" t="str">
            <v>Hirundinidae (Swallows)</v>
          </cell>
        </row>
        <row r="632">
          <cell r="E632" t="str">
            <v>Familiar Chat</v>
          </cell>
          <cell r="F632" t="str">
            <v>Tarier d'Afrique</v>
          </cell>
          <cell r="G632" t="str">
            <v>Oenanthe familiaris</v>
          </cell>
          <cell r="H632" t="str">
            <v>Passeriformes</v>
          </cell>
          <cell r="I632" t="str">
            <v>Muscicapidae (Old World Flycatchers)</v>
          </cell>
        </row>
        <row r="633">
          <cell r="E633" t="str">
            <v>Fan-tailed Cuckoo</v>
          </cell>
          <cell r="F633" t="str">
            <v>Coucou à éventail</v>
          </cell>
          <cell r="G633" t="str">
            <v>Cacomantis flabelliformis</v>
          </cell>
          <cell r="H633" t="str">
            <v>Cuculiformes</v>
          </cell>
          <cell r="I633" t="str">
            <v>Cuculidae (Cuckoos)</v>
          </cell>
        </row>
        <row r="634">
          <cell r="E634" t="str">
            <v>Far Eastern Curlew</v>
          </cell>
          <cell r="F634" t="str">
            <v>Courlis de Sibérie</v>
          </cell>
          <cell r="G634" t="str">
            <v>Numenius madagascariensis</v>
          </cell>
          <cell r="H634" t="str">
            <v>Charadriiformes</v>
          </cell>
          <cell r="I634" t="str">
            <v>Scolopacidae (Sandpipers and Allies)</v>
          </cell>
        </row>
        <row r="635">
          <cell r="E635" t="str">
            <v>Fasciated Antshrike</v>
          </cell>
          <cell r="F635" t="str">
            <v>Batara fascié</v>
          </cell>
          <cell r="G635" t="str">
            <v>Cymbilaimus lineatus</v>
          </cell>
          <cell r="H635" t="str">
            <v>Passeriformes</v>
          </cell>
          <cell r="I635" t="str">
            <v>Thamnophilidae (Typical Antbirds)</v>
          </cell>
        </row>
        <row r="636">
          <cell r="E636" t="str">
            <v>Fawn-breasted Brilliant</v>
          </cell>
          <cell r="F636" t="str">
            <v>Brillant rubinoïde</v>
          </cell>
          <cell r="G636" t="str">
            <v>Heliodoxa rubinoides</v>
          </cell>
          <cell r="H636" t="str">
            <v>Apodiformes</v>
          </cell>
          <cell r="I636" t="str">
            <v>Trochilidae (Hummingbirds)</v>
          </cell>
        </row>
        <row r="637">
          <cell r="E637" t="str">
            <v>Fawn-breasted Tanager</v>
          </cell>
          <cell r="F637" t="str">
            <v>Tangara à dos noir</v>
          </cell>
          <cell r="G637" t="str">
            <v>Pipraeidea melanonota</v>
          </cell>
          <cell r="H637" t="str">
            <v>Passeriformes</v>
          </cell>
          <cell r="I637" t="str">
            <v>Thraupidae (Tanagers and Allies)</v>
          </cell>
        </row>
        <row r="638">
          <cell r="E638" t="str">
            <v>Fawn-throated Foliage-gleaner</v>
          </cell>
          <cell r="F638" t="str">
            <v>Anabate de Sclater</v>
          </cell>
          <cell r="G638" t="str">
            <v>Automolus cervinigularis</v>
          </cell>
          <cell r="H638" t="str">
            <v>Passeriformes</v>
          </cell>
          <cell r="I638" t="str">
            <v>Furnariidae (Ovenbirds and Woodcreepers)</v>
          </cell>
        </row>
        <row r="639">
          <cell r="E639" t="str">
            <v>Ferruginous Pygmy-Owl</v>
          </cell>
          <cell r="F639" t="str">
            <v>Chevêchette brune</v>
          </cell>
          <cell r="G639" t="str">
            <v>Glaucidium brasilianum</v>
          </cell>
          <cell r="H639" t="str">
            <v>Strigiformes</v>
          </cell>
          <cell r="I639" t="str">
            <v>Strigidae (Owls)</v>
          </cell>
        </row>
        <row r="640">
          <cell r="E640" t="str">
            <v>Field Sparrow</v>
          </cell>
          <cell r="F640" t="str">
            <v>Bruant des champs</v>
          </cell>
          <cell r="G640" t="str">
            <v>Spizella pusilla</v>
          </cell>
          <cell r="H640" t="str">
            <v>Passeriformes</v>
          </cell>
          <cell r="I640" t="str">
            <v>Passerellidae (New World Sparrows)</v>
          </cell>
        </row>
        <row r="641">
          <cell r="E641" t="str">
            <v>Fiery-billed Aracari</v>
          </cell>
          <cell r="F641" t="str">
            <v>Araçari de Frantzius</v>
          </cell>
          <cell r="G641" t="str">
            <v>Pteroglossus frantzii</v>
          </cell>
          <cell r="H641" t="str">
            <v>Piciformes</v>
          </cell>
          <cell r="I641" t="str">
            <v>Ramphastidae (Toucans)</v>
          </cell>
        </row>
        <row r="642">
          <cell r="E642" t="str">
            <v>Fiery-throated Hummingbird</v>
          </cell>
          <cell r="F642" t="str">
            <v>Colibri insigne</v>
          </cell>
          <cell r="G642" t="str">
            <v>Panterpe insignis</v>
          </cell>
          <cell r="H642" t="str">
            <v>Apodiformes</v>
          </cell>
          <cell r="I642" t="str">
            <v>Trochilidae (Hummingbirds)</v>
          </cell>
        </row>
        <row r="643">
          <cell r="E643" t="str">
            <v>Fish Crow</v>
          </cell>
          <cell r="F643" t="str">
            <v>Corneille de rivage</v>
          </cell>
          <cell r="G643" t="str">
            <v>Corvus ossifragus</v>
          </cell>
          <cell r="H643" t="str">
            <v>Passeriformes</v>
          </cell>
          <cell r="I643" t="str">
            <v>Corvidae (Crows, Jays, and Magpies)</v>
          </cell>
        </row>
        <row r="644">
          <cell r="E644" t="str">
            <v>Flame Robin</v>
          </cell>
          <cell r="F644" t="str">
            <v>Miro embrasé</v>
          </cell>
          <cell r="G644" t="str">
            <v>Petroica phoenicea</v>
          </cell>
          <cell r="H644" t="str">
            <v>Passeriformes</v>
          </cell>
          <cell r="I644" t="str">
            <v>Petroicidae (Australasian Robins)</v>
          </cell>
        </row>
        <row r="645">
          <cell r="E645" t="str">
            <v>Flame-colored Tanager</v>
          </cell>
          <cell r="F645" t="str">
            <v>Piranga à dos rayé</v>
          </cell>
          <cell r="G645" t="str">
            <v>Piranga bidentata</v>
          </cell>
          <cell r="H645" t="str">
            <v>Passeriformes</v>
          </cell>
          <cell r="I645" t="str">
            <v>Cardinalidae (Cardinals and Allies)</v>
          </cell>
        </row>
        <row r="646">
          <cell r="E646" t="str">
            <v>Flame-faced Tanager</v>
          </cell>
          <cell r="F646" t="str">
            <v>Calliste à face rouge</v>
          </cell>
          <cell r="G646" t="str">
            <v>Tangara parzudakii</v>
          </cell>
          <cell r="H646" t="str">
            <v>Passeriformes</v>
          </cell>
          <cell r="I646" t="str">
            <v>Thraupidae (Tanagers and Allies)</v>
          </cell>
        </row>
        <row r="647">
          <cell r="E647" t="str">
            <v>Flame-rumped Tanager</v>
          </cell>
          <cell r="F647" t="str">
            <v>Tangara flamboyant</v>
          </cell>
          <cell r="G647" t="str">
            <v>Ramphocelus flammigerus</v>
          </cell>
          <cell r="H647" t="str">
            <v>Passeriformes</v>
          </cell>
          <cell r="I647" t="str">
            <v>Thraupidae (Tanagers and Allies)</v>
          </cell>
        </row>
        <row r="648">
          <cell r="E648" t="str">
            <v>Flame-throated Warbler</v>
          </cell>
          <cell r="F648" t="str">
            <v>Paruline embrasée</v>
          </cell>
          <cell r="G648" t="str">
            <v>Oreothlypis gutturalis</v>
          </cell>
          <cell r="H648" t="str">
            <v>Passeriformes</v>
          </cell>
          <cell r="I648" t="str">
            <v>Parulidae (New World Warblers)</v>
          </cell>
        </row>
        <row r="649">
          <cell r="E649" t="str">
            <v>Flavescent Flycatcher</v>
          </cell>
          <cell r="F649" t="str">
            <v>Moucherolle flavescent</v>
          </cell>
          <cell r="G649" t="str">
            <v>Myiophobus flavicans</v>
          </cell>
          <cell r="H649" t="str">
            <v>Passeriformes</v>
          </cell>
          <cell r="I649" t="str">
            <v>Tyrannidae (Tyrant Flycatchers)</v>
          </cell>
        </row>
        <row r="650">
          <cell r="E650" t="str">
            <v>Florida Scrub-Jay</v>
          </cell>
          <cell r="F650" t="str">
            <v>Geai à gorge blanche</v>
          </cell>
          <cell r="G650" t="str">
            <v>Aphelocoma coerulescens</v>
          </cell>
          <cell r="H650" t="str">
            <v>Passeriformes</v>
          </cell>
          <cell r="I650" t="str">
            <v>Corvidae (Crows, Jays, and Magpies)</v>
          </cell>
        </row>
        <row r="651">
          <cell r="E651" t="str">
            <v>Forest Elaenia</v>
          </cell>
          <cell r="F651" t="str">
            <v>Élénie de Gaimard</v>
          </cell>
          <cell r="G651" t="str">
            <v>Myiopagis gaimardii</v>
          </cell>
          <cell r="H651" t="str">
            <v>Passeriformes</v>
          </cell>
          <cell r="I651" t="str">
            <v>Tyrannidae (Tyrant Flycatchers)</v>
          </cell>
        </row>
        <row r="652">
          <cell r="E652" t="str">
            <v>Forest Fody</v>
          </cell>
          <cell r="F652" t="str">
            <v>Foudi de forêt</v>
          </cell>
          <cell r="G652" t="str">
            <v>Foudia omissa</v>
          </cell>
          <cell r="H652" t="str">
            <v>Passeriformes</v>
          </cell>
          <cell r="I652" t="str">
            <v>Ploceidae (Weavers and Allies)</v>
          </cell>
        </row>
        <row r="653">
          <cell r="E653" t="str">
            <v>Forest Raven</v>
          </cell>
          <cell r="F653" t="str">
            <v>Corbeau de Tasmanie</v>
          </cell>
          <cell r="G653" t="str">
            <v>Corvus tasmanicus</v>
          </cell>
          <cell r="H653" t="str">
            <v>Passeriformes</v>
          </cell>
          <cell r="I653" t="str">
            <v>Corvidae (Crows, Jays, and Magpies)</v>
          </cell>
        </row>
        <row r="654">
          <cell r="E654" t="str">
            <v>Forest Rock-Thrush</v>
          </cell>
          <cell r="F654" t="str">
            <v>Monticole de forêt</v>
          </cell>
          <cell r="G654" t="str">
            <v>Monticola sharpei</v>
          </cell>
          <cell r="H654" t="str">
            <v>Passeriformes</v>
          </cell>
          <cell r="I654" t="str">
            <v>Muscicapidae (Old World Flycatchers)</v>
          </cell>
        </row>
        <row r="655">
          <cell r="E655" t="str">
            <v>Fork-tailed Drongo</v>
          </cell>
          <cell r="F655" t="str">
            <v>Drongo brillant</v>
          </cell>
          <cell r="G655" t="str">
            <v>Dicrurus adsimilis</v>
          </cell>
          <cell r="H655" t="str">
            <v>Passeriformes</v>
          </cell>
          <cell r="I655" t="str">
            <v>Dicruridae (Drongos)</v>
          </cell>
        </row>
        <row r="656">
          <cell r="E656" t="str">
            <v>Fork-tailed Flycatcher</v>
          </cell>
          <cell r="F656" t="str">
            <v>Tyran des savanes</v>
          </cell>
          <cell r="G656" t="str">
            <v>Tyrannus savana</v>
          </cell>
          <cell r="H656" t="str">
            <v>Passeriformes</v>
          </cell>
          <cell r="I656" t="str">
            <v>Tyrannidae (Tyrant Flycatchers)</v>
          </cell>
        </row>
        <row r="657">
          <cell r="E657" t="str">
            <v>Fork-tailed Palm Swift</v>
          </cell>
          <cell r="F657" t="str">
            <v>Martinet claudia</v>
          </cell>
          <cell r="G657" t="str">
            <v>Tachornis squamata</v>
          </cell>
          <cell r="H657" t="str">
            <v>Apodiformes</v>
          </cell>
          <cell r="I657" t="str">
            <v>Apodidae (Swifts)</v>
          </cell>
        </row>
        <row r="658">
          <cell r="E658" t="str">
            <v>Forster's Tern</v>
          </cell>
          <cell r="F658" t="str">
            <v>Sterne de Forster</v>
          </cell>
          <cell r="G658" t="str">
            <v>Sterna forsteri</v>
          </cell>
          <cell r="H658" t="str">
            <v>Charadriiformes</v>
          </cell>
          <cell r="I658" t="str">
            <v>Laridae (Gulls, Terns, and Skimmers)</v>
          </cell>
        </row>
        <row r="659">
          <cell r="E659" t="str">
            <v>Forty-spotted Pardalote</v>
          </cell>
          <cell r="F659" t="str">
            <v>Pardalote de Tasmanie</v>
          </cell>
          <cell r="G659" t="str">
            <v>Pardalotus quadragintus</v>
          </cell>
          <cell r="H659" t="str">
            <v>Passeriformes</v>
          </cell>
          <cell r="I659" t="str">
            <v>Pardalotidae (Pardalotes)</v>
          </cell>
        </row>
        <row r="660">
          <cell r="E660" t="str">
            <v>Fox Sparrow</v>
          </cell>
          <cell r="F660" t="str">
            <v>Bruant fauve</v>
          </cell>
          <cell r="G660" t="str">
            <v>Passerella iliaca</v>
          </cell>
          <cell r="H660" t="str">
            <v>Passeriformes</v>
          </cell>
          <cell r="I660" t="str">
            <v>Passerellidae (New World Sparrows)</v>
          </cell>
        </row>
        <row r="661">
          <cell r="E661" t="str">
            <v>Frances's Sparrowhawk</v>
          </cell>
          <cell r="F661" t="str">
            <v>Épervier de Frances</v>
          </cell>
          <cell r="G661" t="str">
            <v>Tachyspiza francesiae</v>
          </cell>
          <cell r="H661" t="str">
            <v>Accipitriformes</v>
          </cell>
          <cell r="I661" t="str">
            <v>Accipitridae (Hawks, Eagles, and Kites)</v>
          </cell>
        </row>
        <row r="662">
          <cell r="E662" t="str">
            <v>Franklin's Gull</v>
          </cell>
          <cell r="F662" t="str">
            <v>Mouette de Franklin</v>
          </cell>
          <cell r="G662" t="str">
            <v>Leucophaeus pipixcan</v>
          </cell>
          <cell r="H662" t="str">
            <v>Charadriiformes</v>
          </cell>
          <cell r="I662" t="str">
            <v>Laridae (Gulls, Terns, and Skimmers)</v>
          </cell>
        </row>
        <row r="663">
          <cell r="E663" t="str">
            <v>Freckled Duck</v>
          </cell>
          <cell r="F663" t="str">
            <v>Stictonette tachetée</v>
          </cell>
          <cell r="G663" t="str">
            <v>Stictonetta naevosa</v>
          </cell>
          <cell r="H663" t="str">
            <v>Anseriformes</v>
          </cell>
          <cell r="I663" t="str">
            <v>Anatidae (Ducks, Geese, and Waterfowl)</v>
          </cell>
        </row>
        <row r="664">
          <cell r="E664" t="str">
            <v>Fulvous Whistling-Duck</v>
          </cell>
          <cell r="F664" t="str">
            <v>Dendrocygne fauve</v>
          </cell>
          <cell r="G664" t="str">
            <v>Dendrocygna bicolor</v>
          </cell>
          <cell r="H664" t="str">
            <v>Anseriformes</v>
          </cell>
          <cell r="I664" t="str">
            <v>Anatidae (Ducks, Geese, and Waterfowl)</v>
          </cell>
        </row>
        <row r="665">
          <cell r="E665" t="str">
            <v>Fulvous-vented Euphonia</v>
          </cell>
          <cell r="F665" t="str">
            <v>Organiste cul-roux</v>
          </cell>
          <cell r="G665" t="str">
            <v>Euphonia fulvicrissa</v>
          </cell>
          <cell r="H665" t="str">
            <v>Passeriformes</v>
          </cell>
          <cell r="I665" t="str">
            <v>Fringillidae (Finches, Euphonias, and Allies)</v>
          </cell>
        </row>
        <row r="666">
          <cell r="E666" t="str">
            <v>Fuscous Flycatcher</v>
          </cell>
          <cell r="F666" t="str">
            <v>Moucherolle fuligineux</v>
          </cell>
          <cell r="G666" t="str">
            <v>Cnemotriccus fuscatus</v>
          </cell>
          <cell r="H666" t="str">
            <v>Passeriformes</v>
          </cell>
          <cell r="I666" t="str">
            <v>Tyrannidae (Tyrant Flycatchers)</v>
          </cell>
        </row>
        <row r="667">
          <cell r="E667" t="str">
            <v>Fuscous Honeyeater</v>
          </cell>
          <cell r="F667" t="str">
            <v>Méliphage grisâtre</v>
          </cell>
          <cell r="G667" t="str">
            <v>Ptilotula fusca</v>
          </cell>
          <cell r="H667" t="str">
            <v>Passeriformes</v>
          </cell>
          <cell r="I667" t="str">
            <v>Meliphagidae (Honeyeaters)</v>
          </cell>
        </row>
        <row r="668">
          <cell r="E668" t="str">
            <v>Gabar Goshawk</v>
          </cell>
          <cell r="F668" t="str">
            <v>Autour gabar</v>
          </cell>
          <cell r="G668" t="str">
            <v>Micronisus gabar</v>
          </cell>
          <cell r="H668" t="str">
            <v>Accipitriformes</v>
          </cell>
          <cell r="I668" t="str">
            <v>Accipitridae (Hawks, Eagles, and Kites)</v>
          </cell>
        </row>
        <row r="669">
          <cell r="E669" t="str">
            <v>Gabon Boubou</v>
          </cell>
          <cell r="F669" t="str">
            <v>Gonolek à ventre blanc</v>
          </cell>
          <cell r="G669" t="str">
            <v>Laniarius bicolor</v>
          </cell>
          <cell r="H669" t="str">
            <v>Passeriformes</v>
          </cell>
          <cell r="I669" t="str">
            <v>Malaconotidae (Bushshrikes and Allies)</v>
          </cell>
        </row>
        <row r="670">
          <cell r="E670" t="str">
            <v>Gadwall</v>
          </cell>
          <cell r="F670" t="str">
            <v>Canard chipeau</v>
          </cell>
          <cell r="G670" t="str">
            <v>Mareca strepera</v>
          </cell>
          <cell r="H670" t="str">
            <v>Anseriformes</v>
          </cell>
          <cell r="I670" t="str">
            <v>Anatidae (Ducks, Geese, and Waterfowl)</v>
          </cell>
        </row>
        <row r="671">
          <cell r="E671" t="str">
            <v>Galah</v>
          </cell>
          <cell r="F671" t="str">
            <v>Cacatoès rosalbin</v>
          </cell>
          <cell r="G671" t="str">
            <v>Eolophus roseicapilla</v>
          </cell>
          <cell r="H671" t="str">
            <v>Psittaciformes</v>
          </cell>
          <cell r="I671" t="str">
            <v>Cacatuidae (Cockatoos)</v>
          </cell>
        </row>
        <row r="672">
          <cell r="E672" t="str">
            <v>Galapagos Dove</v>
          </cell>
          <cell r="F672" t="str">
            <v>Tourterelle des Galapagos</v>
          </cell>
          <cell r="G672" t="str">
            <v>Zenaida galapagoensis</v>
          </cell>
          <cell r="H672" t="str">
            <v>Columbiformes</v>
          </cell>
          <cell r="I672" t="str">
            <v>Columbidae (Pigeons and Doves)</v>
          </cell>
        </row>
        <row r="673">
          <cell r="E673" t="str">
            <v>Galapagos Hawk</v>
          </cell>
          <cell r="F673" t="str">
            <v>Buse des Galapagos</v>
          </cell>
          <cell r="G673" t="str">
            <v>Buteo galapagoensis</v>
          </cell>
          <cell r="H673" t="str">
            <v>Accipitriformes</v>
          </cell>
          <cell r="I673" t="str">
            <v>Accipitridae (Hawks, Eagles, and Kites)</v>
          </cell>
        </row>
        <row r="674">
          <cell r="E674" t="str">
            <v>Galapagos Mockingbird</v>
          </cell>
          <cell r="F674" t="str">
            <v>Moqueur des Galapagos</v>
          </cell>
          <cell r="G674" t="str">
            <v>Mimus parvulus</v>
          </cell>
          <cell r="H674" t="str">
            <v>Passeriformes</v>
          </cell>
          <cell r="I674" t="str">
            <v>Mimidae (Mockingbirds and Thrashers)</v>
          </cell>
        </row>
        <row r="675">
          <cell r="E675" t="str">
            <v>Galapagos Penguin</v>
          </cell>
          <cell r="F675" t="str">
            <v>Manchot des Galapagos</v>
          </cell>
          <cell r="G675" t="str">
            <v>Spheniscus mendiculus</v>
          </cell>
          <cell r="H675" t="str">
            <v>Sphenisciformes</v>
          </cell>
          <cell r="I675" t="str">
            <v>Spheniscidae (Penguins)</v>
          </cell>
        </row>
        <row r="676">
          <cell r="E676" t="str">
            <v>Gang-gang Cockatoo</v>
          </cell>
          <cell r="F676" t="str">
            <v>Cacatoès à tête rouge</v>
          </cell>
          <cell r="G676" t="str">
            <v>Callocephalon fimbriatum</v>
          </cell>
          <cell r="H676" t="str">
            <v>Psittaciformes</v>
          </cell>
          <cell r="I676" t="str">
            <v>Cacatuidae (Cockatoos)</v>
          </cell>
        </row>
        <row r="677">
          <cell r="E677" t="str">
            <v>Garden Emerald</v>
          </cell>
          <cell r="F677" t="str">
            <v>Émeraude du Panama</v>
          </cell>
          <cell r="G677" t="str">
            <v>Chlorostilbon assimilis</v>
          </cell>
          <cell r="H677" t="str">
            <v>Apodiformes</v>
          </cell>
          <cell r="I677" t="str">
            <v>Trochilidae (Hummingbirds)</v>
          </cell>
        </row>
        <row r="678">
          <cell r="E678" t="str">
            <v>Gartered Violaceous Trogon</v>
          </cell>
          <cell r="F678" t="str">
            <v>Trogon pattu</v>
          </cell>
          <cell r="G678" t="str">
            <v>Trogon caligatus</v>
          </cell>
          <cell r="H678" t="str">
            <v>Trogoniformes</v>
          </cell>
          <cell r="I678" t="str">
            <v>Trogonidae (Trogons)</v>
          </cell>
        </row>
        <row r="679">
          <cell r="E679" t="str">
            <v>Giant Coua</v>
          </cell>
          <cell r="F679" t="str">
            <v>Coua géant</v>
          </cell>
          <cell r="G679" t="str">
            <v>Coua gigas</v>
          </cell>
          <cell r="H679" t="str">
            <v>Cuculiformes</v>
          </cell>
          <cell r="I679" t="str">
            <v>Cuculidae (Cuckoos)</v>
          </cell>
        </row>
        <row r="680">
          <cell r="E680" t="str">
            <v>Giant Cowbird</v>
          </cell>
          <cell r="F680" t="str">
            <v>Vacher géant</v>
          </cell>
          <cell r="G680" t="str">
            <v>Molothrus oryzivorus</v>
          </cell>
          <cell r="H680" t="str">
            <v>Passeriformes</v>
          </cell>
          <cell r="I680" t="str">
            <v>Icteridae (Troupials and Allies)</v>
          </cell>
        </row>
        <row r="681">
          <cell r="E681" t="str">
            <v>Giant Hummingbird</v>
          </cell>
          <cell r="F681" t="str">
            <v>Colibri géant</v>
          </cell>
          <cell r="G681" t="str">
            <v>Patagona gigas</v>
          </cell>
          <cell r="H681" t="str">
            <v>Apodiformes</v>
          </cell>
          <cell r="I681" t="str">
            <v>Trochilidae (Hummingbirds)</v>
          </cell>
        </row>
        <row r="682">
          <cell r="E682" t="str">
            <v>Giant Kingfisher</v>
          </cell>
          <cell r="F682" t="str">
            <v>Martin-pêcheur géant</v>
          </cell>
          <cell r="G682" t="str">
            <v>Megaceryle maxima</v>
          </cell>
          <cell r="H682" t="str">
            <v>Coraciiformes</v>
          </cell>
          <cell r="I682" t="str">
            <v>Alcedinidae (Kingfishers)</v>
          </cell>
        </row>
        <row r="683">
          <cell r="E683" t="str">
            <v>Glaucous Tanager</v>
          </cell>
          <cell r="F683" t="str">
            <v>Tangara glauque</v>
          </cell>
          <cell r="G683" t="str">
            <v>Thraupis glaucocolpa</v>
          </cell>
          <cell r="H683" t="str">
            <v>Passeriformes</v>
          </cell>
          <cell r="I683" t="str">
            <v>Thraupidae (Tanagers and Allies)</v>
          </cell>
        </row>
        <row r="684">
          <cell r="E684" t="str">
            <v>Glaucous-winged Gull</v>
          </cell>
          <cell r="F684" t="str">
            <v>Goéland à ailes grises</v>
          </cell>
          <cell r="G684" t="str">
            <v>Larus glaucescens</v>
          </cell>
          <cell r="H684" t="str">
            <v>Charadriiformes</v>
          </cell>
          <cell r="I684" t="str">
            <v>Laridae (Gulls, Terns, and Skimmers)</v>
          </cell>
        </row>
        <row r="685">
          <cell r="E685" t="str">
            <v>Glistening-green Tanager</v>
          </cell>
          <cell r="F685" t="str">
            <v>Tangara étincelant</v>
          </cell>
          <cell r="G685" t="str">
            <v>Chlorochrysa phoenicotis</v>
          </cell>
          <cell r="H685" t="str">
            <v>Passeriformes</v>
          </cell>
          <cell r="I685" t="str">
            <v>Thraupidae (Tanagers and Allies)</v>
          </cell>
        </row>
        <row r="686">
          <cell r="E686" t="str">
            <v>Glossy Black-Cockatoo</v>
          </cell>
          <cell r="F686" t="str">
            <v>Cacatoès de Latham</v>
          </cell>
          <cell r="G686" t="str">
            <v>Calyptorhynchus lathami</v>
          </cell>
          <cell r="H686" t="str">
            <v>Psittaciformes</v>
          </cell>
          <cell r="I686" t="str">
            <v>Cacatuidae (Cockatoos)</v>
          </cell>
        </row>
        <row r="687">
          <cell r="E687" t="str">
            <v>Glossy Ibis</v>
          </cell>
          <cell r="F687" t="str">
            <v>Ibis falcinelle</v>
          </cell>
          <cell r="G687" t="str">
            <v>Plegadis falcinellus</v>
          </cell>
          <cell r="H687" t="str">
            <v>Pelecaniformes</v>
          </cell>
          <cell r="I687" t="str">
            <v>Threskiornithidae (Ibises and Spoonbills)</v>
          </cell>
        </row>
        <row r="688">
          <cell r="E688" t="str">
            <v>Glossy-black Thrush</v>
          </cell>
          <cell r="F688" t="str">
            <v>Merle lustré</v>
          </cell>
          <cell r="G688" t="str">
            <v>Turdus serranus</v>
          </cell>
          <cell r="H688" t="str">
            <v>Passeriformes</v>
          </cell>
          <cell r="I688" t="str">
            <v>Turdidae (Thrushes and Allies)</v>
          </cell>
        </row>
        <row r="689">
          <cell r="E689" t="str">
            <v>Glowing Puffleg</v>
          </cell>
          <cell r="F689" t="str">
            <v>Érione pattue</v>
          </cell>
          <cell r="G689" t="str">
            <v>Eriocnemis vestita</v>
          </cell>
          <cell r="H689" t="str">
            <v>Apodiformes</v>
          </cell>
          <cell r="I689" t="str">
            <v>Trochilidae (Hummingbirds)</v>
          </cell>
        </row>
        <row r="690">
          <cell r="E690" t="str">
            <v>Golden Grosbeak</v>
          </cell>
          <cell r="F690" t="str">
            <v>Cardinal à tête jaune</v>
          </cell>
          <cell r="G690" t="str">
            <v>Pheucticus chrysogaster</v>
          </cell>
          <cell r="H690" t="str">
            <v>Passeriformes</v>
          </cell>
          <cell r="I690" t="str">
            <v>Cardinalidae (Cardinals and Allies)</v>
          </cell>
        </row>
        <row r="691">
          <cell r="E691" t="str">
            <v>Golden Tanager</v>
          </cell>
          <cell r="F691" t="str">
            <v>Calliste doré</v>
          </cell>
          <cell r="G691" t="str">
            <v>Tangara arthus</v>
          </cell>
          <cell r="H691" t="str">
            <v>Passeriformes</v>
          </cell>
          <cell r="I691" t="str">
            <v>Thraupidae (Tanagers and Allies)</v>
          </cell>
        </row>
        <row r="692">
          <cell r="E692" t="str">
            <v>Golden Whistler</v>
          </cell>
          <cell r="F692" t="str">
            <v>Siffleur doré</v>
          </cell>
          <cell r="G692" t="str">
            <v>Pachycephala pectoralis</v>
          </cell>
          <cell r="H692" t="str">
            <v>Passeriformes</v>
          </cell>
          <cell r="I692" t="str">
            <v>Pachycephalidae (Whistlers and Allies)</v>
          </cell>
        </row>
        <row r="693">
          <cell r="E693" t="str">
            <v>Golden-bellied Flycatcher</v>
          </cell>
          <cell r="F693" t="str">
            <v>Tyran à ventre d'or</v>
          </cell>
          <cell r="G693" t="str">
            <v>Myiodynastes hemichrysus</v>
          </cell>
          <cell r="H693" t="str">
            <v>Passeriformes</v>
          </cell>
          <cell r="I693" t="str">
            <v>Tyrannidae (Tyrant Flycatchers)</v>
          </cell>
        </row>
        <row r="694">
          <cell r="E694" t="str">
            <v>Golden-bellied Starfrontlet</v>
          </cell>
          <cell r="F694" t="str">
            <v>Inca de Bonaparte</v>
          </cell>
          <cell r="G694" t="str">
            <v>Coeligena bonapartei</v>
          </cell>
          <cell r="H694" t="str">
            <v>Apodiformes</v>
          </cell>
          <cell r="I694" t="str">
            <v>Trochilidae (Hummingbirds)</v>
          </cell>
        </row>
        <row r="695">
          <cell r="E695" t="str">
            <v>Golden-breasted Bunting</v>
          </cell>
          <cell r="F695" t="str">
            <v>Bruant à poitrine dorée</v>
          </cell>
          <cell r="G695" t="str">
            <v>Emberiza flaviventris</v>
          </cell>
          <cell r="H695" t="str">
            <v>Passeriformes</v>
          </cell>
          <cell r="I695" t="str">
            <v>Emberizidae (Old World Buntings)</v>
          </cell>
        </row>
        <row r="696">
          <cell r="E696" t="str">
            <v>Golden-breasted Puffleg</v>
          </cell>
          <cell r="F696" t="str">
            <v>Érione à poitrine d'or</v>
          </cell>
          <cell r="G696" t="str">
            <v>Eriocnemis mosquera</v>
          </cell>
          <cell r="H696" t="str">
            <v>Apodiformes</v>
          </cell>
          <cell r="I696" t="str">
            <v>Trochilidae (Hummingbirds)</v>
          </cell>
        </row>
        <row r="697">
          <cell r="E697" t="str">
            <v>Golden-browed Chlorophonia</v>
          </cell>
          <cell r="F697" t="str">
            <v>Organiste à sourcils jaunes</v>
          </cell>
          <cell r="G697" t="str">
            <v>Chlorophonia callophrys</v>
          </cell>
          <cell r="H697" t="str">
            <v>Passeriformes</v>
          </cell>
          <cell r="I697" t="str">
            <v>Fringillidae (Finches, Euphonias, and Allies)</v>
          </cell>
        </row>
        <row r="698">
          <cell r="E698" t="str">
            <v>Golden-collared Honeycreeper</v>
          </cell>
          <cell r="F698" t="str">
            <v>Tangara sucrier</v>
          </cell>
          <cell r="G698" t="str">
            <v>Iridophanes pulcherrimus</v>
          </cell>
          <cell r="H698" t="str">
            <v>Passeriformes</v>
          </cell>
          <cell r="I698" t="str">
            <v>Thraupidae (Tanagers and Allies)</v>
          </cell>
        </row>
        <row r="699">
          <cell r="E699" t="str">
            <v>Golden-collared Manakin</v>
          </cell>
          <cell r="F699" t="str">
            <v>Manakin à col d'or</v>
          </cell>
          <cell r="G699" t="str">
            <v>Manacus vitellinus</v>
          </cell>
          <cell r="H699" t="str">
            <v>Passeriformes</v>
          </cell>
          <cell r="I699" t="str">
            <v>Pipridae (Manakins)</v>
          </cell>
        </row>
        <row r="700">
          <cell r="E700" t="str">
            <v>Golden-crowned Kinglet</v>
          </cell>
          <cell r="F700" t="str">
            <v>Roitelet à couronne dorée</v>
          </cell>
          <cell r="G700" t="str">
            <v>Regulus satrapa</v>
          </cell>
          <cell r="H700" t="str">
            <v>Passeriformes</v>
          </cell>
          <cell r="I700" t="str">
            <v>Regulidae (Kinglets)</v>
          </cell>
        </row>
        <row r="701">
          <cell r="E701" t="str">
            <v>Golden-crowned Spadebill</v>
          </cell>
          <cell r="F701" t="str">
            <v>Platyrhynque à tête d'or</v>
          </cell>
          <cell r="G701" t="str">
            <v>Platyrinchus coronatus</v>
          </cell>
          <cell r="H701" t="str">
            <v>Passeriformes</v>
          </cell>
          <cell r="I701" t="str">
            <v>Tyrannidae (Tyrant Flycatchers)</v>
          </cell>
        </row>
        <row r="702">
          <cell r="E702" t="str">
            <v>Golden-crowned Sparrow</v>
          </cell>
          <cell r="F702" t="str">
            <v>Bruant à couronne dorée</v>
          </cell>
          <cell r="G702" t="str">
            <v>Zonotrichia atricapilla</v>
          </cell>
          <cell r="H702" t="str">
            <v>Passeriformes</v>
          </cell>
          <cell r="I702" t="str">
            <v>Passerellidae (New World Sparrows)</v>
          </cell>
        </row>
        <row r="703">
          <cell r="E703" t="str">
            <v>Golden-crowned Tanager</v>
          </cell>
          <cell r="F703" t="str">
            <v>Tangara auréolé</v>
          </cell>
          <cell r="G703" t="str">
            <v>Iridosornis rufivertex</v>
          </cell>
          <cell r="H703" t="str">
            <v>Passeriformes</v>
          </cell>
          <cell r="I703" t="str">
            <v>Thraupidae (Tanagers and Allies)</v>
          </cell>
        </row>
        <row r="704">
          <cell r="E704" t="str">
            <v>Golden-crowned Warbler</v>
          </cell>
          <cell r="F704" t="str">
            <v>Paruline à couronne dorée</v>
          </cell>
          <cell r="G704" t="str">
            <v>Basileuterus culicivorus</v>
          </cell>
          <cell r="H704" t="str">
            <v>Passeriformes</v>
          </cell>
          <cell r="I704" t="str">
            <v>Parulidae (New World Warblers)</v>
          </cell>
        </row>
        <row r="705">
          <cell r="E705" t="str">
            <v>Golden-faced Tyrannulet</v>
          </cell>
          <cell r="F705" t="str">
            <v>Tyranneau à face d'or</v>
          </cell>
          <cell r="G705" t="str">
            <v>Zimmerius chrysops</v>
          </cell>
          <cell r="H705" t="str">
            <v>Passeriformes</v>
          </cell>
          <cell r="I705" t="str">
            <v>Tyrannidae (Tyrant Flycatchers)</v>
          </cell>
        </row>
        <row r="706">
          <cell r="E706" t="str">
            <v>Golden-fronted Greenlet</v>
          </cell>
          <cell r="F706" t="str">
            <v>Viréon à front d'or</v>
          </cell>
          <cell r="G706" t="str">
            <v>Pachysylvia aurantiifrons</v>
          </cell>
          <cell r="H706" t="str">
            <v>Passeriformes</v>
          </cell>
          <cell r="I706" t="str">
            <v>Vireonidae (Vireos, Shrike-Babblers, and Erpornis)</v>
          </cell>
        </row>
        <row r="707">
          <cell r="E707" t="str">
            <v>Golden-fronted Redstart</v>
          </cell>
          <cell r="F707" t="str">
            <v>Paruline dorée</v>
          </cell>
          <cell r="G707" t="str">
            <v>Myioborus ornatus</v>
          </cell>
          <cell r="H707" t="str">
            <v>Passeriformes</v>
          </cell>
          <cell r="I707" t="str">
            <v>Parulidae (New World Warblers)</v>
          </cell>
        </row>
        <row r="708">
          <cell r="E708" t="str">
            <v>Golden-fronted Woodpecker</v>
          </cell>
          <cell r="F708" t="str">
            <v>Pic à front doré</v>
          </cell>
          <cell r="G708" t="str">
            <v>Melanerpes aurifrons</v>
          </cell>
          <cell r="H708" t="str">
            <v>Piciformes</v>
          </cell>
          <cell r="I708" t="str">
            <v>Picidae (Woodpeckers)</v>
          </cell>
        </row>
        <row r="709">
          <cell r="E709" t="str">
            <v>Golden-green Woodpecker</v>
          </cell>
          <cell r="F709" t="str">
            <v>Pic vert-doré</v>
          </cell>
          <cell r="G709" t="str">
            <v>Piculus chrysochloros</v>
          </cell>
          <cell r="H709" t="str">
            <v>Piciformes</v>
          </cell>
          <cell r="I709" t="str">
            <v>Picidae (Woodpeckers)</v>
          </cell>
        </row>
        <row r="710">
          <cell r="E710" t="str">
            <v>Golden-headed Manakin</v>
          </cell>
          <cell r="F710" t="str">
            <v>Manakin à tête d'or</v>
          </cell>
          <cell r="G710" t="str">
            <v>Ceratopipra erythrocephala</v>
          </cell>
          <cell r="H710" t="str">
            <v>Passeriformes</v>
          </cell>
          <cell r="I710" t="str">
            <v>Pipridae (Manakins)</v>
          </cell>
        </row>
        <row r="711">
          <cell r="E711" t="str">
            <v>Golden-headed Quetzal</v>
          </cell>
          <cell r="F711" t="str">
            <v>Quetzal doré</v>
          </cell>
          <cell r="G711" t="str">
            <v>Pharomachrus auriceps</v>
          </cell>
          <cell r="H711" t="str">
            <v>Trogoniformes</v>
          </cell>
          <cell r="I711" t="str">
            <v>Trogonidae (Trogons)</v>
          </cell>
        </row>
        <row r="712">
          <cell r="E712" t="str">
            <v>Golden-hooded Tanager</v>
          </cell>
          <cell r="F712" t="str">
            <v>Calliste à coiffe d'or</v>
          </cell>
          <cell r="G712" t="str">
            <v>Stilpnia larvata</v>
          </cell>
          <cell r="H712" t="str">
            <v>Passeriformes</v>
          </cell>
          <cell r="I712" t="str">
            <v>Thraupidae (Tanagers and Allies)</v>
          </cell>
        </row>
        <row r="713">
          <cell r="E713" t="str">
            <v>Golden-naped Tanager</v>
          </cell>
          <cell r="F713" t="str">
            <v>Calliste à nuque d'or</v>
          </cell>
          <cell r="G713" t="str">
            <v>Chalcothraupis ruficervix</v>
          </cell>
          <cell r="H713" t="str">
            <v>Passeriformes</v>
          </cell>
          <cell r="I713" t="str">
            <v>Thraupidae (Tanagers and Allies)</v>
          </cell>
        </row>
        <row r="714">
          <cell r="E714" t="str">
            <v>Golden-olive Woodpecker</v>
          </cell>
          <cell r="F714" t="str">
            <v>Pic or-olive</v>
          </cell>
          <cell r="G714" t="str">
            <v>Colaptes rubiginosus</v>
          </cell>
          <cell r="H714" t="str">
            <v>Piciformes</v>
          </cell>
          <cell r="I714" t="str">
            <v>Picidae (Woodpeckers)</v>
          </cell>
        </row>
        <row r="715">
          <cell r="E715" t="str">
            <v>Golden-plumed Parakeet</v>
          </cell>
          <cell r="F715" t="str">
            <v>Conure à pinceaux d'or</v>
          </cell>
          <cell r="G715" t="str">
            <v>Leptosittaca branickii</v>
          </cell>
          <cell r="H715" t="str">
            <v>Psittaciformes</v>
          </cell>
          <cell r="I715" t="str">
            <v>Psittacidae (New World and African Parrots)</v>
          </cell>
        </row>
        <row r="716">
          <cell r="E716" t="str">
            <v>Golden-tailed Woodpecker</v>
          </cell>
          <cell r="F716" t="str">
            <v>Pic à queue dorée</v>
          </cell>
          <cell r="G716" t="str">
            <v>Campethera abingoni</v>
          </cell>
          <cell r="H716" t="str">
            <v>Piciformes</v>
          </cell>
          <cell r="I716" t="str">
            <v>Picidae (Woodpeckers)</v>
          </cell>
        </row>
        <row r="717">
          <cell r="E717" t="str">
            <v>Golden-winged Manakin</v>
          </cell>
          <cell r="F717" t="str">
            <v>Manakin à ailes d'or</v>
          </cell>
          <cell r="G717" t="str">
            <v>Masius chrysopterus</v>
          </cell>
          <cell r="H717" t="str">
            <v>Passeriformes</v>
          </cell>
          <cell r="I717" t="str">
            <v>Pipridae (Manakins)</v>
          </cell>
        </row>
        <row r="718">
          <cell r="E718" t="str">
            <v>Golden-winged Sparrow</v>
          </cell>
          <cell r="F718" t="str">
            <v>Tohi de Schlegel</v>
          </cell>
          <cell r="G718" t="str">
            <v>Arremon schlegeli</v>
          </cell>
          <cell r="H718" t="str">
            <v>Passeriformes</v>
          </cell>
          <cell r="I718" t="str">
            <v>Passerellidae (New World Sparrows)</v>
          </cell>
        </row>
        <row r="719">
          <cell r="E719" t="str">
            <v>Golden-winged Warbler</v>
          </cell>
          <cell r="F719" t="str">
            <v>Paruline à ailes dorées</v>
          </cell>
          <cell r="G719" t="str">
            <v>Vermivora chrysoptera</v>
          </cell>
          <cell r="H719" t="str">
            <v>Passeriformes</v>
          </cell>
          <cell r="I719" t="str">
            <v>Parulidae (New World Warblers)</v>
          </cell>
        </row>
        <row r="720">
          <cell r="E720" t="str">
            <v>Goliath Heron</v>
          </cell>
          <cell r="F720" t="str">
            <v>Héron goliath</v>
          </cell>
          <cell r="G720" t="str">
            <v>Ardea goliath</v>
          </cell>
          <cell r="H720" t="str">
            <v>Pelecaniformes</v>
          </cell>
          <cell r="I720" t="str">
            <v>Ardeidae (Herons, Egrets, and Bitterns)</v>
          </cell>
        </row>
        <row r="721">
          <cell r="E721" t="str">
            <v>Gorgeted Sunangel</v>
          </cell>
          <cell r="F721" t="str">
            <v>Héliange à queue bleue</v>
          </cell>
          <cell r="G721" t="str">
            <v>Heliangelus strophianus</v>
          </cell>
          <cell r="H721" t="str">
            <v>Apodiformes</v>
          </cell>
          <cell r="I721" t="str">
            <v>Trochilidae (Hummingbirds)</v>
          </cell>
        </row>
        <row r="722">
          <cell r="E722" t="str">
            <v>Gorgeted Woodstar</v>
          </cell>
          <cell r="F722" t="str">
            <v>Colibri d'Héliodore</v>
          </cell>
          <cell r="G722" t="str">
            <v>Chaetocercus heliodor</v>
          </cell>
          <cell r="H722" t="str">
            <v>Apodiformes</v>
          </cell>
          <cell r="I722" t="str">
            <v>Trochilidae (Hummingbirds)</v>
          </cell>
        </row>
        <row r="723">
          <cell r="E723" t="str">
            <v>Grace's Warbler</v>
          </cell>
          <cell r="F723" t="str">
            <v>Paruline de Grace</v>
          </cell>
          <cell r="G723" t="str">
            <v>Setophaga graciae</v>
          </cell>
          <cell r="H723" t="str">
            <v>Passeriformes</v>
          </cell>
          <cell r="I723" t="str">
            <v>Parulidae (New World Warblers)</v>
          </cell>
        </row>
        <row r="724">
          <cell r="E724" t="str">
            <v>Graceful Black-throated Trogon</v>
          </cell>
          <cell r="F724" t="str">
            <v>Trogon de Cabanis</v>
          </cell>
          <cell r="G724" t="str">
            <v>Trogon tenellus</v>
          </cell>
          <cell r="H724" t="str">
            <v>Trogoniformes</v>
          </cell>
          <cell r="I724" t="str">
            <v>Trogonidae (Trogons)</v>
          </cell>
        </row>
        <row r="725">
          <cell r="E725" t="str">
            <v>Grass Wren</v>
          </cell>
          <cell r="F725" t="str">
            <v>Troglodyte de Latham</v>
          </cell>
          <cell r="G725" t="str">
            <v>Cistothorus platensis</v>
          </cell>
          <cell r="H725" t="str">
            <v>Passeriformes</v>
          </cell>
          <cell r="I725" t="str">
            <v>Troglodytidae (Wrens)</v>
          </cell>
        </row>
        <row r="726">
          <cell r="E726" t="str">
            <v>Grass-green Tanager</v>
          </cell>
          <cell r="F726" t="str">
            <v>Tangara de Rieffer</v>
          </cell>
          <cell r="G726" t="str">
            <v>Chlorornis riefferii</v>
          </cell>
          <cell r="H726" t="str">
            <v>Passeriformes</v>
          </cell>
          <cell r="I726" t="str">
            <v>Thraupidae (Tanagers and Allies)</v>
          </cell>
        </row>
        <row r="727">
          <cell r="E727" t="str">
            <v>Grasshopper Sparrow</v>
          </cell>
          <cell r="F727" t="str">
            <v>Bruant sauterelle</v>
          </cell>
          <cell r="G727" t="str">
            <v>Ammodramus savannarum</v>
          </cell>
          <cell r="H727" t="str">
            <v>Passeriformes</v>
          </cell>
          <cell r="I727" t="str">
            <v>Passerellidae (New World Sparrows)</v>
          </cell>
        </row>
        <row r="728">
          <cell r="E728" t="str">
            <v>Grassland Yellow-Finch</v>
          </cell>
          <cell r="F728" t="str">
            <v>Sicale des savanes</v>
          </cell>
          <cell r="G728" t="str">
            <v>Sicalis luteola</v>
          </cell>
          <cell r="H728" t="str">
            <v>Passeriformes</v>
          </cell>
          <cell r="I728" t="str">
            <v>Thraupidae (Tanagers and Allies)</v>
          </cell>
        </row>
        <row r="729">
          <cell r="E729" t="str">
            <v>Gray Butcherbird</v>
          </cell>
          <cell r="F729" t="str">
            <v>Cassican à collier</v>
          </cell>
          <cell r="G729" t="str">
            <v>Cracticus torquatus</v>
          </cell>
          <cell r="H729" t="str">
            <v>Passeriformes</v>
          </cell>
          <cell r="I729" t="str">
            <v>Artamidae (Woodswallows, Bellmagpies, and Allies)</v>
          </cell>
        </row>
        <row r="730">
          <cell r="E730" t="str">
            <v>Gray Catbird</v>
          </cell>
          <cell r="F730" t="str">
            <v>Moqueur chat</v>
          </cell>
          <cell r="G730" t="str">
            <v>Dumetella carolinensis</v>
          </cell>
          <cell r="H730" t="str">
            <v>Passeriformes</v>
          </cell>
          <cell r="I730" t="str">
            <v>Mimidae (Mockingbirds and Thrashers)</v>
          </cell>
        </row>
        <row r="731">
          <cell r="E731" t="str">
            <v>Gray Crowned-Crane</v>
          </cell>
          <cell r="F731" t="str">
            <v>Grue royale</v>
          </cell>
          <cell r="G731" t="str">
            <v>Balearica regulorum</v>
          </cell>
          <cell r="H731" t="str">
            <v>Gruiformes</v>
          </cell>
          <cell r="I731" t="str">
            <v>Gruidae (Cranes)</v>
          </cell>
        </row>
        <row r="732">
          <cell r="E732" t="str">
            <v>Gray Currawong</v>
          </cell>
          <cell r="F732" t="str">
            <v>Réveilleur cendré</v>
          </cell>
          <cell r="G732" t="str">
            <v>Strepera versicolor</v>
          </cell>
          <cell r="H732" t="str">
            <v>Passeriformes</v>
          </cell>
          <cell r="I732" t="str">
            <v>Artamidae (Woodswallows, Bellmagpies, and Allies)</v>
          </cell>
        </row>
        <row r="733">
          <cell r="E733" t="str">
            <v>Gray Fantail</v>
          </cell>
          <cell r="F733" t="str">
            <v>Rhipidure gris</v>
          </cell>
          <cell r="G733" t="str">
            <v>Rhipidura albiscapa</v>
          </cell>
          <cell r="H733" t="str">
            <v>Passeriformes</v>
          </cell>
          <cell r="I733" t="str">
            <v>Rhipiduridae (Fantails)</v>
          </cell>
        </row>
        <row r="734">
          <cell r="E734" t="str">
            <v>Gray Francolin</v>
          </cell>
          <cell r="F734" t="str">
            <v>Francolin gris</v>
          </cell>
          <cell r="G734" t="str">
            <v>Ortygornis pondicerianus</v>
          </cell>
          <cell r="H734" t="str">
            <v>Galliformes</v>
          </cell>
          <cell r="I734" t="str">
            <v>Phasianidae (Pheasants, Grouse, and Allies)</v>
          </cell>
        </row>
        <row r="735">
          <cell r="E735" t="str">
            <v>Gray Go-away-bird</v>
          </cell>
          <cell r="F735" t="str">
            <v>Touraco concolore</v>
          </cell>
          <cell r="G735" t="str">
            <v>Crinifer concolor</v>
          </cell>
          <cell r="H735" t="str">
            <v>Musophagiformes</v>
          </cell>
          <cell r="I735" t="str">
            <v>Musophagidae (Turacos)</v>
          </cell>
        </row>
        <row r="736">
          <cell r="E736" t="str">
            <v>Gray Goshawk</v>
          </cell>
          <cell r="F736" t="str">
            <v>Autour blanc</v>
          </cell>
          <cell r="G736" t="str">
            <v>Tachyspiza novaehollandiae</v>
          </cell>
          <cell r="H736" t="str">
            <v>Accipitriformes</v>
          </cell>
          <cell r="I736" t="str">
            <v>Accipitridae (Hawks, Eagles, and Kites)</v>
          </cell>
        </row>
        <row r="737">
          <cell r="E737" t="str">
            <v>Gray Hawk</v>
          </cell>
          <cell r="F737" t="str">
            <v>Buse grise</v>
          </cell>
          <cell r="G737" t="str">
            <v>Buteo plagiatus</v>
          </cell>
          <cell r="H737" t="str">
            <v>Accipitriformes</v>
          </cell>
          <cell r="I737" t="str">
            <v>Accipitridae (Hawks, Eagles, and Kites)</v>
          </cell>
        </row>
        <row r="738">
          <cell r="E738" t="str">
            <v>Gray Heron</v>
          </cell>
          <cell r="F738" t="str">
            <v>Héron cendré</v>
          </cell>
          <cell r="G738" t="str">
            <v>Ardea cinerea</v>
          </cell>
          <cell r="H738" t="str">
            <v>Pelecaniformes</v>
          </cell>
          <cell r="I738" t="str">
            <v>Ardeidae (Herons, Egrets, and Bitterns)</v>
          </cell>
        </row>
        <row r="739">
          <cell r="E739" t="str">
            <v>Gray Kingbird</v>
          </cell>
          <cell r="F739" t="str">
            <v>Tyran gris</v>
          </cell>
          <cell r="G739" t="str">
            <v>Tyrannus dominicensis</v>
          </cell>
          <cell r="H739" t="str">
            <v>Passeriformes</v>
          </cell>
          <cell r="I739" t="str">
            <v>Tyrannidae (Tyrant Flycatchers)</v>
          </cell>
        </row>
        <row r="740">
          <cell r="E740" t="str">
            <v>Gray Partridge</v>
          </cell>
          <cell r="F740" t="str">
            <v>Perdrix grise</v>
          </cell>
          <cell r="G740" t="str">
            <v>Perdix perdix</v>
          </cell>
          <cell r="H740" t="str">
            <v>Galliformes</v>
          </cell>
          <cell r="I740" t="str">
            <v>Phasianidae (Pheasants, Grouse, and Allies)</v>
          </cell>
        </row>
        <row r="741">
          <cell r="E741" t="str">
            <v>Gray Shrikethrush</v>
          </cell>
          <cell r="F741" t="str">
            <v>Siffleur gris</v>
          </cell>
          <cell r="G741" t="str">
            <v>Colluricincla harmonica</v>
          </cell>
          <cell r="H741" t="str">
            <v>Passeriformes</v>
          </cell>
          <cell r="I741" t="str">
            <v>Pachycephalidae (Whistlers and Allies)</v>
          </cell>
        </row>
        <row r="742">
          <cell r="E742" t="str">
            <v>Gray Teal</v>
          </cell>
          <cell r="F742" t="str">
            <v>Sarcelle australasienne</v>
          </cell>
          <cell r="G742" t="str">
            <v>Anas gracilis</v>
          </cell>
          <cell r="H742" t="str">
            <v>Anseriformes</v>
          </cell>
          <cell r="I742" t="str">
            <v>Anatidae (Ducks, Geese, and Waterfowl)</v>
          </cell>
        </row>
        <row r="743">
          <cell r="E743" t="str">
            <v>Gray-backed Fiscal</v>
          </cell>
          <cell r="F743" t="str">
            <v>Pie-grièche à dos gris</v>
          </cell>
          <cell r="G743" t="str">
            <v>Lanius excubitoroides</v>
          </cell>
          <cell r="H743" t="str">
            <v>Passeriformes</v>
          </cell>
          <cell r="I743" t="str">
            <v>Laniidae (Shrikes)</v>
          </cell>
        </row>
        <row r="744">
          <cell r="E744" t="str">
            <v>Gray-backed Sparrow-Lark</v>
          </cell>
          <cell r="F744" t="str">
            <v>Moinelette à dos gris</v>
          </cell>
          <cell r="G744" t="str">
            <v>Eremopterix verticalis</v>
          </cell>
          <cell r="H744" t="str">
            <v>Passeriformes</v>
          </cell>
          <cell r="I744" t="str">
            <v>Alaudidae (Larks)</v>
          </cell>
        </row>
        <row r="745">
          <cell r="E745" t="str">
            <v>Gray-breasted Martin</v>
          </cell>
          <cell r="F745" t="str">
            <v>Hirondelle chalybée</v>
          </cell>
          <cell r="G745" t="str">
            <v>Progne chalybea</v>
          </cell>
          <cell r="H745" t="str">
            <v>Passeriformes</v>
          </cell>
          <cell r="I745" t="str">
            <v>Hirundinidae (Swallows)</v>
          </cell>
        </row>
        <row r="746">
          <cell r="E746" t="str">
            <v>Gray-breasted Wood-Wren</v>
          </cell>
          <cell r="F746" t="str">
            <v>Troglodyte à poitrine grise</v>
          </cell>
          <cell r="G746" t="str">
            <v>Henicorhina leucophrys</v>
          </cell>
          <cell r="H746" t="str">
            <v>Passeriformes</v>
          </cell>
          <cell r="I746" t="str">
            <v>Troglodytidae (Wrens)</v>
          </cell>
        </row>
        <row r="747">
          <cell r="E747" t="str">
            <v>Gray-browed Brushfinch</v>
          </cell>
          <cell r="F747" t="str">
            <v>Tohi à raies grises</v>
          </cell>
          <cell r="G747" t="str">
            <v>Arremon assimilis</v>
          </cell>
          <cell r="H747" t="str">
            <v>Passeriformes</v>
          </cell>
          <cell r="I747" t="str">
            <v>Passerellidae (New World Sparrows)</v>
          </cell>
        </row>
        <row r="748">
          <cell r="E748" t="str">
            <v>Gray-capped Flycatcher</v>
          </cell>
          <cell r="F748" t="str">
            <v>Tyran à tête grise</v>
          </cell>
          <cell r="G748" t="str">
            <v>Myiozetetes granadensis</v>
          </cell>
          <cell r="H748" t="str">
            <v>Passeriformes</v>
          </cell>
          <cell r="I748" t="str">
            <v>Tyrannidae (Tyrant Flycatchers)</v>
          </cell>
        </row>
        <row r="749">
          <cell r="E749" t="str">
            <v>Gray-cheeked Nunlet</v>
          </cell>
          <cell r="F749" t="str">
            <v>Barbacou à joues grises</v>
          </cell>
          <cell r="G749" t="str">
            <v>Nonnula frontalis</v>
          </cell>
          <cell r="H749" t="str">
            <v>Piciformes</v>
          </cell>
          <cell r="I749" t="str">
            <v>Bucconidae (Puffbirds)</v>
          </cell>
        </row>
        <row r="750">
          <cell r="E750" t="str">
            <v>Gray-cheeked Thrush</v>
          </cell>
          <cell r="F750" t="str">
            <v>Grive à joues grises</v>
          </cell>
          <cell r="G750" t="str">
            <v>Catharus minimus</v>
          </cell>
          <cell r="H750" t="str">
            <v>Passeriformes</v>
          </cell>
          <cell r="I750" t="str">
            <v>Turdidae (Thrushes and Allies)</v>
          </cell>
        </row>
        <row r="751">
          <cell r="E751" t="str">
            <v>Gray-chested Dove</v>
          </cell>
          <cell r="F751" t="str">
            <v>Colombe de Cassin</v>
          </cell>
          <cell r="G751" t="str">
            <v>Leptotila cassinii</v>
          </cell>
          <cell r="H751" t="str">
            <v>Columbiformes</v>
          </cell>
          <cell r="I751" t="str">
            <v>Columbidae (Pigeons and Doves)</v>
          </cell>
        </row>
        <row r="752">
          <cell r="E752" t="str">
            <v>Gray-cowled Wood-Rail</v>
          </cell>
          <cell r="F752" t="str">
            <v>Râle de Cayenne</v>
          </cell>
          <cell r="G752" t="str">
            <v>Aramides cajaneus</v>
          </cell>
          <cell r="H752" t="str">
            <v>Gruiformes</v>
          </cell>
          <cell r="I752" t="str">
            <v>Rallidae (Rails, Gallinules, and Coots)</v>
          </cell>
        </row>
        <row r="753">
          <cell r="E753" t="str">
            <v>Gray-crowned Babbler</v>
          </cell>
          <cell r="F753" t="str">
            <v>Pomatostome à calotte grise</v>
          </cell>
          <cell r="G753" t="str">
            <v>Pomatostomus temporalis</v>
          </cell>
          <cell r="H753" t="str">
            <v>Passeriformes</v>
          </cell>
          <cell r="I753" t="str">
            <v>Pomatostomidae (Pseudo-Babblers)</v>
          </cell>
        </row>
        <row r="754">
          <cell r="E754" t="str">
            <v>Gray-crowned Yellowthroat</v>
          </cell>
          <cell r="F754" t="str">
            <v>Paruline à calotte grise</v>
          </cell>
          <cell r="G754" t="str">
            <v>Geothlypis poliocephala</v>
          </cell>
          <cell r="H754" t="str">
            <v>Passeriformes</v>
          </cell>
          <cell r="I754" t="str">
            <v>Parulidae (New World Warblers)</v>
          </cell>
        </row>
        <row r="755">
          <cell r="E755" t="str">
            <v>Gray-fronted Dove</v>
          </cell>
          <cell r="F755" t="str">
            <v>Colombe à front gris</v>
          </cell>
          <cell r="G755" t="str">
            <v>Leptotila rufaxilla</v>
          </cell>
          <cell r="H755" t="str">
            <v>Columbiformes</v>
          </cell>
          <cell r="I755" t="str">
            <v>Columbidae (Pigeons and Doves)</v>
          </cell>
        </row>
        <row r="756">
          <cell r="E756" t="str">
            <v>Gray-fronted Honeyeater</v>
          </cell>
          <cell r="F756" t="str">
            <v>Méliphage à plumet noir</v>
          </cell>
          <cell r="G756" t="str">
            <v>Ptilotula plumula</v>
          </cell>
          <cell r="H756" t="str">
            <v>Passeriformes</v>
          </cell>
          <cell r="I756" t="str">
            <v>Meliphagidae (Honeyeaters)</v>
          </cell>
        </row>
        <row r="757">
          <cell r="E757" t="str">
            <v>Gray-headed Bushshrike</v>
          </cell>
          <cell r="F757" t="str">
            <v>Gladiateur de Blanchot</v>
          </cell>
          <cell r="G757" t="str">
            <v>Malaconotus blanchoti</v>
          </cell>
          <cell r="H757" t="str">
            <v>Passeriformes</v>
          </cell>
          <cell r="I757" t="str">
            <v>Malaconotidae (Bushshrikes and Allies)</v>
          </cell>
        </row>
        <row r="758">
          <cell r="E758" t="str">
            <v>Gray-headed Chachalaca</v>
          </cell>
          <cell r="F758" t="str">
            <v>Ortalide à tête grise</v>
          </cell>
          <cell r="G758" t="str">
            <v>Ortalis cinereiceps</v>
          </cell>
          <cell r="H758" t="str">
            <v>Galliformes</v>
          </cell>
          <cell r="I758" t="str">
            <v>Cracidae (Guans, Chachalacas, and Curassows)</v>
          </cell>
        </row>
        <row r="759">
          <cell r="E759" t="str">
            <v>Gray-headed Kingfisher</v>
          </cell>
          <cell r="F759" t="str">
            <v>Martin-chasseur à tête grise</v>
          </cell>
          <cell r="G759" t="str">
            <v>Halcyon leucocephala</v>
          </cell>
          <cell r="H759" t="str">
            <v>Coraciiformes</v>
          </cell>
          <cell r="I759" t="str">
            <v>Alcedinidae (Kingfishers)</v>
          </cell>
        </row>
        <row r="760">
          <cell r="E760" t="str">
            <v>Gray-headed Kite</v>
          </cell>
          <cell r="F760" t="str">
            <v>Bec-en-croc de Cayenne</v>
          </cell>
          <cell r="G760" t="str">
            <v>Leptodon cayanensis</v>
          </cell>
          <cell r="H760" t="str">
            <v>Accipitriformes</v>
          </cell>
          <cell r="I760" t="str">
            <v>Accipitridae (Hawks, Eagles, and Kites)</v>
          </cell>
        </row>
        <row r="761">
          <cell r="E761" t="str">
            <v>Gray-headed Lovebird</v>
          </cell>
          <cell r="F761" t="str">
            <v>Inséparable à tête grise</v>
          </cell>
          <cell r="G761" t="str">
            <v>Agapornis canus</v>
          </cell>
          <cell r="H761" t="str">
            <v>Psittaciformes</v>
          </cell>
          <cell r="I761" t="str">
            <v>Psittaculidae (Old World Parrots)</v>
          </cell>
        </row>
        <row r="762">
          <cell r="E762" t="str">
            <v>Gray-headed Swamphen</v>
          </cell>
          <cell r="F762" t="str">
            <v>Talève à tête grise</v>
          </cell>
          <cell r="G762" t="str">
            <v>Porphyrio poliocephalus</v>
          </cell>
          <cell r="H762" t="str">
            <v>Gruiformes</v>
          </cell>
          <cell r="I762" t="str">
            <v>Rallidae (Rails, Gallinules, and Coots)</v>
          </cell>
        </row>
        <row r="763">
          <cell r="E763" t="str">
            <v>Gray-headed Tanager</v>
          </cell>
          <cell r="F763" t="str">
            <v>Tangara à tête grise</v>
          </cell>
          <cell r="G763" t="str">
            <v>Eucometis penicillata</v>
          </cell>
          <cell r="H763" t="str">
            <v>Passeriformes</v>
          </cell>
          <cell r="I763" t="str">
            <v>Thraupidae (Tanagers and Allies)</v>
          </cell>
        </row>
        <row r="764">
          <cell r="E764" t="str">
            <v>Gray-hooded Gull</v>
          </cell>
          <cell r="F764" t="str">
            <v>Mouette à tête grise</v>
          </cell>
          <cell r="G764" t="str">
            <v>Chroicocephalus cirrocephalus</v>
          </cell>
          <cell r="H764" t="str">
            <v>Charadriiformes</v>
          </cell>
          <cell r="I764" t="str">
            <v>Laridae (Gulls, Terns, and Skimmers)</v>
          </cell>
        </row>
        <row r="765">
          <cell r="E765" t="str">
            <v>Gray-lined Hawk</v>
          </cell>
          <cell r="F765" t="str">
            <v>Buse cendrée</v>
          </cell>
          <cell r="G765" t="str">
            <v>Buteo nitidus</v>
          </cell>
          <cell r="H765" t="str">
            <v>Accipitriformes</v>
          </cell>
          <cell r="I765" t="str">
            <v>Accipitridae (Hawks, Eagles, and Kites)</v>
          </cell>
        </row>
        <row r="766">
          <cell r="E766" t="str">
            <v>Gray-rumped Swift</v>
          </cell>
          <cell r="F766" t="str">
            <v>Martinet à croupion gris</v>
          </cell>
          <cell r="G766" t="str">
            <v>Chaetura cinereiventris</v>
          </cell>
          <cell r="H766" t="str">
            <v>Apodiformes</v>
          </cell>
          <cell r="I766" t="str">
            <v>Apodidae (Swifts)</v>
          </cell>
        </row>
        <row r="767">
          <cell r="E767" t="str">
            <v>Gray-throated Leaftosser</v>
          </cell>
          <cell r="F767" t="str">
            <v>Sclérure à gorge grise</v>
          </cell>
          <cell r="G767" t="str">
            <v>Sclerurus albigularis</v>
          </cell>
          <cell r="H767" t="str">
            <v>Passeriformes</v>
          </cell>
          <cell r="I767" t="str">
            <v>Furnariidae (Ovenbirds and Woodcreepers)</v>
          </cell>
        </row>
        <row r="768">
          <cell r="E768" t="str">
            <v>Grayish Piculet</v>
          </cell>
          <cell r="F768" t="str">
            <v>Picumne gris</v>
          </cell>
          <cell r="G768" t="str">
            <v>Picumnus granadensis</v>
          </cell>
          <cell r="H768" t="str">
            <v>Piciformes</v>
          </cell>
          <cell r="I768" t="str">
            <v>Picidae (Woodpeckers)</v>
          </cell>
        </row>
        <row r="769">
          <cell r="E769" t="str">
            <v>Great Antshrike</v>
          </cell>
          <cell r="F769" t="str">
            <v>Grand Batara</v>
          </cell>
          <cell r="G769" t="str">
            <v>Taraba major</v>
          </cell>
          <cell r="H769" t="str">
            <v>Passeriformes</v>
          </cell>
          <cell r="I769" t="str">
            <v>Thamnophilidae (Typical Antbirds)</v>
          </cell>
        </row>
        <row r="770">
          <cell r="E770" t="str">
            <v>Great Black Hawk</v>
          </cell>
          <cell r="F770" t="str">
            <v>Buse urubu</v>
          </cell>
          <cell r="G770" t="str">
            <v>Buteogallus urubitinga</v>
          </cell>
          <cell r="H770" t="str">
            <v>Accipitriformes</v>
          </cell>
          <cell r="I770" t="str">
            <v>Accipitridae (Hawks, Eagles, and Kites)</v>
          </cell>
        </row>
        <row r="771">
          <cell r="E771" t="str">
            <v>Great Black-backed Gull</v>
          </cell>
          <cell r="F771" t="str">
            <v>Goéland marin</v>
          </cell>
          <cell r="G771" t="str">
            <v>Larus marinus</v>
          </cell>
          <cell r="H771" t="str">
            <v>Charadriiformes</v>
          </cell>
          <cell r="I771" t="str">
            <v>Laridae (Gulls, Terns, and Skimmers)</v>
          </cell>
        </row>
        <row r="772">
          <cell r="E772" t="str">
            <v>Great Blue Heron</v>
          </cell>
          <cell r="F772" t="str">
            <v>Grand Héron</v>
          </cell>
          <cell r="G772" t="str">
            <v>Ardea herodias</v>
          </cell>
          <cell r="H772" t="str">
            <v>Pelecaniformes</v>
          </cell>
          <cell r="I772" t="str">
            <v>Ardeidae (Herons, Egrets, and Bitterns)</v>
          </cell>
        </row>
        <row r="773">
          <cell r="E773" t="str">
            <v>Great Cormorant</v>
          </cell>
          <cell r="F773" t="str">
            <v>Grand Cormoran</v>
          </cell>
          <cell r="G773" t="str">
            <v>Phalacrocorax carbo</v>
          </cell>
          <cell r="H773" t="str">
            <v>Suliformes</v>
          </cell>
          <cell r="I773" t="str">
            <v>Phalacrocoracidae (Cormorants and Shags)</v>
          </cell>
        </row>
        <row r="774">
          <cell r="E774" t="str">
            <v>Great Crested Flycatcher</v>
          </cell>
          <cell r="F774" t="str">
            <v>Tyran huppé</v>
          </cell>
          <cell r="G774" t="str">
            <v>Myiarchus crinitus</v>
          </cell>
          <cell r="H774" t="str">
            <v>Passeriformes</v>
          </cell>
          <cell r="I774" t="str">
            <v>Tyrannidae (Tyrant Flycatchers)</v>
          </cell>
        </row>
        <row r="775">
          <cell r="E775" t="str">
            <v>Great Crested Grebe</v>
          </cell>
          <cell r="F775" t="str">
            <v>Grèbe huppé</v>
          </cell>
          <cell r="G775" t="str">
            <v>Podiceps cristatus</v>
          </cell>
          <cell r="H775" t="str">
            <v>Podicipediformes</v>
          </cell>
          <cell r="I775" t="str">
            <v>Podicipedidae (Grebes)</v>
          </cell>
        </row>
        <row r="776">
          <cell r="E776" t="str">
            <v>Great Crested Tern</v>
          </cell>
          <cell r="F776" t="str">
            <v>Sterne huppée</v>
          </cell>
          <cell r="G776" t="str">
            <v>Thalasseus bergii</v>
          </cell>
          <cell r="H776" t="str">
            <v>Charadriiformes</v>
          </cell>
          <cell r="I776" t="str">
            <v>Laridae (Gulls, Terns, and Skimmers)</v>
          </cell>
        </row>
        <row r="777">
          <cell r="E777" t="str">
            <v>Great Curassow</v>
          </cell>
          <cell r="F777" t="str">
            <v>Grand Hocco</v>
          </cell>
          <cell r="G777" t="str">
            <v>Crax rubra</v>
          </cell>
          <cell r="H777" t="str">
            <v>Galliformes</v>
          </cell>
          <cell r="I777" t="str">
            <v>Cracidae (Guans, Chachalacas, and Curassows)</v>
          </cell>
        </row>
        <row r="778">
          <cell r="E778" t="str">
            <v>Great Egret</v>
          </cell>
          <cell r="F778" t="str">
            <v>Grande Aigrette</v>
          </cell>
          <cell r="G778" t="str">
            <v>Ardea alba</v>
          </cell>
          <cell r="H778" t="str">
            <v>Pelecaniformes</v>
          </cell>
          <cell r="I778" t="str">
            <v>Ardeidae (Herons, Egrets, and Bitterns)</v>
          </cell>
        </row>
        <row r="779">
          <cell r="E779" t="str">
            <v>Great Gray Owl</v>
          </cell>
          <cell r="F779" t="str">
            <v>Chouette lapone</v>
          </cell>
          <cell r="G779" t="str">
            <v>Strix nebulosa</v>
          </cell>
          <cell r="H779" t="str">
            <v>Strigiformes</v>
          </cell>
          <cell r="I779" t="str">
            <v>Strigidae (Owls)</v>
          </cell>
        </row>
        <row r="780">
          <cell r="E780" t="str">
            <v>Great Green Macaw</v>
          </cell>
          <cell r="F780" t="str">
            <v>Ara de Buffon</v>
          </cell>
          <cell r="G780" t="str">
            <v>Ara ambiguus</v>
          </cell>
          <cell r="H780" t="str">
            <v>Psittaciformes</v>
          </cell>
          <cell r="I780" t="str">
            <v>Psittacidae (New World and African Parrots)</v>
          </cell>
        </row>
        <row r="781">
          <cell r="E781" t="str">
            <v>Great Horned Owl</v>
          </cell>
          <cell r="F781" t="str">
            <v>Grand-duc d'Amérique</v>
          </cell>
          <cell r="G781" t="str">
            <v>Bubo virginianus</v>
          </cell>
          <cell r="H781" t="str">
            <v>Strigiformes</v>
          </cell>
          <cell r="I781" t="str">
            <v>Strigidae (Owls)</v>
          </cell>
        </row>
        <row r="782">
          <cell r="E782" t="str">
            <v>Great Jacamar</v>
          </cell>
          <cell r="F782" t="str">
            <v>Grand Jacamar</v>
          </cell>
          <cell r="G782" t="str">
            <v>Jacamerops aureus</v>
          </cell>
          <cell r="H782" t="str">
            <v>Piciformes</v>
          </cell>
          <cell r="I782" t="str">
            <v>Galbulidae (Jacamars)</v>
          </cell>
        </row>
        <row r="783">
          <cell r="E783" t="str">
            <v>Great Kiskadee</v>
          </cell>
          <cell r="F783" t="str">
            <v>Tyran quiquivi</v>
          </cell>
          <cell r="G783" t="str">
            <v>Pitangus sulphuratus</v>
          </cell>
          <cell r="H783" t="str">
            <v>Passeriformes</v>
          </cell>
          <cell r="I783" t="str">
            <v>Tyrannidae (Tyrant Flycatchers)</v>
          </cell>
        </row>
        <row r="784">
          <cell r="E784" t="str">
            <v>Great Potoo</v>
          </cell>
          <cell r="F784" t="str">
            <v>Grand Ibijau</v>
          </cell>
          <cell r="G784" t="str">
            <v>Nyctibius grandis</v>
          </cell>
          <cell r="H784" t="str">
            <v>Nyctibiiformes</v>
          </cell>
          <cell r="I784" t="str">
            <v>Nyctibiidae (Potoos)</v>
          </cell>
        </row>
        <row r="785">
          <cell r="E785" t="str">
            <v>Great Rufous Sparrow</v>
          </cell>
          <cell r="F785" t="str">
            <v>Grand Moineau</v>
          </cell>
          <cell r="G785" t="str">
            <v>Passer motitensis</v>
          </cell>
          <cell r="H785" t="str">
            <v>Passeriformes</v>
          </cell>
          <cell r="I785" t="str">
            <v>Passeridae (Old World Sparrows)</v>
          </cell>
        </row>
        <row r="786">
          <cell r="E786" t="str">
            <v>Great Sapphirewing</v>
          </cell>
          <cell r="F786" t="str">
            <v>Colibri à ailes saphir</v>
          </cell>
          <cell r="G786" t="str">
            <v>Pterophanes cyanopterus</v>
          </cell>
          <cell r="H786" t="str">
            <v>Apodiformes</v>
          </cell>
          <cell r="I786" t="str">
            <v>Trochilidae (Hummingbirds)</v>
          </cell>
        </row>
        <row r="787">
          <cell r="E787" t="str">
            <v>Great Thrush</v>
          </cell>
          <cell r="F787" t="str">
            <v>Merle géant</v>
          </cell>
          <cell r="G787" t="str">
            <v>Turdus fuscater</v>
          </cell>
          <cell r="H787" t="str">
            <v>Passeriformes</v>
          </cell>
          <cell r="I787" t="str">
            <v>Turdidae (Thrushes and Allies)</v>
          </cell>
        </row>
        <row r="788">
          <cell r="E788" t="str">
            <v>Great Tinamou</v>
          </cell>
          <cell r="F788" t="str">
            <v>Grand Tinamou</v>
          </cell>
          <cell r="G788" t="str">
            <v>Tinamus major</v>
          </cell>
          <cell r="H788" t="str">
            <v>Tinamiformes</v>
          </cell>
          <cell r="I788" t="str">
            <v>Tinamidae (Tinamous)</v>
          </cell>
        </row>
        <row r="789">
          <cell r="E789" t="str">
            <v>Great Tit</v>
          </cell>
          <cell r="F789" t="str">
            <v>Mésange charbonnière</v>
          </cell>
          <cell r="G789" t="str">
            <v>Parus major</v>
          </cell>
          <cell r="H789" t="str">
            <v>Passeriformes</v>
          </cell>
          <cell r="I789" t="str">
            <v>Paridae (Tits, Chickadees, and Titmice)</v>
          </cell>
        </row>
        <row r="790">
          <cell r="E790" t="str">
            <v>Great White Pelican</v>
          </cell>
          <cell r="F790" t="str">
            <v>Pélican blanc</v>
          </cell>
          <cell r="G790" t="str">
            <v>Pelecanus onocrotalus</v>
          </cell>
          <cell r="H790" t="str">
            <v>Pelecaniformes</v>
          </cell>
          <cell r="I790" t="str">
            <v>Pelecanidae (Pelicans)</v>
          </cell>
        </row>
        <row r="791">
          <cell r="E791" t="str">
            <v>Great-tailed Grackle</v>
          </cell>
          <cell r="F791" t="str">
            <v>Quiscale à longue queue</v>
          </cell>
          <cell r="G791" t="str">
            <v>Quiscalus mexicanus</v>
          </cell>
          <cell r="H791" t="str">
            <v>Passeriformes</v>
          </cell>
          <cell r="I791" t="str">
            <v>Icteridae (Troupials and Allies)</v>
          </cell>
        </row>
        <row r="792">
          <cell r="E792" t="str">
            <v>Greater Ani</v>
          </cell>
          <cell r="F792" t="str">
            <v>Ani des palétuviers</v>
          </cell>
          <cell r="G792" t="str">
            <v>Crotophaga major</v>
          </cell>
          <cell r="H792" t="str">
            <v>Cuculiformes</v>
          </cell>
          <cell r="I792" t="str">
            <v>Cuculidae (Cuckoos)</v>
          </cell>
        </row>
        <row r="793">
          <cell r="E793" t="str">
            <v>Greater Bluebonnet</v>
          </cell>
          <cell r="F793" t="str">
            <v>Perruche à bonnet bleu</v>
          </cell>
          <cell r="G793" t="str">
            <v>Northiella haematogaster</v>
          </cell>
          <cell r="H793" t="str">
            <v>Psittaciformes</v>
          </cell>
          <cell r="I793" t="str">
            <v>Psittaculidae (Old World Parrots)</v>
          </cell>
        </row>
        <row r="794">
          <cell r="E794" t="str">
            <v>Greater Double-collared Sunbird</v>
          </cell>
          <cell r="F794" t="str">
            <v>Souimanga à plastron rouge</v>
          </cell>
          <cell r="G794" t="str">
            <v>Cinnyris afer</v>
          </cell>
          <cell r="H794" t="str">
            <v>Passeriformes</v>
          </cell>
          <cell r="I794" t="str">
            <v>Nectariniidae (Sunbirds and Spiderhunters)</v>
          </cell>
        </row>
        <row r="795">
          <cell r="E795" t="str">
            <v>Greater Flamingo</v>
          </cell>
          <cell r="F795" t="str">
            <v>Flamant rose</v>
          </cell>
          <cell r="G795" t="str">
            <v>Phoenicopterus roseus</v>
          </cell>
          <cell r="H795" t="str">
            <v>Phoenicopteriformes</v>
          </cell>
          <cell r="I795" t="str">
            <v>Phoenicopteridae (Flamingos)</v>
          </cell>
        </row>
        <row r="796">
          <cell r="E796" t="str">
            <v>Greater Kestrel</v>
          </cell>
          <cell r="F796" t="str">
            <v>Crécerelle aux yeux blancs</v>
          </cell>
          <cell r="G796" t="str">
            <v>Falco rupicoloides</v>
          </cell>
          <cell r="H796" t="str">
            <v>Falconiformes</v>
          </cell>
          <cell r="I796" t="str">
            <v>Falconidae (Falcons and Caracaras)</v>
          </cell>
        </row>
        <row r="797">
          <cell r="E797" t="str">
            <v>Greater Painted-Snipe</v>
          </cell>
          <cell r="F797" t="str">
            <v>Rhynchée peinte</v>
          </cell>
          <cell r="G797" t="str">
            <v>Rostratula benghalensis</v>
          </cell>
          <cell r="H797" t="str">
            <v>Charadriiformes</v>
          </cell>
          <cell r="I797" t="str">
            <v>Rostratulidae (Painted-Snipes)</v>
          </cell>
        </row>
        <row r="798">
          <cell r="E798" t="str">
            <v>Greater Roadrunner</v>
          </cell>
          <cell r="F798" t="str">
            <v>Grand Géocoucou</v>
          </cell>
          <cell r="G798" t="str">
            <v>Geococcyx californianus</v>
          </cell>
          <cell r="H798" t="str">
            <v>Cuculiformes</v>
          </cell>
          <cell r="I798" t="str">
            <v>Cuculidae (Cuckoos)</v>
          </cell>
        </row>
        <row r="799">
          <cell r="E799" t="str">
            <v>Greater Scaup</v>
          </cell>
          <cell r="F799" t="str">
            <v>Fuligule milouinan</v>
          </cell>
          <cell r="G799" t="str">
            <v>Aythya marila</v>
          </cell>
          <cell r="H799" t="str">
            <v>Anseriformes</v>
          </cell>
          <cell r="I799" t="str">
            <v>Anatidae (Ducks, Geese, and Waterfowl)</v>
          </cell>
        </row>
        <row r="800">
          <cell r="E800" t="str">
            <v>Greater Striped Swallow</v>
          </cell>
          <cell r="F800" t="str">
            <v>Hirondelle à tête rousse</v>
          </cell>
          <cell r="G800" t="str">
            <v>Cecropis cucullata</v>
          </cell>
          <cell r="H800" t="str">
            <v>Passeriformes</v>
          </cell>
          <cell r="I800" t="str">
            <v>Hirundinidae (Swallows)</v>
          </cell>
        </row>
        <row r="801">
          <cell r="E801" t="str">
            <v>Greater Vasa Parrot</v>
          </cell>
          <cell r="F801" t="str">
            <v>Grand Vaza</v>
          </cell>
          <cell r="G801" t="str">
            <v>Coracopsis vasa</v>
          </cell>
          <cell r="H801" t="str">
            <v>Psittaciformes</v>
          </cell>
          <cell r="I801" t="str">
            <v>Psittaculidae (Old World Parrots)</v>
          </cell>
        </row>
        <row r="802">
          <cell r="E802" t="str">
            <v>Greater White-fronted Goose</v>
          </cell>
          <cell r="F802" t="str">
            <v>Oie rieuse</v>
          </cell>
          <cell r="G802" t="str">
            <v>Anser albifrons</v>
          </cell>
          <cell r="H802" t="str">
            <v>Anseriformes</v>
          </cell>
          <cell r="I802" t="str">
            <v>Anatidae (Ducks, Geese, and Waterfowl)</v>
          </cell>
        </row>
        <row r="803">
          <cell r="E803" t="str">
            <v>Greater Yellowlegs</v>
          </cell>
          <cell r="F803" t="str">
            <v>Grand Chevalier</v>
          </cell>
          <cell r="G803" t="str">
            <v>Tringa melanoleuca</v>
          </cell>
          <cell r="H803" t="str">
            <v>Charadriiformes</v>
          </cell>
          <cell r="I803" t="str">
            <v>Scolopacidae (Sandpipers and Allies)</v>
          </cell>
        </row>
        <row r="804">
          <cell r="E804" t="str">
            <v>Green Catbird</v>
          </cell>
          <cell r="F804" t="str">
            <v>Jardinier vert</v>
          </cell>
          <cell r="G804" t="str">
            <v>Ailuroedus crassirostris</v>
          </cell>
          <cell r="H804" t="str">
            <v>Passeriformes</v>
          </cell>
          <cell r="I804" t="str">
            <v>Ptilonorhynchidae (Bowerbirds)</v>
          </cell>
        </row>
        <row r="805">
          <cell r="E805" t="str">
            <v>Green Hermit</v>
          </cell>
          <cell r="F805" t="str">
            <v>Ermite vert</v>
          </cell>
          <cell r="G805" t="str">
            <v>Phaethornis guy</v>
          </cell>
          <cell r="H805" t="str">
            <v>Apodiformes</v>
          </cell>
          <cell r="I805" t="str">
            <v>Trochilidae (Hummingbirds)</v>
          </cell>
        </row>
        <row r="806">
          <cell r="E806" t="str">
            <v>Green Heron</v>
          </cell>
          <cell r="F806" t="str">
            <v>Héron vert</v>
          </cell>
          <cell r="G806" t="str">
            <v>Butorides virescens</v>
          </cell>
          <cell r="H806" t="str">
            <v>Pelecaniformes</v>
          </cell>
          <cell r="I806" t="str">
            <v>Ardeidae (Herons, Egrets, and Bitterns)</v>
          </cell>
        </row>
        <row r="807">
          <cell r="E807" t="str">
            <v>Green Honeycreeper</v>
          </cell>
          <cell r="F807" t="str">
            <v>Tangara émeraude</v>
          </cell>
          <cell r="G807" t="str">
            <v>Chlorophanes spiza</v>
          </cell>
          <cell r="H807" t="str">
            <v>Passeriformes</v>
          </cell>
          <cell r="I807" t="str">
            <v>Thraupidae (Tanagers and Allies)</v>
          </cell>
        </row>
        <row r="808">
          <cell r="E808" t="str">
            <v>Green Ibis</v>
          </cell>
          <cell r="F808" t="str">
            <v>Ibis vert</v>
          </cell>
          <cell r="G808" t="str">
            <v>Mesembrinibis cayennensis</v>
          </cell>
          <cell r="H808" t="str">
            <v>Pelecaniformes</v>
          </cell>
          <cell r="I808" t="str">
            <v>Threskiornithidae (Ibises and Spoonbills)</v>
          </cell>
        </row>
        <row r="809">
          <cell r="E809" t="str">
            <v>Green Jay</v>
          </cell>
          <cell r="F809" t="str">
            <v>Geai vert</v>
          </cell>
          <cell r="G809" t="str">
            <v>Cyanocorax yncas</v>
          </cell>
          <cell r="H809" t="str">
            <v>Passeriformes</v>
          </cell>
          <cell r="I809" t="str">
            <v>Corvidae (Crows, Jays, and Magpies)</v>
          </cell>
        </row>
        <row r="810">
          <cell r="E810" t="str">
            <v>Green Jery</v>
          </cell>
          <cell r="F810" t="str">
            <v>Éroesse verte</v>
          </cell>
          <cell r="G810" t="str">
            <v>Neomixis viridis</v>
          </cell>
          <cell r="H810" t="str">
            <v>Passeriformes</v>
          </cell>
          <cell r="I810" t="str">
            <v>Cisticolidae (Cisticolas and Allies)</v>
          </cell>
        </row>
        <row r="811">
          <cell r="E811" t="str">
            <v>Green Kingfisher</v>
          </cell>
          <cell r="F811" t="str">
            <v>Martin-pêcheur vert</v>
          </cell>
          <cell r="G811" t="str">
            <v>Chloroceryle americana</v>
          </cell>
          <cell r="H811" t="str">
            <v>Coraciiformes</v>
          </cell>
          <cell r="I811" t="str">
            <v>Alcedinidae (Kingfishers)</v>
          </cell>
        </row>
        <row r="812">
          <cell r="E812" t="str">
            <v>Green Rosella</v>
          </cell>
          <cell r="F812" t="str">
            <v>Perruche à ventre jaune</v>
          </cell>
          <cell r="G812" t="str">
            <v>Platycercus caledonicus</v>
          </cell>
          <cell r="H812" t="str">
            <v>Psittaciformes</v>
          </cell>
          <cell r="I812" t="str">
            <v>Psittaculidae (Old World Parrots)</v>
          </cell>
        </row>
        <row r="813">
          <cell r="E813" t="str">
            <v>Green Shrike-Vireo</v>
          </cell>
          <cell r="F813" t="str">
            <v>Smaragdan émeraude</v>
          </cell>
          <cell r="G813" t="str">
            <v>Vireolanius pulchellus</v>
          </cell>
          <cell r="H813" t="str">
            <v>Passeriformes</v>
          </cell>
          <cell r="I813" t="str">
            <v>Vireonidae (Vireos, Shrike-Babblers, and Erpornis)</v>
          </cell>
        </row>
        <row r="814">
          <cell r="E814" t="str">
            <v>Green Thorntail</v>
          </cell>
          <cell r="F814" t="str">
            <v>Coquette à queue fine</v>
          </cell>
          <cell r="G814" t="str">
            <v>Discosura conversii</v>
          </cell>
          <cell r="H814" t="str">
            <v>Apodiformes</v>
          </cell>
          <cell r="I814" t="str">
            <v>Trochilidae (Hummingbirds)</v>
          </cell>
        </row>
        <row r="815">
          <cell r="E815" t="str">
            <v>Green Woodhoopoe</v>
          </cell>
          <cell r="F815" t="str">
            <v>Irrisor moqueur</v>
          </cell>
          <cell r="G815" t="str">
            <v>Phoeniculus purpureus</v>
          </cell>
          <cell r="H815" t="str">
            <v>Bucerotiformes</v>
          </cell>
          <cell r="I815" t="str">
            <v>Phoeniculidae (Woodhoopoes and Scimitarbills)</v>
          </cell>
        </row>
        <row r="816">
          <cell r="E816" t="str">
            <v>Green-and-black Fruiteater</v>
          </cell>
          <cell r="F816" t="str">
            <v>Cotinga vert et noir</v>
          </cell>
          <cell r="G816" t="str">
            <v>Pipreola riefferii</v>
          </cell>
          <cell r="H816" t="str">
            <v>Passeriformes</v>
          </cell>
          <cell r="I816" t="str">
            <v>Cotingidae (Cotingas)</v>
          </cell>
        </row>
        <row r="817">
          <cell r="E817" t="str">
            <v>Green-and-rufous Kingfisher</v>
          </cell>
          <cell r="F817" t="str">
            <v>Martin-pêcheur bicolore</v>
          </cell>
          <cell r="G817" t="str">
            <v>Chloroceryle inda</v>
          </cell>
          <cell r="H817" t="str">
            <v>Coraciiformes</v>
          </cell>
          <cell r="I817" t="str">
            <v>Alcedinidae (Kingfishers)</v>
          </cell>
        </row>
        <row r="818">
          <cell r="E818" t="str">
            <v>Green-backed Camaroptera</v>
          </cell>
          <cell r="F818" t="str">
            <v>Camaroptère à tête grise</v>
          </cell>
          <cell r="G818" t="str">
            <v>Camaroptera brachyura</v>
          </cell>
          <cell r="H818" t="str">
            <v>Passeriformes</v>
          </cell>
          <cell r="I818" t="str">
            <v>Cisticolidae (Cisticolas and Allies)</v>
          </cell>
        </row>
        <row r="819">
          <cell r="E819" t="str">
            <v>Green-backed Sparrow</v>
          </cell>
          <cell r="F819" t="str">
            <v>Tohi à dos vert</v>
          </cell>
          <cell r="G819" t="str">
            <v>Arremonops chloronotus</v>
          </cell>
          <cell r="H819" t="str">
            <v>Passeriformes</v>
          </cell>
          <cell r="I819" t="str">
            <v>Passerellidae (New World Sparrows)</v>
          </cell>
        </row>
        <row r="820">
          <cell r="E820" t="str">
            <v>Green-backed Trogon</v>
          </cell>
          <cell r="F820" t="str">
            <v>Trogon à queue blanche</v>
          </cell>
          <cell r="G820" t="str">
            <v>Trogon viridis</v>
          </cell>
          <cell r="H820" t="str">
            <v>Trogoniformes</v>
          </cell>
          <cell r="I820" t="str">
            <v>Trogonidae (Trogons)</v>
          </cell>
        </row>
        <row r="821">
          <cell r="E821" t="str">
            <v>Green-breasted Mango</v>
          </cell>
          <cell r="F821" t="str">
            <v>Mango de Prévost</v>
          </cell>
          <cell r="G821" t="str">
            <v>Anthracothorax prevostii</v>
          </cell>
          <cell r="H821" t="str">
            <v>Apodiformes</v>
          </cell>
          <cell r="I821" t="str">
            <v>Trochilidae (Hummingbirds)</v>
          </cell>
        </row>
        <row r="822">
          <cell r="E822" t="str">
            <v>Green-crowned Brilliant</v>
          </cell>
          <cell r="F822" t="str">
            <v>Brillant fer-de-lance</v>
          </cell>
          <cell r="G822" t="str">
            <v>Heliodoxa jacula</v>
          </cell>
          <cell r="H822" t="str">
            <v>Apodiformes</v>
          </cell>
          <cell r="I822" t="str">
            <v>Trochilidae (Hummingbirds)</v>
          </cell>
        </row>
        <row r="823">
          <cell r="E823" t="str">
            <v>Green-fronted Lancebill</v>
          </cell>
          <cell r="F823" t="str">
            <v>Porte-lance de Louise</v>
          </cell>
          <cell r="G823" t="str">
            <v>Doryfera ludovicae</v>
          </cell>
          <cell r="H823" t="str">
            <v>Apodiformes</v>
          </cell>
          <cell r="I823" t="str">
            <v>Trochilidae (Hummingbirds)</v>
          </cell>
        </row>
        <row r="824">
          <cell r="E824" t="str">
            <v>Green-rumped Parrotlet</v>
          </cell>
          <cell r="F824" t="str">
            <v>Toui été</v>
          </cell>
          <cell r="G824" t="str">
            <v>Forpus passerinus</v>
          </cell>
          <cell r="H824" t="str">
            <v>Psittaciformes</v>
          </cell>
          <cell r="I824" t="str">
            <v>Psittacidae (New World and African Parrots)</v>
          </cell>
        </row>
        <row r="825">
          <cell r="E825" t="str">
            <v>Green-throated Mango</v>
          </cell>
          <cell r="F825" t="str">
            <v>Mango à cravate verte</v>
          </cell>
          <cell r="G825" t="str">
            <v>Anthracothorax viridigula</v>
          </cell>
          <cell r="H825" t="str">
            <v>Apodiformes</v>
          </cell>
          <cell r="I825" t="str">
            <v>Trochilidae (Hummingbirds)</v>
          </cell>
        </row>
        <row r="826">
          <cell r="E826" t="str">
            <v>Green-winged Pytilia</v>
          </cell>
          <cell r="F826" t="str">
            <v>Beaumarquet melba</v>
          </cell>
          <cell r="G826" t="str">
            <v>Pytilia melba</v>
          </cell>
          <cell r="H826" t="str">
            <v>Passeriformes</v>
          </cell>
          <cell r="I826" t="str">
            <v>Estrildidae (Waxbills and Allies)</v>
          </cell>
        </row>
        <row r="827">
          <cell r="E827" t="str">
            <v>Green-winged Teal</v>
          </cell>
          <cell r="F827" t="str">
            <v>Sarcelle d'hiver</v>
          </cell>
          <cell r="G827" t="str">
            <v>Anas crecca</v>
          </cell>
          <cell r="H827" t="str">
            <v>Anseriformes</v>
          </cell>
          <cell r="I827" t="str">
            <v>Anatidae (Ducks, Geese, and Waterfowl)</v>
          </cell>
        </row>
        <row r="828">
          <cell r="E828" t="str">
            <v>Groove-billed Ani</v>
          </cell>
          <cell r="F828" t="str">
            <v>Ani à bec cannelé</v>
          </cell>
          <cell r="G828" t="str">
            <v>Crotophaga sulcirostris</v>
          </cell>
          <cell r="H828" t="str">
            <v>Cuculiformes</v>
          </cell>
          <cell r="I828" t="str">
            <v>Cuculidae (Cuckoos)</v>
          </cell>
        </row>
        <row r="829">
          <cell r="E829" t="str">
            <v>Groove-billed Toucanet</v>
          </cell>
          <cell r="F829" t="str">
            <v>Toucanet à bec sillonné</v>
          </cell>
          <cell r="G829" t="str">
            <v>Aulacorhynchus sulcatus</v>
          </cell>
          <cell r="H829" t="str">
            <v>Piciformes</v>
          </cell>
          <cell r="I829" t="str">
            <v>Ramphastidae (Toucans)</v>
          </cell>
        </row>
        <row r="830">
          <cell r="E830" t="str">
            <v>Grosbeak Weaver</v>
          </cell>
          <cell r="F830" t="str">
            <v>Amblyospize à front blanc</v>
          </cell>
          <cell r="G830" t="str">
            <v>Amblyospiza albifrons</v>
          </cell>
          <cell r="H830" t="str">
            <v>Passeriformes</v>
          </cell>
          <cell r="I830" t="str">
            <v>Ploceidae (Weavers and Allies)</v>
          </cell>
        </row>
        <row r="831">
          <cell r="E831" t="str">
            <v>Groundscraper Thrush</v>
          </cell>
          <cell r="F831" t="str">
            <v>Grive litsitsirupa</v>
          </cell>
          <cell r="G831" t="str">
            <v>Turdus litsitsirupa</v>
          </cell>
          <cell r="H831" t="str">
            <v>Passeriformes</v>
          </cell>
          <cell r="I831" t="str">
            <v>Turdidae (Thrushes and Allies)</v>
          </cell>
        </row>
        <row r="832">
          <cell r="E832" t="str">
            <v>Guianan Violaceous Trogon</v>
          </cell>
          <cell r="F832" t="str">
            <v>Trogon violacé</v>
          </cell>
          <cell r="G832" t="str">
            <v>Trogon violaceus</v>
          </cell>
          <cell r="H832" t="str">
            <v>Trogoniformes</v>
          </cell>
          <cell r="I832" t="str">
            <v>Trogonidae (Trogons)</v>
          </cell>
        </row>
        <row r="833">
          <cell r="E833" t="str">
            <v>Guira Tanager</v>
          </cell>
          <cell r="F833" t="str">
            <v>Tangara guira</v>
          </cell>
          <cell r="G833" t="str">
            <v>Hemithraupis guira</v>
          </cell>
          <cell r="H833" t="str">
            <v>Passeriformes</v>
          </cell>
          <cell r="I833" t="str">
            <v>Thraupidae (Tanagers and Allies)</v>
          </cell>
        </row>
        <row r="834">
          <cell r="E834" t="str">
            <v>Hadada Ibis</v>
          </cell>
          <cell r="F834" t="str">
            <v>Ibis hagedash</v>
          </cell>
          <cell r="G834" t="str">
            <v>Bostrychia hagedash</v>
          </cell>
          <cell r="H834" t="str">
            <v>Pelecaniformes</v>
          </cell>
          <cell r="I834" t="str">
            <v>Threskiornithidae (Ibises and Spoonbills)</v>
          </cell>
        </row>
        <row r="835">
          <cell r="E835" t="str">
            <v>Hairy Woodpecker</v>
          </cell>
          <cell r="F835" t="str">
            <v>Pic chevelu</v>
          </cell>
          <cell r="G835" t="str">
            <v>Leuconotopicus villosus</v>
          </cell>
          <cell r="H835" t="str">
            <v>Piciformes</v>
          </cell>
          <cell r="I835" t="str">
            <v>Picidae (Woodpeckers)</v>
          </cell>
        </row>
        <row r="836">
          <cell r="E836" t="str">
            <v>Half-collared Kingfisher</v>
          </cell>
          <cell r="F836" t="str">
            <v>Martin-pêcheur à demi-collier</v>
          </cell>
          <cell r="G836" t="str">
            <v>Alcedo semitorquata</v>
          </cell>
          <cell r="H836" t="str">
            <v>Coraciiformes</v>
          </cell>
          <cell r="I836" t="str">
            <v>Alcedinidae (Kingfishers)</v>
          </cell>
        </row>
        <row r="837">
          <cell r="E837" t="str">
            <v>Hamerkop</v>
          </cell>
          <cell r="F837" t="str">
            <v>Ombrette africaine</v>
          </cell>
          <cell r="G837" t="str">
            <v>Scopus umbretta</v>
          </cell>
          <cell r="H837" t="str">
            <v>Pelecaniformes</v>
          </cell>
          <cell r="I837" t="str">
            <v>Scopidae (Hamerkop)</v>
          </cell>
        </row>
        <row r="838">
          <cell r="E838" t="str">
            <v>Hardhead</v>
          </cell>
          <cell r="F838" t="str">
            <v>Fuligule austral</v>
          </cell>
          <cell r="G838" t="str">
            <v>Aythya australis</v>
          </cell>
          <cell r="H838" t="str">
            <v>Anseriformes</v>
          </cell>
          <cell r="I838" t="str">
            <v>Anatidae (Ducks, Geese, and Waterfowl)</v>
          </cell>
        </row>
        <row r="839">
          <cell r="E839" t="str">
            <v>Harlequin Duck</v>
          </cell>
          <cell r="F839" t="str">
            <v>Arlequin plongeur</v>
          </cell>
          <cell r="G839" t="str">
            <v>Histrionicus histrionicus</v>
          </cell>
          <cell r="H839" t="str">
            <v>Anseriformes</v>
          </cell>
          <cell r="I839" t="str">
            <v>Anatidae (Ducks, Geese, and Waterfowl)</v>
          </cell>
        </row>
        <row r="840">
          <cell r="E840" t="str">
            <v>Harris's Hawk</v>
          </cell>
          <cell r="F840" t="str">
            <v>Buse de Harris</v>
          </cell>
          <cell r="G840" t="str">
            <v>Parabuteo unicinctus</v>
          </cell>
          <cell r="H840" t="str">
            <v>Accipitriformes</v>
          </cell>
          <cell r="I840" t="str">
            <v>Accipitridae (Hawks, Eagles, and Kites)</v>
          </cell>
        </row>
        <row r="841">
          <cell r="E841" t="str">
            <v>Harris's Sparrow</v>
          </cell>
          <cell r="F841" t="str">
            <v>Bruant à face noire</v>
          </cell>
          <cell r="G841" t="str">
            <v>Zonotrichia querula</v>
          </cell>
          <cell r="H841" t="str">
            <v>Passeriformes</v>
          </cell>
          <cell r="I841" t="str">
            <v>Passerellidae (New World Sparrows)</v>
          </cell>
        </row>
        <row r="842">
          <cell r="E842" t="str">
            <v>Hartlaub's Babbler</v>
          </cell>
          <cell r="F842" t="str">
            <v>Cratérope de Hartlaub</v>
          </cell>
          <cell r="G842" t="str">
            <v>Turdoides hartlaubii</v>
          </cell>
          <cell r="H842" t="str">
            <v>Passeriformes</v>
          </cell>
          <cell r="I842" t="str">
            <v>Leiothrichidae (Laughingthrushes and Allies)</v>
          </cell>
        </row>
        <row r="843">
          <cell r="E843" t="str">
            <v>Hawaii Amakihi</v>
          </cell>
          <cell r="F843" t="str">
            <v>Amakihi familier</v>
          </cell>
          <cell r="G843" t="str">
            <v>Chlorodrepanis virens</v>
          </cell>
          <cell r="H843" t="str">
            <v>Passeriformes</v>
          </cell>
          <cell r="I843" t="str">
            <v>Fringillidae (Finches, Euphonias, and Allies)</v>
          </cell>
        </row>
        <row r="844">
          <cell r="E844" t="str">
            <v>Hawaii Creeper</v>
          </cell>
          <cell r="F844" t="str">
            <v>Loxopse mana</v>
          </cell>
          <cell r="G844" t="str">
            <v>Loxops mana</v>
          </cell>
          <cell r="H844" t="str">
            <v>Passeriformes</v>
          </cell>
          <cell r="I844" t="str">
            <v>Fringillidae (Finches, Euphonias, and Allies)</v>
          </cell>
        </row>
        <row r="845">
          <cell r="E845" t="str">
            <v>Hawaii Elepaio</v>
          </cell>
          <cell r="F845" t="str">
            <v>Monarque d'Hawaï</v>
          </cell>
          <cell r="G845" t="str">
            <v>Chasiempis sandwichensis</v>
          </cell>
          <cell r="H845" t="str">
            <v>Passeriformes</v>
          </cell>
          <cell r="I845" t="str">
            <v>Monarchidae (Monarch Flycatchers)</v>
          </cell>
        </row>
        <row r="846">
          <cell r="E846" t="str">
            <v>Hawaiian Coot</v>
          </cell>
          <cell r="F846" t="str">
            <v>Foulque des Hawaï</v>
          </cell>
          <cell r="G846" t="str">
            <v>Fulica alai</v>
          </cell>
          <cell r="H846" t="str">
            <v>Gruiformes</v>
          </cell>
          <cell r="I846" t="str">
            <v>Rallidae (Rails, Gallinules, and Coots)</v>
          </cell>
        </row>
        <row r="847">
          <cell r="E847" t="str">
            <v>Hawaiian Goose</v>
          </cell>
          <cell r="F847" t="str">
            <v>Bernache néné</v>
          </cell>
          <cell r="G847" t="str">
            <v>Branta sandvicensis</v>
          </cell>
          <cell r="H847" t="str">
            <v>Anseriformes</v>
          </cell>
          <cell r="I847" t="str">
            <v>Anatidae (Ducks, Geese, and Waterfowl)</v>
          </cell>
        </row>
        <row r="848">
          <cell r="E848" t="str">
            <v>Hawaiian Hawk</v>
          </cell>
          <cell r="F848" t="str">
            <v>Buse d'Hawaï</v>
          </cell>
          <cell r="G848" t="str">
            <v>Buteo solitarius</v>
          </cell>
          <cell r="H848" t="str">
            <v>Accipitriformes</v>
          </cell>
          <cell r="I848" t="str">
            <v>Accipitridae (Hawks, Eagles, and Kites)</v>
          </cell>
        </row>
        <row r="849">
          <cell r="E849" t="str">
            <v>Heermann's Gull</v>
          </cell>
          <cell r="F849" t="str">
            <v>Goéland de Heermann</v>
          </cell>
          <cell r="G849" t="str">
            <v>Larus heermanni</v>
          </cell>
          <cell r="H849" t="str">
            <v>Charadriiformes</v>
          </cell>
          <cell r="I849" t="str">
            <v>Laridae (Gulls, Terns, and Skimmers)</v>
          </cell>
        </row>
        <row r="850">
          <cell r="E850" t="str">
            <v>Helmeted Guineafowl</v>
          </cell>
          <cell r="F850" t="str">
            <v>Pintade de Numidie</v>
          </cell>
          <cell r="G850" t="str">
            <v>Numida meleagris</v>
          </cell>
          <cell r="H850" t="str">
            <v>Galliformes</v>
          </cell>
          <cell r="I850" t="str">
            <v>Numididae (Guineafowl)</v>
          </cell>
        </row>
        <row r="851">
          <cell r="E851" t="str">
            <v>Henslow's Sparrow</v>
          </cell>
          <cell r="F851" t="str">
            <v>Bruant de Henslow</v>
          </cell>
          <cell r="G851" t="str">
            <v>Centronyx henslowii</v>
          </cell>
          <cell r="H851" t="str">
            <v>Passeriformes</v>
          </cell>
          <cell r="I851" t="str">
            <v>Passerellidae (New World Sparrows)</v>
          </cell>
        </row>
        <row r="852">
          <cell r="E852" t="str">
            <v>Hepatic Tanager</v>
          </cell>
          <cell r="F852" t="str">
            <v>Piranga orangé</v>
          </cell>
          <cell r="G852" t="str">
            <v>Piranga flava</v>
          </cell>
          <cell r="H852" t="str">
            <v>Passeriformes</v>
          </cell>
          <cell r="I852" t="str">
            <v>Cardinalidae (Cardinals and Allies)</v>
          </cell>
        </row>
        <row r="853">
          <cell r="E853" t="str">
            <v>Hermit Thrush</v>
          </cell>
          <cell r="F853" t="str">
            <v>Grive solitaire</v>
          </cell>
          <cell r="G853" t="str">
            <v>Catharus guttatus</v>
          </cell>
          <cell r="H853" t="str">
            <v>Passeriformes</v>
          </cell>
          <cell r="I853" t="str">
            <v>Turdidae (Thrushes and Allies)</v>
          </cell>
        </row>
        <row r="854">
          <cell r="E854" t="str">
            <v>Hermit Wood-Wren</v>
          </cell>
          <cell r="F854" t="str">
            <v>Troglodyte ermite</v>
          </cell>
          <cell r="G854" t="str">
            <v>Henicorhina anachoreta</v>
          </cell>
          <cell r="H854" t="str">
            <v>Passeriformes</v>
          </cell>
          <cell r="I854" t="str">
            <v>Troglodytidae (Wrens)</v>
          </cell>
        </row>
        <row r="855">
          <cell r="E855" t="str">
            <v>Hildebrandt's Spurfowl</v>
          </cell>
          <cell r="F855" t="str">
            <v>Francolin de Hildebrandt</v>
          </cell>
          <cell r="G855" t="str">
            <v>Pternistis hildebrandti</v>
          </cell>
          <cell r="H855" t="str">
            <v>Galliformes</v>
          </cell>
          <cell r="I855" t="str">
            <v>Phasianidae (Pheasants, Grouse, and Allies)</v>
          </cell>
        </row>
        <row r="856">
          <cell r="E856" t="str">
            <v>Hildebrandt's Starling</v>
          </cell>
          <cell r="F856" t="str">
            <v>Choucador de Hildebrandt</v>
          </cell>
          <cell r="G856" t="str">
            <v>Lamprotornis hildebrandti</v>
          </cell>
          <cell r="H856" t="str">
            <v>Passeriformes</v>
          </cell>
          <cell r="I856" t="str">
            <v>Sturnidae (Starlings)</v>
          </cell>
        </row>
        <row r="857">
          <cell r="E857" t="str">
            <v>Hoary-headed Grebe</v>
          </cell>
          <cell r="F857" t="str">
            <v>Grèbe argenté</v>
          </cell>
          <cell r="G857" t="str">
            <v>Poliocephalus poliocephalus</v>
          </cell>
          <cell r="H857" t="str">
            <v>Podicipediformes</v>
          </cell>
          <cell r="I857" t="str">
            <v>Podicipedidae (Grebes)</v>
          </cell>
        </row>
        <row r="858">
          <cell r="E858" t="str">
            <v>Hoffmann's Woodpecker</v>
          </cell>
          <cell r="F858" t="str">
            <v>Pic de Hoffmann</v>
          </cell>
          <cell r="G858" t="str">
            <v>Melanerpes hoffmannii</v>
          </cell>
          <cell r="H858" t="str">
            <v>Piciformes</v>
          </cell>
          <cell r="I858" t="str">
            <v>Picidae (Woodpeckers)</v>
          </cell>
        </row>
        <row r="859">
          <cell r="E859" t="str">
            <v>Holub's Golden-Weaver</v>
          </cell>
          <cell r="F859" t="str">
            <v>Tisserin safran</v>
          </cell>
          <cell r="G859" t="str">
            <v>Ploceus xanthops</v>
          </cell>
          <cell r="H859" t="str">
            <v>Passeriformes</v>
          </cell>
          <cell r="I859" t="str">
            <v>Ploceidae (Weavers and Allies)</v>
          </cell>
        </row>
        <row r="860">
          <cell r="E860" t="str">
            <v>Hooded Crow</v>
          </cell>
          <cell r="F860" t="str">
            <v>Corneille mantelée</v>
          </cell>
          <cell r="G860" t="str">
            <v>Corvus cornix</v>
          </cell>
          <cell r="H860" t="str">
            <v>Passeriformes</v>
          </cell>
          <cell r="I860" t="str">
            <v>Corvidae (Crows, Jays, and Magpies)</v>
          </cell>
        </row>
        <row r="861">
          <cell r="E861" t="str">
            <v>Hooded Merganser</v>
          </cell>
          <cell r="F861" t="str">
            <v>Harle couronné</v>
          </cell>
          <cell r="G861" t="str">
            <v>Lophodytes cucullatus</v>
          </cell>
          <cell r="H861" t="str">
            <v>Anseriformes</v>
          </cell>
          <cell r="I861" t="str">
            <v>Anatidae (Ducks, Geese, and Waterfowl)</v>
          </cell>
        </row>
        <row r="862">
          <cell r="E862" t="str">
            <v>Hooded Mountain Tanager</v>
          </cell>
          <cell r="F862" t="str">
            <v>Tangara montagnard</v>
          </cell>
          <cell r="G862" t="str">
            <v>Buthraupis montana</v>
          </cell>
          <cell r="H862" t="str">
            <v>Passeriformes</v>
          </cell>
          <cell r="I862" t="str">
            <v>Thraupidae (Tanagers and Allies)</v>
          </cell>
        </row>
        <row r="863">
          <cell r="E863" t="str">
            <v>Hooded Oriole</v>
          </cell>
          <cell r="F863" t="str">
            <v>Oriole masqué</v>
          </cell>
          <cell r="G863" t="str">
            <v>Icterus cucullatus</v>
          </cell>
          <cell r="H863" t="str">
            <v>Passeriformes</v>
          </cell>
          <cell r="I863" t="str">
            <v>Icteridae (Troupials and Allies)</v>
          </cell>
        </row>
        <row r="864">
          <cell r="E864" t="str">
            <v>Hooded Plover</v>
          </cell>
          <cell r="F864" t="str">
            <v>Pluvier à camail</v>
          </cell>
          <cell r="G864" t="str">
            <v>Thinornis cucullatus</v>
          </cell>
          <cell r="H864" t="str">
            <v>Charadriiformes</v>
          </cell>
          <cell r="I864" t="str">
            <v>Charadriidae (Plovers and Lapwings)</v>
          </cell>
        </row>
        <row r="865">
          <cell r="E865" t="str">
            <v>Hooded Robin</v>
          </cell>
          <cell r="F865" t="str">
            <v>Miro à capuchon</v>
          </cell>
          <cell r="G865" t="str">
            <v>Melanodryas cucullata</v>
          </cell>
          <cell r="H865" t="str">
            <v>Passeriformes</v>
          </cell>
          <cell r="I865" t="str">
            <v>Petroicidae (Australasian Robins)</v>
          </cell>
        </row>
        <row r="866">
          <cell r="E866" t="str">
            <v>Hooded Siskin</v>
          </cell>
          <cell r="F866" t="str">
            <v>Tarin de Magellan</v>
          </cell>
          <cell r="G866" t="str">
            <v>Spinus magellanicus</v>
          </cell>
          <cell r="H866" t="str">
            <v>Passeriformes</v>
          </cell>
          <cell r="I866" t="str">
            <v>Fringillidae (Finches, Euphonias, and Allies)</v>
          </cell>
        </row>
        <row r="867">
          <cell r="E867" t="str">
            <v>Hooded Tanager</v>
          </cell>
          <cell r="F867" t="str">
            <v>Tangara coiffe-noire</v>
          </cell>
          <cell r="G867" t="str">
            <v>Nemosia pileata</v>
          </cell>
          <cell r="H867" t="str">
            <v>Passeriformes</v>
          </cell>
          <cell r="I867" t="str">
            <v>Thraupidae (Tanagers and Allies)</v>
          </cell>
        </row>
        <row r="868">
          <cell r="E868" t="str">
            <v>Hooded Vulture</v>
          </cell>
          <cell r="F868" t="str">
            <v>Vautour charognard</v>
          </cell>
          <cell r="G868" t="str">
            <v>Necrosyrtes monachus</v>
          </cell>
          <cell r="H868" t="str">
            <v>Accipitriformes</v>
          </cell>
          <cell r="I868" t="str">
            <v>Accipitridae (Hawks, Eagles, and Kites)</v>
          </cell>
        </row>
        <row r="869">
          <cell r="E869" t="str">
            <v>Hooded Warbler</v>
          </cell>
          <cell r="F869" t="str">
            <v>Paruline à capuchon</v>
          </cell>
          <cell r="G869" t="str">
            <v>Setophaga citrina</v>
          </cell>
          <cell r="H869" t="str">
            <v>Passeriformes</v>
          </cell>
          <cell r="I869" t="str">
            <v>Parulidae (New World Warblers)</v>
          </cell>
        </row>
        <row r="870">
          <cell r="E870" t="str">
            <v>Hook-billed Kite</v>
          </cell>
          <cell r="F870" t="str">
            <v>Bec-en-croc de Temminck</v>
          </cell>
          <cell r="G870" t="str">
            <v>Chondrohierax uncinatus</v>
          </cell>
          <cell r="H870" t="str">
            <v>Accipitriformes</v>
          </cell>
          <cell r="I870" t="str">
            <v>Accipitridae (Hawks, Eagles, and Kites)</v>
          </cell>
        </row>
        <row r="871">
          <cell r="E871" t="str">
            <v>Hook-billed Vanga</v>
          </cell>
          <cell r="F871" t="str">
            <v>Vanga écorcheur</v>
          </cell>
          <cell r="G871" t="str">
            <v>Vanga curvirostris</v>
          </cell>
          <cell r="H871" t="str">
            <v>Passeriformes</v>
          </cell>
          <cell r="I871" t="str">
            <v>Vangidae (Vangas, Helmetshrikes, and Allies)</v>
          </cell>
        </row>
        <row r="872">
          <cell r="E872" t="str">
            <v>Horned Grebe</v>
          </cell>
          <cell r="F872" t="str">
            <v>Grèbe esclavon</v>
          </cell>
          <cell r="G872" t="str">
            <v>Podiceps auritus</v>
          </cell>
          <cell r="H872" t="str">
            <v>Podicipediformes</v>
          </cell>
          <cell r="I872" t="str">
            <v>Podicipedidae (Grebes)</v>
          </cell>
        </row>
        <row r="873">
          <cell r="E873" t="str">
            <v>Horned Lark</v>
          </cell>
          <cell r="F873" t="str">
            <v>Alouette hausse-col</v>
          </cell>
          <cell r="G873" t="str">
            <v>Eremophila alpestris</v>
          </cell>
          <cell r="H873" t="str">
            <v>Passeriformes</v>
          </cell>
          <cell r="I873" t="str">
            <v>Alaudidae (Larks)</v>
          </cell>
        </row>
        <row r="874">
          <cell r="E874" t="str">
            <v>Horsfield's Bronze-Cuckoo</v>
          </cell>
          <cell r="F874" t="str">
            <v>Coucou de Horsfield</v>
          </cell>
          <cell r="G874" t="str">
            <v>Chalcites basalis</v>
          </cell>
          <cell r="H874" t="str">
            <v>Cuculiformes</v>
          </cell>
          <cell r="I874" t="str">
            <v>Cuculidae (Cuckoos)</v>
          </cell>
        </row>
        <row r="875">
          <cell r="E875" t="str">
            <v>House Finch</v>
          </cell>
          <cell r="F875" t="str">
            <v>Roselin familier</v>
          </cell>
          <cell r="G875" t="str">
            <v>Haemorhous mexicanus</v>
          </cell>
          <cell r="H875" t="str">
            <v>Passeriformes</v>
          </cell>
          <cell r="I875" t="str">
            <v>Fringillidae (Finches, Euphonias, and Allies)</v>
          </cell>
        </row>
        <row r="876">
          <cell r="E876" t="str">
            <v>House Sparrow</v>
          </cell>
          <cell r="F876" t="str">
            <v>Moineau domestique</v>
          </cell>
          <cell r="G876" t="str">
            <v>Passer domesticus</v>
          </cell>
          <cell r="H876" t="str">
            <v>Passeriformes</v>
          </cell>
          <cell r="I876" t="str">
            <v>Passeridae (Old World Sparrows)</v>
          </cell>
        </row>
        <row r="877">
          <cell r="E877" t="str">
            <v>Hudsonian Godwit</v>
          </cell>
          <cell r="F877" t="str">
            <v>Barge hudsonienne</v>
          </cell>
          <cell r="G877" t="str">
            <v>Limosa haemastica</v>
          </cell>
          <cell r="H877" t="str">
            <v>Charadriiformes</v>
          </cell>
          <cell r="I877" t="str">
            <v>Scolopacidae (Sandpipers and Allies)</v>
          </cell>
        </row>
        <row r="878">
          <cell r="E878" t="str">
            <v>Hudsonian Whimbrel</v>
          </cell>
          <cell r="F878" t="str">
            <v>Courlis hudsonien</v>
          </cell>
          <cell r="G878" t="str">
            <v>Numenius hudsonicus</v>
          </cell>
          <cell r="H878" t="str">
            <v>Charadriiformes</v>
          </cell>
          <cell r="I878" t="str">
            <v>Scolopacidae (Sandpipers and Allies)</v>
          </cell>
        </row>
        <row r="879">
          <cell r="E879" t="str">
            <v>Humblot's Heron</v>
          </cell>
          <cell r="F879" t="str">
            <v>Héron de Humblot</v>
          </cell>
          <cell r="G879" t="str">
            <v>Ardea humbloti</v>
          </cell>
          <cell r="H879" t="str">
            <v>Pelecaniformes</v>
          </cell>
          <cell r="I879" t="str">
            <v>Ardeidae (Herons, Egrets, and Bitterns)</v>
          </cell>
        </row>
        <row r="880">
          <cell r="E880" t="str">
            <v>Hutton's Vireo</v>
          </cell>
          <cell r="F880" t="str">
            <v>Viréo de Hutton</v>
          </cell>
          <cell r="G880" t="str">
            <v>Vireo huttoni</v>
          </cell>
          <cell r="H880" t="str">
            <v>Passeriformes</v>
          </cell>
          <cell r="I880" t="str">
            <v>Vireonidae (Vireos, Shrike-Babblers, and Erpornis)</v>
          </cell>
        </row>
        <row r="881">
          <cell r="E881" t="str">
            <v>Iceland Gull</v>
          </cell>
          <cell r="F881" t="str">
            <v>Goéland arctique</v>
          </cell>
          <cell r="G881" t="str">
            <v>Larus glaucoides</v>
          </cell>
          <cell r="H881" t="str">
            <v>Charadriiformes</v>
          </cell>
          <cell r="I881" t="str">
            <v>Laridae (Gulls, Terns, and Skimmers)</v>
          </cell>
        </row>
        <row r="882">
          <cell r="E882" t="str">
            <v>Iiwi</v>
          </cell>
          <cell r="F882" t="str">
            <v>Iiwi rouge</v>
          </cell>
          <cell r="G882" t="str">
            <v>Drepanis coccinea</v>
          </cell>
          <cell r="H882" t="str">
            <v>Passeriformes</v>
          </cell>
          <cell r="I882" t="str">
            <v>Fringillidae (Finches, Euphonias, and Allies)</v>
          </cell>
        </row>
        <row r="883">
          <cell r="E883" t="str">
            <v>Inca Dove</v>
          </cell>
          <cell r="F883" t="str">
            <v>Colombe inca</v>
          </cell>
          <cell r="G883" t="str">
            <v>Columbina inca</v>
          </cell>
          <cell r="H883" t="str">
            <v>Columbiformes</v>
          </cell>
          <cell r="I883" t="str">
            <v>Columbidae (Pigeons and Doves)</v>
          </cell>
        </row>
        <row r="884">
          <cell r="E884" t="str">
            <v>Indigo Bunting</v>
          </cell>
          <cell r="F884" t="str">
            <v>Passerin indigo</v>
          </cell>
          <cell r="G884" t="str">
            <v>Passerina cyanea</v>
          </cell>
          <cell r="H884" t="str">
            <v>Passeriformes</v>
          </cell>
          <cell r="I884" t="str">
            <v>Cardinalidae (Cardinals and Allies)</v>
          </cell>
        </row>
        <row r="885">
          <cell r="E885" t="str">
            <v>Indigo-capped Hummingbird</v>
          </cell>
          <cell r="F885" t="str">
            <v>Ariane à front bleu</v>
          </cell>
          <cell r="G885" t="str">
            <v>Saucerottia cyanifrons</v>
          </cell>
          <cell r="H885" t="str">
            <v>Apodiformes</v>
          </cell>
          <cell r="I885" t="str">
            <v>Trochilidae (Hummingbirds)</v>
          </cell>
        </row>
        <row r="886">
          <cell r="E886" t="str">
            <v>Inland Thornbill</v>
          </cell>
          <cell r="F886" t="str">
            <v>Acanthize troglodyte</v>
          </cell>
          <cell r="G886" t="str">
            <v>Acanthiza apicalis</v>
          </cell>
          <cell r="H886" t="str">
            <v>Passeriformes</v>
          </cell>
          <cell r="I886" t="str">
            <v>Acanthizidae (Thornbills and Allies)</v>
          </cell>
        </row>
        <row r="887">
          <cell r="E887" t="str">
            <v>Isthmian Wren</v>
          </cell>
          <cell r="F887" t="str">
            <v>Troglodyte du Panama</v>
          </cell>
          <cell r="G887" t="str">
            <v>Cantorchilus elutus</v>
          </cell>
          <cell r="H887" t="str">
            <v>Passeriformes</v>
          </cell>
          <cell r="I887" t="str">
            <v>Troglodytidae (Wrens)</v>
          </cell>
        </row>
        <row r="888">
          <cell r="E888" t="str">
            <v>Ivory-billed Woodcreeper</v>
          </cell>
          <cell r="F888" t="str">
            <v>Grimpar à bec ivoire</v>
          </cell>
          <cell r="G888" t="str">
            <v>Xiphorhynchus flavigaster</v>
          </cell>
          <cell r="H888" t="str">
            <v>Passeriformes</v>
          </cell>
          <cell r="I888" t="str">
            <v>Furnariidae (Ovenbirds and Woodcreepers)</v>
          </cell>
        </row>
        <row r="889">
          <cell r="E889" t="str">
            <v>Jabiru</v>
          </cell>
          <cell r="F889" t="str">
            <v>Jabiru d'Amérique</v>
          </cell>
          <cell r="G889" t="str">
            <v>Jabiru mycteria</v>
          </cell>
          <cell r="H889" t="str">
            <v>Ciconiiformes</v>
          </cell>
          <cell r="I889" t="str">
            <v>Ciconiidae (Storks)</v>
          </cell>
        </row>
        <row r="890">
          <cell r="E890" t="str">
            <v>Jackal Buzzard</v>
          </cell>
          <cell r="F890" t="str">
            <v>Buse rounoir</v>
          </cell>
          <cell r="G890" t="str">
            <v>Buteo rufofuscus</v>
          </cell>
          <cell r="H890" t="str">
            <v>Accipitriformes</v>
          </cell>
          <cell r="I890" t="str">
            <v>Accipitridae (Hawks, Eagles, and Kites)</v>
          </cell>
        </row>
        <row r="891">
          <cell r="E891" t="str">
            <v>Jacky-winter</v>
          </cell>
          <cell r="F891" t="str">
            <v>Miro enchanteur</v>
          </cell>
          <cell r="G891" t="str">
            <v>Microeca fascinans</v>
          </cell>
          <cell r="H891" t="str">
            <v>Passeriformes</v>
          </cell>
          <cell r="I891" t="str">
            <v>Petroicidae (Australasian Robins)</v>
          </cell>
        </row>
        <row r="892">
          <cell r="E892" t="str">
            <v>Java Sparrow</v>
          </cell>
          <cell r="F892" t="str">
            <v>Padda de Java</v>
          </cell>
          <cell r="G892" t="str">
            <v>Padda oryzivora</v>
          </cell>
          <cell r="H892" t="str">
            <v>Passeriformes</v>
          </cell>
          <cell r="I892" t="str">
            <v>Estrildidae (Waxbills and Allies)</v>
          </cell>
        </row>
        <row r="893">
          <cell r="E893" t="str">
            <v>Jet Antbird</v>
          </cell>
          <cell r="F893" t="str">
            <v>Grisin de jais</v>
          </cell>
          <cell r="G893" t="str">
            <v>Cercomacra nigricans</v>
          </cell>
          <cell r="H893" t="str">
            <v>Passeriformes</v>
          </cell>
          <cell r="I893" t="str">
            <v>Thamnophilidae (Typical Antbirds)</v>
          </cell>
        </row>
        <row r="894">
          <cell r="E894" t="str">
            <v>Kalij Pheasant</v>
          </cell>
          <cell r="F894" t="str">
            <v>Faisan leucomèle</v>
          </cell>
          <cell r="G894" t="str">
            <v>Lophura leucomelanos</v>
          </cell>
          <cell r="H894" t="str">
            <v>Galliformes</v>
          </cell>
          <cell r="I894" t="str">
            <v>Phasianidae (Pheasants, Grouse, and Allies)</v>
          </cell>
        </row>
        <row r="895">
          <cell r="E895" t="str">
            <v>Keel-billed Motmot</v>
          </cell>
          <cell r="F895" t="str">
            <v>Motmot à bec caréné</v>
          </cell>
          <cell r="G895" t="str">
            <v>Electron carinatum</v>
          </cell>
          <cell r="H895" t="str">
            <v>Coraciiformes</v>
          </cell>
          <cell r="I895" t="str">
            <v>Momotidae (Motmots)</v>
          </cell>
        </row>
        <row r="896">
          <cell r="E896" t="str">
            <v>Keel-billed Toucan</v>
          </cell>
          <cell r="F896" t="str">
            <v>Toucan à carène</v>
          </cell>
          <cell r="G896" t="str">
            <v>Ramphastos sulfuratus</v>
          </cell>
          <cell r="H896" t="str">
            <v>Piciformes</v>
          </cell>
          <cell r="I896" t="str">
            <v>Ramphastidae (Toucans)</v>
          </cell>
        </row>
        <row r="897">
          <cell r="E897" t="str">
            <v>Kelp Gull</v>
          </cell>
          <cell r="F897" t="str">
            <v>Goéland dominicain</v>
          </cell>
          <cell r="G897" t="str">
            <v>Larus dominicanus</v>
          </cell>
          <cell r="H897" t="str">
            <v>Charadriiformes</v>
          </cell>
          <cell r="I897" t="str">
            <v>Laridae (Gulls, Terns, and Skimmers)</v>
          </cell>
        </row>
        <row r="898">
          <cell r="E898" t="str">
            <v>Kentucky Warbler</v>
          </cell>
          <cell r="F898" t="str">
            <v>Paruline du Kentucky</v>
          </cell>
          <cell r="G898" t="str">
            <v>Geothlypis formosa</v>
          </cell>
          <cell r="H898" t="str">
            <v>Passeriformes</v>
          </cell>
          <cell r="I898" t="str">
            <v>Parulidae (New World Warblers)</v>
          </cell>
        </row>
        <row r="899">
          <cell r="E899" t="str">
            <v>Killdeer</v>
          </cell>
          <cell r="F899" t="str">
            <v>Pluvier kildir</v>
          </cell>
          <cell r="G899" t="str">
            <v>Charadrius vociferus</v>
          </cell>
          <cell r="H899" t="str">
            <v>Charadriiformes</v>
          </cell>
          <cell r="I899" t="str">
            <v>Charadriidae (Plovers and Lapwings)</v>
          </cell>
        </row>
        <row r="900">
          <cell r="E900" t="str">
            <v>King Vulture</v>
          </cell>
          <cell r="F900" t="str">
            <v>Sarcoramphe roi</v>
          </cell>
          <cell r="G900" t="str">
            <v>Sarcoramphus papa</v>
          </cell>
          <cell r="H900" t="str">
            <v>Cathartiformes</v>
          </cell>
          <cell r="I900" t="str">
            <v>Cathartidae (New World Vultures)</v>
          </cell>
        </row>
        <row r="901">
          <cell r="E901" t="str">
            <v>Kirtland's Warbler</v>
          </cell>
          <cell r="F901" t="str">
            <v>Paruline de Kirtland</v>
          </cell>
          <cell r="G901" t="str">
            <v>Setophaga kirtlandii</v>
          </cell>
          <cell r="H901" t="str">
            <v>Passeriformes</v>
          </cell>
          <cell r="I901" t="str">
            <v>Parulidae (New World Warblers)</v>
          </cell>
        </row>
        <row r="902">
          <cell r="E902" t="str">
            <v>Kittlitz's Plover</v>
          </cell>
          <cell r="F902" t="str">
            <v>Pluvier pâtre</v>
          </cell>
          <cell r="G902" t="str">
            <v>Anarhynchus pecuarius</v>
          </cell>
          <cell r="H902" t="str">
            <v>Charadriiformes</v>
          </cell>
          <cell r="I902" t="str">
            <v>Charadriidae (Plovers and Lapwings)</v>
          </cell>
        </row>
        <row r="903">
          <cell r="E903" t="str">
            <v>Knob-billed Duck</v>
          </cell>
          <cell r="F903" t="str">
            <v>Canard à bosse</v>
          </cell>
          <cell r="G903" t="str">
            <v>Sarkidiornis melanotos</v>
          </cell>
          <cell r="H903" t="str">
            <v>Anseriformes</v>
          </cell>
          <cell r="I903" t="str">
            <v>Anatidae (Ducks, Geese, and Waterfowl)</v>
          </cell>
        </row>
        <row r="904">
          <cell r="E904" t="str">
            <v>Kori Bustard</v>
          </cell>
          <cell r="F904" t="str">
            <v>Outarde kori</v>
          </cell>
          <cell r="G904" t="str">
            <v>Ardeotis kori</v>
          </cell>
          <cell r="H904" t="str">
            <v>Otidiformes</v>
          </cell>
          <cell r="I904" t="str">
            <v>Otididae (Bustards)</v>
          </cell>
        </row>
        <row r="905">
          <cell r="E905" t="str">
            <v>Kurrichane Thrush</v>
          </cell>
          <cell r="F905" t="str">
            <v>Merle kurrichane</v>
          </cell>
          <cell r="G905" t="str">
            <v>Turdus libonyana</v>
          </cell>
          <cell r="H905" t="str">
            <v>Passeriformes</v>
          </cell>
          <cell r="I905" t="str">
            <v>Turdidae (Thrushes and Allies)</v>
          </cell>
        </row>
        <row r="906">
          <cell r="E906" t="str">
            <v>Lacrimose Mountain Tanager</v>
          </cell>
          <cell r="F906" t="str">
            <v>Tangara larmoyant</v>
          </cell>
          <cell r="G906" t="str">
            <v>Anisognathus lacrymosus</v>
          </cell>
          <cell r="H906" t="str">
            <v>Passeriformes</v>
          </cell>
          <cell r="I906" t="str">
            <v>Thraupidae (Tanagers and Allies)</v>
          </cell>
        </row>
        <row r="907">
          <cell r="E907" t="str">
            <v>Lafresnaye's Vanga</v>
          </cell>
          <cell r="F907" t="str">
            <v>Vanga de Lafresnaye</v>
          </cell>
          <cell r="G907" t="str">
            <v>Xenopirostris xenopirostris</v>
          </cell>
          <cell r="H907" t="str">
            <v>Passeriformes</v>
          </cell>
          <cell r="I907" t="str">
            <v>Vangidae (Vangas, Helmetshrikes, and Allies)</v>
          </cell>
        </row>
        <row r="908">
          <cell r="E908" t="str">
            <v>Lance-tailed Manakin</v>
          </cell>
          <cell r="F908" t="str">
            <v>Manakin lancéolé</v>
          </cell>
          <cell r="G908" t="str">
            <v>Chiroxiphia lanceolata</v>
          </cell>
          <cell r="H908" t="str">
            <v>Passeriformes</v>
          </cell>
          <cell r="I908" t="str">
            <v>Pipridae (Manakins)</v>
          </cell>
        </row>
        <row r="909">
          <cell r="E909" t="str">
            <v>Lapland Longspur</v>
          </cell>
          <cell r="F909" t="str">
            <v>Plectrophane lapon</v>
          </cell>
          <cell r="G909" t="str">
            <v>Calcarius lapponicus</v>
          </cell>
          <cell r="H909" t="str">
            <v>Passeriformes</v>
          </cell>
          <cell r="I909" t="str">
            <v>Calcariidae (Longspurs and Snow Buntings)</v>
          </cell>
        </row>
        <row r="910">
          <cell r="E910" t="str">
            <v>Lappet-faced Vulture</v>
          </cell>
          <cell r="F910" t="str">
            <v>Vautour oricou</v>
          </cell>
          <cell r="G910" t="str">
            <v>Torgos tracheliotos</v>
          </cell>
          <cell r="H910" t="str">
            <v>Accipitriformes</v>
          </cell>
          <cell r="I910" t="str">
            <v>Accipitridae (Hawks, Eagles, and Kites)</v>
          </cell>
        </row>
        <row r="911">
          <cell r="E911" t="str">
            <v>Large-billed Tern</v>
          </cell>
          <cell r="F911" t="str">
            <v>Sterne à gros bec</v>
          </cell>
          <cell r="G911" t="str">
            <v>Phaetusa simplex</v>
          </cell>
          <cell r="H911" t="str">
            <v>Charadriiformes</v>
          </cell>
          <cell r="I911" t="str">
            <v>Laridae (Gulls, Terns, and Skimmers)</v>
          </cell>
        </row>
        <row r="912">
          <cell r="E912" t="str">
            <v>Large-footed Finch</v>
          </cell>
          <cell r="F912" t="str">
            <v>Tohi à grands pieds</v>
          </cell>
          <cell r="G912" t="str">
            <v>Pezopetes capitalis</v>
          </cell>
          <cell r="H912" t="str">
            <v>Passeriformes</v>
          </cell>
          <cell r="I912" t="str">
            <v>Passerellidae (New World Sparrows)</v>
          </cell>
        </row>
        <row r="913">
          <cell r="E913" t="str">
            <v>Lark Sparrow</v>
          </cell>
          <cell r="F913" t="str">
            <v>Bruant à joues marron</v>
          </cell>
          <cell r="G913" t="str">
            <v>Chondestes grammacus</v>
          </cell>
          <cell r="H913" t="str">
            <v>Passeriformes</v>
          </cell>
          <cell r="I913" t="str">
            <v>Passerellidae (New World Sparrows)</v>
          </cell>
        </row>
        <row r="914">
          <cell r="E914" t="str">
            <v>Lark-like Bunting</v>
          </cell>
          <cell r="F914" t="str">
            <v>Bruant des rochers</v>
          </cell>
          <cell r="G914" t="str">
            <v>Emberiza impetuani</v>
          </cell>
          <cell r="H914" t="str">
            <v>Passeriformes</v>
          </cell>
          <cell r="I914" t="str">
            <v>Emberizidae (Old World Buntings)</v>
          </cell>
        </row>
        <row r="915">
          <cell r="E915" t="str">
            <v>Latham's Snipe</v>
          </cell>
          <cell r="F915" t="str">
            <v>Bécassine du Japon</v>
          </cell>
          <cell r="G915" t="str">
            <v>Gallinago hardwickii</v>
          </cell>
          <cell r="H915" t="str">
            <v>Charadriiformes</v>
          </cell>
          <cell r="I915" t="str">
            <v>Scolopacidae (Sandpipers and Allies)</v>
          </cell>
        </row>
        <row r="916">
          <cell r="E916" t="str">
            <v>Laughing Dove</v>
          </cell>
          <cell r="F916" t="str">
            <v>Tourterelle maillée</v>
          </cell>
          <cell r="G916" t="str">
            <v>Spilopelia senegalensis</v>
          </cell>
          <cell r="H916" t="str">
            <v>Columbiformes</v>
          </cell>
          <cell r="I916" t="str">
            <v>Columbidae (Pigeons and Doves)</v>
          </cell>
        </row>
        <row r="917">
          <cell r="E917" t="str">
            <v>Laughing Falcon</v>
          </cell>
          <cell r="F917" t="str">
            <v>Macagua rieur</v>
          </cell>
          <cell r="G917" t="str">
            <v>Herpetotheres cachinnans</v>
          </cell>
          <cell r="H917" t="str">
            <v>Falconiformes</v>
          </cell>
          <cell r="I917" t="str">
            <v>Falconidae (Falcons and Caracaras)</v>
          </cell>
        </row>
        <row r="918">
          <cell r="E918" t="str">
            <v>Laughing Gull</v>
          </cell>
          <cell r="F918" t="str">
            <v>Mouette atricille</v>
          </cell>
          <cell r="G918" t="str">
            <v>Leucophaeus atricilla</v>
          </cell>
          <cell r="H918" t="str">
            <v>Charadriiformes</v>
          </cell>
          <cell r="I918" t="str">
            <v>Laridae (Gulls, Terns, and Skimmers)</v>
          </cell>
        </row>
        <row r="919">
          <cell r="E919" t="str">
            <v>Laughing Kookaburra</v>
          </cell>
          <cell r="F919" t="str">
            <v>Martin-chasseur géant</v>
          </cell>
          <cell r="G919" t="str">
            <v>Dacelo novaeguineae</v>
          </cell>
          <cell r="H919" t="str">
            <v>Coraciiformes</v>
          </cell>
          <cell r="I919" t="str">
            <v>Alcedinidae (Kingfishers)</v>
          </cell>
        </row>
        <row r="920">
          <cell r="E920" t="str">
            <v>Lava Heron</v>
          </cell>
          <cell r="F920" t="str">
            <v>Héron des Galapagos</v>
          </cell>
          <cell r="G920" t="str">
            <v>Butorides sundevalli</v>
          </cell>
          <cell r="H920" t="str">
            <v>Pelecaniformes</v>
          </cell>
          <cell r="I920" t="str">
            <v>Ardeidae (Herons, Egrets, and Bitterns)</v>
          </cell>
        </row>
        <row r="921">
          <cell r="E921" t="str">
            <v>Lazuline Sabrewing</v>
          </cell>
          <cell r="F921" t="str">
            <v>Campyloptère lazulite</v>
          </cell>
          <cell r="G921" t="str">
            <v>Campylopterus falcatus</v>
          </cell>
          <cell r="H921" t="str">
            <v>Apodiformes</v>
          </cell>
          <cell r="I921" t="str">
            <v>Trochilidae (Hummingbirds)</v>
          </cell>
        </row>
        <row r="922">
          <cell r="E922" t="str">
            <v>Least Bittern</v>
          </cell>
          <cell r="F922" t="str">
            <v>Petit Blongios</v>
          </cell>
          <cell r="G922" t="str">
            <v>Botaurus exilis</v>
          </cell>
          <cell r="H922" t="str">
            <v>Pelecaniformes</v>
          </cell>
          <cell r="I922" t="str">
            <v>Ardeidae (Herons, Egrets, and Bitterns)</v>
          </cell>
        </row>
        <row r="923">
          <cell r="E923" t="str">
            <v>Least Flycatcher</v>
          </cell>
          <cell r="F923" t="str">
            <v>Moucherolle tchébec</v>
          </cell>
          <cell r="G923" t="str">
            <v>Empidonax minimus</v>
          </cell>
          <cell r="H923" t="str">
            <v>Passeriformes</v>
          </cell>
          <cell r="I923" t="str">
            <v>Tyrannidae (Tyrant Flycatchers)</v>
          </cell>
        </row>
        <row r="924">
          <cell r="E924" t="str">
            <v>Least Grebe</v>
          </cell>
          <cell r="F924" t="str">
            <v>Grèbe minime</v>
          </cell>
          <cell r="G924" t="str">
            <v>Tachybaptus dominicus</v>
          </cell>
          <cell r="H924" t="str">
            <v>Podicipediformes</v>
          </cell>
          <cell r="I924" t="str">
            <v>Podicipedidae (Grebes)</v>
          </cell>
        </row>
        <row r="925">
          <cell r="E925" t="str">
            <v>Least Sandpiper</v>
          </cell>
          <cell r="F925" t="str">
            <v>Bécasseau minuscule</v>
          </cell>
          <cell r="G925" t="str">
            <v>Calidris minutilla</v>
          </cell>
          <cell r="H925" t="str">
            <v>Charadriiformes</v>
          </cell>
          <cell r="I925" t="str">
            <v>Scolopacidae (Sandpipers and Allies)</v>
          </cell>
        </row>
        <row r="926">
          <cell r="E926" t="str">
            <v>Lesser Black-backed Gull</v>
          </cell>
          <cell r="F926" t="str">
            <v>Goéland brun</v>
          </cell>
          <cell r="G926" t="str">
            <v>Larus fuscus</v>
          </cell>
          <cell r="H926" t="str">
            <v>Charadriiformes</v>
          </cell>
          <cell r="I926" t="str">
            <v>Laridae (Gulls, Terns, and Skimmers)</v>
          </cell>
        </row>
        <row r="927">
          <cell r="E927" t="str">
            <v>Lesser Crested Tern</v>
          </cell>
          <cell r="F927" t="str">
            <v>Sterne voyageuse</v>
          </cell>
          <cell r="G927" t="str">
            <v>Thalasseus bengalensis</v>
          </cell>
          <cell r="H927" t="str">
            <v>Charadriiformes</v>
          </cell>
          <cell r="I927" t="str">
            <v>Laridae (Gulls, Terns, and Skimmers)</v>
          </cell>
        </row>
        <row r="928">
          <cell r="E928" t="str">
            <v>Lesser Goldfinch</v>
          </cell>
          <cell r="F928" t="str">
            <v>Chardonneret mineur</v>
          </cell>
          <cell r="G928" t="str">
            <v>Spinus psaltria</v>
          </cell>
          <cell r="H928" t="str">
            <v>Passeriformes</v>
          </cell>
          <cell r="I928" t="str">
            <v>Fringillidae (Finches, Euphonias, and Allies)</v>
          </cell>
        </row>
        <row r="929">
          <cell r="E929" t="str">
            <v>Lesser Greenlet</v>
          </cell>
          <cell r="F929" t="str">
            <v>Viréon menu</v>
          </cell>
          <cell r="G929" t="str">
            <v>Pachysylvia decurtata</v>
          </cell>
          <cell r="H929" t="str">
            <v>Passeriformes</v>
          </cell>
          <cell r="I929" t="str">
            <v>Vireonidae (Vireos, Shrike-Babblers, and Erpornis)</v>
          </cell>
        </row>
        <row r="930">
          <cell r="E930" t="str">
            <v>Lesser Ground-Cuckoo</v>
          </cell>
          <cell r="F930" t="str">
            <v>Géocoucou de Lesson</v>
          </cell>
          <cell r="G930" t="str">
            <v>Morococcyx erythropygus</v>
          </cell>
          <cell r="H930" t="str">
            <v>Cuculiformes</v>
          </cell>
          <cell r="I930" t="str">
            <v>Cuculidae (Cuckoos)</v>
          </cell>
        </row>
        <row r="931">
          <cell r="E931" t="str">
            <v>Lesser Jacana</v>
          </cell>
          <cell r="F931" t="str">
            <v>Jacana nain</v>
          </cell>
          <cell r="G931" t="str">
            <v>Microparra capensis</v>
          </cell>
          <cell r="H931" t="str">
            <v>Charadriiformes</v>
          </cell>
          <cell r="I931" t="str">
            <v>Jacanidae (Jacanas)</v>
          </cell>
        </row>
        <row r="932">
          <cell r="E932" t="str">
            <v>Lesser Kiskadee</v>
          </cell>
          <cell r="F932" t="str">
            <v>Tyran licteur</v>
          </cell>
          <cell r="G932" t="str">
            <v>Philohydor lictor</v>
          </cell>
          <cell r="H932" t="str">
            <v>Passeriformes</v>
          </cell>
          <cell r="I932" t="str">
            <v>Tyrannidae (Tyrant Flycatchers)</v>
          </cell>
        </row>
        <row r="933">
          <cell r="E933" t="str">
            <v>Lesser Masked-Weaver</v>
          </cell>
          <cell r="F933" t="str">
            <v>Tisserin intermédiaire</v>
          </cell>
          <cell r="G933" t="str">
            <v>Ploceus intermedius</v>
          </cell>
          <cell r="H933" t="str">
            <v>Passeriformes</v>
          </cell>
          <cell r="I933" t="str">
            <v>Ploceidae (Weavers and Allies)</v>
          </cell>
        </row>
        <row r="934">
          <cell r="E934" t="str">
            <v>Lesser Scaup</v>
          </cell>
          <cell r="F934" t="str">
            <v>Petit Fuligule</v>
          </cell>
          <cell r="G934" t="str">
            <v>Aythya affinis</v>
          </cell>
          <cell r="H934" t="str">
            <v>Anseriformes</v>
          </cell>
          <cell r="I934" t="str">
            <v>Anatidae (Ducks, Geese, and Waterfowl)</v>
          </cell>
        </row>
        <row r="935">
          <cell r="E935" t="str">
            <v>Lesser Striped Swallow</v>
          </cell>
          <cell r="F935" t="str">
            <v>Hirondelle striée</v>
          </cell>
          <cell r="G935" t="str">
            <v>Cecropis abyssinica</v>
          </cell>
          <cell r="H935" t="str">
            <v>Passeriformes</v>
          </cell>
          <cell r="I935" t="str">
            <v>Hirundinidae (Swallows)</v>
          </cell>
        </row>
        <row r="936">
          <cell r="E936" t="str">
            <v>Lesser Swallow-tailed Swift</v>
          </cell>
          <cell r="F936" t="str">
            <v>Martinet de Cayenne</v>
          </cell>
          <cell r="G936" t="str">
            <v>Panyptila cayennensis</v>
          </cell>
          <cell r="H936" t="str">
            <v>Apodiformes</v>
          </cell>
          <cell r="I936" t="str">
            <v>Apodidae (Swifts)</v>
          </cell>
        </row>
        <row r="937">
          <cell r="E937" t="str">
            <v>Lesser Vasa Parrot</v>
          </cell>
          <cell r="F937" t="str">
            <v>Vaza noir</v>
          </cell>
          <cell r="G937" t="str">
            <v>Coracopsis nigra</v>
          </cell>
          <cell r="H937" t="str">
            <v>Psittaciformes</v>
          </cell>
          <cell r="I937" t="str">
            <v>Psittaculidae (Old World Parrots)</v>
          </cell>
        </row>
        <row r="938">
          <cell r="E938" t="str">
            <v>Lesser Violetear</v>
          </cell>
          <cell r="F938" t="str">
            <v>Colibri cyanote</v>
          </cell>
          <cell r="G938" t="str">
            <v>Colibri cyanotus</v>
          </cell>
          <cell r="H938" t="str">
            <v>Apodiformes</v>
          </cell>
          <cell r="I938" t="str">
            <v>Trochilidae (Hummingbirds)</v>
          </cell>
        </row>
        <row r="939">
          <cell r="E939" t="str">
            <v>Lesser Yellow-headed Vulture</v>
          </cell>
          <cell r="F939" t="str">
            <v>Urubu à tête jaune</v>
          </cell>
          <cell r="G939" t="str">
            <v>Cathartes burrovianus</v>
          </cell>
          <cell r="H939" t="str">
            <v>Cathartiformes</v>
          </cell>
          <cell r="I939" t="str">
            <v>Cathartidae (New World Vultures)</v>
          </cell>
        </row>
        <row r="940">
          <cell r="E940" t="str">
            <v>Lesser Yellowlegs</v>
          </cell>
          <cell r="F940" t="str">
            <v>Petit Chevalier</v>
          </cell>
          <cell r="G940" t="str">
            <v>Tringa flavipes</v>
          </cell>
          <cell r="H940" t="str">
            <v>Charadriiformes</v>
          </cell>
          <cell r="I940" t="str">
            <v>Scolopacidae (Sandpipers and Allies)</v>
          </cell>
        </row>
        <row r="941">
          <cell r="E941" t="str">
            <v>Lesson's Motmot</v>
          </cell>
          <cell r="F941" t="str">
            <v>Motmot de Lesson</v>
          </cell>
          <cell r="G941" t="str">
            <v>Momotus lessonii</v>
          </cell>
          <cell r="H941" t="str">
            <v>Coraciiformes</v>
          </cell>
          <cell r="I941" t="str">
            <v>Momotidae (Motmots)</v>
          </cell>
        </row>
        <row r="942">
          <cell r="E942" t="str">
            <v>Lewin's Honeyeater</v>
          </cell>
          <cell r="F942" t="str">
            <v>Méliphage de Lewin</v>
          </cell>
          <cell r="G942" t="str">
            <v>Meliphaga lewinii</v>
          </cell>
          <cell r="H942" t="str">
            <v>Passeriformes</v>
          </cell>
          <cell r="I942" t="str">
            <v>Meliphagidae (Honeyeaters)</v>
          </cell>
        </row>
        <row r="943">
          <cell r="E943" t="str">
            <v>Lewin's Rail</v>
          </cell>
          <cell r="F943" t="str">
            <v>Râle à poitrine grise</v>
          </cell>
          <cell r="G943" t="str">
            <v>Lewinia pectoralis</v>
          </cell>
          <cell r="H943" t="str">
            <v>Gruiformes</v>
          </cell>
          <cell r="I943" t="str">
            <v>Rallidae (Rails, Gallinules, and Coots)</v>
          </cell>
        </row>
        <row r="944">
          <cell r="E944" t="str">
            <v>Lilac-breasted Roller</v>
          </cell>
          <cell r="F944" t="str">
            <v>Rollier à longs brins</v>
          </cell>
          <cell r="G944" t="str">
            <v>Coracias caudatus</v>
          </cell>
          <cell r="H944" t="str">
            <v>Coraciiformes</v>
          </cell>
          <cell r="I944" t="str">
            <v>Coraciidae (Rollers)</v>
          </cell>
        </row>
        <row r="945">
          <cell r="E945" t="str">
            <v>Limpkin</v>
          </cell>
          <cell r="F945" t="str">
            <v>Courlan brun</v>
          </cell>
          <cell r="G945" t="str">
            <v>Aramus guarauna</v>
          </cell>
          <cell r="H945" t="str">
            <v>Gruiformes</v>
          </cell>
          <cell r="I945" t="str">
            <v>Aramidae (Limpkin)</v>
          </cell>
        </row>
        <row r="946">
          <cell r="E946" t="str">
            <v>Lincoln's Sparrow</v>
          </cell>
          <cell r="F946" t="str">
            <v>Bruant de Lincoln</v>
          </cell>
          <cell r="G946" t="str">
            <v>Melospiza lincolnii</v>
          </cell>
          <cell r="H946" t="str">
            <v>Passeriformes</v>
          </cell>
          <cell r="I946" t="str">
            <v>Passerellidae (New World Sparrows)</v>
          </cell>
        </row>
        <row r="947">
          <cell r="E947" t="str">
            <v>Lineated Foliage-gleaner</v>
          </cell>
          <cell r="F947" t="str">
            <v>Anabate vergeté</v>
          </cell>
          <cell r="G947" t="str">
            <v>Syndactyla subalaris</v>
          </cell>
          <cell r="H947" t="str">
            <v>Passeriformes</v>
          </cell>
          <cell r="I947" t="str">
            <v>Furnariidae (Ovenbirds and Woodcreepers)</v>
          </cell>
        </row>
        <row r="948">
          <cell r="E948" t="str">
            <v>Lineated Woodpecker</v>
          </cell>
          <cell r="F948" t="str">
            <v>Pic ouentou</v>
          </cell>
          <cell r="G948" t="str">
            <v>Dryocopus lineatus</v>
          </cell>
          <cell r="H948" t="str">
            <v>Piciformes</v>
          </cell>
          <cell r="I948" t="str">
            <v>Picidae (Woodpeckers)</v>
          </cell>
        </row>
        <row r="949">
          <cell r="E949" t="str">
            <v>Lined Quail-Dove</v>
          </cell>
          <cell r="F949" t="str">
            <v>Colombe bridée</v>
          </cell>
          <cell r="G949" t="str">
            <v>Zentrygon linearis</v>
          </cell>
          <cell r="H949" t="str">
            <v>Columbiformes</v>
          </cell>
          <cell r="I949" t="str">
            <v>Columbidae (Pigeons and Doves)</v>
          </cell>
        </row>
        <row r="950">
          <cell r="E950" t="str">
            <v>Little Bee-eater</v>
          </cell>
          <cell r="F950" t="str">
            <v>Guêpier nain</v>
          </cell>
          <cell r="G950" t="str">
            <v>Merops pusillus</v>
          </cell>
          <cell r="H950" t="str">
            <v>Coraciiformes</v>
          </cell>
          <cell r="I950" t="str">
            <v>Meropidae (Bee-eaters)</v>
          </cell>
        </row>
        <row r="951">
          <cell r="E951" t="str">
            <v>Little Black Cormorant</v>
          </cell>
          <cell r="F951" t="str">
            <v>Cormoran noir</v>
          </cell>
          <cell r="G951" t="str">
            <v>Phalacrocorax sulcirostris</v>
          </cell>
          <cell r="H951" t="str">
            <v>Suliformes</v>
          </cell>
          <cell r="I951" t="str">
            <v>Phalacrocoracidae (Cormorants and Shags)</v>
          </cell>
        </row>
        <row r="952">
          <cell r="E952" t="str">
            <v>Little Blue Heron</v>
          </cell>
          <cell r="F952" t="str">
            <v>Aigrette bleue</v>
          </cell>
          <cell r="G952" t="str">
            <v>Egretta caerulea</v>
          </cell>
          <cell r="H952" t="str">
            <v>Pelecaniformes</v>
          </cell>
          <cell r="I952" t="str">
            <v>Ardeidae (Herons, Egrets, and Bitterns)</v>
          </cell>
        </row>
        <row r="953">
          <cell r="E953" t="str">
            <v>Little Corella</v>
          </cell>
          <cell r="F953" t="str">
            <v>Cacatoès corella</v>
          </cell>
          <cell r="G953" t="str">
            <v>Cacatua sanguinea</v>
          </cell>
          <cell r="H953" t="str">
            <v>Psittaciformes</v>
          </cell>
          <cell r="I953" t="str">
            <v>Cacatuidae (Cockatoos)</v>
          </cell>
        </row>
        <row r="954">
          <cell r="E954" t="str">
            <v>Little Crow</v>
          </cell>
          <cell r="F954" t="str">
            <v>Corbeau du désert</v>
          </cell>
          <cell r="G954" t="str">
            <v>Corvus bennetti</v>
          </cell>
          <cell r="H954" t="str">
            <v>Passeriformes</v>
          </cell>
          <cell r="I954" t="str">
            <v>Corvidae (Crows, Jays, and Magpies)</v>
          </cell>
        </row>
        <row r="955">
          <cell r="E955" t="str">
            <v>Little Eagle</v>
          </cell>
          <cell r="F955" t="str">
            <v>Aigle nain</v>
          </cell>
          <cell r="G955" t="str">
            <v>Hieraaetus morphnoides</v>
          </cell>
          <cell r="H955" t="str">
            <v>Accipitriformes</v>
          </cell>
          <cell r="I955" t="str">
            <v>Accipitridae (Hawks, Eagles, and Kites)</v>
          </cell>
        </row>
        <row r="956">
          <cell r="E956" t="str">
            <v>Little Egret</v>
          </cell>
          <cell r="F956" t="str">
            <v>Aigrette garzette</v>
          </cell>
          <cell r="G956" t="str">
            <v>Egretta garzetta</v>
          </cell>
          <cell r="H956" t="str">
            <v>Pelecaniformes</v>
          </cell>
          <cell r="I956" t="str">
            <v>Ardeidae (Herons, Egrets, and Bitterns)</v>
          </cell>
        </row>
        <row r="957">
          <cell r="E957" t="str">
            <v>Little Friarbird</v>
          </cell>
          <cell r="F957" t="str">
            <v>Polochion à menton jaune</v>
          </cell>
          <cell r="G957" t="str">
            <v>Philemon citreogularis</v>
          </cell>
          <cell r="H957" t="str">
            <v>Passeriformes</v>
          </cell>
          <cell r="I957" t="str">
            <v>Meliphagidae (Honeyeaters)</v>
          </cell>
        </row>
        <row r="958">
          <cell r="E958" t="str">
            <v>Little Grassbird</v>
          </cell>
          <cell r="F958" t="str">
            <v>Mégalure menue</v>
          </cell>
          <cell r="G958" t="str">
            <v>Poodytes gramineus</v>
          </cell>
          <cell r="H958" t="str">
            <v>Passeriformes</v>
          </cell>
          <cell r="I958" t="str">
            <v>Locustellidae (Grassbirds and Allies)</v>
          </cell>
        </row>
        <row r="959">
          <cell r="E959" t="str">
            <v>Little Grebe</v>
          </cell>
          <cell r="F959" t="str">
            <v>Grèbe castagneux</v>
          </cell>
          <cell r="G959" t="str">
            <v>Tachybaptus ruficollis</v>
          </cell>
          <cell r="H959" t="str">
            <v>Podicipediformes</v>
          </cell>
          <cell r="I959" t="str">
            <v>Podicipedidae (Grebes)</v>
          </cell>
        </row>
        <row r="960">
          <cell r="E960" t="str">
            <v>Little Gull</v>
          </cell>
          <cell r="F960" t="str">
            <v>Mouette pygmée</v>
          </cell>
          <cell r="G960" t="str">
            <v>Hydrocoloeus minutus</v>
          </cell>
          <cell r="H960" t="str">
            <v>Charadriiformes</v>
          </cell>
          <cell r="I960" t="str">
            <v>Laridae (Gulls, Terns, and Skimmers)</v>
          </cell>
        </row>
        <row r="961">
          <cell r="E961" t="str">
            <v>Little Hermit</v>
          </cell>
          <cell r="F961" t="str">
            <v>Ermite nain</v>
          </cell>
          <cell r="G961" t="str">
            <v>Phaethornis longuemareus</v>
          </cell>
          <cell r="H961" t="str">
            <v>Apodiformes</v>
          </cell>
          <cell r="I961" t="str">
            <v>Trochilidae (Hummingbirds)</v>
          </cell>
        </row>
        <row r="962">
          <cell r="E962" t="str">
            <v>Little Heron</v>
          </cell>
          <cell r="F962" t="str">
            <v>Héron des mangroves</v>
          </cell>
          <cell r="G962" t="str">
            <v>Butorides atricapilla</v>
          </cell>
          <cell r="H962" t="str">
            <v>Pelecaniformes</v>
          </cell>
          <cell r="I962" t="str">
            <v>Ardeidae (Herons, Egrets, and Bitterns)</v>
          </cell>
        </row>
        <row r="963">
          <cell r="E963" t="str">
            <v>Little Penguin</v>
          </cell>
          <cell r="F963" t="str">
            <v>Manchot pygmée</v>
          </cell>
          <cell r="G963" t="str">
            <v>Eudyptula minor</v>
          </cell>
          <cell r="H963" t="str">
            <v>Sphenisciformes</v>
          </cell>
          <cell r="I963" t="str">
            <v>Spheniscidae (Penguins)</v>
          </cell>
        </row>
        <row r="964">
          <cell r="E964" t="str">
            <v>Little Pied Cormorant</v>
          </cell>
          <cell r="F964" t="str">
            <v>Cormoran pie</v>
          </cell>
          <cell r="G964" t="str">
            <v>Microcarbo melanoleucos</v>
          </cell>
          <cell r="H964" t="str">
            <v>Suliformes</v>
          </cell>
          <cell r="I964" t="str">
            <v>Phalacrocoracidae (Cormorants and Shags)</v>
          </cell>
        </row>
        <row r="965">
          <cell r="E965" t="str">
            <v>Little Raven</v>
          </cell>
          <cell r="F965" t="str">
            <v>Petit Corbeau</v>
          </cell>
          <cell r="G965" t="str">
            <v>Corvus mellori</v>
          </cell>
          <cell r="H965" t="str">
            <v>Passeriformes</v>
          </cell>
          <cell r="I965" t="str">
            <v>Corvidae (Crows, Jays, and Magpies)</v>
          </cell>
        </row>
        <row r="966">
          <cell r="E966" t="str">
            <v>Little Sparrowhawk</v>
          </cell>
          <cell r="F966" t="str">
            <v>Épervier minule</v>
          </cell>
          <cell r="G966" t="str">
            <v>Tachyspiza minulla</v>
          </cell>
          <cell r="H966" t="str">
            <v>Accipitriformes</v>
          </cell>
          <cell r="I966" t="str">
            <v>Accipitridae (Hawks, Eagles, and Kites)</v>
          </cell>
        </row>
        <row r="967">
          <cell r="E967" t="str">
            <v>Little Stint</v>
          </cell>
          <cell r="F967" t="str">
            <v>Bécasseau minute</v>
          </cell>
          <cell r="G967" t="str">
            <v>Calidris minuta</v>
          </cell>
          <cell r="H967" t="str">
            <v>Charadriiformes</v>
          </cell>
          <cell r="I967" t="str">
            <v>Scolopacidae (Sandpipers and Allies)</v>
          </cell>
        </row>
        <row r="968">
          <cell r="E968" t="str">
            <v>Little Tern</v>
          </cell>
          <cell r="F968" t="str">
            <v>Sterne naine</v>
          </cell>
          <cell r="G968" t="str">
            <v>Sternula albifrons</v>
          </cell>
          <cell r="H968" t="str">
            <v>Charadriiformes</v>
          </cell>
          <cell r="I968" t="str">
            <v>Laridae (Gulls, Terns, and Skimmers)</v>
          </cell>
        </row>
        <row r="969">
          <cell r="E969" t="str">
            <v>Little Tinamou</v>
          </cell>
          <cell r="F969" t="str">
            <v>Tinamou soui</v>
          </cell>
          <cell r="G969" t="str">
            <v>Crypturellus soui</v>
          </cell>
          <cell r="H969" t="str">
            <v>Tinamiformes</v>
          </cell>
          <cell r="I969" t="str">
            <v>Tinamidae (Tinamous)</v>
          </cell>
        </row>
        <row r="970">
          <cell r="E970" t="str">
            <v>Little Wattlebird</v>
          </cell>
          <cell r="F970" t="str">
            <v>Méliphage à gouttelettes</v>
          </cell>
          <cell r="G970" t="str">
            <v>Anthochaera chrysoptera</v>
          </cell>
          <cell r="H970" t="str">
            <v>Passeriformes</v>
          </cell>
          <cell r="I970" t="str">
            <v>Meliphagidae (Honeyeaters)</v>
          </cell>
        </row>
        <row r="971">
          <cell r="E971" t="str">
            <v>Littoral Rock-Thrush</v>
          </cell>
          <cell r="F971" t="str">
            <v>Monticole du littoral</v>
          </cell>
          <cell r="G971" t="str">
            <v>Monticola imerina</v>
          </cell>
          <cell r="H971" t="str">
            <v>Passeriformes</v>
          </cell>
          <cell r="I971" t="str">
            <v>Muscicapidae (Old World Flycatchers)</v>
          </cell>
        </row>
        <row r="972">
          <cell r="E972" t="str">
            <v>Loggerhead Shrike</v>
          </cell>
          <cell r="F972" t="str">
            <v>Pie-grièche migratrice</v>
          </cell>
          <cell r="G972" t="str">
            <v>Lanius ludovicianus</v>
          </cell>
          <cell r="H972" t="str">
            <v>Passeriformes</v>
          </cell>
          <cell r="I972" t="str">
            <v>Laniidae (Shrikes)</v>
          </cell>
        </row>
        <row r="973">
          <cell r="E973" t="str">
            <v>Long-billed Bernieria</v>
          </cell>
          <cell r="F973" t="str">
            <v>Tétraka malgache</v>
          </cell>
          <cell r="G973" t="str">
            <v>Bernieria madagascariensis</v>
          </cell>
          <cell r="H973" t="str">
            <v>Passeriformes</v>
          </cell>
          <cell r="I973" t="str">
            <v>Bernieridae (Malagasy Warblers)</v>
          </cell>
        </row>
        <row r="974">
          <cell r="E974" t="str">
            <v>Long-billed Corella</v>
          </cell>
          <cell r="F974" t="str">
            <v>Cacatoès nasique</v>
          </cell>
          <cell r="G974" t="str">
            <v>Cacatua tenuirostris</v>
          </cell>
          <cell r="H974" t="str">
            <v>Psittaciformes</v>
          </cell>
          <cell r="I974" t="str">
            <v>Cacatuidae (Cockatoos)</v>
          </cell>
        </row>
        <row r="975">
          <cell r="E975" t="str">
            <v>Long-billed Crombec</v>
          </cell>
          <cell r="F975" t="str">
            <v>Crombec à long bec</v>
          </cell>
          <cell r="G975" t="str">
            <v>Sylvietta rufescens</v>
          </cell>
          <cell r="H975" t="str">
            <v>Passeriformes</v>
          </cell>
          <cell r="I975" t="str">
            <v>Macrosphenidae (African Warblers)</v>
          </cell>
        </row>
        <row r="976">
          <cell r="E976" t="str">
            <v>Long-billed Curlew</v>
          </cell>
          <cell r="F976" t="str">
            <v>Courlis à long bec</v>
          </cell>
          <cell r="G976" t="str">
            <v>Numenius americanus</v>
          </cell>
          <cell r="H976" t="str">
            <v>Charadriiformes</v>
          </cell>
          <cell r="I976" t="str">
            <v>Scolopacidae (Sandpipers and Allies)</v>
          </cell>
        </row>
        <row r="977">
          <cell r="E977" t="str">
            <v>Long-billed Dowitcher</v>
          </cell>
          <cell r="F977" t="str">
            <v>Bécassin à long bec</v>
          </cell>
          <cell r="G977" t="str">
            <v>Limnodromus scolopaceus</v>
          </cell>
          <cell r="H977" t="str">
            <v>Charadriiformes</v>
          </cell>
          <cell r="I977" t="str">
            <v>Scolopacidae (Sandpipers and Allies)</v>
          </cell>
        </row>
        <row r="978">
          <cell r="E978" t="str">
            <v>Long-billed Gnatwren</v>
          </cell>
          <cell r="F978" t="str">
            <v>Microbate à long bec</v>
          </cell>
          <cell r="G978" t="str">
            <v>Ramphocaenus melanurus</v>
          </cell>
          <cell r="H978" t="str">
            <v>Passeriformes</v>
          </cell>
          <cell r="I978" t="str">
            <v>Polioptilidae (Gnatcatchers)</v>
          </cell>
        </row>
        <row r="979">
          <cell r="E979" t="str">
            <v>Long-billed Hermit</v>
          </cell>
          <cell r="F979" t="str">
            <v>Ermite à longue queue</v>
          </cell>
          <cell r="G979" t="str">
            <v>Phaethornis longirostris</v>
          </cell>
          <cell r="H979" t="str">
            <v>Apodiformes</v>
          </cell>
          <cell r="I979" t="str">
            <v>Trochilidae (Hummingbirds)</v>
          </cell>
        </row>
        <row r="980">
          <cell r="E980" t="str">
            <v>Long-billed Starthroat</v>
          </cell>
          <cell r="F980" t="str">
            <v>Colibri corinne</v>
          </cell>
          <cell r="G980" t="str">
            <v>Heliomaster longirostris</v>
          </cell>
          <cell r="H980" t="str">
            <v>Apodiformes</v>
          </cell>
          <cell r="I980" t="str">
            <v>Trochilidae (Hummingbirds)</v>
          </cell>
        </row>
        <row r="981">
          <cell r="E981" t="str">
            <v>Long-crested Eagle</v>
          </cell>
          <cell r="F981" t="str">
            <v>Aigle huppard</v>
          </cell>
          <cell r="G981" t="str">
            <v>Lophaetus occipitalis</v>
          </cell>
          <cell r="H981" t="str">
            <v>Accipitriformes</v>
          </cell>
          <cell r="I981" t="str">
            <v>Accipitridae (Hawks, Eagles, and Kites)</v>
          </cell>
        </row>
        <row r="982">
          <cell r="E982" t="str">
            <v>Long-eared Owl</v>
          </cell>
          <cell r="F982" t="str">
            <v>Hibou moyen-duc</v>
          </cell>
          <cell r="G982" t="str">
            <v>Asio otus</v>
          </cell>
          <cell r="H982" t="str">
            <v>Strigiformes</v>
          </cell>
          <cell r="I982" t="str">
            <v>Strigidae (Owls)</v>
          </cell>
        </row>
        <row r="983">
          <cell r="E983" t="str">
            <v>Long-tailed Duck</v>
          </cell>
          <cell r="F983" t="str">
            <v>Harelde kakawi</v>
          </cell>
          <cell r="G983" t="str">
            <v>Clangula hyemalis</v>
          </cell>
          <cell r="H983" t="str">
            <v>Anseriformes</v>
          </cell>
          <cell r="I983" t="str">
            <v>Anatidae (Ducks, Geese, and Waterfowl)</v>
          </cell>
        </row>
        <row r="984">
          <cell r="E984" t="str">
            <v>Long-tailed Fiscal</v>
          </cell>
          <cell r="F984" t="str">
            <v>Pie-grièche à longue queue</v>
          </cell>
          <cell r="G984" t="str">
            <v>Lanius cabanisi</v>
          </cell>
          <cell r="H984" t="str">
            <v>Passeriformes</v>
          </cell>
          <cell r="I984" t="str">
            <v>Laniidae (Shrikes)</v>
          </cell>
        </row>
        <row r="985">
          <cell r="E985" t="str">
            <v>Long-tailed Ground-Roller</v>
          </cell>
          <cell r="F985" t="str">
            <v>Brachyptérolle à longue queue</v>
          </cell>
          <cell r="G985" t="str">
            <v>Uratelornis chimaera</v>
          </cell>
          <cell r="H985" t="str">
            <v>Coraciiformes</v>
          </cell>
          <cell r="I985" t="str">
            <v>Brachypteraciidae (Ground-Rollers)</v>
          </cell>
        </row>
        <row r="986">
          <cell r="E986" t="str">
            <v>Long-tailed Manakin</v>
          </cell>
          <cell r="F986" t="str">
            <v>Manakin fastueux</v>
          </cell>
          <cell r="G986" t="str">
            <v>Chiroxiphia linearis</v>
          </cell>
          <cell r="H986" t="str">
            <v>Passeriformes</v>
          </cell>
          <cell r="I986" t="str">
            <v>Pipridae (Manakins)</v>
          </cell>
        </row>
        <row r="987">
          <cell r="E987" t="str">
            <v>Long-tailed Silky-flycatcher</v>
          </cell>
          <cell r="F987" t="str">
            <v>Ptilogon à longue queue</v>
          </cell>
          <cell r="G987" t="str">
            <v>Ptiliogonys caudatus</v>
          </cell>
          <cell r="H987" t="str">
            <v>Passeriformes</v>
          </cell>
          <cell r="I987" t="str">
            <v>Ptiliogonatidae (Silky-flycatchers)</v>
          </cell>
        </row>
        <row r="988">
          <cell r="E988" t="str">
            <v>Long-tailed Sylph</v>
          </cell>
          <cell r="F988" t="str">
            <v>Sylphe à queue d'azur</v>
          </cell>
          <cell r="G988" t="str">
            <v>Aglaiocercus kingii</v>
          </cell>
          <cell r="H988" t="str">
            <v>Apodiformes</v>
          </cell>
          <cell r="I988" t="str">
            <v>Trochilidae (Hummingbirds)</v>
          </cell>
        </row>
        <row r="989">
          <cell r="E989" t="str">
            <v>Long-tailed Tyrant</v>
          </cell>
          <cell r="F989" t="str">
            <v>Moucherolle à longs brins</v>
          </cell>
          <cell r="G989" t="str">
            <v>Colonia colonus</v>
          </cell>
          <cell r="H989" t="str">
            <v>Passeriformes</v>
          </cell>
          <cell r="I989" t="str">
            <v>Tyrannidae (Tyrant Flycatchers)</v>
          </cell>
        </row>
        <row r="990">
          <cell r="E990" t="str">
            <v>Long-toed Lapwing</v>
          </cell>
          <cell r="F990" t="str">
            <v>Vanneau à ailes blanches</v>
          </cell>
          <cell r="G990" t="str">
            <v>Vanellus crassirostris</v>
          </cell>
          <cell r="H990" t="str">
            <v>Charadriiformes</v>
          </cell>
          <cell r="I990" t="str">
            <v>Charadriidae (Plovers and Lapwings)</v>
          </cell>
        </row>
        <row r="991">
          <cell r="E991" t="str">
            <v>Long-winged Harrier</v>
          </cell>
          <cell r="F991" t="str">
            <v>Busard de Buffon</v>
          </cell>
          <cell r="G991" t="str">
            <v>Circus buffoni</v>
          </cell>
          <cell r="H991" t="str">
            <v>Accipitriformes</v>
          </cell>
          <cell r="I991" t="str">
            <v>Accipitridae (Hawks, Eagles, and Kites)</v>
          </cell>
        </row>
        <row r="992">
          <cell r="E992" t="str">
            <v>Longuemare's Sunangel</v>
          </cell>
          <cell r="F992" t="str">
            <v>Héliange de Clarisse</v>
          </cell>
          <cell r="G992" t="str">
            <v>Heliangelus clarisse</v>
          </cell>
          <cell r="H992" t="str">
            <v>Apodiformes</v>
          </cell>
          <cell r="I992" t="str">
            <v>Trochilidae (Hummingbirds)</v>
          </cell>
        </row>
        <row r="993">
          <cell r="E993" t="str">
            <v>Louisiana Waterthrush</v>
          </cell>
          <cell r="F993" t="str">
            <v>Paruline hochequeue</v>
          </cell>
          <cell r="G993" t="str">
            <v>Parkesia motacilla</v>
          </cell>
          <cell r="H993" t="str">
            <v>Passeriformes</v>
          </cell>
          <cell r="I993" t="str">
            <v>Parulidae (New World Warblers)</v>
          </cell>
        </row>
        <row r="994">
          <cell r="E994" t="str">
            <v>Luapula Cisticola</v>
          </cell>
          <cell r="F994" t="str">
            <v>Cisticole du Luapula</v>
          </cell>
          <cell r="G994" t="str">
            <v>Cisticola luapula</v>
          </cell>
          <cell r="H994" t="str">
            <v>Passeriformes</v>
          </cell>
          <cell r="I994" t="str">
            <v>Cisticolidae (Cisticolas and Allies)</v>
          </cell>
        </row>
        <row r="995">
          <cell r="E995" t="str">
            <v>Madagascar Blue Vanga</v>
          </cell>
          <cell r="F995" t="str">
            <v>Artamie azurée</v>
          </cell>
          <cell r="G995" t="str">
            <v>Cyanolanius madagascarinus</v>
          </cell>
          <cell r="H995" t="str">
            <v>Passeriformes</v>
          </cell>
          <cell r="I995" t="str">
            <v>Vangidae (Vangas, Helmetshrikes, and Allies)</v>
          </cell>
        </row>
        <row r="996">
          <cell r="E996" t="str">
            <v>Madagascar Blue-Pigeon</v>
          </cell>
          <cell r="F996" t="str">
            <v>Founingo bleu</v>
          </cell>
          <cell r="G996" t="str">
            <v>Alectroenas madagascariensis</v>
          </cell>
          <cell r="H996" t="str">
            <v>Columbiformes</v>
          </cell>
          <cell r="I996" t="str">
            <v>Columbidae (Pigeons and Doves)</v>
          </cell>
        </row>
        <row r="997">
          <cell r="E997" t="str">
            <v>Madagascar Buttonquail</v>
          </cell>
          <cell r="F997" t="str">
            <v>Turnix de Madagascar</v>
          </cell>
          <cell r="G997" t="str">
            <v>Turnix nigricollis</v>
          </cell>
          <cell r="H997" t="str">
            <v>Charadriiformes</v>
          </cell>
          <cell r="I997" t="str">
            <v>Turnicidae (Buttonquail)</v>
          </cell>
        </row>
        <row r="998">
          <cell r="E998" t="str">
            <v>Madagascar Buzzard</v>
          </cell>
          <cell r="F998" t="str">
            <v>Buse de Madagascar</v>
          </cell>
          <cell r="G998" t="str">
            <v>Buteo brachypterus</v>
          </cell>
          <cell r="H998" t="str">
            <v>Accipitriformes</v>
          </cell>
          <cell r="I998" t="str">
            <v>Accipitridae (Hawks, Eagles, and Kites)</v>
          </cell>
        </row>
        <row r="999">
          <cell r="E999" t="str">
            <v>Madagascar Cisticola</v>
          </cell>
          <cell r="F999" t="str">
            <v>Cisticole malgache</v>
          </cell>
          <cell r="G999" t="str">
            <v>Cisticola cherina</v>
          </cell>
          <cell r="H999" t="str">
            <v>Passeriformes</v>
          </cell>
          <cell r="I999" t="str">
            <v>Cisticolidae (Cisticolas and Allies)</v>
          </cell>
        </row>
        <row r="1000">
          <cell r="E1000" t="str">
            <v>Madagascar Cuckoo</v>
          </cell>
          <cell r="F1000" t="str">
            <v>Coucou de Madagascar</v>
          </cell>
          <cell r="G1000" t="str">
            <v>Cuculus rochii</v>
          </cell>
          <cell r="H1000" t="str">
            <v>Cuculiformes</v>
          </cell>
          <cell r="I1000" t="str">
            <v>Cuculidae (Cuckoos)</v>
          </cell>
        </row>
        <row r="1001">
          <cell r="E1001" t="str">
            <v>Madagascar Cuckoo-Hawk</v>
          </cell>
          <cell r="F1001" t="str">
            <v>Baza malgache</v>
          </cell>
          <cell r="G1001" t="str">
            <v>Aviceda madagascariensis</v>
          </cell>
          <cell r="H1001" t="str">
            <v>Accipitriformes</v>
          </cell>
          <cell r="I1001" t="str">
            <v>Accipitridae (Hawks, Eagles, and Kites)</v>
          </cell>
        </row>
        <row r="1002">
          <cell r="E1002" t="str">
            <v>Madagascar Cuckooshrike</v>
          </cell>
          <cell r="F1002" t="str">
            <v>Échenilleur malgache</v>
          </cell>
          <cell r="G1002" t="str">
            <v>Ceblepyris cinereus</v>
          </cell>
          <cell r="H1002" t="str">
            <v>Passeriformes</v>
          </cell>
          <cell r="I1002" t="str">
            <v>Campephagidae (Cuckooshrikes)</v>
          </cell>
        </row>
        <row r="1003">
          <cell r="E1003" t="str">
            <v>Madagascar Forest Rail</v>
          </cell>
          <cell r="F1003" t="str">
            <v>Râle à gorge blanche</v>
          </cell>
          <cell r="G1003" t="str">
            <v>Mentocrex kioloides</v>
          </cell>
          <cell r="H1003" t="str">
            <v>Gruiformes</v>
          </cell>
          <cell r="I1003" t="str">
            <v>Sarothruridae (Flufftails)</v>
          </cell>
        </row>
        <row r="1004">
          <cell r="E1004" t="str">
            <v>Madagascar Green-Pigeon</v>
          </cell>
          <cell r="F1004" t="str">
            <v>Colombar maïtsou</v>
          </cell>
          <cell r="G1004" t="str">
            <v>Treron australis</v>
          </cell>
          <cell r="H1004" t="str">
            <v>Columbiformes</v>
          </cell>
          <cell r="I1004" t="str">
            <v>Columbidae (Pigeons and Doves)</v>
          </cell>
        </row>
        <row r="1005">
          <cell r="E1005" t="str">
            <v>Madagascar Harrier-Hawk</v>
          </cell>
          <cell r="F1005" t="str">
            <v>Gymnogène de Madagascar</v>
          </cell>
          <cell r="G1005" t="str">
            <v>Polyboroides radiatus</v>
          </cell>
          <cell r="H1005" t="str">
            <v>Accipitriformes</v>
          </cell>
          <cell r="I1005" t="str">
            <v>Accipitridae (Hawks, Eagles, and Kites)</v>
          </cell>
        </row>
        <row r="1006">
          <cell r="E1006" t="str">
            <v>Madagascar Hoopoe</v>
          </cell>
          <cell r="F1006" t="str">
            <v>Huppe de Madagascar</v>
          </cell>
          <cell r="G1006" t="str">
            <v>Upupa marginata</v>
          </cell>
          <cell r="H1006" t="str">
            <v>Bucerotiformes</v>
          </cell>
          <cell r="I1006" t="str">
            <v>Upupidae (Hoopoes)</v>
          </cell>
        </row>
        <row r="1007">
          <cell r="E1007" t="str">
            <v>Madagascar Ibis</v>
          </cell>
          <cell r="F1007" t="str">
            <v>Ibis huppé</v>
          </cell>
          <cell r="G1007" t="str">
            <v>Lophotibis cristata</v>
          </cell>
          <cell r="H1007" t="str">
            <v>Pelecaniformes</v>
          </cell>
          <cell r="I1007" t="str">
            <v>Threskiornithidae (Ibises and Spoonbills)</v>
          </cell>
        </row>
        <row r="1008">
          <cell r="E1008" t="str">
            <v>Madagascar Lark</v>
          </cell>
          <cell r="F1008" t="str">
            <v>Moinelette malgache</v>
          </cell>
          <cell r="G1008" t="str">
            <v>Eremopterix hova</v>
          </cell>
          <cell r="H1008" t="str">
            <v>Passeriformes</v>
          </cell>
          <cell r="I1008" t="str">
            <v>Alaudidae (Larks)</v>
          </cell>
        </row>
        <row r="1009">
          <cell r="E1009" t="str">
            <v>Madagascar Magpie-Robin</v>
          </cell>
          <cell r="F1009" t="str">
            <v>Shama de Madagascar</v>
          </cell>
          <cell r="G1009" t="str">
            <v>Copsychus albospecularis</v>
          </cell>
          <cell r="H1009" t="str">
            <v>Passeriformes</v>
          </cell>
          <cell r="I1009" t="str">
            <v>Muscicapidae (Old World Flycatchers)</v>
          </cell>
        </row>
        <row r="1010">
          <cell r="E1010" t="str">
            <v>Madagascar Martin</v>
          </cell>
          <cell r="F1010" t="str">
            <v>Hirondelle de Madagascar</v>
          </cell>
          <cell r="G1010" t="str">
            <v>Riparia cowani</v>
          </cell>
          <cell r="H1010" t="str">
            <v>Passeriformes</v>
          </cell>
          <cell r="I1010" t="str">
            <v>Hirundinidae (Swallows)</v>
          </cell>
        </row>
        <row r="1011">
          <cell r="E1011" t="str">
            <v>Madagascar Munia</v>
          </cell>
          <cell r="F1011" t="str">
            <v>Capucin de Madagascar</v>
          </cell>
          <cell r="G1011" t="str">
            <v>Lepidopygia nana</v>
          </cell>
          <cell r="H1011" t="str">
            <v>Passeriformes</v>
          </cell>
          <cell r="I1011" t="str">
            <v>Estrildidae (Waxbills and Allies)</v>
          </cell>
        </row>
        <row r="1012">
          <cell r="E1012" t="str">
            <v>Madagascar Nightjar</v>
          </cell>
          <cell r="F1012" t="str">
            <v>Engoulevent malgache</v>
          </cell>
          <cell r="G1012" t="str">
            <v>Caprimulgus madagascariensis</v>
          </cell>
          <cell r="H1012" t="str">
            <v>Caprimulgiformes</v>
          </cell>
          <cell r="I1012" t="str">
            <v>Caprimulgidae (Nightjars and Allies)</v>
          </cell>
        </row>
        <row r="1013">
          <cell r="E1013" t="str">
            <v>Madagascar Owl</v>
          </cell>
          <cell r="F1013" t="str">
            <v>Hibou malgache</v>
          </cell>
          <cell r="G1013" t="str">
            <v>Asio madagascariensis</v>
          </cell>
          <cell r="H1013" t="str">
            <v>Strigiformes</v>
          </cell>
          <cell r="I1013" t="str">
            <v>Strigidae (Owls)</v>
          </cell>
        </row>
        <row r="1014">
          <cell r="E1014" t="str">
            <v>Madagascar Partridge</v>
          </cell>
          <cell r="F1014" t="str">
            <v>Caille de Madagascar</v>
          </cell>
          <cell r="G1014" t="str">
            <v>Margaroperdix madagarensis</v>
          </cell>
          <cell r="H1014" t="str">
            <v>Galliformes</v>
          </cell>
          <cell r="I1014" t="str">
            <v>Phasianidae (Pheasants, Grouse, and Allies)</v>
          </cell>
        </row>
        <row r="1015">
          <cell r="E1015" t="str">
            <v>Madagascar Pratincole</v>
          </cell>
          <cell r="F1015" t="str">
            <v>Glaréole malgache</v>
          </cell>
          <cell r="G1015" t="str">
            <v>Glareola ocularis</v>
          </cell>
          <cell r="H1015" t="str">
            <v>Charadriiformes</v>
          </cell>
          <cell r="I1015" t="str">
            <v>Glareolidae (Pratincoles and Coursers)</v>
          </cell>
        </row>
        <row r="1016">
          <cell r="E1016" t="str">
            <v>Madagascar Pygmy Kingfisher</v>
          </cell>
          <cell r="F1016" t="str">
            <v>Martin-pêcheur malgache</v>
          </cell>
          <cell r="G1016" t="str">
            <v>Corythornis madagascariensis</v>
          </cell>
          <cell r="H1016" t="str">
            <v>Coraciiformes</v>
          </cell>
          <cell r="I1016" t="str">
            <v>Alcedinidae (Kingfishers)</v>
          </cell>
        </row>
        <row r="1017">
          <cell r="E1017" t="str">
            <v>Madagascar Scops-Owl</v>
          </cell>
          <cell r="F1017" t="str">
            <v>Petit-duc malgache</v>
          </cell>
          <cell r="G1017" t="str">
            <v>Otus rutilus</v>
          </cell>
          <cell r="H1017" t="str">
            <v>Strigiformes</v>
          </cell>
          <cell r="I1017" t="str">
            <v>Strigidae (Owls)</v>
          </cell>
        </row>
        <row r="1018">
          <cell r="E1018" t="str">
            <v>Madagascar Sparrowhawk</v>
          </cell>
          <cell r="F1018" t="str">
            <v>Épervier de Madagascar</v>
          </cell>
          <cell r="G1018" t="str">
            <v>Accipiter madagascariensis</v>
          </cell>
          <cell r="H1018" t="str">
            <v>Accipitriformes</v>
          </cell>
          <cell r="I1018" t="str">
            <v>Accipitridae (Hawks, Eagles, and Kites)</v>
          </cell>
        </row>
        <row r="1019">
          <cell r="E1019" t="str">
            <v>Madagascar Spinetail</v>
          </cell>
          <cell r="F1019" t="str">
            <v>Martinet de Grandidier</v>
          </cell>
          <cell r="G1019" t="str">
            <v>Zoonavena grandidieri</v>
          </cell>
          <cell r="H1019" t="str">
            <v>Apodiformes</v>
          </cell>
          <cell r="I1019" t="str">
            <v>Apodidae (Swifts)</v>
          </cell>
        </row>
        <row r="1020">
          <cell r="E1020" t="str">
            <v>Madagascar Starling</v>
          </cell>
          <cell r="F1020" t="str">
            <v>Étourneau malgache</v>
          </cell>
          <cell r="G1020" t="str">
            <v>Hartlaubius auratus</v>
          </cell>
          <cell r="H1020" t="str">
            <v>Passeriformes</v>
          </cell>
          <cell r="I1020" t="str">
            <v>Sturnidae (Starlings)</v>
          </cell>
        </row>
        <row r="1021">
          <cell r="E1021" t="str">
            <v>Madagascar Swamp Warbler</v>
          </cell>
          <cell r="F1021" t="str">
            <v>Rousserolle de Newton</v>
          </cell>
          <cell r="G1021" t="str">
            <v>Acrocephalus newtoni</v>
          </cell>
          <cell r="H1021" t="str">
            <v>Passeriformes</v>
          </cell>
          <cell r="I1021" t="str">
            <v>Acrocephalidae (Reed Warblers and Allies)</v>
          </cell>
        </row>
        <row r="1022">
          <cell r="E1022" t="str">
            <v>Madagascar Wagtail</v>
          </cell>
          <cell r="F1022" t="str">
            <v>Bergeronnette malgache</v>
          </cell>
          <cell r="G1022" t="str">
            <v>Motacilla flaviventris</v>
          </cell>
          <cell r="H1022" t="str">
            <v>Passeriformes</v>
          </cell>
          <cell r="I1022" t="str">
            <v>Motacillidae (Wagtails and Pipits)</v>
          </cell>
        </row>
        <row r="1023">
          <cell r="E1023" t="str">
            <v>Magenta-throated Woodstar</v>
          </cell>
          <cell r="F1023" t="str">
            <v>Colibri magenta</v>
          </cell>
          <cell r="G1023" t="str">
            <v>Philodice bryantae</v>
          </cell>
          <cell r="H1023" t="str">
            <v>Apodiformes</v>
          </cell>
          <cell r="I1023" t="str">
            <v>Trochilidae (Hummingbirds)</v>
          </cell>
        </row>
        <row r="1024">
          <cell r="E1024" t="str">
            <v>Magnificent Frigatebird</v>
          </cell>
          <cell r="F1024" t="str">
            <v>Frégate superbe</v>
          </cell>
          <cell r="G1024" t="str">
            <v>Fregata magnificens</v>
          </cell>
          <cell r="H1024" t="str">
            <v>Suliformes</v>
          </cell>
          <cell r="I1024" t="str">
            <v>Fregatidae (Frigatebirds)</v>
          </cell>
        </row>
        <row r="1025">
          <cell r="E1025" t="str">
            <v>Magnolia Warbler</v>
          </cell>
          <cell r="F1025" t="str">
            <v>Paruline à tête cendrée</v>
          </cell>
          <cell r="G1025" t="str">
            <v>Setophaga magnolia</v>
          </cell>
          <cell r="H1025" t="str">
            <v>Passeriformes</v>
          </cell>
          <cell r="I1025" t="str">
            <v>Parulidae (New World Warblers)</v>
          </cell>
        </row>
        <row r="1026">
          <cell r="E1026" t="str">
            <v>Magpie Goose</v>
          </cell>
          <cell r="F1026" t="str">
            <v>Canaroie semipalmée</v>
          </cell>
          <cell r="G1026" t="str">
            <v>Anseranas semipalmata</v>
          </cell>
          <cell r="H1026" t="str">
            <v>Anseriformes</v>
          </cell>
          <cell r="I1026" t="str">
            <v>Anseranatidae (Magpie Goose)</v>
          </cell>
        </row>
        <row r="1027">
          <cell r="E1027" t="str">
            <v>Magpie Shrike</v>
          </cell>
          <cell r="F1027" t="str">
            <v>Corvinelle noir et blanc</v>
          </cell>
          <cell r="G1027" t="str">
            <v>Urolestes melanoleucus</v>
          </cell>
          <cell r="H1027" t="str">
            <v>Passeriformes</v>
          </cell>
          <cell r="I1027" t="str">
            <v>Laniidae (Shrikes)</v>
          </cell>
        </row>
        <row r="1028">
          <cell r="E1028" t="str">
            <v>Magpie-lark</v>
          </cell>
          <cell r="F1028" t="str">
            <v>Gralline pie</v>
          </cell>
          <cell r="G1028" t="str">
            <v>Grallina cyanoleuca</v>
          </cell>
          <cell r="H1028" t="str">
            <v>Passeriformes</v>
          </cell>
          <cell r="I1028" t="str">
            <v>Monarchidae (Monarch Flycatchers)</v>
          </cell>
        </row>
        <row r="1029">
          <cell r="E1029" t="str">
            <v>Malachite Kingfisher</v>
          </cell>
          <cell r="F1029" t="str">
            <v>Martin-pêcheur huppé</v>
          </cell>
          <cell r="G1029" t="str">
            <v>Corythornis cristatus</v>
          </cell>
          <cell r="H1029" t="str">
            <v>Coraciiformes</v>
          </cell>
          <cell r="I1029" t="str">
            <v>Alcedinidae (Kingfishers)</v>
          </cell>
        </row>
        <row r="1030">
          <cell r="E1030" t="str">
            <v>Malagasy Brush-Warbler</v>
          </cell>
          <cell r="F1030" t="str">
            <v>Nésille malgache</v>
          </cell>
          <cell r="G1030" t="str">
            <v>Nesillas typica</v>
          </cell>
          <cell r="H1030" t="str">
            <v>Passeriformes</v>
          </cell>
          <cell r="I1030" t="str">
            <v>Acrocephalidae (Reed Warblers and Allies)</v>
          </cell>
        </row>
        <row r="1031">
          <cell r="E1031" t="str">
            <v>Malagasy Bulbul</v>
          </cell>
          <cell r="F1031" t="str">
            <v>Bulbul de Madagascar</v>
          </cell>
          <cell r="G1031" t="str">
            <v>Hypsipetes madagascariensis</v>
          </cell>
          <cell r="H1031" t="str">
            <v>Passeriformes</v>
          </cell>
          <cell r="I1031" t="str">
            <v>Pycnonotidae (Bulbuls)</v>
          </cell>
        </row>
        <row r="1032">
          <cell r="E1032" t="str">
            <v>Malagasy Coucal</v>
          </cell>
          <cell r="F1032" t="str">
            <v>Coucal toulou</v>
          </cell>
          <cell r="G1032" t="str">
            <v>Centropus toulou</v>
          </cell>
          <cell r="H1032" t="str">
            <v>Cuculiformes</v>
          </cell>
          <cell r="I1032" t="str">
            <v>Cuculidae (Cuckoos)</v>
          </cell>
        </row>
        <row r="1033">
          <cell r="E1033" t="str">
            <v>Malagasy Kestrel</v>
          </cell>
          <cell r="F1033" t="str">
            <v>Crécerelle malgache</v>
          </cell>
          <cell r="G1033" t="str">
            <v>Falco newtoni</v>
          </cell>
          <cell r="H1033" t="str">
            <v>Falconiformes</v>
          </cell>
          <cell r="I1033" t="str">
            <v>Falconidae (Falcons and Caracaras)</v>
          </cell>
        </row>
        <row r="1034">
          <cell r="E1034" t="str">
            <v>Malagasy Kingfisher</v>
          </cell>
          <cell r="F1034" t="str">
            <v>Martin-pêcheur vintsi</v>
          </cell>
          <cell r="G1034" t="str">
            <v>Corythornis vintsioides</v>
          </cell>
          <cell r="H1034" t="str">
            <v>Coraciiformes</v>
          </cell>
          <cell r="I1034" t="str">
            <v>Alcedinidae (Kingfishers)</v>
          </cell>
        </row>
        <row r="1035">
          <cell r="E1035" t="str">
            <v>Malagasy Palm Swift</v>
          </cell>
          <cell r="F1035" t="str">
            <v>Martinet de Madagascar</v>
          </cell>
          <cell r="G1035" t="str">
            <v>Cypsiurus gracilis</v>
          </cell>
          <cell r="H1035" t="str">
            <v>Apodiformes</v>
          </cell>
          <cell r="I1035" t="str">
            <v>Apodidae (Swifts)</v>
          </cell>
        </row>
        <row r="1036">
          <cell r="E1036" t="str">
            <v>Malagasy Paradise-Flycatcher</v>
          </cell>
          <cell r="F1036" t="str">
            <v>Tchitrec malgache</v>
          </cell>
          <cell r="G1036" t="str">
            <v>Terpsiphone mutata</v>
          </cell>
          <cell r="H1036" t="str">
            <v>Passeriformes</v>
          </cell>
          <cell r="I1036" t="str">
            <v>Monarchidae (Monarch Flycatchers)</v>
          </cell>
        </row>
        <row r="1037">
          <cell r="E1037" t="str">
            <v>Malagasy Pond-Heron</v>
          </cell>
          <cell r="F1037" t="str">
            <v>Crabier blanc</v>
          </cell>
          <cell r="G1037" t="str">
            <v>Ardeola idae</v>
          </cell>
          <cell r="H1037" t="str">
            <v>Pelecaniformes</v>
          </cell>
          <cell r="I1037" t="str">
            <v>Ardeidae (Herons, Egrets, and Bitterns)</v>
          </cell>
        </row>
        <row r="1038">
          <cell r="E1038" t="str">
            <v>Malagasy Sunbird</v>
          </cell>
          <cell r="F1038" t="str">
            <v>Souimanga angaladian</v>
          </cell>
          <cell r="G1038" t="str">
            <v>Cinnyris notatus</v>
          </cell>
          <cell r="H1038" t="str">
            <v>Passeriformes</v>
          </cell>
          <cell r="I1038" t="str">
            <v>Nectariniidae (Sunbirds and Spiderhunters)</v>
          </cell>
        </row>
        <row r="1039">
          <cell r="E1039" t="str">
            <v>Malagasy Swift</v>
          </cell>
          <cell r="F1039" t="str">
            <v>Martinet malgache</v>
          </cell>
          <cell r="G1039" t="str">
            <v>Apus balstoni</v>
          </cell>
          <cell r="H1039" t="str">
            <v>Apodiformes</v>
          </cell>
          <cell r="I1039" t="str">
            <v>Apodidae (Swifts)</v>
          </cell>
        </row>
        <row r="1040">
          <cell r="E1040" t="str">
            <v>Malagasy Turtle-Dove</v>
          </cell>
          <cell r="F1040" t="str">
            <v>Pigeon de Madagascar</v>
          </cell>
          <cell r="G1040" t="str">
            <v>Nesoenas picturatus</v>
          </cell>
          <cell r="H1040" t="str">
            <v>Columbiformes</v>
          </cell>
          <cell r="I1040" t="str">
            <v>Columbidae (Pigeons and Doves)</v>
          </cell>
        </row>
        <row r="1041">
          <cell r="E1041" t="str">
            <v>Malagasy White-eye</v>
          </cell>
          <cell r="F1041" t="str">
            <v>Zostérops malgache</v>
          </cell>
          <cell r="G1041" t="str">
            <v>Zosterops maderaspatanus</v>
          </cell>
          <cell r="H1041" t="str">
            <v>Passeriformes</v>
          </cell>
          <cell r="I1041" t="str">
            <v>Zosteropidae (White-eyes, Yuhinas, and Allies)</v>
          </cell>
        </row>
        <row r="1042">
          <cell r="E1042" t="str">
            <v>Mallard</v>
          </cell>
          <cell r="F1042" t="str">
            <v>Canard colvert</v>
          </cell>
          <cell r="G1042" t="str">
            <v>Anas platyrhynchos</v>
          </cell>
          <cell r="H1042" t="str">
            <v>Anseriformes</v>
          </cell>
          <cell r="I1042" t="str">
            <v>Anatidae (Ducks, Geese, and Waterfowl)</v>
          </cell>
        </row>
        <row r="1043">
          <cell r="E1043" t="str">
            <v>Malleefowl</v>
          </cell>
          <cell r="F1043" t="str">
            <v>Léipoa ocellé</v>
          </cell>
          <cell r="G1043" t="str">
            <v>Leipoa ocellata</v>
          </cell>
          <cell r="H1043" t="str">
            <v>Galliformes</v>
          </cell>
          <cell r="I1043" t="str">
            <v>Megapodiidae (Megapodes)</v>
          </cell>
        </row>
        <row r="1044">
          <cell r="E1044" t="str">
            <v>Maned Duck</v>
          </cell>
          <cell r="F1044" t="str">
            <v>Canard à crinière</v>
          </cell>
          <cell r="G1044" t="str">
            <v>Chenonetta jubata</v>
          </cell>
          <cell r="H1044" t="str">
            <v>Anseriformes</v>
          </cell>
          <cell r="I1044" t="str">
            <v>Anatidae (Ducks, Geese, and Waterfowl)</v>
          </cell>
        </row>
        <row r="1045">
          <cell r="E1045" t="str">
            <v>Mangrove Cuckoo</v>
          </cell>
          <cell r="F1045" t="str">
            <v>Coulicou manioc</v>
          </cell>
          <cell r="G1045" t="str">
            <v>Coccyzus minor</v>
          </cell>
          <cell r="H1045" t="str">
            <v>Cuculiformes</v>
          </cell>
          <cell r="I1045" t="str">
            <v>Cuculidae (Cuckoos)</v>
          </cell>
        </row>
        <row r="1046">
          <cell r="E1046" t="str">
            <v>Mangrove Swallow</v>
          </cell>
          <cell r="F1046" t="str">
            <v>Hirondelle des mangroves</v>
          </cell>
          <cell r="G1046" t="str">
            <v>Tachycineta albilinea</v>
          </cell>
          <cell r="H1046" t="str">
            <v>Passeriformes</v>
          </cell>
          <cell r="I1046" t="str">
            <v>Hirundinidae (Swallows)</v>
          </cell>
        </row>
        <row r="1047">
          <cell r="E1047" t="str">
            <v>Mangrove Vireo</v>
          </cell>
          <cell r="F1047" t="str">
            <v>Viréo des mangroves</v>
          </cell>
          <cell r="G1047" t="str">
            <v>Vireo pallens</v>
          </cell>
          <cell r="H1047" t="str">
            <v>Passeriformes</v>
          </cell>
          <cell r="I1047" t="str">
            <v>Vireonidae (Vireos, Shrike-Babblers, and Erpornis)</v>
          </cell>
        </row>
        <row r="1048">
          <cell r="E1048" t="str">
            <v>Mangrove Yellow Warbler</v>
          </cell>
          <cell r="F1048" t="str">
            <v>Paruline des mangroves</v>
          </cell>
          <cell r="G1048" t="str">
            <v>Setophaga petechia</v>
          </cell>
          <cell r="H1048" t="str">
            <v>Passeriformes</v>
          </cell>
          <cell r="I1048" t="str">
            <v>Parulidae (New World Warblers)</v>
          </cell>
        </row>
        <row r="1049">
          <cell r="E1049" t="str">
            <v>Marabou Stork</v>
          </cell>
          <cell r="F1049" t="str">
            <v>Marabout d'Afrique</v>
          </cell>
          <cell r="G1049" t="str">
            <v>Leptoptilos crumenifer</v>
          </cell>
          <cell r="H1049" t="str">
            <v>Ciconiiformes</v>
          </cell>
          <cell r="I1049" t="str">
            <v>Ciconiidae (Storks)</v>
          </cell>
        </row>
        <row r="1050">
          <cell r="E1050" t="str">
            <v>Marble-faced Bristle-Tyrant</v>
          </cell>
          <cell r="F1050" t="str">
            <v>Tyranneau marbré</v>
          </cell>
          <cell r="G1050" t="str">
            <v>Pogonotriccus ophthalmicus</v>
          </cell>
          <cell r="H1050" t="str">
            <v>Passeriformes</v>
          </cell>
          <cell r="I1050" t="str">
            <v>Tyrannidae (Tyrant Flycatchers)</v>
          </cell>
        </row>
        <row r="1051">
          <cell r="E1051" t="str">
            <v>Marbled Godwit</v>
          </cell>
          <cell r="F1051" t="str">
            <v>Barge marbrée</v>
          </cell>
          <cell r="G1051" t="str">
            <v>Limosa fedoa</v>
          </cell>
          <cell r="H1051" t="str">
            <v>Charadriiformes</v>
          </cell>
          <cell r="I1051" t="str">
            <v>Scolopacidae (Sandpipers and Allies)</v>
          </cell>
        </row>
        <row r="1052">
          <cell r="E1052" t="str">
            <v>Marico Sunbird</v>
          </cell>
          <cell r="F1052" t="str">
            <v>Souimanga du Marico</v>
          </cell>
          <cell r="G1052" t="str">
            <v>Cinnyris mariquensis</v>
          </cell>
          <cell r="H1052" t="str">
            <v>Passeriformes</v>
          </cell>
          <cell r="I1052" t="str">
            <v>Nectariniidae (Sunbirds and Spiderhunters)</v>
          </cell>
        </row>
        <row r="1053">
          <cell r="E1053" t="str">
            <v>Maroon-tailed Parakeet</v>
          </cell>
          <cell r="F1053" t="str">
            <v>Conure de Souancé</v>
          </cell>
          <cell r="G1053" t="str">
            <v>Pyrrhura melanura</v>
          </cell>
          <cell r="H1053" t="str">
            <v>Psittaciformes</v>
          </cell>
          <cell r="I1053" t="str">
            <v>Psittacidae (New World and African Parrots)</v>
          </cell>
        </row>
        <row r="1054">
          <cell r="E1054" t="str">
            <v>Marsh Sandpiper</v>
          </cell>
          <cell r="F1054" t="str">
            <v>Chevalier stagnatile</v>
          </cell>
          <cell r="G1054" t="str">
            <v>Tringa stagnatilis</v>
          </cell>
          <cell r="H1054" t="str">
            <v>Charadriiformes</v>
          </cell>
          <cell r="I1054" t="str">
            <v>Scolopacidae (Sandpipers and Allies)</v>
          </cell>
        </row>
        <row r="1055">
          <cell r="E1055" t="str">
            <v>Marsh Wren</v>
          </cell>
          <cell r="F1055" t="str">
            <v>Troglodyte des marais</v>
          </cell>
          <cell r="G1055" t="str">
            <v>Cistothorus palustris</v>
          </cell>
          <cell r="H1055" t="str">
            <v>Passeriformes</v>
          </cell>
          <cell r="I1055" t="str">
            <v>Troglodytidae (Wrens)</v>
          </cell>
        </row>
        <row r="1056">
          <cell r="E1056" t="str">
            <v>Martial Eagle</v>
          </cell>
          <cell r="F1056" t="str">
            <v>Aigle martial</v>
          </cell>
          <cell r="G1056" t="str">
            <v>Polemaetus bellicosus</v>
          </cell>
          <cell r="H1056" t="str">
            <v>Accipitriformes</v>
          </cell>
          <cell r="I1056" t="str">
            <v>Accipitridae (Hawks, Eagles, and Kites)</v>
          </cell>
        </row>
        <row r="1057">
          <cell r="E1057" t="str">
            <v>Mascarene Martin</v>
          </cell>
          <cell r="F1057" t="str">
            <v>Hirondelle des Mascareignes</v>
          </cell>
          <cell r="G1057" t="str">
            <v>Phedina borbonica</v>
          </cell>
          <cell r="H1057" t="str">
            <v>Passeriformes</v>
          </cell>
          <cell r="I1057" t="str">
            <v>Hirundinidae (Swallows)</v>
          </cell>
        </row>
        <row r="1058">
          <cell r="E1058" t="str">
            <v>Masked Cardinal</v>
          </cell>
          <cell r="F1058" t="str">
            <v>Paroare masqué</v>
          </cell>
          <cell r="G1058" t="str">
            <v>Paroaria nigrogenis</v>
          </cell>
          <cell r="H1058" t="str">
            <v>Passeriformes</v>
          </cell>
          <cell r="I1058" t="str">
            <v>Thraupidae (Tanagers and Allies)</v>
          </cell>
        </row>
        <row r="1059">
          <cell r="E1059" t="str">
            <v>Masked Flowerpiercer</v>
          </cell>
          <cell r="F1059" t="str">
            <v>Percefleur masqué</v>
          </cell>
          <cell r="G1059" t="str">
            <v>Diglossa cyanea</v>
          </cell>
          <cell r="H1059" t="str">
            <v>Passeriformes</v>
          </cell>
          <cell r="I1059" t="str">
            <v>Thraupidae (Tanagers and Allies)</v>
          </cell>
        </row>
        <row r="1060">
          <cell r="E1060" t="str">
            <v>Masked Lapwing</v>
          </cell>
          <cell r="F1060" t="str">
            <v>Vanneau soldat</v>
          </cell>
          <cell r="G1060" t="str">
            <v>Vanellus miles</v>
          </cell>
          <cell r="H1060" t="str">
            <v>Charadriiformes</v>
          </cell>
          <cell r="I1060" t="str">
            <v>Charadriidae (Plovers and Lapwings)</v>
          </cell>
        </row>
        <row r="1061">
          <cell r="E1061" t="str">
            <v>Masked Tityra</v>
          </cell>
          <cell r="F1061" t="str">
            <v>Tityre masqué</v>
          </cell>
          <cell r="G1061" t="str">
            <v>Tityra semifasciata</v>
          </cell>
          <cell r="H1061" t="str">
            <v>Passeriformes</v>
          </cell>
          <cell r="I1061" t="str">
            <v>Tityridae (Tityras and Allies)</v>
          </cell>
        </row>
        <row r="1062">
          <cell r="E1062" t="str">
            <v>Masked Trogon</v>
          </cell>
          <cell r="F1062" t="str">
            <v>Trogon masqué</v>
          </cell>
          <cell r="G1062" t="str">
            <v>Trogon personatus</v>
          </cell>
          <cell r="H1062" t="str">
            <v>Trogoniformes</v>
          </cell>
          <cell r="I1062" t="str">
            <v>Trogonidae (Trogons)</v>
          </cell>
        </row>
        <row r="1063">
          <cell r="E1063" t="str">
            <v>Masked Water-Tyrant</v>
          </cell>
          <cell r="F1063" t="str">
            <v>Moucherolle aquatique</v>
          </cell>
          <cell r="G1063" t="str">
            <v>Fluvicola nengeta</v>
          </cell>
          <cell r="H1063" t="str">
            <v>Passeriformes</v>
          </cell>
          <cell r="I1063" t="str">
            <v>Tyrannidae (Tyrant Flycatchers)</v>
          </cell>
        </row>
        <row r="1064">
          <cell r="E1064" t="str">
            <v>Masked Woodswallow</v>
          </cell>
          <cell r="F1064" t="str">
            <v>Langrayen masqué</v>
          </cell>
          <cell r="G1064" t="str">
            <v>Artamus personatus</v>
          </cell>
          <cell r="H1064" t="str">
            <v>Passeriformes</v>
          </cell>
          <cell r="I1064" t="str">
            <v>Artamidae (Woodswallows, Bellmagpies, and Allies)</v>
          </cell>
        </row>
        <row r="1065">
          <cell r="E1065" t="str">
            <v>Masked Yellowthroat</v>
          </cell>
          <cell r="F1065" t="str">
            <v>Paruline équatoriale</v>
          </cell>
          <cell r="G1065" t="str">
            <v>Geothlypis aequinoctialis</v>
          </cell>
          <cell r="H1065" t="str">
            <v>Passeriformes</v>
          </cell>
          <cell r="I1065" t="str">
            <v>Parulidae (New World Warblers)</v>
          </cell>
        </row>
        <row r="1066">
          <cell r="E1066" t="str">
            <v>Mealy Amazon</v>
          </cell>
          <cell r="F1066" t="str">
            <v>Amazone poudrée</v>
          </cell>
          <cell r="G1066" t="str">
            <v>Amazona farinosa</v>
          </cell>
          <cell r="H1066" t="str">
            <v>Psittaciformes</v>
          </cell>
          <cell r="I1066" t="str">
            <v>Psittacidae (New World and African Parrots)</v>
          </cell>
        </row>
        <row r="1067">
          <cell r="E1067" t="str">
            <v>Medium Ground-Finch</v>
          </cell>
          <cell r="F1067" t="str">
            <v>Géospize à bec moyen</v>
          </cell>
          <cell r="G1067" t="str">
            <v>Geospiza fortis</v>
          </cell>
          <cell r="H1067" t="str">
            <v>Passeriformes</v>
          </cell>
          <cell r="I1067" t="str">
            <v>Thraupidae (Tanagers and Allies)</v>
          </cell>
        </row>
        <row r="1068">
          <cell r="E1068" t="str">
            <v>Meller's Duck</v>
          </cell>
          <cell r="F1068" t="str">
            <v>Canard de Meller</v>
          </cell>
          <cell r="G1068" t="str">
            <v>Anas melleri</v>
          </cell>
          <cell r="H1068" t="str">
            <v>Anseriformes</v>
          </cell>
          <cell r="I1068" t="str">
            <v>Anatidae (Ducks, Geese, and Waterfowl)</v>
          </cell>
        </row>
        <row r="1069">
          <cell r="E1069" t="str">
            <v>Melodious Blackbird</v>
          </cell>
          <cell r="F1069" t="str">
            <v>Quiscale chanteur</v>
          </cell>
          <cell r="G1069" t="str">
            <v>Dives dives</v>
          </cell>
          <cell r="H1069" t="str">
            <v>Passeriformes</v>
          </cell>
          <cell r="I1069" t="str">
            <v>Icteridae (Troupials and Allies)</v>
          </cell>
        </row>
        <row r="1070">
          <cell r="E1070" t="str">
            <v>Merlin</v>
          </cell>
          <cell r="F1070" t="str">
            <v>Faucon émerillon</v>
          </cell>
          <cell r="G1070" t="str">
            <v>Falco columbarius</v>
          </cell>
          <cell r="H1070" t="str">
            <v>Falconiformes</v>
          </cell>
          <cell r="I1070" t="str">
            <v>Falconidae (Falcons and Caracaras)</v>
          </cell>
        </row>
        <row r="1071">
          <cell r="E1071" t="str">
            <v>Metallic-green Tanager</v>
          </cell>
          <cell r="F1071" t="str">
            <v>Calliste vert</v>
          </cell>
          <cell r="G1071" t="str">
            <v>Tangara labradorides</v>
          </cell>
          <cell r="H1071" t="str">
            <v>Passeriformes</v>
          </cell>
          <cell r="I1071" t="str">
            <v>Thraupidae (Tanagers and Allies)</v>
          </cell>
        </row>
        <row r="1072">
          <cell r="E1072" t="str">
            <v>Meves's Starling</v>
          </cell>
          <cell r="F1072" t="str">
            <v>Choucador de Meves</v>
          </cell>
          <cell r="G1072" t="str">
            <v>Lamprotornis mevesii</v>
          </cell>
          <cell r="H1072" t="str">
            <v>Passeriformes</v>
          </cell>
          <cell r="I1072" t="str">
            <v>Sturnidae (Starlings)</v>
          </cell>
        </row>
        <row r="1073">
          <cell r="E1073" t="str">
            <v>Mexican Sheartail</v>
          </cell>
          <cell r="F1073" t="str">
            <v>Colibri d'Eliza</v>
          </cell>
          <cell r="G1073" t="str">
            <v>Doricha eliza</v>
          </cell>
          <cell r="H1073" t="str">
            <v>Apodiformes</v>
          </cell>
          <cell r="I1073" t="str">
            <v>Trochilidae (Hummingbirds)</v>
          </cell>
        </row>
        <row r="1074">
          <cell r="E1074" t="str">
            <v>Meyer's Parrot</v>
          </cell>
          <cell r="F1074" t="str">
            <v>Perroquet de Meyer</v>
          </cell>
          <cell r="G1074" t="str">
            <v>Poicephalus meyeri</v>
          </cell>
          <cell r="H1074" t="str">
            <v>Psittaciformes</v>
          </cell>
          <cell r="I1074" t="str">
            <v>Psittacidae (New World and African Parrots)</v>
          </cell>
        </row>
        <row r="1075">
          <cell r="E1075" t="str">
            <v>Mississippi Kite</v>
          </cell>
          <cell r="F1075" t="str">
            <v>Milan du Mississippi</v>
          </cell>
          <cell r="G1075" t="str">
            <v>Ictinia mississippiensis</v>
          </cell>
          <cell r="H1075" t="str">
            <v>Accipitriformes</v>
          </cell>
          <cell r="I1075" t="str">
            <v>Accipitridae (Hawks, Eagles, and Kites)</v>
          </cell>
        </row>
        <row r="1076">
          <cell r="E1076" t="str">
            <v>Mistletoe Tyrannulet</v>
          </cell>
          <cell r="F1076" t="str">
            <v>Tyranneau menu</v>
          </cell>
          <cell r="G1076" t="str">
            <v>Zimmerius parvus</v>
          </cell>
          <cell r="H1076" t="str">
            <v>Passeriformes</v>
          </cell>
          <cell r="I1076" t="str">
            <v>Tyrannidae (Tyrant Flycatchers)</v>
          </cell>
        </row>
        <row r="1077">
          <cell r="E1077" t="str">
            <v>Mistletoebird</v>
          </cell>
          <cell r="F1077" t="str">
            <v>Dicée hirondelle</v>
          </cell>
          <cell r="G1077" t="str">
            <v>Dicaeum hirundinaceum</v>
          </cell>
          <cell r="H1077" t="str">
            <v>Passeriformes</v>
          </cell>
          <cell r="I1077" t="str">
            <v>Dicaeidae (Flowerpeckers)</v>
          </cell>
        </row>
        <row r="1078">
          <cell r="E1078" t="str">
            <v>Mitred Parakeet</v>
          </cell>
          <cell r="F1078" t="str">
            <v>Conure mitrée</v>
          </cell>
          <cell r="G1078" t="str">
            <v>Psittacara mitratus</v>
          </cell>
          <cell r="H1078" t="str">
            <v>Psittaciformes</v>
          </cell>
          <cell r="I1078" t="str">
            <v>Psittacidae (New World and African Parrots)</v>
          </cell>
        </row>
        <row r="1079">
          <cell r="E1079" t="str">
            <v>Mocking Cliff-Chat</v>
          </cell>
          <cell r="F1079" t="str">
            <v>Traquet à ventre roux</v>
          </cell>
          <cell r="G1079" t="str">
            <v>Thamnolaea cinnamomeiventris</v>
          </cell>
          <cell r="H1079" t="str">
            <v>Passeriformes</v>
          </cell>
          <cell r="I1079" t="str">
            <v>Muscicapidae (Old World Flycatchers)</v>
          </cell>
        </row>
        <row r="1080">
          <cell r="E1080" t="str">
            <v>Monk Parakeet</v>
          </cell>
          <cell r="F1080" t="str">
            <v>Conure veuve</v>
          </cell>
          <cell r="G1080" t="str">
            <v>Myiopsitta monachus</v>
          </cell>
          <cell r="H1080" t="str">
            <v>Psittaciformes</v>
          </cell>
          <cell r="I1080" t="str">
            <v>Psittacidae (New World and African Parrots)</v>
          </cell>
        </row>
        <row r="1081">
          <cell r="E1081" t="str">
            <v>Montane Foliage-gleaner</v>
          </cell>
          <cell r="F1081" t="str">
            <v>Anabate montagnard</v>
          </cell>
          <cell r="G1081" t="str">
            <v>Anabacerthia striaticollis</v>
          </cell>
          <cell r="H1081" t="str">
            <v>Passeriformes</v>
          </cell>
          <cell r="I1081" t="str">
            <v>Furnariidae (Ovenbirds and Woodcreepers)</v>
          </cell>
        </row>
        <row r="1082">
          <cell r="E1082" t="str">
            <v>Montane Woodcreeper</v>
          </cell>
          <cell r="F1082" t="str">
            <v>Grimpar montagnard</v>
          </cell>
          <cell r="G1082" t="str">
            <v>Lepidocolaptes lacrymiger</v>
          </cell>
          <cell r="H1082" t="str">
            <v>Passeriformes</v>
          </cell>
          <cell r="I1082" t="str">
            <v>Furnariidae (Ovenbirds and Woodcreepers)</v>
          </cell>
        </row>
        <row r="1083">
          <cell r="E1083" t="str">
            <v>Montezuma Oropendola</v>
          </cell>
          <cell r="F1083" t="str">
            <v>Cassique de Montezuma</v>
          </cell>
          <cell r="G1083" t="str">
            <v>Psarocolius montezuma</v>
          </cell>
          <cell r="H1083" t="str">
            <v>Passeriformes</v>
          </cell>
          <cell r="I1083" t="str">
            <v>Icteridae (Troupials and Allies)</v>
          </cell>
        </row>
        <row r="1084">
          <cell r="E1084" t="str">
            <v>Morelet's Seedeater</v>
          </cell>
          <cell r="F1084" t="str">
            <v>Sporophile de Morelet</v>
          </cell>
          <cell r="G1084" t="str">
            <v>Sporophila morelleti</v>
          </cell>
          <cell r="H1084" t="str">
            <v>Passeriformes</v>
          </cell>
          <cell r="I1084" t="str">
            <v>Thraupidae (Tanagers and Allies)</v>
          </cell>
        </row>
        <row r="1085">
          <cell r="E1085" t="str">
            <v>Moss-backed Tanager</v>
          </cell>
          <cell r="F1085" t="str">
            <v>Tangara d'Edwards</v>
          </cell>
          <cell r="G1085" t="str">
            <v>Bangsia edwardsi</v>
          </cell>
          <cell r="H1085" t="str">
            <v>Passeriformes</v>
          </cell>
          <cell r="I1085" t="str">
            <v>Thraupidae (Tanagers and Allies)</v>
          </cell>
        </row>
        <row r="1086">
          <cell r="E1086" t="str">
            <v>Mottled Duck</v>
          </cell>
          <cell r="F1086" t="str">
            <v>Canard brun</v>
          </cell>
          <cell r="G1086" t="str">
            <v>Anas fulvigula</v>
          </cell>
          <cell r="H1086" t="str">
            <v>Anseriformes</v>
          </cell>
          <cell r="I1086" t="str">
            <v>Anatidae (Ducks, Geese, and Waterfowl)</v>
          </cell>
        </row>
        <row r="1087">
          <cell r="E1087" t="str">
            <v>Mottled Owl</v>
          </cell>
          <cell r="F1087" t="str">
            <v>Chouette mouchetée</v>
          </cell>
          <cell r="G1087" t="str">
            <v>Strix virgata</v>
          </cell>
          <cell r="H1087" t="str">
            <v>Strigiformes</v>
          </cell>
          <cell r="I1087" t="str">
            <v>Strigidae (Owls)</v>
          </cell>
        </row>
        <row r="1088">
          <cell r="E1088" t="str">
            <v>Mountain Cacique</v>
          </cell>
          <cell r="F1088" t="str">
            <v>Cassique montagnard</v>
          </cell>
          <cell r="G1088" t="str">
            <v>Cacicus chrysonotus</v>
          </cell>
          <cell r="H1088" t="str">
            <v>Passeriformes</v>
          </cell>
          <cell r="I1088" t="str">
            <v>Icteridae (Troupials and Allies)</v>
          </cell>
        </row>
        <row r="1089">
          <cell r="E1089" t="str">
            <v>Mountain Chat</v>
          </cell>
          <cell r="F1089" t="str">
            <v>Traquet montagnard</v>
          </cell>
          <cell r="G1089" t="str">
            <v>Myrmecocichla monticola</v>
          </cell>
          <cell r="H1089" t="str">
            <v>Passeriformes</v>
          </cell>
          <cell r="I1089" t="str">
            <v>Muscicapidae (Old World Flycatchers)</v>
          </cell>
        </row>
        <row r="1090">
          <cell r="E1090" t="str">
            <v>Mountain Chickadee</v>
          </cell>
          <cell r="F1090" t="str">
            <v>Mésange de Gambel</v>
          </cell>
          <cell r="G1090" t="str">
            <v>Poecile gambeli</v>
          </cell>
          <cell r="H1090" t="str">
            <v>Passeriformes</v>
          </cell>
          <cell r="I1090" t="str">
            <v>Paridae (Tits, Chickadees, and Titmice)</v>
          </cell>
        </row>
        <row r="1091">
          <cell r="E1091" t="str">
            <v>Mountain Elaenia</v>
          </cell>
          <cell r="F1091" t="str">
            <v>Élénie montagnarde</v>
          </cell>
          <cell r="G1091" t="str">
            <v>Elaenia frantzii</v>
          </cell>
          <cell r="H1091" t="str">
            <v>Passeriformes</v>
          </cell>
          <cell r="I1091" t="str">
            <v>Tyrannidae (Tyrant Flycatchers)</v>
          </cell>
        </row>
        <row r="1092">
          <cell r="E1092" t="str">
            <v>Mountain Grackle</v>
          </cell>
          <cell r="F1092" t="str">
            <v>Carouge montagnard</v>
          </cell>
          <cell r="G1092" t="str">
            <v>Macroagelaius subalaris</v>
          </cell>
          <cell r="H1092" t="str">
            <v>Passeriformes</v>
          </cell>
          <cell r="I1092" t="str">
            <v>Icteridae (Troupials and Allies)</v>
          </cell>
        </row>
        <row r="1093">
          <cell r="E1093" t="str">
            <v>Mountain Thrush</v>
          </cell>
          <cell r="F1093" t="str">
            <v>Merle de montagne</v>
          </cell>
          <cell r="G1093" t="str">
            <v>Turdus plebejus</v>
          </cell>
          <cell r="H1093" t="str">
            <v>Passeriformes</v>
          </cell>
          <cell r="I1093" t="str">
            <v>Turdidae (Thrushes and Allies)</v>
          </cell>
        </row>
        <row r="1094">
          <cell r="E1094" t="str">
            <v>Mountain Velvetbreast</v>
          </cell>
          <cell r="F1094" t="str">
            <v>Colibri de Lafresnaye</v>
          </cell>
          <cell r="G1094" t="str">
            <v>Lafresnaya lafresnayi</v>
          </cell>
          <cell r="H1094" t="str">
            <v>Apodiformes</v>
          </cell>
          <cell r="I1094" t="str">
            <v>Trochilidae (Hummingbirds)</v>
          </cell>
        </row>
        <row r="1095">
          <cell r="E1095" t="str">
            <v>Mountain Wren</v>
          </cell>
          <cell r="F1095" t="str">
            <v>Troglodyte montagnard</v>
          </cell>
          <cell r="G1095" t="str">
            <v>Troglodytes solstitialis</v>
          </cell>
          <cell r="H1095" t="str">
            <v>Passeriformes</v>
          </cell>
          <cell r="I1095" t="str">
            <v>Troglodytidae (Wrens)</v>
          </cell>
        </row>
        <row r="1096">
          <cell r="E1096" t="str">
            <v>Mourning Collared-Dove</v>
          </cell>
          <cell r="F1096" t="str">
            <v>Tourterelle pleureuse</v>
          </cell>
          <cell r="G1096" t="str">
            <v>Streptopelia decipiens</v>
          </cell>
          <cell r="H1096" t="str">
            <v>Columbiformes</v>
          </cell>
          <cell r="I1096" t="str">
            <v>Columbidae (Pigeons and Doves)</v>
          </cell>
        </row>
        <row r="1097">
          <cell r="E1097" t="str">
            <v>Mourning Dove</v>
          </cell>
          <cell r="F1097" t="str">
            <v>Tourterelle triste</v>
          </cell>
          <cell r="G1097" t="str">
            <v>Zenaida macroura</v>
          </cell>
          <cell r="H1097" t="str">
            <v>Columbiformes</v>
          </cell>
          <cell r="I1097" t="str">
            <v>Columbidae (Pigeons and Doves)</v>
          </cell>
        </row>
        <row r="1098">
          <cell r="E1098" t="str">
            <v>Mourning Warbler</v>
          </cell>
          <cell r="F1098" t="str">
            <v>Paruline triste</v>
          </cell>
          <cell r="G1098" t="str">
            <v>Geothlypis philadelphia</v>
          </cell>
          <cell r="H1098" t="str">
            <v>Passeriformes</v>
          </cell>
          <cell r="I1098" t="str">
            <v>Parulidae (New World Warblers)</v>
          </cell>
        </row>
        <row r="1099">
          <cell r="E1099" t="str">
            <v>Mouse-colored Tyrannulet</v>
          </cell>
          <cell r="F1099" t="str">
            <v>Tyranneau souris</v>
          </cell>
          <cell r="G1099" t="str">
            <v>Nesotriccus murinus</v>
          </cell>
          <cell r="H1099" t="str">
            <v>Passeriformes</v>
          </cell>
          <cell r="I1099" t="str">
            <v>Tyrannidae (Tyrant Flycatchers)</v>
          </cell>
        </row>
        <row r="1100">
          <cell r="E1100" t="str">
            <v>Moustached Antwren</v>
          </cell>
          <cell r="F1100" t="str">
            <v>Myrmidon de Griscom</v>
          </cell>
          <cell r="G1100" t="str">
            <v>Myrmotherula ignota</v>
          </cell>
          <cell r="H1100" t="str">
            <v>Passeriformes</v>
          </cell>
          <cell r="I1100" t="str">
            <v>Thamnophilidae (Typical Antbirds)</v>
          </cell>
        </row>
        <row r="1101">
          <cell r="E1101" t="str">
            <v>Moustached Brushfinch</v>
          </cell>
          <cell r="F1101" t="str">
            <v>Tohi moustachu</v>
          </cell>
          <cell r="G1101" t="str">
            <v>Atlapetes albofrenatus</v>
          </cell>
          <cell r="H1101" t="str">
            <v>Passeriformes</v>
          </cell>
          <cell r="I1101" t="str">
            <v>Passerellidae (New World Sparrows)</v>
          </cell>
        </row>
        <row r="1102">
          <cell r="E1102" t="str">
            <v>Muisca Antpitta</v>
          </cell>
          <cell r="F1102" t="str">
            <v>Grallaire rousse</v>
          </cell>
          <cell r="G1102" t="str">
            <v>Grallaria rufula</v>
          </cell>
          <cell r="H1102" t="str">
            <v>Passeriformes</v>
          </cell>
          <cell r="I1102" t="str">
            <v>Grallariidae (Antpittas)</v>
          </cell>
        </row>
        <row r="1103">
          <cell r="E1103" t="str">
            <v>Mulga Parrot</v>
          </cell>
          <cell r="F1103" t="str">
            <v>Perruche multicolore</v>
          </cell>
          <cell r="G1103" t="str">
            <v>Psephotellus varius</v>
          </cell>
          <cell r="H1103" t="str">
            <v>Psittaciformes</v>
          </cell>
          <cell r="I1103" t="str">
            <v>Psittaculidae (Old World Parrots)</v>
          </cell>
        </row>
        <row r="1104">
          <cell r="E1104" t="str">
            <v>Muscovy Duck</v>
          </cell>
          <cell r="F1104" t="str">
            <v>Canard musqué</v>
          </cell>
          <cell r="G1104" t="str">
            <v>Cairina moschata</v>
          </cell>
          <cell r="H1104" t="str">
            <v>Anseriformes</v>
          </cell>
          <cell r="I1104" t="str">
            <v>Anatidae (Ducks, Geese, and Waterfowl)</v>
          </cell>
        </row>
        <row r="1105">
          <cell r="E1105" t="str">
            <v>Musk Duck</v>
          </cell>
          <cell r="F1105" t="str">
            <v>Érismature à barbillons</v>
          </cell>
          <cell r="G1105" t="str">
            <v>Biziura lobata</v>
          </cell>
          <cell r="H1105" t="str">
            <v>Anseriformes</v>
          </cell>
          <cell r="I1105" t="str">
            <v>Anatidae (Ducks, Geese, and Waterfowl)</v>
          </cell>
        </row>
        <row r="1106">
          <cell r="E1106" t="str">
            <v>Musk Lorikeet</v>
          </cell>
          <cell r="F1106" t="str">
            <v>Loriquet à bandeau rouge</v>
          </cell>
          <cell r="G1106" t="str">
            <v>Trichoglossus concinnus</v>
          </cell>
          <cell r="H1106" t="str">
            <v>Psittaciformes</v>
          </cell>
          <cell r="I1106" t="str">
            <v>Psittaculidae (Old World Parrots)</v>
          </cell>
        </row>
        <row r="1107">
          <cell r="E1107" t="str">
            <v>Mute Swan</v>
          </cell>
          <cell r="F1107" t="str">
            <v>Cygne tuberculé</v>
          </cell>
          <cell r="G1107" t="str">
            <v>Cygnus olor</v>
          </cell>
          <cell r="H1107" t="str">
            <v>Anseriformes</v>
          </cell>
          <cell r="I1107" t="str">
            <v>Anatidae (Ducks, Geese, and Waterfowl)</v>
          </cell>
        </row>
        <row r="1108">
          <cell r="E1108" t="str">
            <v>Namaqua Dove</v>
          </cell>
          <cell r="F1108" t="str">
            <v>Tourtelette masquée</v>
          </cell>
          <cell r="G1108" t="str">
            <v>Oena capensis</v>
          </cell>
          <cell r="H1108" t="str">
            <v>Columbiformes</v>
          </cell>
          <cell r="I1108" t="str">
            <v>Columbidae (Pigeons and Doves)</v>
          </cell>
        </row>
        <row r="1109">
          <cell r="E1109" t="str">
            <v>Namaqua Sandgrouse</v>
          </cell>
          <cell r="F1109" t="str">
            <v>Ganga namaqua</v>
          </cell>
          <cell r="G1109" t="str">
            <v>Pterocles namaqua</v>
          </cell>
          <cell r="H1109" t="str">
            <v>Pterocliformes</v>
          </cell>
          <cell r="I1109" t="str">
            <v>Pteroclidae (Sandgrouse)</v>
          </cell>
        </row>
        <row r="1110">
          <cell r="E1110" t="str">
            <v>Nanday Parakeet</v>
          </cell>
          <cell r="F1110" t="str">
            <v>Conure nanday</v>
          </cell>
          <cell r="G1110" t="str">
            <v>Aratinga nenday</v>
          </cell>
          <cell r="H1110" t="str">
            <v>Psittaciformes</v>
          </cell>
          <cell r="I1110" t="str">
            <v>Psittacidae (New World and African Parrots)</v>
          </cell>
        </row>
        <row r="1111">
          <cell r="E1111" t="str">
            <v>Nankeen Kestrel</v>
          </cell>
          <cell r="F1111" t="str">
            <v>Crécerelle d'Australie</v>
          </cell>
          <cell r="G1111" t="str">
            <v>Falco cenchroides</v>
          </cell>
          <cell r="H1111" t="str">
            <v>Falconiformes</v>
          </cell>
          <cell r="I1111" t="str">
            <v>Falconidae (Falcons and Caracaras)</v>
          </cell>
        </row>
        <row r="1112">
          <cell r="E1112" t="str">
            <v>Nankeen Night Heron</v>
          </cell>
          <cell r="F1112" t="str">
            <v>Bihoreau cannelle</v>
          </cell>
          <cell r="G1112" t="str">
            <v>Nycticorax caledonicus</v>
          </cell>
          <cell r="H1112" t="str">
            <v>Pelecaniformes</v>
          </cell>
          <cell r="I1112" t="str">
            <v>Ardeidae (Herons, Egrets, and Bitterns)</v>
          </cell>
        </row>
        <row r="1113">
          <cell r="E1113" t="str">
            <v>Nashville Warbler</v>
          </cell>
          <cell r="F1113" t="str">
            <v>Paruline à joues grises</v>
          </cell>
          <cell r="G1113" t="str">
            <v>Leiothlypis ruficapilla</v>
          </cell>
          <cell r="H1113" t="str">
            <v>Passeriformes</v>
          </cell>
          <cell r="I1113" t="str">
            <v>Parulidae (New World Warblers)</v>
          </cell>
        </row>
        <row r="1114">
          <cell r="E1114" t="str">
            <v>Natal Spurfowl</v>
          </cell>
          <cell r="F1114" t="str">
            <v>Francolin du Natal</v>
          </cell>
          <cell r="G1114" t="str">
            <v>Pternistis natalensis</v>
          </cell>
          <cell r="H1114" t="str">
            <v>Galliformes</v>
          </cell>
          <cell r="I1114" t="str">
            <v>Phasianidae (Pheasants, Grouse, and Allies)</v>
          </cell>
        </row>
        <row r="1115">
          <cell r="E1115" t="str">
            <v>Nazca Booby</v>
          </cell>
          <cell r="F1115" t="str">
            <v>Fou de Grant</v>
          </cell>
          <cell r="G1115" t="str">
            <v>Sula granti</v>
          </cell>
          <cell r="H1115" t="str">
            <v>Suliformes</v>
          </cell>
          <cell r="I1115" t="str">
            <v>Sulidae (Boobies and Gannets)</v>
          </cell>
        </row>
        <row r="1116">
          <cell r="E1116" t="str">
            <v>Nelicourvi Weaver</v>
          </cell>
          <cell r="F1116" t="str">
            <v>Tisserin nélicourvi</v>
          </cell>
          <cell r="G1116" t="str">
            <v>Ploceus nelicourvi</v>
          </cell>
          <cell r="H1116" t="str">
            <v>Passeriformes</v>
          </cell>
          <cell r="I1116" t="str">
            <v>Ploceidae (Weavers and Allies)</v>
          </cell>
        </row>
        <row r="1117">
          <cell r="E1117" t="str">
            <v>Neotropic Cormorant</v>
          </cell>
          <cell r="F1117" t="str">
            <v>Cormoran vigua</v>
          </cell>
          <cell r="G1117" t="str">
            <v>Nannopterum brasilianum</v>
          </cell>
          <cell r="H1117" t="str">
            <v>Suliformes</v>
          </cell>
          <cell r="I1117" t="str">
            <v>Phalacrocoracidae (Cormorants and Shags)</v>
          </cell>
        </row>
        <row r="1118">
          <cell r="E1118" t="str">
            <v>New Holland Honeyeater</v>
          </cell>
          <cell r="F1118" t="str">
            <v>Méliphage de Nouvelle-Hollande</v>
          </cell>
          <cell r="G1118" t="str">
            <v>Phylidonyris novaehollandiae</v>
          </cell>
          <cell r="H1118" t="str">
            <v>Passeriformes</v>
          </cell>
          <cell r="I1118" t="str">
            <v>Meliphagidae (Honeyeaters)</v>
          </cell>
        </row>
        <row r="1119">
          <cell r="E1119" t="str">
            <v>Nicaraguan Grackle</v>
          </cell>
          <cell r="F1119" t="str">
            <v>Quiscale du Nicaragua</v>
          </cell>
          <cell r="G1119" t="str">
            <v>Quiscalus nicaraguensis</v>
          </cell>
          <cell r="H1119" t="str">
            <v>Passeriformes</v>
          </cell>
          <cell r="I1119" t="str">
            <v>Icteridae (Troupials and Allies)</v>
          </cell>
        </row>
        <row r="1120">
          <cell r="E1120" t="str">
            <v>Nicaraguan Seed-Finch</v>
          </cell>
          <cell r="F1120" t="str">
            <v>Sporophile de Nutting</v>
          </cell>
          <cell r="G1120" t="str">
            <v>Sporophila nuttingi</v>
          </cell>
          <cell r="H1120" t="str">
            <v>Passeriformes</v>
          </cell>
          <cell r="I1120" t="str">
            <v>Thraupidae (Tanagers and Allies)</v>
          </cell>
        </row>
        <row r="1121">
          <cell r="E1121" t="str">
            <v>Niceforo's Wren</v>
          </cell>
          <cell r="F1121" t="str">
            <v>Troglodyte de Niceforo</v>
          </cell>
          <cell r="G1121" t="str">
            <v>Thryophilus nicefori</v>
          </cell>
          <cell r="H1121" t="str">
            <v>Passeriformes</v>
          </cell>
          <cell r="I1121" t="str">
            <v>Troglodytidae (Wrens)</v>
          </cell>
        </row>
        <row r="1122">
          <cell r="E1122" t="str">
            <v>Nightingale Wren</v>
          </cell>
          <cell r="F1122" t="str">
            <v>Troglodyte philomèle</v>
          </cell>
          <cell r="G1122" t="str">
            <v>Microcerculus philomela</v>
          </cell>
          <cell r="H1122" t="str">
            <v>Passeriformes</v>
          </cell>
          <cell r="I1122" t="str">
            <v>Troglodytidae (Wrens)</v>
          </cell>
        </row>
        <row r="1123">
          <cell r="E1123" t="str">
            <v>Noisy Friarbird</v>
          </cell>
          <cell r="F1123" t="str">
            <v>Polochion criard</v>
          </cell>
          <cell r="G1123" t="str">
            <v>Philemon corniculatus</v>
          </cell>
          <cell r="H1123" t="str">
            <v>Passeriformes</v>
          </cell>
          <cell r="I1123" t="str">
            <v>Meliphagidae (Honeyeaters)</v>
          </cell>
        </row>
        <row r="1124">
          <cell r="E1124" t="str">
            <v>Noisy Miner</v>
          </cell>
          <cell r="F1124" t="str">
            <v>Méliphage bruyant</v>
          </cell>
          <cell r="G1124" t="str">
            <v>Manorina melanocephala</v>
          </cell>
          <cell r="H1124" t="str">
            <v>Passeriformes</v>
          </cell>
          <cell r="I1124" t="str">
            <v>Meliphagidae (Honeyeaters)</v>
          </cell>
        </row>
        <row r="1125">
          <cell r="E1125" t="str">
            <v>Northern Barred-Woodcreeper</v>
          </cell>
          <cell r="F1125" t="str">
            <v>Grimpar vermiculé</v>
          </cell>
          <cell r="G1125" t="str">
            <v>Dendrocolaptes sanctithomae</v>
          </cell>
          <cell r="H1125" t="str">
            <v>Passeriformes</v>
          </cell>
          <cell r="I1125" t="str">
            <v>Furnariidae (Ovenbirds and Woodcreepers)</v>
          </cell>
        </row>
        <row r="1126">
          <cell r="E1126" t="str">
            <v>Northern Bentbill</v>
          </cell>
          <cell r="F1126" t="str">
            <v>Bec-en-arc cendré</v>
          </cell>
          <cell r="G1126" t="str">
            <v>Oncostoma cinereigulare</v>
          </cell>
          <cell r="H1126" t="str">
            <v>Passeriformes</v>
          </cell>
          <cell r="I1126" t="str">
            <v>Tyrannidae (Tyrant Flycatchers)</v>
          </cell>
        </row>
        <row r="1127">
          <cell r="E1127" t="str">
            <v>Northern Cardinal</v>
          </cell>
          <cell r="F1127" t="str">
            <v>Cardinal rouge</v>
          </cell>
          <cell r="G1127" t="str">
            <v>Cardinalis cardinalis</v>
          </cell>
          <cell r="H1127" t="str">
            <v>Passeriformes</v>
          </cell>
          <cell r="I1127" t="str">
            <v>Cardinalidae (Cardinals and Allies)</v>
          </cell>
        </row>
        <row r="1128">
          <cell r="E1128" t="str">
            <v>Northern Emerald-Toucanet</v>
          </cell>
          <cell r="F1128" t="str">
            <v>Toucanet émeraude</v>
          </cell>
          <cell r="G1128" t="str">
            <v>Aulacorhynchus prasinus</v>
          </cell>
          <cell r="H1128" t="str">
            <v>Piciformes</v>
          </cell>
          <cell r="I1128" t="str">
            <v>Ramphastidae (Toucans)</v>
          </cell>
        </row>
        <row r="1129">
          <cell r="E1129" t="str">
            <v>Northern Flicker</v>
          </cell>
          <cell r="F1129" t="str">
            <v>Pic flamboyant</v>
          </cell>
          <cell r="G1129" t="str">
            <v>Colaptes auratus</v>
          </cell>
          <cell r="H1129" t="str">
            <v>Piciformes</v>
          </cell>
          <cell r="I1129" t="str">
            <v>Picidae (Woodpeckers)</v>
          </cell>
        </row>
        <row r="1130">
          <cell r="E1130" t="str">
            <v>Northern Gannet</v>
          </cell>
          <cell r="F1130" t="str">
            <v>Fou de Bassan</v>
          </cell>
          <cell r="G1130" t="str">
            <v>Morus bassanus</v>
          </cell>
          <cell r="H1130" t="str">
            <v>Suliformes</v>
          </cell>
          <cell r="I1130" t="str">
            <v>Sulidae (Boobies and Gannets)</v>
          </cell>
        </row>
        <row r="1131">
          <cell r="E1131" t="str">
            <v>Northern Harrier</v>
          </cell>
          <cell r="F1131" t="str">
            <v>Busard des marais</v>
          </cell>
          <cell r="G1131" t="str">
            <v>Circus hudsonius</v>
          </cell>
          <cell r="H1131" t="str">
            <v>Accipitriformes</v>
          </cell>
          <cell r="I1131" t="str">
            <v>Accipitridae (Hawks, Eagles, and Kites)</v>
          </cell>
        </row>
        <row r="1132">
          <cell r="E1132" t="str">
            <v>Northern Hawk Owl</v>
          </cell>
          <cell r="F1132" t="str">
            <v>Chouette épervière</v>
          </cell>
          <cell r="G1132" t="str">
            <v>Surnia ulula</v>
          </cell>
          <cell r="H1132" t="str">
            <v>Strigiformes</v>
          </cell>
          <cell r="I1132" t="str">
            <v>Strigidae (Owls)</v>
          </cell>
        </row>
        <row r="1133">
          <cell r="E1133" t="str">
            <v>Northern House Wren</v>
          </cell>
          <cell r="F1133" t="str">
            <v>Troglodyte familier</v>
          </cell>
          <cell r="G1133" t="str">
            <v>Troglodytes aedon</v>
          </cell>
          <cell r="H1133" t="str">
            <v>Passeriformes</v>
          </cell>
          <cell r="I1133" t="str">
            <v>Troglodytidae (Wrens)</v>
          </cell>
        </row>
        <row r="1134">
          <cell r="E1134" t="str">
            <v>Northern Jacana</v>
          </cell>
          <cell r="F1134" t="str">
            <v>Jacana du Mexique</v>
          </cell>
          <cell r="G1134" t="str">
            <v>Jacana spinosa</v>
          </cell>
          <cell r="H1134" t="str">
            <v>Charadriiformes</v>
          </cell>
          <cell r="I1134" t="str">
            <v>Jacanidae (Jacanas)</v>
          </cell>
        </row>
        <row r="1135">
          <cell r="E1135" t="str">
            <v>Northern Mockingbird</v>
          </cell>
          <cell r="F1135" t="str">
            <v>Moqueur polyglotte</v>
          </cell>
          <cell r="G1135" t="str">
            <v>Mimus polyglottos</v>
          </cell>
          <cell r="H1135" t="str">
            <v>Passeriformes</v>
          </cell>
          <cell r="I1135" t="str">
            <v>Mimidae (Mockingbirds and Thrashers)</v>
          </cell>
        </row>
        <row r="1136">
          <cell r="E1136" t="str">
            <v>Northern Parula</v>
          </cell>
          <cell r="F1136" t="str">
            <v>Paruline à collier</v>
          </cell>
          <cell r="G1136" t="str">
            <v>Setophaga americana</v>
          </cell>
          <cell r="H1136" t="str">
            <v>Passeriformes</v>
          </cell>
          <cell r="I1136" t="str">
            <v>Parulidae (New World Warblers)</v>
          </cell>
        </row>
        <row r="1137">
          <cell r="E1137" t="str">
            <v>Northern Pintail</v>
          </cell>
          <cell r="F1137" t="str">
            <v>Canard pilet</v>
          </cell>
          <cell r="G1137" t="str">
            <v>Anas acuta</v>
          </cell>
          <cell r="H1137" t="str">
            <v>Anseriformes</v>
          </cell>
          <cell r="I1137" t="str">
            <v>Anatidae (Ducks, Geese, and Waterfowl)</v>
          </cell>
        </row>
        <row r="1138">
          <cell r="E1138" t="str">
            <v>Northern Plain-Xenops</v>
          </cell>
          <cell r="F1138" t="str">
            <v>Sittine du Mexique</v>
          </cell>
          <cell r="G1138" t="str">
            <v>Xenops mexicanus</v>
          </cell>
          <cell r="H1138" t="str">
            <v>Passeriformes</v>
          </cell>
          <cell r="I1138" t="str">
            <v>Furnariidae (Ovenbirds and Woodcreepers)</v>
          </cell>
        </row>
        <row r="1139">
          <cell r="E1139" t="str">
            <v>Northern Rough-winged Swallow</v>
          </cell>
          <cell r="F1139" t="str">
            <v>Hirondelle à ailes hérissées</v>
          </cell>
          <cell r="G1139" t="str">
            <v>Stelgidopteryx serripennis</v>
          </cell>
          <cell r="H1139" t="str">
            <v>Passeriformes</v>
          </cell>
          <cell r="I1139" t="str">
            <v>Hirundinidae (Swallows)</v>
          </cell>
        </row>
        <row r="1140">
          <cell r="E1140" t="str">
            <v>Northern Schiffornis</v>
          </cell>
          <cell r="F1140" t="str">
            <v>Antriade du Verapaz</v>
          </cell>
          <cell r="G1140" t="str">
            <v>Schiffornis veraepacis</v>
          </cell>
          <cell r="H1140" t="str">
            <v>Passeriformes</v>
          </cell>
          <cell r="I1140" t="str">
            <v>Tityridae (Tityras and Allies)</v>
          </cell>
        </row>
        <row r="1141">
          <cell r="E1141" t="str">
            <v>Northern Screamer</v>
          </cell>
          <cell r="F1141" t="str">
            <v>Kamichi chavaria</v>
          </cell>
          <cell r="G1141" t="str">
            <v>Chauna chavaria</v>
          </cell>
          <cell r="H1141" t="str">
            <v>Anseriformes</v>
          </cell>
          <cell r="I1141" t="str">
            <v>Anhimidae (Screamers)</v>
          </cell>
        </row>
        <row r="1142">
          <cell r="E1142" t="str">
            <v>Northern Scrub-Flycatcher</v>
          </cell>
          <cell r="F1142" t="str">
            <v>Moucherolle des palétuviers</v>
          </cell>
          <cell r="G1142" t="str">
            <v>Sublegatus arenarum</v>
          </cell>
          <cell r="H1142" t="str">
            <v>Passeriformes</v>
          </cell>
          <cell r="I1142" t="str">
            <v>Tyrannidae (Tyrant Flycatchers)</v>
          </cell>
        </row>
        <row r="1143">
          <cell r="E1143" t="str">
            <v>Northern Shoveler</v>
          </cell>
          <cell r="F1143" t="str">
            <v>Canard souchet</v>
          </cell>
          <cell r="G1143" t="str">
            <v>Spatula clypeata</v>
          </cell>
          <cell r="H1143" t="str">
            <v>Anseriformes</v>
          </cell>
          <cell r="I1143" t="str">
            <v>Anatidae (Ducks, Geese, and Waterfowl)</v>
          </cell>
        </row>
        <row r="1144">
          <cell r="E1144" t="str">
            <v>Northern Shrike</v>
          </cell>
          <cell r="F1144" t="str">
            <v>Pie-grièche boréale</v>
          </cell>
          <cell r="G1144" t="str">
            <v>Lanius borealis</v>
          </cell>
          <cell r="H1144" t="str">
            <v>Passeriformes</v>
          </cell>
          <cell r="I1144" t="str">
            <v>Laniidae (Shrikes)</v>
          </cell>
        </row>
        <row r="1145">
          <cell r="E1145" t="str">
            <v>Northern Slaty Brushfinch</v>
          </cell>
          <cell r="F1145" t="str">
            <v>Tohi ardoisé</v>
          </cell>
          <cell r="G1145" t="str">
            <v>Atlapetes schistaceus</v>
          </cell>
          <cell r="H1145" t="str">
            <v>Passeriformes</v>
          </cell>
          <cell r="I1145" t="str">
            <v>Passerellidae (New World Sparrows)</v>
          </cell>
        </row>
        <row r="1146">
          <cell r="E1146" t="str">
            <v>Northern Tropical Pewee</v>
          </cell>
          <cell r="F1146" t="str">
            <v>Moucherolle de Bonaparte</v>
          </cell>
          <cell r="G1146" t="str">
            <v>Contopus bogotensis</v>
          </cell>
          <cell r="H1146" t="str">
            <v>Passeriformes</v>
          </cell>
          <cell r="I1146" t="str">
            <v>Tyrannidae (Tyrant Flycatchers)</v>
          </cell>
        </row>
        <row r="1147">
          <cell r="E1147" t="str">
            <v>Northern Waterthrush</v>
          </cell>
          <cell r="F1147" t="str">
            <v>Paruline des ruisseaux</v>
          </cell>
          <cell r="G1147" t="str">
            <v>Parkesia noveboracensis</v>
          </cell>
          <cell r="H1147" t="str">
            <v>Passeriformes</v>
          </cell>
          <cell r="I1147" t="str">
            <v>Parulidae (New World Warblers)</v>
          </cell>
        </row>
        <row r="1148">
          <cell r="E1148" t="str">
            <v>Northern White-fringed Antwren</v>
          </cell>
          <cell r="F1148" t="str">
            <v>Grisin intermédiaire</v>
          </cell>
          <cell r="G1148" t="str">
            <v>Formicivora intermedia</v>
          </cell>
          <cell r="H1148" t="str">
            <v>Passeriformes</v>
          </cell>
          <cell r="I1148" t="str">
            <v>Thamnophilidae (Typical Antbirds)</v>
          </cell>
        </row>
        <row r="1149">
          <cell r="E1149" t="str">
            <v>Northern Yellow Warbler</v>
          </cell>
          <cell r="F1149" t="str">
            <v>Paruline jaune</v>
          </cell>
          <cell r="G1149" t="str">
            <v>Setophaga aestiva</v>
          </cell>
          <cell r="H1149" t="str">
            <v>Passeriformes</v>
          </cell>
          <cell r="I1149" t="str">
            <v>Parulidae (New World Warblers)</v>
          </cell>
        </row>
        <row r="1150">
          <cell r="E1150" t="str">
            <v>Nuthatch-Vanga</v>
          </cell>
          <cell r="F1150" t="str">
            <v>Hypositte malgache</v>
          </cell>
          <cell r="G1150" t="str">
            <v>Hypositta corallirostris</v>
          </cell>
          <cell r="H1150" t="str">
            <v>Passeriformes</v>
          </cell>
          <cell r="I1150" t="str">
            <v>Vangidae (Vangas, Helmetshrikes, and Allies)</v>
          </cell>
        </row>
        <row r="1151">
          <cell r="E1151" t="str">
            <v>Nuttall's Woodpecker</v>
          </cell>
          <cell r="F1151" t="str">
            <v>Pic de Nuttall</v>
          </cell>
          <cell r="G1151" t="str">
            <v>Dryobates nuttallii</v>
          </cell>
          <cell r="H1151" t="str">
            <v>Piciformes</v>
          </cell>
          <cell r="I1151" t="str">
            <v>Picidae (Woodpeckers)</v>
          </cell>
        </row>
        <row r="1152">
          <cell r="E1152" t="str">
            <v>Oak Titmouse</v>
          </cell>
          <cell r="F1152" t="str">
            <v>Mésange unicolore</v>
          </cell>
          <cell r="G1152" t="str">
            <v>Baeolophus inornatus</v>
          </cell>
          <cell r="H1152" t="str">
            <v>Passeriformes</v>
          </cell>
          <cell r="I1152" t="str">
            <v>Paridae (Tits, Chickadees, and Titmice)</v>
          </cell>
        </row>
        <row r="1153">
          <cell r="E1153" t="str">
            <v>Ocellated Antbird</v>
          </cell>
          <cell r="F1153" t="str">
            <v>Fourmilier ocellé</v>
          </cell>
          <cell r="G1153" t="str">
            <v>Phaenostictus mcleannani</v>
          </cell>
          <cell r="H1153" t="str">
            <v>Passeriformes</v>
          </cell>
          <cell r="I1153" t="str">
            <v>Thamnophilidae (Typical Antbirds)</v>
          </cell>
        </row>
        <row r="1154">
          <cell r="E1154" t="str">
            <v>Ocellated Tapaculo</v>
          </cell>
          <cell r="F1154" t="str">
            <v>Mérulaxe ocellé</v>
          </cell>
          <cell r="G1154" t="str">
            <v>Acropternis orthonyx</v>
          </cell>
          <cell r="H1154" t="str">
            <v>Passeriformes</v>
          </cell>
          <cell r="I1154" t="str">
            <v>Rhinocryptidae (Tapaculos)</v>
          </cell>
        </row>
        <row r="1155">
          <cell r="E1155" t="str">
            <v>Ochraceous Wren</v>
          </cell>
          <cell r="F1155" t="str">
            <v>Troglodyte ocré</v>
          </cell>
          <cell r="G1155" t="str">
            <v>Troglodytes ochraceus</v>
          </cell>
          <cell r="H1155" t="str">
            <v>Passeriformes</v>
          </cell>
          <cell r="I1155" t="str">
            <v>Troglodytidae (Wrens)</v>
          </cell>
        </row>
        <row r="1156">
          <cell r="E1156" t="str">
            <v>Ochre-bellied Flycatcher</v>
          </cell>
          <cell r="F1156" t="str">
            <v>Pipromorphe roussâtre</v>
          </cell>
          <cell r="G1156" t="str">
            <v>Mionectes oleagineus</v>
          </cell>
          <cell r="H1156" t="str">
            <v>Passeriformes</v>
          </cell>
          <cell r="I1156" t="str">
            <v>Tyrannidae (Tyrant Flycatchers)</v>
          </cell>
        </row>
        <row r="1157">
          <cell r="E1157" t="str">
            <v>Ochre-breasted Tanager</v>
          </cell>
          <cell r="F1157" t="str">
            <v>Habia de Stolzmann</v>
          </cell>
          <cell r="G1157" t="str">
            <v>Chlorothraupis stolzmanni</v>
          </cell>
          <cell r="H1157" t="str">
            <v>Passeriformes</v>
          </cell>
          <cell r="I1157" t="str">
            <v>Cardinalidae (Cardinals and Allies)</v>
          </cell>
        </row>
        <row r="1158">
          <cell r="E1158" t="str">
            <v>Ochre-crowned Greenlet</v>
          </cell>
          <cell r="F1158" t="str">
            <v>Viréon à calotte rousse</v>
          </cell>
          <cell r="G1158" t="str">
            <v>Tunchiornis ochraceiceps</v>
          </cell>
          <cell r="H1158" t="str">
            <v>Passeriformes</v>
          </cell>
          <cell r="I1158" t="str">
            <v>Vireonidae (Vireos, Shrike-Babblers, and Erpornis)</v>
          </cell>
        </row>
        <row r="1159">
          <cell r="E1159" t="str">
            <v>Ochre-lored Flatbill</v>
          </cell>
          <cell r="F1159" t="str">
            <v>Tyranneau à poitrine jaune</v>
          </cell>
          <cell r="G1159" t="str">
            <v>Tolmomyias flaviventris</v>
          </cell>
          <cell r="H1159" t="str">
            <v>Passeriformes</v>
          </cell>
          <cell r="I1159" t="str">
            <v>Tyrannidae (Tyrant Flycatchers)</v>
          </cell>
        </row>
        <row r="1160">
          <cell r="E1160" t="str">
            <v>Ochre-throated Foliage-gleaner</v>
          </cell>
          <cell r="F1160" t="str">
            <v>Anabate à gorge fauve</v>
          </cell>
          <cell r="G1160" t="str">
            <v>Automolus ochrolaemus</v>
          </cell>
          <cell r="H1160" t="str">
            <v>Passeriformes</v>
          </cell>
          <cell r="I1160" t="str">
            <v>Furnariidae (Ovenbirds and Woodcreepers)</v>
          </cell>
        </row>
        <row r="1161">
          <cell r="E1161" t="str">
            <v>Oilbird</v>
          </cell>
          <cell r="F1161" t="str">
            <v>Guacharo des cavernes</v>
          </cell>
          <cell r="G1161" t="str">
            <v>Steatornis caripensis</v>
          </cell>
          <cell r="H1161" t="str">
            <v>Steatornithiformes</v>
          </cell>
          <cell r="I1161" t="str">
            <v>Steatornithidae (Oilbird)</v>
          </cell>
        </row>
        <row r="1162">
          <cell r="E1162" t="str">
            <v>Olivaceous Piculet</v>
          </cell>
          <cell r="F1162" t="str">
            <v>Picumne olivâtre</v>
          </cell>
          <cell r="G1162" t="str">
            <v>Picumnus olivaceus</v>
          </cell>
          <cell r="H1162" t="str">
            <v>Piciformes</v>
          </cell>
          <cell r="I1162" t="str">
            <v>Picidae (Woodpeckers)</v>
          </cell>
        </row>
        <row r="1163">
          <cell r="E1163" t="str">
            <v>Olivaceous Woodcreeper</v>
          </cell>
          <cell r="F1163" t="str">
            <v>Grimpar fauvette</v>
          </cell>
          <cell r="G1163" t="str">
            <v>Sittasomus griseicapillus</v>
          </cell>
          <cell r="H1163" t="str">
            <v>Passeriformes</v>
          </cell>
          <cell r="I1163" t="str">
            <v>Furnariidae (Ovenbirds and Woodcreepers)</v>
          </cell>
        </row>
        <row r="1164">
          <cell r="E1164" t="str">
            <v>Olive Bee-eater</v>
          </cell>
          <cell r="F1164" t="str">
            <v>Guêpier de Madagascar</v>
          </cell>
          <cell r="G1164" t="str">
            <v>Merops superciliosus</v>
          </cell>
          <cell r="H1164" t="str">
            <v>Coraciiformes</v>
          </cell>
          <cell r="I1164" t="str">
            <v>Meropidae (Bee-eaters)</v>
          </cell>
        </row>
        <row r="1165">
          <cell r="E1165" t="str">
            <v>Olive Sparrow</v>
          </cell>
          <cell r="F1165" t="str">
            <v>Tohi olive</v>
          </cell>
          <cell r="G1165" t="str">
            <v>Arremonops rufivirgatus</v>
          </cell>
          <cell r="H1165" t="str">
            <v>Passeriformes</v>
          </cell>
          <cell r="I1165" t="str">
            <v>Passerellidae (New World Sparrows)</v>
          </cell>
        </row>
        <row r="1166">
          <cell r="E1166" t="str">
            <v>Olive Whistler</v>
          </cell>
          <cell r="F1166" t="str">
            <v>Siffleur olivâtre</v>
          </cell>
          <cell r="G1166" t="str">
            <v>Pachycephala olivacea</v>
          </cell>
          <cell r="H1166" t="str">
            <v>Passeriformes</v>
          </cell>
          <cell r="I1166" t="str">
            <v>Pachycephalidae (Whistlers and Allies)</v>
          </cell>
        </row>
        <row r="1167">
          <cell r="E1167" t="str">
            <v>Olive-backed Euphonia</v>
          </cell>
          <cell r="F1167" t="str">
            <v>Organiste olive</v>
          </cell>
          <cell r="G1167" t="str">
            <v>Euphonia gouldi</v>
          </cell>
          <cell r="H1167" t="str">
            <v>Passeriformes</v>
          </cell>
          <cell r="I1167" t="str">
            <v>Fringillidae (Finches, Euphonias, and Allies)</v>
          </cell>
        </row>
        <row r="1168">
          <cell r="E1168" t="str">
            <v>Olive-backed Oriole</v>
          </cell>
          <cell r="F1168" t="str">
            <v>Loriot sagittal</v>
          </cell>
          <cell r="G1168" t="str">
            <v>Oriolus sagittatus</v>
          </cell>
          <cell r="H1168" t="str">
            <v>Passeriformes</v>
          </cell>
          <cell r="I1168" t="str">
            <v>Oriolidae (Old World Orioles)</v>
          </cell>
        </row>
        <row r="1169">
          <cell r="E1169" t="str">
            <v>Olive-capped Coua</v>
          </cell>
          <cell r="F1169" t="str">
            <v>Coua à tête olive</v>
          </cell>
          <cell r="G1169" t="str">
            <v>Coua olivaceiceps</v>
          </cell>
          <cell r="H1169" t="str">
            <v>Cuculiformes</v>
          </cell>
          <cell r="I1169" t="str">
            <v>Cuculidae (Cuckoos)</v>
          </cell>
        </row>
        <row r="1170">
          <cell r="E1170" t="str">
            <v>Olive-crowned Yellowthroat</v>
          </cell>
          <cell r="F1170" t="str">
            <v>Paruline des bambous</v>
          </cell>
          <cell r="G1170" t="str">
            <v>Geothlypis semiflava</v>
          </cell>
          <cell r="H1170" t="str">
            <v>Passeriformes</v>
          </cell>
          <cell r="I1170" t="str">
            <v>Parulidae (New World Warblers)</v>
          </cell>
        </row>
        <row r="1171">
          <cell r="E1171" t="str">
            <v>Olive-gray Saltator</v>
          </cell>
          <cell r="F1171" t="str">
            <v>Saltator de Cabanis</v>
          </cell>
          <cell r="G1171" t="str">
            <v>Saltator olivascens</v>
          </cell>
          <cell r="H1171" t="str">
            <v>Passeriformes</v>
          </cell>
          <cell r="I1171" t="str">
            <v>Thraupidae (Tanagers and Allies)</v>
          </cell>
        </row>
        <row r="1172">
          <cell r="E1172" t="str">
            <v>Olive-sided Flycatcher</v>
          </cell>
          <cell r="F1172" t="str">
            <v>Moucherolle à côtés olive</v>
          </cell>
          <cell r="G1172" t="str">
            <v>Contopus cooperi</v>
          </cell>
          <cell r="H1172" t="str">
            <v>Passeriformes</v>
          </cell>
          <cell r="I1172" t="str">
            <v>Tyrannidae (Tyrant Flycatchers)</v>
          </cell>
        </row>
        <row r="1173">
          <cell r="E1173" t="str">
            <v>Olive-striped Flycatcher</v>
          </cell>
          <cell r="F1173" t="str">
            <v>Pipromorphe à ventre jaune</v>
          </cell>
          <cell r="G1173" t="str">
            <v>Mionectes galbinus</v>
          </cell>
          <cell r="H1173" t="str">
            <v>Passeriformes</v>
          </cell>
          <cell r="I1173" t="str">
            <v>Tyrannidae (Tyrant Flycatchers)</v>
          </cell>
        </row>
        <row r="1174">
          <cell r="E1174" t="str">
            <v>Olive-throated Parakeet</v>
          </cell>
          <cell r="F1174" t="str">
            <v>Conure naine</v>
          </cell>
          <cell r="G1174" t="str">
            <v>Eupsittula nana</v>
          </cell>
          <cell r="H1174" t="str">
            <v>Psittaciformes</v>
          </cell>
          <cell r="I1174" t="str">
            <v>Psittacidae (New World and African Parrots)</v>
          </cell>
        </row>
        <row r="1175">
          <cell r="E1175" t="str">
            <v>Omao</v>
          </cell>
          <cell r="F1175" t="str">
            <v>Solitaire d'Hawaï</v>
          </cell>
          <cell r="G1175" t="str">
            <v>Myadestes obscurus</v>
          </cell>
          <cell r="H1175" t="str">
            <v>Passeriformes</v>
          </cell>
          <cell r="I1175" t="str">
            <v>Turdidae (Thrushes and Allies)</v>
          </cell>
        </row>
        <row r="1176">
          <cell r="E1176" t="str">
            <v>One-colored Becard</v>
          </cell>
          <cell r="F1176" t="str">
            <v>Bécarde unicolore</v>
          </cell>
          <cell r="G1176" t="str">
            <v>Pachyramphus homochrous</v>
          </cell>
          <cell r="H1176" t="str">
            <v>Passeriformes</v>
          </cell>
          <cell r="I1176" t="str">
            <v>Tityridae (Tityras and Allies)</v>
          </cell>
        </row>
        <row r="1177">
          <cell r="E1177" t="str">
            <v>Orange-bellied Euphonia</v>
          </cell>
          <cell r="F1177" t="str">
            <v>Organiste à ventre orange</v>
          </cell>
          <cell r="G1177" t="str">
            <v>Euphonia xanthogaster</v>
          </cell>
          <cell r="H1177" t="str">
            <v>Passeriformes</v>
          </cell>
          <cell r="I1177" t="str">
            <v>Fringillidae (Finches, Euphonias, and Allies)</v>
          </cell>
        </row>
        <row r="1178">
          <cell r="E1178" t="str">
            <v>Orange-billed Nightingale-Thrush</v>
          </cell>
          <cell r="F1178" t="str">
            <v>Grive à bec orange</v>
          </cell>
          <cell r="G1178" t="str">
            <v>Catharus aurantiirostris</v>
          </cell>
          <cell r="H1178" t="str">
            <v>Passeriformes</v>
          </cell>
          <cell r="I1178" t="str">
            <v>Turdidae (Thrushes and Allies)</v>
          </cell>
        </row>
        <row r="1179">
          <cell r="E1179" t="str">
            <v>Orange-billed Sparrow</v>
          </cell>
          <cell r="F1179" t="str">
            <v>Tohi à bec orange</v>
          </cell>
          <cell r="G1179" t="str">
            <v>Arremon aurantiirostris</v>
          </cell>
          <cell r="H1179" t="str">
            <v>Passeriformes</v>
          </cell>
          <cell r="I1179" t="str">
            <v>Passerellidae (New World Sparrows)</v>
          </cell>
        </row>
        <row r="1180">
          <cell r="E1180" t="str">
            <v>Orange-breasted Fruiteater</v>
          </cell>
          <cell r="F1180" t="str">
            <v>Cotinga jucunda</v>
          </cell>
          <cell r="G1180" t="str">
            <v>Pipreola jucunda</v>
          </cell>
          <cell r="H1180" t="str">
            <v>Passeriformes</v>
          </cell>
          <cell r="I1180" t="str">
            <v>Cotingidae (Cotingas)</v>
          </cell>
        </row>
        <row r="1181">
          <cell r="E1181" t="str">
            <v>Orange-chinned Parakeet</v>
          </cell>
          <cell r="F1181" t="str">
            <v>Toui à menton d'or</v>
          </cell>
          <cell r="G1181" t="str">
            <v>Brotogeris jugularis</v>
          </cell>
          <cell r="H1181" t="str">
            <v>Psittaciformes</v>
          </cell>
          <cell r="I1181" t="str">
            <v>Psittacidae (New World and African Parrots)</v>
          </cell>
        </row>
        <row r="1182">
          <cell r="E1182" t="str">
            <v>Orange-crowned Oriole</v>
          </cell>
          <cell r="F1182" t="str">
            <v>Oriole à tête d'or</v>
          </cell>
          <cell r="G1182" t="str">
            <v>Icterus auricapillus</v>
          </cell>
          <cell r="H1182" t="str">
            <v>Passeriformes</v>
          </cell>
          <cell r="I1182" t="str">
            <v>Icteridae (Troupials and Allies)</v>
          </cell>
        </row>
        <row r="1183">
          <cell r="E1183" t="str">
            <v>Orange-crowned Warbler</v>
          </cell>
          <cell r="F1183" t="str">
            <v>Paruline verdâtre</v>
          </cell>
          <cell r="G1183" t="str">
            <v>Leiothlypis celata</v>
          </cell>
          <cell r="H1183" t="str">
            <v>Passeriformes</v>
          </cell>
          <cell r="I1183" t="str">
            <v>Parulidae (New World Warblers)</v>
          </cell>
        </row>
        <row r="1184">
          <cell r="E1184" t="str">
            <v>Orange-fronted Barbet</v>
          </cell>
          <cell r="F1184" t="str">
            <v>Cabézon à nuque blanche</v>
          </cell>
          <cell r="G1184" t="str">
            <v>Capito squamatus</v>
          </cell>
          <cell r="H1184" t="str">
            <v>Piciformes</v>
          </cell>
          <cell r="I1184" t="str">
            <v>Capitonidae (New World Barbets)</v>
          </cell>
        </row>
        <row r="1185">
          <cell r="E1185" t="str">
            <v>Orange-fronted Parakeet</v>
          </cell>
          <cell r="F1185" t="str">
            <v>Conure à front rouge</v>
          </cell>
          <cell r="G1185" t="str">
            <v>Eupsittula canicularis</v>
          </cell>
          <cell r="H1185" t="str">
            <v>Psittaciformes</v>
          </cell>
          <cell r="I1185" t="str">
            <v>Psittacidae (New World and African Parrots)</v>
          </cell>
        </row>
        <row r="1186">
          <cell r="E1186" t="str">
            <v>Orange-throated Longclaw</v>
          </cell>
          <cell r="F1186" t="str">
            <v>Sentinelle du Cap</v>
          </cell>
          <cell r="G1186" t="str">
            <v>Macronyx capensis</v>
          </cell>
          <cell r="H1186" t="str">
            <v>Passeriformes</v>
          </cell>
          <cell r="I1186" t="str">
            <v>Motacillidae (Wagtails and Pipits)</v>
          </cell>
        </row>
        <row r="1187">
          <cell r="E1187" t="str">
            <v>Orange-winged Amazon</v>
          </cell>
          <cell r="F1187" t="str">
            <v>Amazone aourou</v>
          </cell>
          <cell r="G1187" t="str">
            <v>Amazona amazonica</v>
          </cell>
          <cell r="H1187" t="str">
            <v>Psittaciformes</v>
          </cell>
          <cell r="I1187" t="str">
            <v>Psittacidae (New World and African Parrots)</v>
          </cell>
        </row>
        <row r="1188">
          <cell r="E1188" t="str">
            <v>Orchard Oriole</v>
          </cell>
          <cell r="F1188" t="str">
            <v>Oriole des vergers</v>
          </cell>
          <cell r="G1188" t="str">
            <v>Icterus spurius</v>
          </cell>
          <cell r="H1188" t="str">
            <v>Passeriformes</v>
          </cell>
          <cell r="I1188" t="str">
            <v>Icteridae (Troupials and Allies)</v>
          </cell>
        </row>
        <row r="1189">
          <cell r="E1189" t="str">
            <v>Orinocan Saltator</v>
          </cell>
          <cell r="F1189" t="str">
            <v>Saltator de l'Orénoque</v>
          </cell>
          <cell r="G1189" t="str">
            <v>Saltator orenocensis</v>
          </cell>
          <cell r="H1189" t="str">
            <v>Passeriformes</v>
          </cell>
          <cell r="I1189" t="str">
            <v>Thraupidae (Tanagers and Allies)</v>
          </cell>
        </row>
        <row r="1190">
          <cell r="E1190" t="str">
            <v>Ornate Flycatcher</v>
          </cell>
          <cell r="F1190" t="str">
            <v>Moucherolle orné</v>
          </cell>
          <cell r="G1190" t="str">
            <v>Myiotriccus ornatus</v>
          </cell>
          <cell r="H1190" t="str">
            <v>Passeriformes</v>
          </cell>
          <cell r="I1190" t="str">
            <v>Tyrannidae (Tyrant Flycatchers)</v>
          </cell>
        </row>
        <row r="1191">
          <cell r="E1191" t="str">
            <v>Ornate Hawk-Eagle</v>
          </cell>
          <cell r="F1191" t="str">
            <v>Aigle orné</v>
          </cell>
          <cell r="G1191" t="str">
            <v>Spizaetus ornatus</v>
          </cell>
          <cell r="H1191" t="str">
            <v>Accipitriformes</v>
          </cell>
          <cell r="I1191" t="str">
            <v>Accipitridae (Hawks, Eagles, and Kites)</v>
          </cell>
        </row>
        <row r="1192">
          <cell r="E1192" t="str">
            <v>Osprey</v>
          </cell>
          <cell r="F1192" t="str">
            <v>Balbuzard pêcheur</v>
          </cell>
          <cell r="G1192" t="str">
            <v>Pandion haliaetus</v>
          </cell>
          <cell r="H1192" t="str">
            <v>Accipitriformes</v>
          </cell>
          <cell r="I1192" t="str">
            <v>Pandionidae (Osprey)</v>
          </cell>
        </row>
        <row r="1193">
          <cell r="E1193" t="str">
            <v>Ovenbird</v>
          </cell>
          <cell r="F1193" t="str">
            <v>Paruline couronnée</v>
          </cell>
          <cell r="G1193" t="str">
            <v>Seiurus aurocapilla</v>
          </cell>
          <cell r="H1193" t="str">
            <v>Passeriformes</v>
          </cell>
          <cell r="I1193" t="str">
            <v>Parulidae (New World Warblers)</v>
          </cell>
        </row>
        <row r="1194">
          <cell r="E1194" t="str">
            <v>Pacific Antwren</v>
          </cell>
          <cell r="F1194" t="str">
            <v>Myrmidon du Pacifique</v>
          </cell>
          <cell r="G1194" t="str">
            <v>Myrmotherula pacifica</v>
          </cell>
          <cell r="H1194" t="str">
            <v>Passeriformes</v>
          </cell>
          <cell r="I1194" t="str">
            <v>Thamnophilidae (Typical Antbirds)</v>
          </cell>
        </row>
        <row r="1195">
          <cell r="E1195" t="str">
            <v>Pacific Black Duck</v>
          </cell>
          <cell r="F1195" t="str">
            <v>Canard à sourcils</v>
          </cell>
          <cell r="G1195" t="str">
            <v>Anas superciliosa</v>
          </cell>
          <cell r="H1195" t="str">
            <v>Anseriformes</v>
          </cell>
          <cell r="I1195" t="str">
            <v>Anatidae (Ducks, Geese, and Waterfowl)</v>
          </cell>
        </row>
        <row r="1196">
          <cell r="E1196" t="str">
            <v>Pacific Golden-Plover</v>
          </cell>
          <cell r="F1196" t="str">
            <v>Pluvier fauve</v>
          </cell>
          <cell r="G1196" t="str">
            <v>Pluvialis fulva</v>
          </cell>
          <cell r="H1196" t="str">
            <v>Charadriiformes</v>
          </cell>
          <cell r="I1196" t="str">
            <v>Charadriidae (Plovers and Lapwings)</v>
          </cell>
        </row>
        <row r="1197">
          <cell r="E1197" t="str">
            <v>Pacific Gull</v>
          </cell>
          <cell r="F1197" t="str">
            <v>Goéland austral</v>
          </cell>
          <cell r="G1197" t="str">
            <v>Larus pacificus</v>
          </cell>
          <cell r="H1197" t="str">
            <v>Charadriiformes</v>
          </cell>
          <cell r="I1197" t="str">
            <v>Laridae (Gulls, Terns, and Skimmers)</v>
          </cell>
        </row>
        <row r="1198">
          <cell r="E1198" t="str">
            <v>Pacific Heron</v>
          </cell>
          <cell r="F1198" t="str">
            <v>Héron à tête blanche</v>
          </cell>
          <cell r="G1198" t="str">
            <v>Ardea pacifica</v>
          </cell>
          <cell r="H1198" t="str">
            <v>Pelecaniformes</v>
          </cell>
          <cell r="I1198" t="str">
            <v>Ardeidae (Herons, Egrets, and Bitterns)</v>
          </cell>
        </row>
        <row r="1199">
          <cell r="E1199" t="str">
            <v>Pacific Hornero</v>
          </cell>
          <cell r="F1199" t="str">
            <v>Fournier cannelle</v>
          </cell>
          <cell r="G1199" t="str">
            <v>Furnarius cinnamomeus</v>
          </cell>
          <cell r="H1199" t="str">
            <v>Passeriformes</v>
          </cell>
          <cell r="I1199" t="str">
            <v>Furnariidae (Ovenbirds and Woodcreepers)</v>
          </cell>
        </row>
        <row r="1200">
          <cell r="E1200" t="str">
            <v>Pacific Loon</v>
          </cell>
          <cell r="F1200" t="str">
            <v>Plongeon du Pacifique</v>
          </cell>
          <cell r="G1200" t="str">
            <v>Gavia pacifica</v>
          </cell>
          <cell r="H1200" t="str">
            <v>Gaviiformes</v>
          </cell>
          <cell r="I1200" t="str">
            <v>Gaviidae (Loons)</v>
          </cell>
        </row>
        <row r="1201">
          <cell r="E1201" t="str">
            <v>Pacific Screech-Owl</v>
          </cell>
          <cell r="F1201" t="str">
            <v>Petit-duc de Cooper</v>
          </cell>
          <cell r="G1201" t="str">
            <v>Megascops cooperi</v>
          </cell>
          <cell r="H1201" t="str">
            <v>Strigiformes</v>
          </cell>
          <cell r="I1201" t="str">
            <v>Strigidae (Owls)</v>
          </cell>
        </row>
        <row r="1202">
          <cell r="E1202" t="str">
            <v>Pacific Wren</v>
          </cell>
          <cell r="F1202" t="str">
            <v>Troglodyte de Baird</v>
          </cell>
          <cell r="G1202" t="str">
            <v>Troglodytes pacificus</v>
          </cell>
          <cell r="H1202" t="str">
            <v>Passeriformes</v>
          </cell>
          <cell r="I1202" t="str">
            <v>Troglodytidae (Wrens)</v>
          </cell>
        </row>
        <row r="1203">
          <cell r="E1203" t="str">
            <v>Painted Bunting</v>
          </cell>
          <cell r="F1203" t="str">
            <v>Passerin nonpareil</v>
          </cell>
          <cell r="G1203" t="str">
            <v>Passerina ciris</v>
          </cell>
          <cell r="H1203" t="str">
            <v>Passeriformes</v>
          </cell>
          <cell r="I1203" t="str">
            <v>Cardinalidae (Cardinals and Allies)</v>
          </cell>
        </row>
        <row r="1204">
          <cell r="E1204" t="str">
            <v>Painted Buttonquail</v>
          </cell>
          <cell r="F1204" t="str">
            <v>Turnix bariolé</v>
          </cell>
          <cell r="G1204" t="str">
            <v>Turnix varius</v>
          </cell>
          <cell r="H1204" t="str">
            <v>Charadriiformes</v>
          </cell>
          <cell r="I1204" t="str">
            <v>Turnicidae (Buttonquail)</v>
          </cell>
        </row>
        <row r="1205">
          <cell r="E1205" t="str">
            <v>Painted Honeyeater</v>
          </cell>
          <cell r="F1205" t="str">
            <v>Méliphage peint</v>
          </cell>
          <cell r="G1205" t="str">
            <v>Grantiella picta</v>
          </cell>
          <cell r="H1205" t="str">
            <v>Passeriformes</v>
          </cell>
          <cell r="I1205" t="str">
            <v>Meliphagidae (Honeyeaters)</v>
          </cell>
        </row>
        <row r="1206">
          <cell r="E1206" t="str">
            <v>Pale Chanting-Goshawk</v>
          </cell>
          <cell r="F1206" t="str">
            <v>Autour chanteur</v>
          </cell>
          <cell r="G1206" t="str">
            <v>Melierax canorus</v>
          </cell>
          <cell r="H1206" t="str">
            <v>Accipitriformes</v>
          </cell>
          <cell r="I1206" t="str">
            <v>Accipitridae (Hawks, Eagles, and Kites)</v>
          </cell>
        </row>
        <row r="1207">
          <cell r="E1207" t="str">
            <v>Pale Flycatcher</v>
          </cell>
          <cell r="F1207" t="str">
            <v>Gobemouche pâle</v>
          </cell>
          <cell r="G1207" t="str">
            <v>Agricola pallidus</v>
          </cell>
          <cell r="H1207" t="str">
            <v>Passeriformes</v>
          </cell>
          <cell r="I1207" t="str">
            <v>Muscicapidae (Old World Flycatchers)</v>
          </cell>
        </row>
        <row r="1208">
          <cell r="E1208" t="str">
            <v>Pale-bellied Hermit</v>
          </cell>
          <cell r="F1208" t="str">
            <v>Ermite anthophile</v>
          </cell>
          <cell r="G1208" t="str">
            <v>Phaethornis anthophilus</v>
          </cell>
          <cell r="H1208" t="str">
            <v>Apodiformes</v>
          </cell>
          <cell r="I1208" t="str">
            <v>Trochilidae (Hummingbirds)</v>
          </cell>
        </row>
        <row r="1209">
          <cell r="E1209" t="str">
            <v>Pale-bellied Tapaculo</v>
          </cell>
          <cell r="F1209" t="str">
            <v>Mérulaxe du matorral</v>
          </cell>
          <cell r="G1209" t="str">
            <v>Scytalopus griseicollis</v>
          </cell>
          <cell r="H1209" t="str">
            <v>Passeriformes</v>
          </cell>
          <cell r="I1209" t="str">
            <v>Rhinocryptidae (Tapaculos)</v>
          </cell>
        </row>
        <row r="1210">
          <cell r="E1210" t="str">
            <v>Pale-billed Woodpecker</v>
          </cell>
          <cell r="F1210" t="str">
            <v>Pic à bec clair</v>
          </cell>
          <cell r="G1210" t="str">
            <v>Campephilus guatemalensis</v>
          </cell>
          <cell r="H1210" t="str">
            <v>Piciformes</v>
          </cell>
          <cell r="I1210" t="str">
            <v>Picidae (Woodpeckers)</v>
          </cell>
        </row>
        <row r="1211">
          <cell r="E1211" t="str">
            <v>Pale-breasted Spinetail</v>
          </cell>
          <cell r="F1211" t="str">
            <v>Synallaxe albane</v>
          </cell>
          <cell r="G1211" t="str">
            <v>Synallaxis albescens</v>
          </cell>
          <cell r="H1211" t="str">
            <v>Passeriformes</v>
          </cell>
          <cell r="I1211" t="str">
            <v>Furnariidae (Ovenbirds and Woodcreepers)</v>
          </cell>
        </row>
        <row r="1212">
          <cell r="E1212" t="str">
            <v>Pale-breasted Thrush</v>
          </cell>
          <cell r="F1212" t="str">
            <v>Merle leucomèle</v>
          </cell>
          <cell r="G1212" t="str">
            <v>Turdus leucomelas</v>
          </cell>
          <cell r="H1212" t="str">
            <v>Passeriformes</v>
          </cell>
          <cell r="I1212" t="str">
            <v>Turdidae (Thrushes and Allies)</v>
          </cell>
        </row>
        <row r="1213">
          <cell r="E1213" t="str">
            <v>Pale-edged Flycatcher</v>
          </cell>
          <cell r="F1213" t="str">
            <v>Tyran givré</v>
          </cell>
          <cell r="G1213" t="str">
            <v>Myiarchus cephalotes</v>
          </cell>
          <cell r="H1213" t="str">
            <v>Passeriformes</v>
          </cell>
          <cell r="I1213" t="str">
            <v>Tyrannidae (Tyrant Flycatchers)</v>
          </cell>
        </row>
        <row r="1214">
          <cell r="E1214" t="str">
            <v>Pale-eyed Pygmy-Tyrant</v>
          </cell>
          <cell r="F1214" t="str">
            <v>Microtyran coiffé</v>
          </cell>
          <cell r="G1214" t="str">
            <v>Atalotriccus pilaris</v>
          </cell>
          <cell r="H1214" t="str">
            <v>Passeriformes</v>
          </cell>
          <cell r="I1214" t="str">
            <v>Tyrannidae (Tyrant Flycatchers)</v>
          </cell>
        </row>
        <row r="1215">
          <cell r="E1215" t="str">
            <v>Pale-mandibled Aracari</v>
          </cell>
          <cell r="F1215" t="str">
            <v>Araçari à bec clair</v>
          </cell>
          <cell r="G1215" t="str">
            <v>Pteroglossus erythropygius</v>
          </cell>
          <cell r="H1215" t="str">
            <v>Piciformes</v>
          </cell>
          <cell r="I1215" t="str">
            <v>Ramphastidae (Toucans)</v>
          </cell>
        </row>
        <row r="1216">
          <cell r="E1216" t="str">
            <v>Pale-naped Brushfinch</v>
          </cell>
          <cell r="F1216" t="str">
            <v>Tohi à nuque claire</v>
          </cell>
          <cell r="G1216" t="str">
            <v>Atlapetes pallidinucha</v>
          </cell>
          <cell r="H1216" t="str">
            <v>Passeriformes</v>
          </cell>
          <cell r="I1216" t="str">
            <v>Passerellidae (New World Sparrows)</v>
          </cell>
        </row>
        <row r="1217">
          <cell r="E1217" t="str">
            <v>Pale-vented Pigeon</v>
          </cell>
          <cell r="F1217" t="str">
            <v>Pigeon rousset</v>
          </cell>
          <cell r="G1217" t="str">
            <v>Patagioenas cayennensis</v>
          </cell>
          <cell r="H1217" t="str">
            <v>Columbiformes</v>
          </cell>
          <cell r="I1217" t="str">
            <v>Columbidae (Pigeons and Doves)</v>
          </cell>
        </row>
        <row r="1218">
          <cell r="E1218" t="str">
            <v>Pale-winged Starling</v>
          </cell>
          <cell r="F1218" t="str">
            <v>Rufipenne nabouroup</v>
          </cell>
          <cell r="G1218" t="str">
            <v>Onychognathus nabouroup</v>
          </cell>
          <cell r="H1218" t="str">
            <v>Passeriformes</v>
          </cell>
          <cell r="I1218" t="str">
            <v>Sturnidae (Starlings)</v>
          </cell>
        </row>
        <row r="1219">
          <cell r="E1219" t="str">
            <v>Palila</v>
          </cell>
          <cell r="F1219" t="str">
            <v>Psittirostre palila</v>
          </cell>
          <cell r="G1219" t="str">
            <v>Loxioides bailleui</v>
          </cell>
          <cell r="H1219" t="str">
            <v>Passeriformes</v>
          </cell>
          <cell r="I1219" t="str">
            <v>Fringillidae (Finches, Euphonias, and Allies)</v>
          </cell>
        </row>
        <row r="1220">
          <cell r="E1220" t="str">
            <v>Pallid Cuckoo</v>
          </cell>
          <cell r="F1220" t="str">
            <v>Coucou pâle</v>
          </cell>
          <cell r="G1220" t="str">
            <v>Heteroscenes pallidus</v>
          </cell>
          <cell r="H1220" t="str">
            <v>Cuculiformes</v>
          </cell>
          <cell r="I1220" t="str">
            <v>Cuculidae (Cuckoos)</v>
          </cell>
        </row>
        <row r="1221">
          <cell r="E1221" t="str">
            <v>Pallid Dove</v>
          </cell>
          <cell r="F1221" t="str">
            <v>Colombe pâle</v>
          </cell>
          <cell r="G1221" t="str">
            <v>Leptotila pallida</v>
          </cell>
          <cell r="H1221" t="str">
            <v>Columbiformes</v>
          </cell>
          <cell r="I1221" t="str">
            <v>Columbidae (Pigeons and Doves)</v>
          </cell>
        </row>
        <row r="1222">
          <cell r="E1222" t="str">
            <v>Palm Tanager</v>
          </cell>
          <cell r="F1222" t="str">
            <v>Tangara des palmiers</v>
          </cell>
          <cell r="G1222" t="str">
            <v>Thraupis palmarum</v>
          </cell>
          <cell r="H1222" t="str">
            <v>Passeriformes</v>
          </cell>
          <cell r="I1222" t="str">
            <v>Thraupidae (Tanagers and Allies)</v>
          </cell>
        </row>
        <row r="1223">
          <cell r="E1223" t="str">
            <v>Palm Warbler</v>
          </cell>
          <cell r="F1223" t="str">
            <v>Paruline à couronne rousse</v>
          </cell>
          <cell r="G1223" t="str">
            <v>Setophaga palmarum</v>
          </cell>
          <cell r="H1223" t="str">
            <v>Passeriformes</v>
          </cell>
          <cell r="I1223" t="str">
            <v>Parulidae (New World Warblers)</v>
          </cell>
        </row>
        <row r="1224">
          <cell r="E1224" t="str">
            <v>Panama Flycatcher</v>
          </cell>
          <cell r="F1224" t="str">
            <v>Tyran du Panama</v>
          </cell>
          <cell r="G1224" t="str">
            <v>Myiarchus panamensis</v>
          </cell>
          <cell r="H1224" t="str">
            <v>Passeriformes</v>
          </cell>
          <cell r="I1224" t="str">
            <v>Tyrannidae (Tyrant Flycatchers)</v>
          </cell>
        </row>
        <row r="1225">
          <cell r="E1225" t="str">
            <v>Paramo Seedeater</v>
          </cell>
          <cell r="F1225" t="str">
            <v>Cataménie du paramo</v>
          </cell>
          <cell r="G1225" t="str">
            <v>Catamenia homochroa</v>
          </cell>
          <cell r="H1225" t="str">
            <v>Passeriformes</v>
          </cell>
          <cell r="I1225" t="str">
            <v>Thraupidae (Tanagers and Allies)</v>
          </cell>
        </row>
        <row r="1226">
          <cell r="E1226" t="str">
            <v>Paramo Tapaculo</v>
          </cell>
          <cell r="F1226" t="str">
            <v>Mérulaxe du paramo</v>
          </cell>
          <cell r="G1226" t="str">
            <v>Scytalopus opacus</v>
          </cell>
          <cell r="H1226" t="str">
            <v>Passeriformes</v>
          </cell>
          <cell r="I1226" t="str">
            <v>Rhinocryptidae (Tapaculos)</v>
          </cell>
        </row>
        <row r="1227">
          <cell r="E1227" t="str">
            <v>Parasitic Jaeger</v>
          </cell>
          <cell r="F1227" t="str">
            <v>Labbe parasite</v>
          </cell>
          <cell r="G1227" t="str">
            <v>Stercorarius parasiticus</v>
          </cell>
          <cell r="H1227" t="str">
            <v>Charadriiformes</v>
          </cell>
          <cell r="I1227" t="str">
            <v>Stercorariidae (Skuas and Jaegers)</v>
          </cell>
        </row>
        <row r="1228">
          <cell r="E1228" t="str">
            <v>Peaceful Dove</v>
          </cell>
          <cell r="F1228" t="str">
            <v>Géopélie placide</v>
          </cell>
          <cell r="G1228" t="str">
            <v>Geopelia placida</v>
          </cell>
          <cell r="H1228" t="str">
            <v>Columbiformes</v>
          </cell>
          <cell r="I1228" t="str">
            <v>Columbidae (Pigeons and Doves)</v>
          </cell>
        </row>
        <row r="1229">
          <cell r="E1229" t="str">
            <v>Pearl Kite</v>
          </cell>
          <cell r="F1229" t="str">
            <v>Élanion perle</v>
          </cell>
          <cell r="G1229" t="str">
            <v>Gampsonyx swainsonii</v>
          </cell>
          <cell r="H1229" t="str">
            <v>Accipitriformes</v>
          </cell>
          <cell r="I1229" t="str">
            <v>Accipitridae (Hawks, Eagles, and Kites)</v>
          </cell>
        </row>
        <row r="1230">
          <cell r="E1230" t="str">
            <v>Pearl-spotted Owlet</v>
          </cell>
          <cell r="F1230" t="str">
            <v>Chevêchette perlée</v>
          </cell>
          <cell r="G1230" t="str">
            <v>Glaucidium perlatum</v>
          </cell>
          <cell r="H1230" t="str">
            <v>Strigiformes</v>
          </cell>
          <cell r="I1230" t="str">
            <v>Strigidae (Owls)</v>
          </cell>
        </row>
        <row r="1231">
          <cell r="E1231" t="str">
            <v>Pearled Treerunner</v>
          </cell>
          <cell r="F1231" t="str">
            <v>Anabasitte perlée</v>
          </cell>
          <cell r="G1231" t="str">
            <v>Margarornis squamiger</v>
          </cell>
          <cell r="H1231" t="str">
            <v>Passeriformes</v>
          </cell>
          <cell r="I1231" t="str">
            <v>Furnariidae (Ovenbirds and Woodcreepers)</v>
          </cell>
        </row>
        <row r="1232">
          <cell r="E1232" t="str">
            <v>Pearly-vented Tody-Tyrant</v>
          </cell>
          <cell r="F1232" t="str">
            <v>Todirostre à ventre perle</v>
          </cell>
          <cell r="G1232" t="str">
            <v>Hemitriccus margaritaceiventer</v>
          </cell>
          <cell r="H1232" t="str">
            <v>Passeriformes</v>
          </cell>
          <cell r="I1232" t="str">
            <v>Tyrannidae (Tyrant Flycatchers)</v>
          </cell>
        </row>
        <row r="1233">
          <cell r="E1233" t="str">
            <v>Pectoral Sandpiper</v>
          </cell>
          <cell r="F1233" t="str">
            <v>Bécasseau à poitrine cendrée</v>
          </cell>
          <cell r="G1233" t="str">
            <v>Calidris melanotos</v>
          </cell>
          <cell r="H1233" t="str">
            <v>Charadriiformes</v>
          </cell>
          <cell r="I1233" t="str">
            <v>Scolopacidae (Sandpipers and Allies)</v>
          </cell>
        </row>
        <row r="1234">
          <cell r="E1234" t="str">
            <v>Pelagic Cormorant</v>
          </cell>
          <cell r="F1234" t="str">
            <v>Cormoran pélagique</v>
          </cell>
          <cell r="G1234" t="str">
            <v>Urile pelagicus</v>
          </cell>
          <cell r="H1234" t="str">
            <v>Suliformes</v>
          </cell>
          <cell r="I1234" t="str">
            <v>Phalacrocoracidae (Cormorants and Shags)</v>
          </cell>
        </row>
        <row r="1235">
          <cell r="E1235" t="str">
            <v>Peregrine Falcon</v>
          </cell>
          <cell r="F1235" t="str">
            <v>Faucon pèlerin</v>
          </cell>
          <cell r="G1235" t="str">
            <v>Falco peregrinus</v>
          </cell>
          <cell r="H1235" t="str">
            <v>Falconiformes</v>
          </cell>
          <cell r="I1235" t="str">
            <v>Falconidae (Falcons and Caracaras)</v>
          </cell>
        </row>
        <row r="1236">
          <cell r="E1236" t="str">
            <v>Pheasant Cuckoo</v>
          </cell>
          <cell r="F1236" t="str">
            <v>Géocoucou faisan</v>
          </cell>
          <cell r="G1236" t="str">
            <v>Dromococcyx phasianellus</v>
          </cell>
          <cell r="H1236" t="str">
            <v>Cuculiformes</v>
          </cell>
          <cell r="I1236" t="str">
            <v>Cuculidae (Cuckoos)</v>
          </cell>
        </row>
        <row r="1237">
          <cell r="E1237" t="str">
            <v>Philadelphia Vireo</v>
          </cell>
          <cell r="F1237" t="str">
            <v>Viréo de Philadelphie</v>
          </cell>
          <cell r="G1237" t="str">
            <v>Vireo philadelphicus</v>
          </cell>
          <cell r="H1237" t="str">
            <v>Passeriformes</v>
          </cell>
          <cell r="I1237" t="str">
            <v>Vireonidae (Vireos, Shrike-Babblers, and Erpornis)</v>
          </cell>
        </row>
        <row r="1238">
          <cell r="E1238" t="str">
            <v>Pied Avocet</v>
          </cell>
          <cell r="F1238" t="str">
            <v>Avocette élégante</v>
          </cell>
          <cell r="G1238" t="str">
            <v>Recurvirostra avosetta</v>
          </cell>
          <cell r="H1238" t="str">
            <v>Charadriiformes</v>
          </cell>
          <cell r="I1238" t="str">
            <v>Recurvirostridae (Stilts and Avocets)</v>
          </cell>
        </row>
        <row r="1239">
          <cell r="E1239" t="str">
            <v>Pied Barbet</v>
          </cell>
          <cell r="F1239" t="str">
            <v>Barbican pie</v>
          </cell>
          <cell r="G1239" t="str">
            <v>Tricholaema leucomelas</v>
          </cell>
          <cell r="H1239" t="str">
            <v>Piciformes</v>
          </cell>
          <cell r="I1239" t="str">
            <v>Lybiidae (African Barbets)</v>
          </cell>
        </row>
        <row r="1240">
          <cell r="E1240" t="str">
            <v>Pied Butcherbird</v>
          </cell>
          <cell r="F1240" t="str">
            <v>Cassican à gorge noire</v>
          </cell>
          <cell r="G1240" t="str">
            <v>Cracticus nigrogularis</v>
          </cell>
          <cell r="H1240" t="str">
            <v>Passeriformes</v>
          </cell>
          <cell r="I1240" t="str">
            <v>Artamidae (Woodswallows, Bellmagpies, and Allies)</v>
          </cell>
        </row>
        <row r="1241">
          <cell r="E1241" t="str">
            <v>Pied Cormorant</v>
          </cell>
          <cell r="F1241" t="str">
            <v>Cormoran varié</v>
          </cell>
          <cell r="G1241" t="str">
            <v>Phalacrocorax varius</v>
          </cell>
          <cell r="H1241" t="str">
            <v>Suliformes</v>
          </cell>
          <cell r="I1241" t="str">
            <v>Phalacrocoracidae (Cormorants and Shags)</v>
          </cell>
        </row>
        <row r="1242">
          <cell r="E1242" t="str">
            <v>Pied Crow</v>
          </cell>
          <cell r="F1242" t="str">
            <v>Corbeau pie</v>
          </cell>
          <cell r="G1242" t="str">
            <v>Corvus albus</v>
          </cell>
          <cell r="H1242" t="str">
            <v>Passeriformes</v>
          </cell>
          <cell r="I1242" t="str">
            <v>Corvidae (Crows, Jays, and Magpies)</v>
          </cell>
        </row>
        <row r="1243">
          <cell r="E1243" t="str">
            <v>Pied Currawong</v>
          </cell>
          <cell r="F1243" t="str">
            <v>Grand Réveilleur</v>
          </cell>
          <cell r="G1243" t="str">
            <v>Strepera graculina</v>
          </cell>
          <cell r="H1243" t="str">
            <v>Passeriformes</v>
          </cell>
          <cell r="I1243" t="str">
            <v>Artamidae (Woodswallows, Bellmagpies, and Allies)</v>
          </cell>
        </row>
        <row r="1244">
          <cell r="E1244" t="str">
            <v>Pied Kingfisher</v>
          </cell>
          <cell r="F1244" t="str">
            <v>Martin-pêcheur pie</v>
          </cell>
          <cell r="G1244" t="str">
            <v>Ceryle rudis</v>
          </cell>
          <cell r="H1244" t="str">
            <v>Coraciiformes</v>
          </cell>
          <cell r="I1244" t="str">
            <v>Alcedinidae (Kingfishers)</v>
          </cell>
        </row>
        <row r="1245">
          <cell r="E1245" t="str">
            <v>Pied Oystercatcher</v>
          </cell>
          <cell r="F1245" t="str">
            <v>Huîtrier à long bec</v>
          </cell>
          <cell r="G1245" t="str">
            <v>Haematopus longirostris</v>
          </cell>
          <cell r="H1245" t="str">
            <v>Charadriiformes</v>
          </cell>
          <cell r="I1245" t="str">
            <v>Haematopodidae (Oystercatchers)</v>
          </cell>
        </row>
        <row r="1246">
          <cell r="E1246" t="str">
            <v>Pied Puffbird</v>
          </cell>
          <cell r="F1246" t="str">
            <v>Tamatia pie</v>
          </cell>
          <cell r="G1246" t="str">
            <v>Notharchus tectus</v>
          </cell>
          <cell r="H1246" t="str">
            <v>Piciformes</v>
          </cell>
          <cell r="I1246" t="str">
            <v>Bucconidae (Puffbirds)</v>
          </cell>
        </row>
        <row r="1247">
          <cell r="E1247" t="str">
            <v>Pied Stilt</v>
          </cell>
          <cell r="F1247" t="str">
            <v>Échasse d'Australie</v>
          </cell>
          <cell r="G1247" t="str">
            <v>Himantopus leucocephalus</v>
          </cell>
          <cell r="H1247" t="str">
            <v>Charadriiformes</v>
          </cell>
          <cell r="I1247" t="str">
            <v>Recurvirostridae (Stilts and Avocets)</v>
          </cell>
        </row>
        <row r="1248">
          <cell r="E1248" t="str">
            <v>Pied Water-Tyrant</v>
          </cell>
          <cell r="F1248" t="str">
            <v>Moucherolle pie</v>
          </cell>
          <cell r="G1248" t="str">
            <v>Fluvicola pica</v>
          </cell>
          <cell r="H1248" t="str">
            <v>Passeriformes</v>
          </cell>
          <cell r="I1248" t="str">
            <v>Tyrannidae (Tyrant Flycatchers)</v>
          </cell>
        </row>
        <row r="1249">
          <cell r="E1249" t="str">
            <v>Pied-billed Grebe</v>
          </cell>
          <cell r="F1249" t="str">
            <v>Grèbe à bec bigarré</v>
          </cell>
          <cell r="G1249" t="str">
            <v>Podilymbus podiceps</v>
          </cell>
          <cell r="H1249" t="str">
            <v>Podicipediformes</v>
          </cell>
          <cell r="I1249" t="str">
            <v>Podicipedidae (Grebes)</v>
          </cell>
        </row>
        <row r="1250">
          <cell r="E1250" t="str">
            <v>Pigeon Guillemot</v>
          </cell>
          <cell r="F1250" t="str">
            <v>Guillemot colombin</v>
          </cell>
          <cell r="G1250" t="str">
            <v>Cepphus columba</v>
          </cell>
          <cell r="H1250" t="str">
            <v>Charadriiformes</v>
          </cell>
          <cell r="I1250" t="str">
            <v>Alcidae (Auks, Murres, and Puffins)</v>
          </cell>
        </row>
        <row r="1251">
          <cell r="E1251" t="str">
            <v>Pileated Finch</v>
          </cell>
          <cell r="F1251" t="str">
            <v>Araguira gris</v>
          </cell>
          <cell r="G1251" t="str">
            <v>Coryphospingus pileatus</v>
          </cell>
          <cell r="H1251" t="str">
            <v>Passeriformes</v>
          </cell>
          <cell r="I1251" t="str">
            <v>Thraupidae (Tanagers and Allies)</v>
          </cell>
        </row>
        <row r="1252">
          <cell r="E1252" t="str">
            <v>Pileated Woodpecker</v>
          </cell>
          <cell r="F1252" t="str">
            <v>Grand Pic</v>
          </cell>
          <cell r="G1252" t="str">
            <v>Dryocopus pileatus</v>
          </cell>
          <cell r="H1252" t="str">
            <v>Piciformes</v>
          </cell>
          <cell r="I1252" t="str">
            <v>Picidae (Woodpeckers)</v>
          </cell>
        </row>
        <row r="1253">
          <cell r="E1253" t="str">
            <v>Pilotbird</v>
          </cell>
          <cell r="F1253" t="str">
            <v>Pycnoptile compagnon</v>
          </cell>
          <cell r="G1253" t="str">
            <v>Pycnoptilus floccosus</v>
          </cell>
          <cell r="H1253" t="str">
            <v>Passeriformes</v>
          </cell>
          <cell r="I1253" t="str">
            <v>Acanthizidae (Thornbills and Allies)</v>
          </cell>
        </row>
        <row r="1254">
          <cell r="E1254" t="str">
            <v>Pin-tailed Whydah</v>
          </cell>
          <cell r="F1254" t="str">
            <v>Veuve dominicaine</v>
          </cell>
          <cell r="G1254" t="str">
            <v>Vidua macroura</v>
          </cell>
          <cell r="H1254" t="str">
            <v>Passeriformes</v>
          </cell>
          <cell r="I1254" t="str">
            <v>Viduidae (Whydahs and Indigobirds)</v>
          </cell>
        </row>
        <row r="1255">
          <cell r="E1255" t="str">
            <v>Pine Grosbeak</v>
          </cell>
          <cell r="F1255" t="str">
            <v>Durbec des sapins</v>
          </cell>
          <cell r="G1255" t="str">
            <v>Pinicola enucleator</v>
          </cell>
          <cell r="H1255" t="str">
            <v>Passeriformes</v>
          </cell>
          <cell r="I1255" t="str">
            <v>Fringillidae (Finches, Euphonias, and Allies)</v>
          </cell>
        </row>
        <row r="1256">
          <cell r="E1256" t="str">
            <v>Pine Siskin</v>
          </cell>
          <cell r="F1256" t="str">
            <v>Tarin des pins</v>
          </cell>
          <cell r="G1256" t="str">
            <v>Spinus pinus</v>
          </cell>
          <cell r="H1256" t="str">
            <v>Passeriformes</v>
          </cell>
          <cell r="I1256" t="str">
            <v>Fringillidae (Finches, Euphonias, and Allies)</v>
          </cell>
        </row>
        <row r="1257">
          <cell r="E1257" t="str">
            <v>Pine Warbler</v>
          </cell>
          <cell r="F1257" t="str">
            <v>Paruline des pins</v>
          </cell>
          <cell r="G1257" t="str">
            <v>Setophaga pinus</v>
          </cell>
          <cell r="H1257" t="str">
            <v>Passeriformes</v>
          </cell>
          <cell r="I1257" t="str">
            <v>Parulidae (New World Warblers)</v>
          </cell>
        </row>
        <row r="1258">
          <cell r="E1258" t="str">
            <v>Pink Robin</v>
          </cell>
          <cell r="F1258" t="str">
            <v>Miro incarnat</v>
          </cell>
          <cell r="G1258" t="str">
            <v>Petroica rodinogaster</v>
          </cell>
          <cell r="H1258" t="str">
            <v>Passeriformes</v>
          </cell>
          <cell r="I1258" t="str">
            <v>Petroicidae (Australasian Robins)</v>
          </cell>
        </row>
        <row r="1259">
          <cell r="E1259" t="str">
            <v>Pink-billed Cnemoscopus</v>
          </cell>
          <cell r="F1259" t="str">
            <v>Tangara capucin</v>
          </cell>
          <cell r="G1259" t="str">
            <v>Cnemoscopus rubrirostris</v>
          </cell>
          <cell r="H1259" t="str">
            <v>Passeriformes</v>
          </cell>
          <cell r="I1259" t="str">
            <v>Thraupidae (Tanagers and Allies)</v>
          </cell>
        </row>
        <row r="1260">
          <cell r="E1260" t="str">
            <v>Pink-eared Duck</v>
          </cell>
          <cell r="F1260" t="str">
            <v>Malacorhynque à oreilles roses</v>
          </cell>
          <cell r="G1260" t="str">
            <v>Malacorhynchus membranaceus</v>
          </cell>
          <cell r="H1260" t="str">
            <v>Anseriformes</v>
          </cell>
          <cell r="I1260" t="str">
            <v>Anatidae (Ducks, Geese, and Waterfowl)</v>
          </cell>
        </row>
        <row r="1261">
          <cell r="E1261" t="str">
            <v>Pink-footed Shearwater</v>
          </cell>
          <cell r="F1261" t="str">
            <v>Puffin à pieds roses</v>
          </cell>
          <cell r="G1261" t="str">
            <v>Ardenna creatopus</v>
          </cell>
          <cell r="H1261" t="str">
            <v>Procellariiformes</v>
          </cell>
          <cell r="I1261" t="str">
            <v>Procellariidae (Shearwaters and Petrels)</v>
          </cell>
        </row>
        <row r="1262">
          <cell r="E1262" t="str">
            <v>Piping Plover</v>
          </cell>
          <cell r="F1262" t="str">
            <v>Pluvier siffleur</v>
          </cell>
          <cell r="G1262" t="str">
            <v>Charadrius melodus</v>
          </cell>
          <cell r="H1262" t="str">
            <v>Charadriiformes</v>
          </cell>
          <cell r="I1262" t="str">
            <v>Charadriidae (Plovers and Lapwings)</v>
          </cell>
        </row>
        <row r="1263">
          <cell r="E1263" t="str">
            <v>Piratic Flycatcher</v>
          </cell>
          <cell r="F1263" t="str">
            <v>Tyran pirate</v>
          </cell>
          <cell r="G1263" t="str">
            <v>Legatus leucophaius</v>
          </cell>
          <cell r="H1263" t="str">
            <v>Passeriformes</v>
          </cell>
          <cell r="I1263" t="str">
            <v>Tyrannidae (Tyrant Flycatchers)</v>
          </cell>
        </row>
        <row r="1264">
          <cell r="E1264" t="str">
            <v>Pitta-like Ground-Roller</v>
          </cell>
          <cell r="F1264" t="str">
            <v>Brachyptérolle pittoïde</v>
          </cell>
          <cell r="G1264" t="str">
            <v>Atelornis pittoides</v>
          </cell>
          <cell r="H1264" t="str">
            <v>Coraciiformes</v>
          </cell>
          <cell r="I1264" t="str">
            <v>Brachypteraciidae (Ground-Rollers)</v>
          </cell>
        </row>
        <row r="1265">
          <cell r="E1265" t="str">
            <v>Plain Antvireo</v>
          </cell>
          <cell r="F1265" t="str">
            <v>Batara gorgeret</v>
          </cell>
          <cell r="G1265" t="str">
            <v>Dysithamnus mentalis</v>
          </cell>
          <cell r="H1265" t="str">
            <v>Passeriformes</v>
          </cell>
          <cell r="I1265" t="str">
            <v>Thamnophilidae (Typical Antbirds)</v>
          </cell>
        </row>
        <row r="1266">
          <cell r="E1266" t="str">
            <v>Plain Chachalaca</v>
          </cell>
          <cell r="F1266" t="str">
            <v>Ortalide chacamel</v>
          </cell>
          <cell r="G1266" t="str">
            <v>Ortalis vetula</v>
          </cell>
          <cell r="H1266" t="str">
            <v>Galliformes</v>
          </cell>
          <cell r="I1266" t="str">
            <v>Cracidae (Guans, Chachalacas, and Curassows)</v>
          </cell>
        </row>
        <row r="1267">
          <cell r="E1267" t="str">
            <v>Plain-breasted Ground Dove</v>
          </cell>
          <cell r="F1267" t="str">
            <v>Colombe pygmée</v>
          </cell>
          <cell r="G1267" t="str">
            <v>Columbina minuta</v>
          </cell>
          <cell r="H1267" t="str">
            <v>Columbiformes</v>
          </cell>
          <cell r="I1267" t="str">
            <v>Columbidae (Pigeons and Doves)</v>
          </cell>
        </row>
        <row r="1268">
          <cell r="E1268" t="str">
            <v>Plain-brown Woodcreeper</v>
          </cell>
          <cell r="F1268" t="str">
            <v>Grimpar enfumé</v>
          </cell>
          <cell r="G1268" t="str">
            <v>Dendrocincla fuliginosa</v>
          </cell>
          <cell r="H1268" t="str">
            <v>Passeriformes</v>
          </cell>
          <cell r="I1268" t="str">
            <v>Furnariidae (Ovenbirds and Woodcreepers)</v>
          </cell>
        </row>
        <row r="1269">
          <cell r="E1269" t="str">
            <v>Plain-capped Ground-Tyrant</v>
          </cell>
          <cell r="F1269" t="str">
            <v>Dormilon à grands sourcils</v>
          </cell>
          <cell r="G1269" t="str">
            <v>Muscisaxicola alpinus</v>
          </cell>
          <cell r="H1269" t="str">
            <v>Passeriformes</v>
          </cell>
          <cell r="I1269" t="str">
            <v>Tyrannidae (Tyrant Flycatchers)</v>
          </cell>
        </row>
        <row r="1270">
          <cell r="E1270" t="str">
            <v>Plain-colored Seedeater</v>
          </cell>
          <cell r="F1270" t="str">
            <v>Cataménie terne</v>
          </cell>
          <cell r="G1270" t="str">
            <v>Catamenia inornata</v>
          </cell>
          <cell r="H1270" t="str">
            <v>Passeriformes</v>
          </cell>
          <cell r="I1270" t="str">
            <v>Thraupidae (Tanagers and Allies)</v>
          </cell>
        </row>
        <row r="1271">
          <cell r="E1271" t="str">
            <v>Plain-colored Tanager</v>
          </cell>
          <cell r="F1271" t="str">
            <v>Calliste gris</v>
          </cell>
          <cell r="G1271" t="str">
            <v>Tangara inornata</v>
          </cell>
          <cell r="H1271" t="str">
            <v>Passeriformes</v>
          </cell>
          <cell r="I1271" t="str">
            <v>Thraupidae (Tanagers and Allies)</v>
          </cell>
        </row>
        <row r="1272">
          <cell r="E1272" t="str">
            <v>Plain-tailed Wren</v>
          </cell>
          <cell r="F1272" t="str">
            <v>Troglodyte maculé</v>
          </cell>
          <cell r="G1272" t="str">
            <v>Pheugopedius euophrys</v>
          </cell>
          <cell r="H1272" t="str">
            <v>Passeriformes</v>
          </cell>
          <cell r="I1272" t="str">
            <v>Troglodytidae (Wrens)</v>
          </cell>
        </row>
        <row r="1273">
          <cell r="E1273" t="str">
            <v>Plains-wanderer</v>
          </cell>
          <cell r="F1273" t="str">
            <v>Pédionome errant</v>
          </cell>
          <cell r="G1273" t="str">
            <v>Pedionomus torquatus</v>
          </cell>
          <cell r="H1273" t="str">
            <v>Charadriiformes</v>
          </cell>
          <cell r="I1273" t="str">
            <v>Pedionomidae (Plains-wanderer)</v>
          </cell>
        </row>
        <row r="1274">
          <cell r="E1274" t="str">
            <v>Plate-billed Mountain-Toucan</v>
          </cell>
          <cell r="F1274" t="str">
            <v>Toucan montagnard</v>
          </cell>
          <cell r="G1274" t="str">
            <v>Andigena laminirostris</v>
          </cell>
          <cell r="H1274" t="str">
            <v>Piciformes</v>
          </cell>
          <cell r="I1274" t="str">
            <v>Ramphastidae (Toucans)</v>
          </cell>
        </row>
        <row r="1275">
          <cell r="E1275" t="str">
            <v>Plumbeous Kite</v>
          </cell>
          <cell r="F1275" t="str">
            <v>Milan bleuâtre</v>
          </cell>
          <cell r="G1275" t="str">
            <v>Ictinia plumbea</v>
          </cell>
          <cell r="H1275" t="str">
            <v>Accipitriformes</v>
          </cell>
          <cell r="I1275" t="str">
            <v>Accipitridae (Hawks, Eagles, and Kites)</v>
          </cell>
        </row>
        <row r="1276">
          <cell r="E1276" t="str">
            <v>Plumbeous Pigeon</v>
          </cell>
          <cell r="F1276" t="str">
            <v>Pigeon plombé</v>
          </cell>
          <cell r="G1276" t="str">
            <v>Patagioenas plumbea</v>
          </cell>
          <cell r="H1276" t="str">
            <v>Columbiformes</v>
          </cell>
          <cell r="I1276" t="str">
            <v>Columbidae (Pigeons and Doves)</v>
          </cell>
        </row>
        <row r="1277">
          <cell r="E1277" t="str">
            <v>Plumbeous Sierra Finch</v>
          </cell>
          <cell r="F1277" t="str">
            <v>Haplospize gris-de-plomb</v>
          </cell>
          <cell r="G1277" t="str">
            <v>Geospizopsis unicolor</v>
          </cell>
          <cell r="H1277" t="str">
            <v>Passeriformes</v>
          </cell>
          <cell r="I1277" t="str">
            <v>Thraupidae (Tanagers and Allies)</v>
          </cell>
        </row>
        <row r="1278">
          <cell r="E1278" t="str">
            <v>Pollen's Vanga</v>
          </cell>
          <cell r="F1278" t="str">
            <v>Vanga de Pollen</v>
          </cell>
          <cell r="G1278" t="str">
            <v>Xenopirostris polleni</v>
          </cell>
          <cell r="H1278" t="str">
            <v>Passeriformes</v>
          </cell>
          <cell r="I1278" t="str">
            <v>Vangidae (Vangas, Helmetshrikes, and Allies)</v>
          </cell>
        </row>
        <row r="1279">
          <cell r="E1279" t="str">
            <v>Powerful Owl</v>
          </cell>
          <cell r="F1279" t="str">
            <v>Ninoxe puissante</v>
          </cell>
          <cell r="G1279" t="str">
            <v>Ninox strenua</v>
          </cell>
          <cell r="H1279" t="str">
            <v>Strigiformes</v>
          </cell>
          <cell r="I1279" t="str">
            <v>Strigidae (Owls)</v>
          </cell>
        </row>
        <row r="1280">
          <cell r="E1280" t="str">
            <v>Powerful Woodpecker</v>
          </cell>
          <cell r="F1280" t="str">
            <v>Pic puissant</v>
          </cell>
          <cell r="G1280" t="str">
            <v>Campephilus pollens</v>
          </cell>
          <cell r="H1280" t="str">
            <v>Piciformes</v>
          </cell>
          <cell r="I1280" t="str">
            <v>Picidae (Woodpeckers)</v>
          </cell>
        </row>
        <row r="1281">
          <cell r="E1281" t="str">
            <v>Prairie Warbler</v>
          </cell>
          <cell r="F1281" t="str">
            <v>Paruline des prés</v>
          </cell>
          <cell r="G1281" t="str">
            <v>Setophaga discolor</v>
          </cell>
          <cell r="H1281" t="str">
            <v>Passeriformes</v>
          </cell>
          <cell r="I1281" t="str">
            <v>Parulidae (New World Warblers)</v>
          </cell>
        </row>
        <row r="1282">
          <cell r="E1282" t="str">
            <v>Prong-billed Barbet</v>
          </cell>
          <cell r="F1282" t="str">
            <v>Cabézon de Frantzius</v>
          </cell>
          <cell r="G1282" t="str">
            <v>Semnornis frantzii</v>
          </cell>
          <cell r="H1282" t="str">
            <v>Piciformes</v>
          </cell>
          <cell r="I1282" t="str">
            <v>Semnornithidae (Toucan-Barbets)</v>
          </cell>
        </row>
        <row r="1283">
          <cell r="E1283" t="str">
            <v>Prothonotary Warbler</v>
          </cell>
          <cell r="F1283" t="str">
            <v>Paruline orangée</v>
          </cell>
          <cell r="G1283" t="str">
            <v>Protonotaria citrea</v>
          </cell>
          <cell r="H1283" t="str">
            <v>Passeriformes</v>
          </cell>
          <cell r="I1283" t="str">
            <v>Parulidae (New World Warblers)</v>
          </cell>
        </row>
        <row r="1284">
          <cell r="E1284" t="str">
            <v>Purple Finch</v>
          </cell>
          <cell r="F1284" t="str">
            <v>Roselin pourpré</v>
          </cell>
          <cell r="G1284" t="str">
            <v>Haemorhous purpureus</v>
          </cell>
          <cell r="H1284" t="str">
            <v>Passeriformes</v>
          </cell>
          <cell r="I1284" t="str">
            <v>Fringillidae (Finches, Euphonias, and Allies)</v>
          </cell>
        </row>
        <row r="1285">
          <cell r="E1285" t="str">
            <v>Purple Gallinule</v>
          </cell>
          <cell r="F1285" t="str">
            <v>Talève violacée</v>
          </cell>
          <cell r="G1285" t="str">
            <v>Porphyrio martinica</v>
          </cell>
          <cell r="H1285" t="str">
            <v>Gruiformes</v>
          </cell>
          <cell r="I1285" t="str">
            <v>Rallidae (Rails, Gallinules, and Coots)</v>
          </cell>
        </row>
        <row r="1286">
          <cell r="E1286" t="str">
            <v>Purple Heron</v>
          </cell>
          <cell r="F1286" t="str">
            <v>Héron pourpré</v>
          </cell>
          <cell r="G1286" t="str">
            <v>Ardea purpurea</v>
          </cell>
          <cell r="H1286" t="str">
            <v>Pelecaniformes</v>
          </cell>
          <cell r="I1286" t="str">
            <v>Ardeidae (Herons, Egrets, and Bitterns)</v>
          </cell>
        </row>
        <row r="1287">
          <cell r="E1287" t="str">
            <v>Purple Honeycreeper</v>
          </cell>
          <cell r="F1287" t="str">
            <v>Guit-guit céruléen</v>
          </cell>
          <cell r="G1287" t="str">
            <v>Cyanerpes caeruleus</v>
          </cell>
          <cell r="H1287" t="str">
            <v>Passeriformes</v>
          </cell>
          <cell r="I1287" t="str">
            <v>Thraupidae (Tanagers and Allies)</v>
          </cell>
        </row>
        <row r="1288">
          <cell r="E1288" t="str">
            <v>Purple Martin</v>
          </cell>
          <cell r="F1288" t="str">
            <v>Hirondelle noire</v>
          </cell>
          <cell r="G1288" t="str">
            <v>Progne subis</v>
          </cell>
          <cell r="H1288" t="str">
            <v>Passeriformes</v>
          </cell>
          <cell r="I1288" t="str">
            <v>Hirundinidae (Swallows)</v>
          </cell>
        </row>
        <row r="1289">
          <cell r="E1289" t="str">
            <v>Purple-backed Fairywren</v>
          </cell>
          <cell r="F1289" t="str">
            <v>Mérion violacé</v>
          </cell>
          <cell r="G1289" t="str">
            <v>Malurus assimilis</v>
          </cell>
          <cell r="H1289" t="str">
            <v>Passeriformes</v>
          </cell>
          <cell r="I1289" t="str">
            <v>Maluridae (Fairywrens)</v>
          </cell>
        </row>
        <row r="1290">
          <cell r="E1290" t="str">
            <v>Purple-backed Thornbill</v>
          </cell>
          <cell r="F1290" t="str">
            <v>Colibri à petit bec</v>
          </cell>
          <cell r="G1290" t="str">
            <v>Ramphomicron microrhynchum</v>
          </cell>
          <cell r="H1290" t="str">
            <v>Apodiformes</v>
          </cell>
          <cell r="I1290" t="str">
            <v>Trochilidae (Hummingbirds)</v>
          </cell>
        </row>
        <row r="1291">
          <cell r="E1291" t="str">
            <v>Purple-banded Sunbird</v>
          </cell>
          <cell r="F1291" t="str">
            <v>Souimanga bifascié</v>
          </cell>
          <cell r="G1291" t="str">
            <v>Cinnyris bifasciatus</v>
          </cell>
          <cell r="H1291" t="str">
            <v>Passeriformes</v>
          </cell>
          <cell r="I1291" t="str">
            <v>Nectariniidae (Sunbirds and Spiderhunters)</v>
          </cell>
        </row>
        <row r="1292">
          <cell r="E1292" t="str">
            <v>Purple-bibbed Whitetip</v>
          </cell>
          <cell r="F1292" t="str">
            <v>Colibri de Benjamin</v>
          </cell>
          <cell r="G1292" t="str">
            <v>Urosticte benjamini</v>
          </cell>
          <cell r="H1292" t="str">
            <v>Apodiformes</v>
          </cell>
          <cell r="I1292" t="str">
            <v>Trochilidae (Hummingbirds)</v>
          </cell>
        </row>
        <row r="1293">
          <cell r="E1293" t="str">
            <v>Purple-chested Hummingbird</v>
          </cell>
          <cell r="F1293" t="str">
            <v>Ariane de Rosenberg</v>
          </cell>
          <cell r="G1293" t="str">
            <v>Polyerata rosenbergi</v>
          </cell>
          <cell r="H1293" t="str">
            <v>Apodiformes</v>
          </cell>
          <cell r="I1293" t="str">
            <v>Trochilidae (Hummingbirds)</v>
          </cell>
        </row>
        <row r="1294">
          <cell r="E1294" t="str">
            <v>Purple-crested Turaco</v>
          </cell>
          <cell r="F1294" t="str">
            <v>Touraco à huppe splendide</v>
          </cell>
          <cell r="G1294" t="str">
            <v>Gallirex porphyreolophus</v>
          </cell>
          <cell r="H1294" t="str">
            <v>Musophagiformes</v>
          </cell>
          <cell r="I1294" t="str">
            <v>Musophagidae (Turacos)</v>
          </cell>
        </row>
        <row r="1295">
          <cell r="E1295" t="str">
            <v>Purple-crowned Fairy</v>
          </cell>
          <cell r="F1295" t="str">
            <v>Colibri féérique</v>
          </cell>
          <cell r="G1295" t="str">
            <v>Heliothryx barroti</v>
          </cell>
          <cell r="H1295" t="str">
            <v>Apodiformes</v>
          </cell>
          <cell r="I1295" t="str">
            <v>Trochilidae (Hummingbirds)</v>
          </cell>
        </row>
        <row r="1296">
          <cell r="E1296" t="str">
            <v>Purple-throated Fruitcrow</v>
          </cell>
          <cell r="F1296" t="str">
            <v>Coracine noire</v>
          </cell>
          <cell r="G1296" t="str">
            <v>Querula purpurata</v>
          </cell>
          <cell r="H1296" t="str">
            <v>Passeriformes</v>
          </cell>
          <cell r="I1296" t="str">
            <v>Cotingidae (Cotingas)</v>
          </cell>
        </row>
        <row r="1297">
          <cell r="E1297" t="str">
            <v>Purple-throated Mountain-gem</v>
          </cell>
          <cell r="F1297" t="str">
            <v>Colibri à gorge pourprée</v>
          </cell>
          <cell r="G1297" t="str">
            <v>Lampornis calolaemus</v>
          </cell>
          <cell r="H1297" t="str">
            <v>Apodiformes</v>
          </cell>
          <cell r="I1297" t="str">
            <v>Trochilidae (Hummingbirds)</v>
          </cell>
        </row>
        <row r="1298">
          <cell r="E1298" t="str">
            <v>Purple-throated Woodstar</v>
          </cell>
          <cell r="F1298" t="str">
            <v>Colibri de Mitchell</v>
          </cell>
          <cell r="G1298" t="str">
            <v>Philodice mitchellii</v>
          </cell>
          <cell r="H1298" t="str">
            <v>Apodiformes</v>
          </cell>
          <cell r="I1298" t="str">
            <v>Trochilidae (Hummingbirds)</v>
          </cell>
        </row>
        <row r="1299">
          <cell r="E1299" t="str">
            <v>Pygmy Falcon</v>
          </cell>
          <cell r="F1299" t="str">
            <v>Fauconnet d'Afrique</v>
          </cell>
          <cell r="G1299" t="str">
            <v>Polihierax semitorquatus</v>
          </cell>
          <cell r="H1299" t="str">
            <v>Falconiformes</v>
          </cell>
          <cell r="I1299" t="str">
            <v>Falconidae (Falcons and Caracaras)</v>
          </cell>
        </row>
        <row r="1300">
          <cell r="E1300" t="str">
            <v>Rainbow Bee-eater</v>
          </cell>
          <cell r="F1300" t="str">
            <v>Guêpier arc-en-ciel</v>
          </cell>
          <cell r="G1300" t="str">
            <v>Merops ornatus</v>
          </cell>
          <cell r="H1300" t="str">
            <v>Coraciiformes</v>
          </cell>
          <cell r="I1300" t="str">
            <v>Meropidae (Bee-eaters)</v>
          </cell>
        </row>
        <row r="1301">
          <cell r="E1301" t="str">
            <v>Rainbow Lorikeet</v>
          </cell>
          <cell r="F1301" t="str">
            <v>Loriquet arc-en-ciel</v>
          </cell>
          <cell r="G1301" t="str">
            <v>Trichoglossus moluccanus</v>
          </cell>
          <cell r="H1301" t="str">
            <v>Psittaciformes</v>
          </cell>
          <cell r="I1301" t="str">
            <v>Psittaculidae (Old World Parrots)</v>
          </cell>
        </row>
        <row r="1302">
          <cell r="E1302" t="str">
            <v>Rattling Cisticola</v>
          </cell>
          <cell r="F1302" t="str">
            <v>Cisticole grinçante</v>
          </cell>
          <cell r="G1302" t="str">
            <v>Cisticola chiniana</v>
          </cell>
          <cell r="H1302" t="str">
            <v>Passeriformes</v>
          </cell>
          <cell r="I1302" t="str">
            <v>Cisticolidae (Cisticolas and Allies)</v>
          </cell>
        </row>
        <row r="1303">
          <cell r="E1303" t="str">
            <v>Razorbill</v>
          </cell>
          <cell r="F1303" t="str">
            <v>Petit Pingouin</v>
          </cell>
          <cell r="G1303" t="str">
            <v>Alca torda</v>
          </cell>
          <cell r="H1303" t="str">
            <v>Charadriiformes</v>
          </cell>
          <cell r="I1303" t="str">
            <v>Alcidae (Auks, Murres, and Puffins)</v>
          </cell>
        </row>
        <row r="1304">
          <cell r="E1304" t="str">
            <v>Red Fody</v>
          </cell>
          <cell r="F1304" t="str">
            <v>Foudi rouge</v>
          </cell>
          <cell r="G1304" t="str">
            <v>Foudia madagascariensis</v>
          </cell>
          <cell r="H1304" t="str">
            <v>Passeriformes</v>
          </cell>
          <cell r="I1304" t="str">
            <v>Ploceidae (Weavers and Allies)</v>
          </cell>
        </row>
        <row r="1305">
          <cell r="E1305" t="str">
            <v>Red Knot</v>
          </cell>
          <cell r="F1305" t="str">
            <v>Bécasseau maubèche</v>
          </cell>
          <cell r="G1305" t="str">
            <v>Calidris canutus</v>
          </cell>
          <cell r="H1305" t="str">
            <v>Charadriiformes</v>
          </cell>
          <cell r="I1305" t="str">
            <v>Scolopacidae (Sandpipers and Allies)</v>
          </cell>
        </row>
        <row r="1306">
          <cell r="E1306" t="str">
            <v>Red Wattlebird</v>
          </cell>
          <cell r="F1306" t="str">
            <v>Méliphage barbe-rouge</v>
          </cell>
          <cell r="G1306" t="str">
            <v>Anthochaera carunculata</v>
          </cell>
          <cell r="H1306" t="str">
            <v>Passeriformes</v>
          </cell>
          <cell r="I1306" t="str">
            <v>Meliphagidae (Honeyeaters)</v>
          </cell>
        </row>
        <row r="1307">
          <cell r="E1307" t="str">
            <v>Red-and-yellow Barbet</v>
          </cell>
          <cell r="F1307" t="str">
            <v>Barbican à tête rouge</v>
          </cell>
          <cell r="G1307" t="str">
            <v>Trachyphonus erythrocephalus</v>
          </cell>
          <cell r="H1307" t="str">
            <v>Piciformes</v>
          </cell>
          <cell r="I1307" t="str">
            <v>Lybiidae (African Barbets)</v>
          </cell>
        </row>
        <row r="1308">
          <cell r="E1308" t="str">
            <v>Red-backed Kingfisher</v>
          </cell>
          <cell r="F1308" t="str">
            <v>Martin-chasseur à dos de feu</v>
          </cell>
          <cell r="G1308" t="str">
            <v>Todiramphus pyrrhopygius</v>
          </cell>
          <cell r="H1308" t="str">
            <v>Coraciiformes</v>
          </cell>
          <cell r="I1308" t="str">
            <v>Alcedinidae (Kingfishers)</v>
          </cell>
        </row>
        <row r="1309">
          <cell r="E1309" t="str">
            <v>Red-bellied Woodpecker</v>
          </cell>
          <cell r="F1309" t="str">
            <v>Pic à ventre roux</v>
          </cell>
          <cell r="G1309" t="str">
            <v>Melanerpes carolinus</v>
          </cell>
          <cell r="H1309" t="str">
            <v>Piciformes</v>
          </cell>
          <cell r="I1309" t="str">
            <v>Picidae (Woodpeckers)</v>
          </cell>
        </row>
        <row r="1310">
          <cell r="E1310" t="str">
            <v>Red-billed Buffalo-Weaver</v>
          </cell>
          <cell r="F1310" t="str">
            <v>Alecto à bec rouge</v>
          </cell>
          <cell r="G1310" t="str">
            <v>Bubalornis niger</v>
          </cell>
          <cell r="H1310" t="str">
            <v>Passeriformes</v>
          </cell>
          <cell r="I1310" t="str">
            <v>Ploceidae (Weavers and Allies)</v>
          </cell>
        </row>
        <row r="1311">
          <cell r="E1311" t="str">
            <v>Red-billed Duck</v>
          </cell>
          <cell r="F1311" t="str">
            <v>Canard à bec rouge</v>
          </cell>
          <cell r="G1311" t="str">
            <v>Anas erythrorhyncha</v>
          </cell>
          <cell r="H1311" t="str">
            <v>Anseriformes</v>
          </cell>
          <cell r="I1311" t="str">
            <v>Anatidae (Ducks, Geese, and Waterfowl)</v>
          </cell>
        </row>
        <row r="1312">
          <cell r="E1312" t="str">
            <v>Red-billed Emerald</v>
          </cell>
          <cell r="F1312" t="str">
            <v>Émeraude de Gibson</v>
          </cell>
          <cell r="G1312" t="str">
            <v>Chlorostilbon gibsoni</v>
          </cell>
          <cell r="H1312" t="str">
            <v>Apodiformes</v>
          </cell>
          <cell r="I1312" t="str">
            <v>Trochilidae (Hummingbirds)</v>
          </cell>
        </row>
        <row r="1313">
          <cell r="E1313" t="str">
            <v>Red-billed Leiothrix</v>
          </cell>
          <cell r="F1313" t="str">
            <v>Léiothrix jaune</v>
          </cell>
          <cell r="G1313" t="str">
            <v>Leiothrix lutea</v>
          </cell>
          <cell r="H1313" t="str">
            <v>Passeriformes</v>
          </cell>
          <cell r="I1313" t="str">
            <v>Leiothrichidae (Laughingthrushes and Allies)</v>
          </cell>
        </row>
        <row r="1314">
          <cell r="E1314" t="str">
            <v>Red-billed Oxpecker</v>
          </cell>
          <cell r="F1314" t="str">
            <v>Piqueboeuf à bec rouge</v>
          </cell>
          <cell r="G1314" t="str">
            <v>Buphagus erythroryncha</v>
          </cell>
          <cell r="H1314" t="str">
            <v>Passeriformes</v>
          </cell>
          <cell r="I1314" t="str">
            <v>Buphagidae (Oxpeckers)</v>
          </cell>
        </row>
        <row r="1315">
          <cell r="E1315" t="str">
            <v>Red-billed Parrot</v>
          </cell>
          <cell r="F1315" t="str">
            <v>Pione à bec rouge</v>
          </cell>
          <cell r="G1315" t="str">
            <v>Pionus sordidus</v>
          </cell>
          <cell r="H1315" t="str">
            <v>Psittaciformes</v>
          </cell>
          <cell r="I1315" t="str">
            <v>Psittacidae (New World and African Parrots)</v>
          </cell>
        </row>
        <row r="1316">
          <cell r="E1316" t="str">
            <v>Red-billed Pigeon</v>
          </cell>
          <cell r="F1316" t="str">
            <v>Pigeon à bec rouge</v>
          </cell>
          <cell r="G1316" t="str">
            <v>Patagioenas flavirostris</v>
          </cell>
          <cell r="H1316" t="str">
            <v>Columbiformes</v>
          </cell>
          <cell r="I1316" t="str">
            <v>Columbidae (Pigeons and Doves)</v>
          </cell>
        </row>
        <row r="1317">
          <cell r="E1317" t="str">
            <v>Red-billed Quelea</v>
          </cell>
          <cell r="F1317" t="str">
            <v>Travailleur à bec rouge</v>
          </cell>
          <cell r="G1317" t="str">
            <v>Quelea quelea</v>
          </cell>
          <cell r="H1317" t="str">
            <v>Passeriformes</v>
          </cell>
          <cell r="I1317" t="str">
            <v>Ploceidae (Weavers and Allies)</v>
          </cell>
        </row>
        <row r="1318">
          <cell r="E1318" t="str">
            <v>Red-billed Scythebill</v>
          </cell>
          <cell r="F1318" t="str">
            <v>Grimpar à bec rouge</v>
          </cell>
          <cell r="G1318" t="str">
            <v>Campylorhamphus trochilirostris</v>
          </cell>
          <cell r="H1318" t="str">
            <v>Passeriformes</v>
          </cell>
          <cell r="I1318" t="str">
            <v>Furnariidae (Ovenbirds and Woodcreepers)</v>
          </cell>
        </row>
        <row r="1319">
          <cell r="E1319" t="str">
            <v>Red-billed Spurfowl</v>
          </cell>
          <cell r="F1319" t="str">
            <v>Francolin à bec rouge</v>
          </cell>
          <cell r="G1319" t="str">
            <v>Pternistis adspersus</v>
          </cell>
          <cell r="H1319" t="str">
            <v>Galliformes</v>
          </cell>
          <cell r="I1319" t="str">
            <v>Phasianidae (Pheasants, Grouse, and Allies)</v>
          </cell>
        </row>
        <row r="1320">
          <cell r="E1320" t="str">
            <v>Red-billed Tropicbird</v>
          </cell>
          <cell r="F1320" t="str">
            <v>Phaéton à bec rouge</v>
          </cell>
          <cell r="G1320" t="str">
            <v>Phaethon aethereus</v>
          </cell>
          <cell r="H1320" t="str">
            <v>Phaethontiformes</v>
          </cell>
          <cell r="I1320" t="str">
            <v>Phaethontidae (Tropicbirds)</v>
          </cell>
        </row>
        <row r="1321">
          <cell r="E1321" t="str">
            <v>Red-breasted Coua</v>
          </cell>
          <cell r="F1321" t="str">
            <v>Coua de Serrès</v>
          </cell>
          <cell r="G1321" t="str">
            <v>Coua serriana</v>
          </cell>
          <cell r="H1321" t="str">
            <v>Cuculiformes</v>
          </cell>
          <cell r="I1321" t="str">
            <v>Cuculidae (Cuckoos)</v>
          </cell>
        </row>
        <row r="1322">
          <cell r="E1322" t="str">
            <v>Red-breasted Meadowlark</v>
          </cell>
          <cell r="F1322" t="str">
            <v>Sturnelle militaire</v>
          </cell>
          <cell r="G1322" t="str">
            <v>Leistes militaris</v>
          </cell>
          <cell r="H1322" t="str">
            <v>Passeriformes</v>
          </cell>
          <cell r="I1322" t="str">
            <v>Icteridae (Troupials and Allies)</v>
          </cell>
        </row>
        <row r="1323">
          <cell r="E1323" t="str">
            <v>Red-breasted Merganser</v>
          </cell>
          <cell r="F1323" t="str">
            <v>Harle huppé</v>
          </cell>
          <cell r="G1323" t="str">
            <v>Mergus serrator</v>
          </cell>
          <cell r="H1323" t="str">
            <v>Anseriformes</v>
          </cell>
          <cell r="I1323" t="str">
            <v>Anatidae (Ducks, Geese, and Waterfowl)</v>
          </cell>
        </row>
        <row r="1324">
          <cell r="E1324" t="str">
            <v>Red-breasted Nuthatch</v>
          </cell>
          <cell r="F1324" t="str">
            <v>Sittelle à poitrine rousse</v>
          </cell>
          <cell r="G1324" t="str">
            <v>Sitta canadensis</v>
          </cell>
          <cell r="H1324" t="str">
            <v>Passeriformes</v>
          </cell>
          <cell r="I1324" t="str">
            <v>Sittidae (Nuthatches)</v>
          </cell>
        </row>
        <row r="1325">
          <cell r="E1325" t="str">
            <v>Red-breasted Sapsucker</v>
          </cell>
          <cell r="F1325" t="str">
            <v>Pic à poitrine rouge</v>
          </cell>
          <cell r="G1325" t="str">
            <v>Sphyrapicus ruber</v>
          </cell>
          <cell r="H1325" t="str">
            <v>Piciformes</v>
          </cell>
          <cell r="I1325" t="str">
            <v>Picidae (Woodpeckers)</v>
          </cell>
        </row>
        <row r="1326">
          <cell r="E1326" t="str">
            <v>Red-browed Firetail</v>
          </cell>
          <cell r="F1326" t="str">
            <v>Diamant à cinq couleurs</v>
          </cell>
          <cell r="G1326" t="str">
            <v>Neochmia temporalis</v>
          </cell>
          <cell r="H1326" t="str">
            <v>Passeriformes</v>
          </cell>
          <cell r="I1326" t="str">
            <v>Estrildidae (Waxbills and Allies)</v>
          </cell>
        </row>
        <row r="1327">
          <cell r="E1327" t="str">
            <v>Red-capped Lark</v>
          </cell>
          <cell r="F1327" t="str">
            <v>Alouette cendrille</v>
          </cell>
          <cell r="G1327" t="str">
            <v>Calandrella cinerea</v>
          </cell>
          <cell r="H1327" t="str">
            <v>Passeriformes</v>
          </cell>
          <cell r="I1327" t="str">
            <v>Alaudidae (Larks)</v>
          </cell>
        </row>
        <row r="1328">
          <cell r="E1328" t="str">
            <v>Red-capped Manakin</v>
          </cell>
          <cell r="F1328" t="str">
            <v>Manakin à cuisses jaunes</v>
          </cell>
          <cell r="G1328" t="str">
            <v>Ceratopipra mentalis</v>
          </cell>
          <cell r="H1328" t="str">
            <v>Passeriformes</v>
          </cell>
          <cell r="I1328" t="str">
            <v>Pipridae (Manakins)</v>
          </cell>
        </row>
        <row r="1329">
          <cell r="E1329" t="str">
            <v>Red-capped Plover</v>
          </cell>
          <cell r="F1329" t="str">
            <v>Pluvier à tête rousse</v>
          </cell>
          <cell r="G1329" t="str">
            <v>Anarhynchus ruficapillus</v>
          </cell>
          <cell r="H1329" t="str">
            <v>Charadriiformes</v>
          </cell>
          <cell r="I1329" t="str">
            <v>Charadriidae (Plovers and Lapwings)</v>
          </cell>
        </row>
        <row r="1330">
          <cell r="E1330" t="str">
            <v>Red-capped Robin</v>
          </cell>
          <cell r="F1330" t="str">
            <v>Miro à front rouge</v>
          </cell>
          <cell r="G1330" t="str">
            <v>Petroica goodenovii</v>
          </cell>
          <cell r="H1330" t="str">
            <v>Passeriformes</v>
          </cell>
          <cell r="I1330" t="str">
            <v>Petroicidae (Australasian Robins)</v>
          </cell>
        </row>
        <row r="1331">
          <cell r="E1331" t="str">
            <v>Red-capped Robin-Chat</v>
          </cell>
          <cell r="F1331" t="str">
            <v>Cossyphe à calotte rousse</v>
          </cell>
          <cell r="G1331" t="str">
            <v>Cossypha natalensis</v>
          </cell>
          <cell r="H1331" t="str">
            <v>Passeriformes</v>
          </cell>
          <cell r="I1331" t="str">
            <v>Muscicapidae (Old World Flycatchers)</v>
          </cell>
        </row>
        <row r="1332">
          <cell r="E1332" t="str">
            <v>Red-cheeked Cordonbleu</v>
          </cell>
          <cell r="F1332" t="str">
            <v>Cordonbleu à joues rouges</v>
          </cell>
          <cell r="G1332" t="str">
            <v>Uraeginthus bengalus</v>
          </cell>
          <cell r="H1332" t="str">
            <v>Passeriformes</v>
          </cell>
          <cell r="I1332" t="str">
            <v>Estrildidae (Waxbills and Allies)</v>
          </cell>
        </row>
        <row r="1333">
          <cell r="E1333" t="str">
            <v>Red-collared Widowbird</v>
          </cell>
          <cell r="F1333" t="str">
            <v>Euplecte veuve-noire</v>
          </cell>
          <cell r="G1333" t="str">
            <v>Euplectes ardens</v>
          </cell>
          <cell r="H1333" t="str">
            <v>Passeriformes</v>
          </cell>
          <cell r="I1333" t="str">
            <v>Ploceidae (Weavers and Allies)</v>
          </cell>
        </row>
        <row r="1334">
          <cell r="E1334" t="str">
            <v>Red-crested Bustard</v>
          </cell>
          <cell r="F1334" t="str">
            <v>Outarde houppette</v>
          </cell>
          <cell r="G1334" t="str">
            <v>Lophotis ruficrista</v>
          </cell>
          <cell r="H1334" t="str">
            <v>Otidiformes</v>
          </cell>
          <cell r="I1334" t="str">
            <v>Otididae (Bustards)</v>
          </cell>
        </row>
        <row r="1335">
          <cell r="E1335" t="str">
            <v>Red-crested Cardinal</v>
          </cell>
          <cell r="F1335" t="str">
            <v>Paroare huppé</v>
          </cell>
          <cell r="G1335" t="str">
            <v>Paroaria coronata</v>
          </cell>
          <cell r="H1335" t="str">
            <v>Passeriformes</v>
          </cell>
          <cell r="I1335" t="str">
            <v>Thraupidae (Tanagers and Allies)</v>
          </cell>
        </row>
        <row r="1336">
          <cell r="E1336" t="str">
            <v>Red-crested Cotinga</v>
          </cell>
          <cell r="F1336" t="str">
            <v>Cotinga à huppe rouge</v>
          </cell>
          <cell r="G1336" t="str">
            <v>Ampelion rubrocristatus</v>
          </cell>
          <cell r="H1336" t="str">
            <v>Passeriformes</v>
          </cell>
          <cell r="I1336" t="str">
            <v>Cotingidae (Cotingas)</v>
          </cell>
        </row>
        <row r="1337">
          <cell r="E1337" t="str">
            <v>Red-crowned Ant-Tanager</v>
          </cell>
          <cell r="F1337" t="str">
            <v>Habia à couronne rouge</v>
          </cell>
          <cell r="G1337" t="str">
            <v>Habia rubica</v>
          </cell>
          <cell r="H1337" t="str">
            <v>Passeriformes</v>
          </cell>
          <cell r="I1337" t="str">
            <v>Cardinalidae (Cardinals and Allies)</v>
          </cell>
        </row>
        <row r="1338">
          <cell r="E1338" t="str">
            <v>Red-crowned Woodpecker</v>
          </cell>
          <cell r="F1338" t="str">
            <v>Pic à couronne rouge</v>
          </cell>
          <cell r="G1338" t="str">
            <v>Melanerpes rubricapillus</v>
          </cell>
          <cell r="H1338" t="str">
            <v>Piciformes</v>
          </cell>
          <cell r="I1338" t="str">
            <v>Picidae (Woodpeckers)</v>
          </cell>
        </row>
        <row r="1339">
          <cell r="E1339" t="str">
            <v>Red-eyed Dove</v>
          </cell>
          <cell r="F1339" t="str">
            <v>Tourterelle à collier</v>
          </cell>
          <cell r="G1339" t="str">
            <v>Streptopelia semitorquata</v>
          </cell>
          <cell r="H1339" t="str">
            <v>Columbiformes</v>
          </cell>
          <cell r="I1339" t="str">
            <v>Columbidae (Pigeons and Doves)</v>
          </cell>
        </row>
        <row r="1340">
          <cell r="E1340" t="str">
            <v>Red-eyed Vireo</v>
          </cell>
          <cell r="F1340" t="str">
            <v>Viréo aux yeux rouges</v>
          </cell>
          <cell r="G1340" t="str">
            <v>Vireo olivaceus</v>
          </cell>
          <cell r="H1340" t="str">
            <v>Passeriformes</v>
          </cell>
          <cell r="I1340" t="str">
            <v>Vireonidae (Vireos, Shrike-Babblers, and Erpornis)</v>
          </cell>
        </row>
        <row r="1341">
          <cell r="E1341" t="str">
            <v>Red-faced Spinetail</v>
          </cell>
          <cell r="F1341" t="str">
            <v>Synallaxe à face rouge</v>
          </cell>
          <cell r="G1341" t="str">
            <v>Cranioleuca erythrops</v>
          </cell>
          <cell r="H1341" t="str">
            <v>Passeriformes</v>
          </cell>
          <cell r="I1341" t="str">
            <v>Furnariidae (Ovenbirds and Woodcreepers)</v>
          </cell>
        </row>
        <row r="1342">
          <cell r="E1342" t="str">
            <v>Red-footed Booby</v>
          </cell>
          <cell r="F1342" t="str">
            <v>Fou à pieds rouges</v>
          </cell>
          <cell r="G1342" t="str">
            <v>Sula sula</v>
          </cell>
          <cell r="H1342" t="str">
            <v>Suliformes</v>
          </cell>
          <cell r="I1342" t="str">
            <v>Sulidae (Boobies and Gannets)</v>
          </cell>
        </row>
        <row r="1343">
          <cell r="E1343" t="str">
            <v>Red-fronted Coua</v>
          </cell>
          <cell r="F1343" t="str">
            <v>Coua de Reynaud</v>
          </cell>
          <cell r="G1343" t="str">
            <v>Coua reynaudii</v>
          </cell>
          <cell r="H1343" t="str">
            <v>Cuculiformes</v>
          </cell>
          <cell r="I1343" t="str">
            <v>Cuculidae (Cuckoos)</v>
          </cell>
        </row>
        <row r="1344">
          <cell r="E1344" t="str">
            <v>Red-headed Barbet</v>
          </cell>
          <cell r="F1344" t="str">
            <v>Cabézon à tête rouge</v>
          </cell>
          <cell r="G1344" t="str">
            <v>Eubucco bourcierii</v>
          </cell>
          <cell r="H1344" t="str">
            <v>Piciformes</v>
          </cell>
          <cell r="I1344" t="str">
            <v>Capitonidae (New World Barbets)</v>
          </cell>
        </row>
        <row r="1345">
          <cell r="E1345" t="str">
            <v>Red-headed Finch</v>
          </cell>
          <cell r="F1345" t="str">
            <v>Amadine à tête rouge</v>
          </cell>
          <cell r="G1345" t="str">
            <v>Amadina erythrocephala</v>
          </cell>
          <cell r="H1345" t="str">
            <v>Passeriformes</v>
          </cell>
          <cell r="I1345" t="str">
            <v>Estrildidae (Waxbills and Allies)</v>
          </cell>
        </row>
        <row r="1346">
          <cell r="E1346" t="str">
            <v>Red-headed Weaver</v>
          </cell>
          <cell r="F1346" t="str">
            <v>Anaplecte écarlate</v>
          </cell>
          <cell r="G1346" t="str">
            <v>Anaplectes rubriceps</v>
          </cell>
          <cell r="H1346" t="str">
            <v>Passeriformes</v>
          </cell>
          <cell r="I1346" t="str">
            <v>Ploceidae (Weavers and Allies)</v>
          </cell>
        </row>
        <row r="1347">
          <cell r="E1347" t="str">
            <v>Red-headed Woodpecker</v>
          </cell>
          <cell r="F1347" t="str">
            <v>Pic à tête rouge</v>
          </cell>
          <cell r="G1347" t="str">
            <v>Melanerpes erythrocephalus</v>
          </cell>
          <cell r="H1347" t="str">
            <v>Piciformes</v>
          </cell>
          <cell r="I1347" t="str">
            <v>Picidae (Woodpeckers)</v>
          </cell>
        </row>
        <row r="1348">
          <cell r="E1348" t="str">
            <v>Red-knobbed Coot</v>
          </cell>
          <cell r="F1348" t="str">
            <v>Foulque à crête</v>
          </cell>
          <cell r="G1348" t="str">
            <v>Fulica cristata</v>
          </cell>
          <cell r="H1348" t="str">
            <v>Gruiformes</v>
          </cell>
          <cell r="I1348" t="str">
            <v>Rallidae (Rails, Gallinules, and Coots)</v>
          </cell>
        </row>
        <row r="1349">
          <cell r="E1349" t="str">
            <v>Red-legged Honeycreeper</v>
          </cell>
          <cell r="F1349" t="str">
            <v>Guit-guit saï</v>
          </cell>
          <cell r="G1349" t="str">
            <v>Cyanerpes cyaneus</v>
          </cell>
          <cell r="H1349" t="str">
            <v>Passeriformes</v>
          </cell>
          <cell r="I1349" t="str">
            <v>Thraupidae (Tanagers and Allies)</v>
          </cell>
        </row>
        <row r="1350">
          <cell r="E1350" t="str">
            <v>Red-lored Amazon</v>
          </cell>
          <cell r="F1350" t="str">
            <v>Amazone diadème [autumnalis ou salvini]</v>
          </cell>
          <cell r="G1350" t="str">
            <v>Amazona autumnalis</v>
          </cell>
          <cell r="H1350" t="str">
            <v>Psittaciformes</v>
          </cell>
          <cell r="I1350" t="str">
            <v>Psittacidae (New World and African Parrots)</v>
          </cell>
        </row>
        <row r="1351">
          <cell r="E1351" t="str">
            <v>Red-necked Avocet</v>
          </cell>
          <cell r="F1351" t="str">
            <v>Avocette d'Australie</v>
          </cell>
          <cell r="G1351" t="str">
            <v>Recurvirostra novaehollandiae</v>
          </cell>
          <cell r="H1351" t="str">
            <v>Charadriiformes</v>
          </cell>
          <cell r="I1351" t="str">
            <v>Recurvirostridae (Stilts and Avocets)</v>
          </cell>
        </row>
        <row r="1352">
          <cell r="E1352" t="str">
            <v>Red-necked Falcon</v>
          </cell>
          <cell r="F1352" t="str">
            <v>Faucon chicquera</v>
          </cell>
          <cell r="G1352" t="str">
            <v>Falco chicquera</v>
          </cell>
          <cell r="H1352" t="str">
            <v>Falconiformes</v>
          </cell>
          <cell r="I1352" t="str">
            <v>Falconidae (Falcons and Caracaras)</v>
          </cell>
        </row>
        <row r="1353">
          <cell r="E1353" t="str">
            <v>Red-necked Grebe</v>
          </cell>
          <cell r="F1353" t="str">
            <v>Grèbe jougris</v>
          </cell>
          <cell r="G1353" t="str">
            <v>Podiceps grisegena</v>
          </cell>
          <cell r="H1353" t="str">
            <v>Podicipediformes</v>
          </cell>
          <cell r="I1353" t="str">
            <v>Podicipedidae (Grebes)</v>
          </cell>
        </row>
        <row r="1354">
          <cell r="E1354" t="str">
            <v>Red-necked Phalarope</v>
          </cell>
          <cell r="F1354" t="str">
            <v>Phalarope à bec étroit</v>
          </cell>
          <cell r="G1354" t="str">
            <v>Phalaropus lobatus</v>
          </cell>
          <cell r="H1354" t="str">
            <v>Charadriiformes</v>
          </cell>
          <cell r="I1354" t="str">
            <v>Scolopacidae (Sandpipers and Allies)</v>
          </cell>
        </row>
        <row r="1355">
          <cell r="E1355" t="str">
            <v>Red-necked Spurfowl</v>
          </cell>
          <cell r="F1355" t="str">
            <v>Francolin à gorge rouge</v>
          </cell>
          <cell r="G1355" t="str">
            <v>Pternistis afer</v>
          </cell>
          <cell r="H1355" t="str">
            <v>Galliformes</v>
          </cell>
          <cell r="I1355" t="str">
            <v>Phasianidae (Pheasants, Grouse, and Allies)</v>
          </cell>
        </row>
        <row r="1356">
          <cell r="E1356" t="str">
            <v>Red-necked Stint</v>
          </cell>
          <cell r="F1356" t="str">
            <v>Bécasseau à col roux</v>
          </cell>
          <cell r="G1356" t="str">
            <v>Calidris ruficollis</v>
          </cell>
          <cell r="H1356" t="str">
            <v>Charadriiformes</v>
          </cell>
          <cell r="I1356" t="str">
            <v>Scolopacidae (Sandpipers and Allies)</v>
          </cell>
        </row>
        <row r="1357">
          <cell r="E1357" t="str">
            <v>Red-rumped Parrot</v>
          </cell>
          <cell r="F1357" t="str">
            <v>Perruche à croupion rouge</v>
          </cell>
          <cell r="G1357" t="str">
            <v>Psephotus haematonotus</v>
          </cell>
          <cell r="H1357" t="str">
            <v>Psittaciformes</v>
          </cell>
          <cell r="I1357" t="str">
            <v>Psittaculidae (Old World Parrots)</v>
          </cell>
        </row>
        <row r="1358">
          <cell r="E1358" t="str">
            <v>Red-rumped Woodpecker</v>
          </cell>
          <cell r="F1358" t="str">
            <v>Pic à croupion rouge</v>
          </cell>
          <cell r="G1358" t="str">
            <v>Veniliornis kirkii</v>
          </cell>
          <cell r="H1358" t="str">
            <v>Piciformes</v>
          </cell>
          <cell r="I1358" t="str">
            <v>Picidae (Woodpeckers)</v>
          </cell>
        </row>
        <row r="1359">
          <cell r="E1359" t="str">
            <v>Red-shouldered Hawk</v>
          </cell>
          <cell r="F1359" t="str">
            <v>Buse à épaulettes</v>
          </cell>
          <cell r="G1359" t="str">
            <v>Buteo lineatus</v>
          </cell>
          <cell r="H1359" t="str">
            <v>Accipitriformes</v>
          </cell>
          <cell r="I1359" t="str">
            <v>Accipitridae (Hawks, Eagles, and Kites)</v>
          </cell>
        </row>
        <row r="1360">
          <cell r="E1360" t="str">
            <v>Red-shouldered Vanga</v>
          </cell>
          <cell r="F1360" t="str">
            <v>Calicalic à épaulettes</v>
          </cell>
          <cell r="G1360" t="str">
            <v>Calicalicus rufocarpalis</v>
          </cell>
          <cell r="H1360" t="str">
            <v>Passeriformes</v>
          </cell>
          <cell r="I1360" t="str">
            <v>Vangidae (Vangas, Helmetshrikes, and Allies)</v>
          </cell>
        </row>
        <row r="1361">
          <cell r="E1361" t="str">
            <v>Red-tailed Hawk</v>
          </cell>
          <cell r="F1361" t="str">
            <v>Buse à queue rousse</v>
          </cell>
          <cell r="G1361" t="str">
            <v>Buteo jamaicensis</v>
          </cell>
          <cell r="H1361" t="str">
            <v>Accipitriformes</v>
          </cell>
          <cell r="I1361" t="str">
            <v>Accipitridae (Hawks, Eagles, and Kites)</v>
          </cell>
        </row>
        <row r="1362">
          <cell r="E1362" t="str">
            <v>Red-tailed Tropicbird</v>
          </cell>
          <cell r="F1362" t="str">
            <v>Phaéton à brins rouges</v>
          </cell>
          <cell r="G1362" t="str">
            <v>Phaethon rubricauda</v>
          </cell>
          <cell r="H1362" t="str">
            <v>Phaethontiformes</v>
          </cell>
          <cell r="I1362" t="str">
            <v>Phaethontidae (Tropicbirds)</v>
          </cell>
        </row>
        <row r="1363">
          <cell r="E1363" t="str">
            <v>Red-tailed Vanga</v>
          </cell>
          <cell r="F1363" t="str">
            <v>Calicalic malgache</v>
          </cell>
          <cell r="G1363" t="str">
            <v>Calicalicus madagascariensis</v>
          </cell>
          <cell r="H1363" t="str">
            <v>Passeriformes</v>
          </cell>
          <cell r="I1363" t="str">
            <v>Vangidae (Vangas, Helmetshrikes, and Allies)</v>
          </cell>
        </row>
        <row r="1364">
          <cell r="E1364" t="str">
            <v>Red-throated Ant-Tanager</v>
          </cell>
          <cell r="F1364" t="str">
            <v>Habia à gorge rouge</v>
          </cell>
          <cell r="G1364" t="str">
            <v>Driophlox fuscicauda</v>
          </cell>
          <cell r="H1364" t="str">
            <v>Passeriformes</v>
          </cell>
          <cell r="I1364" t="str">
            <v>Cardinalidae (Cardinals and Allies)</v>
          </cell>
        </row>
        <row r="1365">
          <cell r="E1365" t="str">
            <v>Red-throated Caracara</v>
          </cell>
          <cell r="F1365" t="str">
            <v>Caracara à gorge rouge</v>
          </cell>
          <cell r="G1365" t="str">
            <v>Ibycter americanus</v>
          </cell>
          <cell r="H1365" t="str">
            <v>Falconiformes</v>
          </cell>
          <cell r="I1365" t="str">
            <v>Falconidae (Falcons and Caracaras)</v>
          </cell>
        </row>
        <row r="1366">
          <cell r="E1366" t="str">
            <v>Red-throated Loon</v>
          </cell>
          <cell r="F1366" t="str">
            <v>Plongeon catmarin</v>
          </cell>
          <cell r="G1366" t="str">
            <v>Gavia stellata</v>
          </cell>
          <cell r="H1366" t="str">
            <v>Gaviiformes</v>
          </cell>
          <cell r="I1366" t="str">
            <v>Gaviidae (Loons)</v>
          </cell>
        </row>
        <row r="1367">
          <cell r="E1367" t="str">
            <v>Red-throated Wryneck</v>
          </cell>
          <cell r="F1367" t="str">
            <v>Torcol à gorge rousse</v>
          </cell>
          <cell r="G1367" t="str">
            <v>Jynx ruficollis</v>
          </cell>
          <cell r="H1367" t="str">
            <v>Piciformes</v>
          </cell>
          <cell r="I1367" t="str">
            <v>Picidae (Woodpeckers)</v>
          </cell>
        </row>
        <row r="1368">
          <cell r="E1368" t="str">
            <v>Red-winged Blackbird</v>
          </cell>
          <cell r="F1368" t="str">
            <v>Carouge à épaulettes</v>
          </cell>
          <cell r="G1368" t="str">
            <v>Agelaius phoeniceus</v>
          </cell>
          <cell r="H1368" t="str">
            <v>Passeriformes</v>
          </cell>
          <cell r="I1368" t="str">
            <v>Icteridae (Troupials and Allies)</v>
          </cell>
        </row>
        <row r="1369">
          <cell r="E1369" t="str">
            <v>Red-winged Starling</v>
          </cell>
          <cell r="F1369" t="str">
            <v>Rufipenne morio</v>
          </cell>
          <cell r="G1369" t="str">
            <v>Onychognathus morio</v>
          </cell>
          <cell r="H1369" t="str">
            <v>Passeriformes</v>
          </cell>
          <cell r="I1369" t="str">
            <v>Sturnidae (Starlings)</v>
          </cell>
        </row>
        <row r="1370">
          <cell r="E1370" t="str">
            <v>Reddish Egret</v>
          </cell>
          <cell r="F1370" t="str">
            <v>Aigrette roussâtre</v>
          </cell>
          <cell r="G1370" t="str">
            <v>Egretta rufescens</v>
          </cell>
          <cell r="H1370" t="str">
            <v>Pelecaniformes</v>
          </cell>
          <cell r="I1370" t="str">
            <v>Ardeidae (Herons, Egrets, and Bitterns)</v>
          </cell>
        </row>
        <row r="1371">
          <cell r="E1371" t="str">
            <v>Redhead</v>
          </cell>
          <cell r="F1371" t="str">
            <v>Fuligule à tête rouge</v>
          </cell>
          <cell r="G1371" t="str">
            <v>Aythya americana</v>
          </cell>
          <cell r="H1371" t="str">
            <v>Anseriformes</v>
          </cell>
          <cell r="I1371" t="str">
            <v>Anatidae (Ducks, Geese, and Waterfowl)</v>
          </cell>
        </row>
        <row r="1372">
          <cell r="E1372" t="str">
            <v>Redpoll</v>
          </cell>
          <cell r="F1372" t="str">
            <v>Sizerin flammé</v>
          </cell>
          <cell r="G1372" t="str">
            <v>Acanthis flammea</v>
          </cell>
          <cell r="H1372" t="str">
            <v>Passeriformes</v>
          </cell>
          <cell r="I1372" t="str">
            <v>Fringillidae (Finches, Euphonias, and Allies)</v>
          </cell>
        </row>
        <row r="1373">
          <cell r="E1373" t="str">
            <v>Redthroat</v>
          </cell>
          <cell r="F1373" t="str">
            <v>Séricorne rougegorge</v>
          </cell>
          <cell r="G1373" t="str">
            <v>Pyrrholaemus brunneus</v>
          </cell>
          <cell r="H1373" t="str">
            <v>Passeriformes</v>
          </cell>
          <cell r="I1373" t="str">
            <v>Acanthizidae (Thornbills and Allies)</v>
          </cell>
        </row>
        <row r="1374">
          <cell r="E1374" t="str">
            <v>Reed Cormorant</v>
          </cell>
          <cell r="F1374" t="str">
            <v>Cormoran africain</v>
          </cell>
          <cell r="G1374" t="str">
            <v>Microcarbo africanus</v>
          </cell>
          <cell r="H1374" t="str">
            <v>Suliformes</v>
          </cell>
          <cell r="I1374" t="str">
            <v>Phalacrocoracidae (Cormorants and Shags)</v>
          </cell>
        </row>
        <row r="1375">
          <cell r="E1375" t="str">
            <v>Regent Parrot</v>
          </cell>
          <cell r="F1375" t="str">
            <v>Perruche mélanure</v>
          </cell>
          <cell r="G1375" t="str">
            <v>Polytelis anthopeplus</v>
          </cell>
          <cell r="H1375" t="str">
            <v>Psittaciformes</v>
          </cell>
          <cell r="I1375" t="str">
            <v>Psittaculidae (Old World Parrots)</v>
          </cell>
        </row>
        <row r="1376">
          <cell r="E1376" t="str">
            <v>Resplendent Quetzal</v>
          </cell>
          <cell r="F1376" t="str">
            <v>Quetzal resplendissant</v>
          </cell>
          <cell r="G1376" t="str">
            <v>Pharomachrus mocinno</v>
          </cell>
          <cell r="H1376" t="str">
            <v>Trogoniformes</v>
          </cell>
          <cell r="I1376" t="str">
            <v>Trogonidae (Trogons)</v>
          </cell>
        </row>
        <row r="1377">
          <cell r="E1377" t="str">
            <v>Restless Flycatcher</v>
          </cell>
          <cell r="F1377" t="str">
            <v>Monarque infatigable</v>
          </cell>
          <cell r="G1377" t="str">
            <v>Myiagra inquieta</v>
          </cell>
          <cell r="H1377" t="str">
            <v>Passeriformes</v>
          </cell>
          <cell r="I1377" t="str">
            <v>Monarchidae (Monarch Flycatchers)</v>
          </cell>
        </row>
        <row r="1378">
          <cell r="E1378" t="str">
            <v>Retz's Helmetshrike</v>
          </cell>
          <cell r="F1378" t="str">
            <v>Bagadais de Retz</v>
          </cell>
          <cell r="G1378" t="str">
            <v>Prionops retzii</v>
          </cell>
          <cell r="H1378" t="str">
            <v>Passeriformes</v>
          </cell>
          <cell r="I1378" t="str">
            <v>Vangidae (Vangas, Helmetshrikes, and Allies)</v>
          </cell>
        </row>
        <row r="1379">
          <cell r="E1379" t="str">
            <v>Ridgway's Rail</v>
          </cell>
          <cell r="F1379" t="str">
            <v>Râle de Californie</v>
          </cell>
          <cell r="G1379" t="str">
            <v>Rallus obsoletus</v>
          </cell>
          <cell r="H1379" t="str">
            <v>Gruiformes</v>
          </cell>
          <cell r="I1379" t="str">
            <v>Rallidae (Rails, Gallinules, and Coots)</v>
          </cell>
        </row>
        <row r="1380">
          <cell r="E1380" t="str">
            <v>Ring-billed Gull</v>
          </cell>
          <cell r="F1380" t="str">
            <v>Goéland à bec cerclé</v>
          </cell>
          <cell r="G1380" t="str">
            <v>Larus delawarensis</v>
          </cell>
          <cell r="H1380" t="str">
            <v>Charadriiformes</v>
          </cell>
          <cell r="I1380" t="str">
            <v>Laridae (Gulls, Terns, and Skimmers)</v>
          </cell>
        </row>
        <row r="1381">
          <cell r="E1381" t="str">
            <v>Ring-necked Dove</v>
          </cell>
          <cell r="F1381" t="str">
            <v>Tourterelle du Cap</v>
          </cell>
          <cell r="G1381" t="str">
            <v>Streptopelia capicola</v>
          </cell>
          <cell r="H1381" t="str">
            <v>Columbiformes</v>
          </cell>
          <cell r="I1381" t="str">
            <v>Columbidae (Pigeons and Doves)</v>
          </cell>
        </row>
        <row r="1382">
          <cell r="E1382" t="str">
            <v>Ring-necked Duck</v>
          </cell>
          <cell r="F1382" t="str">
            <v>Fuligule à collier</v>
          </cell>
          <cell r="G1382" t="str">
            <v>Aythya collaris</v>
          </cell>
          <cell r="H1382" t="str">
            <v>Anseriformes</v>
          </cell>
          <cell r="I1382" t="str">
            <v>Anatidae (Ducks, Geese, and Waterfowl)</v>
          </cell>
        </row>
        <row r="1383">
          <cell r="E1383" t="str">
            <v>Ring-necked Pheasant</v>
          </cell>
          <cell r="F1383" t="str">
            <v>Faisan de Colchide</v>
          </cell>
          <cell r="G1383" t="str">
            <v>Phasianus colchicus</v>
          </cell>
          <cell r="H1383" t="str">
            <v>Galliformes</v>
          </cell>
          <cell r="I1383" t="str">
            <v>Phasianidae (Pheasants, Grouse, and Allies)</v>
          </cell>
        </row>
        <row r="1384">
          <cell r="E1384" t="str">
            <v>Ringed Kingfisher</v>
          </cell>
          <cell r="F1384" t="str">
            <v>Martin-pêcheur à ventre roux</v>
          </cell>
          <cell r="G1384" t="str">
            <v>Megaceryle torquata</v>
          </cell>
          <cell r="H1384" t="str">
            <v>Coraciiformes</v>
          </cell>
          <cell r="I1384" t="str">
            <v>Alcedinidae (Kingfishers)</v>
          </cell>
        </row>
        <row r="1385">
          <cell r="E1385" t="str">
            <v>Riverside Wren</v>
          </cell>
          <cell r="F1385" t="str">
            <v>Troglodyte des ruisseaux</v>
          </cell>
          <cell r="G1385" t="str">
            <v>Cantorchilus semibadius</v>
          </cell>
          <cell r="H1385" t="str">
            <v>Passeriformes</v>
          </cell>
          <cell r="I1385" t="str">
            <v>Troglodytidae (Wrens)</v>
          </cell>
        </row>
        <row r="1386">
          <cell r="E1386" t="str">
            <v>Roadside Hawk</v>
          </cell>
          <cell r="F1386" t="str">
            <v>Buse à gros bec</v>
          </cell>
          <cell r="G1386" t="str">
            <v>Rupornis magnirostris</v>
          </cell>
          <cell r="H1386" t="str">
            <v>Accipitriformes</v>
          </cell>
          <cell r="I1386" t="str">
            <v>Accipitridae (Hawks, Eagles, and Kites)</v>
          </cell>
        </row>
        <row r="1387">
          <cell r="E1387" t="str">
            <v>Rock Kestrel</v>
          </cell>
          <cell r="F1387" t="str">
            <v>Crécerelle des rochers</v>
          </cell>
          <cell r="G1387" t="str">
            <v>Falco rupicolus</v>
          </cell>
          <cell r="H1387" t="str">
            <v>Falconiformes</v>
          </cell>
          <cell r="I1387" t="str">
            <v>Falconidae (Falcons and Caracaras)</v>
          </cell>
        </row>
        <row r="1388">
          <cell r="E1388" t="str">
            <v>Rock Pigeon</v>
          </cell>
          <cell r="F1388" t="str">
            <v>Pigeon biset</v>
          </cell>
          <cell r="G1388" t="str">
            <v>Columba livia</v>
          </cell>
          <cell r="H1388" t="str">
            <v>Columbiformes</v>
          </cell>
          <cell r="I1388" t="str">
            <v>Columbidae (Pigeons and Doves)</v>
          </cell>
        </row>
        <row r="1389">
          <cell r="E1389" t="str">
            <v>Rock Pratincole</v>
          </cell>
          <cell r="F1389" t="str">
            <v>Glaréole auréolée</v>
          </cell>
          <cell r="G1389" t="str">
            <v>Glareola nuchalis</v>
          </cell>
          <cell r="H1389" t="str">
            <v>Charadriiformes</v>
          </cell>
          <cell r="I1389" t="str">
            <v>Glareolidae (Pratincoles and Coursers)</v>
          </cell>
        </row>
        <row r="1390">
          <cell r="E1390" t="str">
            <v>Rose-breasted Grosbeak</v>
          </cell>
          <cell r="F1390" t="str">
            <v>Cardinal à poitrine rose</v>
          </cell>
          <cell r="G1390" t="str">
            <v>Pheucticus ludovicianus</v>
          </cell>
          <cell r="H1390" t="str">
            <v>Passeriformes</v>
          </cell>
          <cell r="I1390" t="str">
            <v>Cardinalidae (Cardinals and Allies)</v>
          </cell>
        </row>
        <row r="1391">
          <cell r="E1391" t="str">
            <v>Rose-throated Becard</v>
          </cell>
          <cell r="F1391" t="str">
            <v>Bécarde à gorge rose</v>
          </cell>
          <cell r="G1391" t="str">
            <v>Pachyramphus aglaiae</v>
          </cell>
          <cell r="H1391" t="str">
            <v>Passeriformes</v>
          </cell>
          <cell r="I1391" t="str">
            <v>Tityridae (Tityras and Allies)</v>
          </cell>
        </row>
        <row r="1392">
          <cell r="E1392" t="str">
            <v>Roseate Spoonbill</v>
          </cell>
          <cell r="F1392" t="str">
            <v>Spatule rosée</v>
          </cell>
          <cell r="G1392" t="str">
            <v>Platalea ajaja</v>
          </cell>
          <cell r="H1392" t="str">
            <v>Pelecaniformes</v>
          </cell>
          <cell r="I1392" t="str">
            <v>Threskiornithidae (Ibises and Spoonbills)</v>
          </cell>
        </row>
        <row r="1393">
          <cell r="E1393" t="str">
            <v>Rosy Thrush-Tanager</v>
          </cell>
          <cell r="F1393" t="str">
            <v>Quéo rosalbin</v>
          </cell>
          <cell r="G1393" t="str">
            <v>Rhodinocichla rosea</v>
          </cell>
          <cell r="H1393" t="str">
            <v>Passeriformes</v>
          </cell>
          <cell r="I1393" t="str">
            <v>Rhodinocichlidae (Thrush-Tanager)</v>
          </cell>
        </row>
        <row r="1394">
          <cell r="E1394" t="str">
            <v>Rosy-faced Lovebird</v>
          </cell>
          <cell r="F1394" t="str">
            <v>Inséparable rosegorge</v>
          </cell>
          <cell r="G1394" t="str">
            <v>Agapornis roseicollis</v>
          </cell>
          <cell r="H1394" t="str">
            <v>Psittaciformes</v>
          </cell>
          <cell r="I1394" t="str">
            <v>Psittaculidae (Old World Parrots)</v>
          </cell>
        </row>
        <row r="1395">
          <cell r="E1395" t="str">
            <v>Rough-legged Hawk</v>
          </cell>
          <cell r="F1395" t="str">
            <v>Buse pattue</v>
          </cell>
          <cell r="G1395" t="str">
            <v>Buteo lagopus</v>
          </cell>
          <cell r="H1395" t="str">
            <v>Accipitriformes</v>
          </cell>
          <cell r="I1395" t="str">
            <v>Accipitridae (Hawks, Eagles, and Kites)</v>
          </cell>
        </row>
        <row r="1396">
          <cell r="E1396" t="str">
            <v>Royal Spoonbill</v>
          </cell>
          <cell r="F1396" t="str">
            <v>Spatule royale</v>
          </cell>
          <cell r="G1396" t="str">
            <v>Platalea regia</v>
          </cell>
          <cell r="H1396" t="str">
            <v>Pelecaniformes</v>
          </cell>
          <cell r="I1396" t="str">
            <v>Threskiornithidae (Ibises and Spoonbills)</v>
          </cell>
        </row>
        <row r="1397">
          <cell r="E1397" t="str">
            <v>Royal Tern</v>
          </cell>
          <cell r="F1397" t="str">
            <v>Sterne royale</v>
          </cell>
          <cell r="G1397" t="str">
            <v>Thalasseus maximus</v>
          </cell>
          <cell r="H1397" t="str">
            <v>Charadriiformes</v>
          </cell>
          <cell r="I1397" t="str">
            <v>Laridae (Gulls, Terns, and Skimmers)</v>
          </cell>
        </row>
        <row r="1398">
          <cell r="E1398" t="str">
            <v>Ruby-crowned Kinglet</v>
          </cell>
          <cell r="F1398" t="str">
            <v>Roitelet à couronne rubis</v>
          </cell>
          <cell r="G1398" t="str">
            <v>Corthylio calendula</v>
          </cell>
          <cell r="H1398" t="str">
            <v>Passeriformes</v>
          </cell>
          <cell r="I1398" t="str">
            <v>Regulidae (Kinglets)</v>
          </cell>
        </row>
        <row r="1399">
          <cell r="E1399" t="str">
            <v>Ruby-throated Hummingbird</v>
          </cell>
          <cell r="F1399" t="str">
            <v>Colibri à gorge rubis</v>
          </cell>
          <cell r="G1399" t="str">
            <v>Archilochus colubris</v>
          </cell>
          <cell r="H1399" t="str">
            <v>Apodiformes</v>
          </cell>
          <cell r="I1399" t="str">
            <v>Trochilidae (Hummingbirds)</v>
          </cell>
        </row>
        <row r="1400">
          <cell r="E1400" t="str">
            <v>Ruby-topaz Hummingbird</v>
          </cell>
          <cell r="F1400" t="str">
            <v>Colibri rubis-topaze</v>
          </cell>
          <cell r="G1400" t="str">
            <v>Chrysolampis mosquitus</v>
          </cell>
          <cell r="H1400" t="str">
            <v>Apodiformes</v>
          </cell>
          <cell r="I1400" t="str">
            <v>Trochilidae (Hummingbirds)</v>
          </cell>
        </row>
        <row r="1401">
          <cell r="E1401" t="str">
            <v>Ruddy Duck</v>
          </cell>
          <cell r="F1401" t="str">
            <v>Érismature rousse</v>
          </cell>
          <cell r="G1401" t="str">
            <v>Oxyura jamaicensis</v>
          </cell>
          <cell r="H1401" t="str">
            <v>Anseriformes</v>
          </cell>
          <cell r="I1401" t="str">
            <v>Anatidae (Ducks, Geese, and Waterfowl)</v>
          </cell>
        </row>
        <row r="1402">
          <cell r="E1402" t="str">
            <v>Ruddy Foliage-gleaner</v>
          </cell>
          <cell r="F1402" t="str">
            <v>Anabate rubigineux</v>
          </cell>
          <cell r="G1402" t="str">
            <v>Clibanornis rubiginosus</v>
          </cell>
          <cell r="H1402" t="str">
            <v>Passeriformes</v>
          </cell>
          <cell r="I1402" t="str">
            <v>Furnariidae (Ovenbirds and Woodcreepers)</v>
          </cell>
        </row>
        <row r="1403">
          <cell r="E1403" t="str">
            <v>Ruddy Ground Dove</v>
          </cell>
          <cell r="F1403" t="str">
            <v>Colombe rousse</v>
          </cell>
          <cell r="G1403" t="str">
            <v>Columbina talpacoti</v>
          </cell>
          <cell r="H1403" t="str">
            <v>Columbiformes</v>
          </cell>
          <cell r="I1403" t="str">
            <v>Columbidae (Pigeons and Doves)</v>
          </cell>
        </row>
        <row r="1404">
          <cell r="E1404" t="str">
            <v>Ruddy Pigeon</v>
          </cell>
          <cell r="F1404" t="str">
            <v>Pigeon vineux</v>
          </cell>
          <cell r="G1404" t="str">
            <v>Patagioenas subvinacea</v>
          </cell>
          <cell r="H1404" t="str">
            <v>Columbiformes</v>
          </cell>
          <cell r="I1404" t="str">
            <v>Columbidae (Pigeons and Doves)</v>
          </cell>
        </row>
        <row r="1405">
          <cell r="E1405" t="str">
            <v>Ruddy Treerunner</v>
          </cell>
          <cell r="F1405" t="str">
            <v>Anabasitte rousse</v>
          </cell>
          <cell r="G1405" t="str">
            <v>Margarornis rubiginosus</v>
          </cell>
          <cell r="H1405" t="str">
            <v>Passeriformes</v>
          </cell>
          <cell r="I1405" t="str">
            <v>Furnariidae (Ovenbirds and Woodcreepers)</v>
          </cell>
        </row>
        <row r="1406">
          <cell r="E1406" t="str">
            <v>Ruddy Turnstone</v>
          </cell>
          <cell r="F1406" t="str">
            <v>Tournepierre à collier</v>
          </cell>
          <cell r="G1406" t="str">
            <v>Arenaria interpres</v>
          </cell>
          <cell r="H1406" t="str">
            <v>Charadriiformes</v>
          </cell>
          <cell r="I1406" t="str">
            <v>Scolopacidae (Sandpipers and Allies)</v>
          </cell>
        </row>
        <row r="1407">
          <cell r="E1407" t="str">
            <v>Ruddy Woodcreeper</v>
          </cell>
          <cell r="F1407" t="str">
            <v>Grimpar roux</v>
          </cell>
          <cell r="G1407" t="str">
            <v>Dendrocincla homochroa</v>
          </cell>
          <cell r="H1407" t="str">
            <v>Passeriformes</v>
          </cell>
          <cell r="I1407" t="str">
            <v>Furnariidae (Ovenbirds and Woodcreepers)</v>
          </cell>
        </row>
        <row r="1408">
          <cell r="E1408" t="str">
            <v>Ruddy-breasted Seedeater</v>
          </cell>
          <cell r="F1408" t="str">
            <v>Sporophile petit-louis</v>
          </cell>
          <cell r="G1408" t="str">
            <v>Sporophila minuta</v>
          </cell>
          <cell r="H1408" t="str">
            <v>Passeriformes</v>
          </cell>
          <cell r="I1408" t="str">
            <v>Thraupidae (Tanagers and Allies)</v>
          </cell>
        </row>
        <row r="1409">
          <cell r="E1409" t="str">
            <v>Ruddy-capped Nightingale-Thrush</v>
          </cell>
          <cell r="F1409" t="str">
            <v>Grive à calotte rousse</v>
          </cell>
          <cell r="G1409" t="str">
            <v>Catharus frantzii</v>
          </cell>
          <cell r="H1409" t="str">
            <v>Passeriformes</v>
          </cell>
          <cell r="I1409" t="str">
            <v>Turdidae (Thrushes and Allies)</v>
          </cell>
        </row>
        <row r="1410">
          <cell r="E1410" t="str">
            <v>Ruddy-tailed Flycatcher</v>
          </cell>
          <cell r="F1410" t="str">
            <v>Barbichon rougequeue</v>
          </cell>
          <cell r="G1410" t="str">
            <v>Terenotriccus erythrurus</v>
          </cell>
          <cell r="H1410" t="str">
            <v>Passeriformes</v>
          </cell>
          <cell r="I1410" t="str">
            <v>Onychorhynchidae (Royal Flycatchers and Allies)</v>
          </cell>
        </row>
        <row r="1411">
          <cell r="E1411" t="str">
            <v>Rufescent Tiger-Heron</v>
          </cell>
          <cell r="F1411" t="str">
            <v>Onoré rayé</v>
          </cell>
          <cell r="G1411" t="str">
            <v>Tigrisoma lineatum</v>
          </cell>
          <cell r="H1411" t="str">
            <v>Pelecaniformes</v>
          </cell>
          <cell r="I1411" t="str">
            <v>Ardeidae (Herons, Egrets, and Bitterns)</v>
          </cell>
        </row>
        <row r="1412">
          <cell r="E1412" t="str">
            <v>Ruff</v>
          </cell>
          <cell r="F1412" t="str">
            <v>Combattant varié</v>
          </cell>
          <cell r="G1412" t="str">
            <v>Calidris pugnax</v>
          </cell>
          <cell r="H1412" t="str">
            <v>Charadriiformes</v>
          </cell>
          <cell r="I1412" t="str">
            <v>Scolopacidae (Sandpipers and Allies)</v>
          </cell>
        </row>
        <row r="1413">
          <cell r="E1413" t="str">
            <v>Ruffed Grouse</v>
          </cell>
          <cell r="F1413" t="str">
            <v>Gélinotte huppée</v>
          </cell>
          <cell r="G1413" t="str">
            <v>Bonasa umbellus</v>
          </cell>
          <cell r="H1413" t="str">
            <v>Galliformes</v>
          </cell>
          <cell r="I1413" t="str">
            <v>Phasianidae (Pheasants, Grouse, and Allies)</v>
          </cell>
        </row>
        <row r="1414">
          <cell r="E1414" t="str">
            <v>Rufous Bristlebird</v>
          </cell>
          <cell r="F1414" t="str">
            <v>Dasyorne roux</v>
          </cell>
          <cell r="G1414" t="str">
            <v>Dasyornis broadbenti</v>
          </cell>
          <cell r="H1414" t="str">
            <v>Passeriformes</v>
          </cell>
          <cell r="I1414" t="str">
            <v>Dasyornithidae (Bristlebirds)</v>
          </cell>
        </row>
        <row r="1415">
          <cell r="E1415" t="str">
            <v>Rufous Fieldwren</v>
          </cell>
          <cell r="F1415" t="str">
            <v>Séricorne roussâtre</v>
          </cell>
          <cell r="G1415" t="str">
            <v>Calamanthus campestris</v>
          </cell>
          <cell r="H1415" t="str">
            <v>Passeriformes</v>
          </cell>
          <cell r="I1415" t="str">
            <v>Acanthizidae (Thornbills and Allies)</v>
          </cell>
        </row>
        <row r="1416">
          <cell r="E1416" t="str">
            <v>Rufous Motmot</v>
          </cell>
          <cell r="F1416" t="str">
            <v>Motmot roux</v>
          </cell>
          <cell r="G1416" t="str">
            <v>Baryphthengus martii</v>
          </cell>
          <cell r="H1416" t="str">
            <v>Coraciiformes</v>
          </cell>
          <cell r="I1416" t="str">
            <v>Momotidae (Motmots)</v>
          </cell>
        </row>
        <row r="1417">
          <cell r="E1417" t="str">
            <v>Rufous Mourner</v>
          </cell>
          <cell r="F1417" t="str">
            <v>Tyran plaintif</v>
          </cell>
          <cell r="G1417" t="str">
            <v>Rhytipterna holerythra</v>
          </cell>
          <cell r="H1417" t="str">
            <v>Passeriformes</v>
          </cell>
          <cell r="I1417" t="str">
            <v>Tyrannidae (Tyrant Flycatchers)</v>
          </cell>
        </row>
        <row r="1418">
          <cell r="E1418" t="str">
            <v>Rufous Whistler</v>
          </cell>
          <cell r="F1418" t="str">
            <v>Siffleur itchong</v>
          </cell>
          <cell r="G1418" t="str">
            <v>Pachycephala rufiventris</v>
          </cell>
          <cell r="H1418" t="str">
            <v>Passeriformes</v>
          </cell>
          <cell r="I1418" t="str">
            <v>Pachycephalidae (Whistlers and Allies)</v>
          </cell>
        </row>
        <row r="1419">
          <cell r="E1419" t="str">
            <v>Rufous Wren</v>
          </cell>
          <cell r="F1419" t="str">
            <v>Troglodyte roux</v>
          </cell>
          <cell r="G1419" t="str">
            <v>Cinnycerthia unirufa</v>
          </cell>
          <cell r="H1419" t="str">
            <v>Passeriformes</v>
          </cell>
          <cell r="I1419" t="str">
            <v>Troglodytidae (Wrens)</v>
          </cell>
        </row>
        <row r="1420">
          <cell r="E1420" t="str">
            <v>Rufous-and-white Wren</v>
          </cell>
          <cell r="F1420" t="str">
            <v>Troglodyte rufalbin</v>
          </cell>
          <cell r="G1420" t="str">
            <v>Thryophilus rufalbus</v>
          </cell>
          <cell r="H1420" t="str">
            <v>Passeriformes</v>
          </cell>
          <cell r="I1420" t="str">
            <v>Troglodytidae (Wrens)</v>
          </cell>
        </row>
        <row r="1421">
          <cell r="E1421" t="str">
            <v>Rufous-backed Wren</v>
          </cell>
          <cell r="F1421" t="str">
            <v>Troglodyte à dos roux</v>
          </cell>
          <cell r="G1421" t="str">
            <v>Campylorhynchus capistratus</v>
          </cell>
          <cell r="H1421" t="str">
            <v>Passeriformes</v>
          </cell>
          <cell r="I1421" t="str">
            <v>Troglodytidae (Wrens)</v>
          </cell>
        </row>
        <row r="1422">
          <cell r="E1422" t="str">
            <v>Rufous-breasted Chat-Tyrant</v>
          </cell>
          <cell r="F1422" t="str">
            <v>Pitajo à poitrine rousse</v>
          </cell>
          <cell r="G1422" t="str">
            <v>Ochthoeca rufipectoralis</v>
          </cell>
          <cell r="H1422" t="str">
            <v>Passeriformes</v>
          </cell>
          <cell r="I1422" t="str">
            <v>Tyrannidae (Tyrant Flycatchers)</v>
          </cell>
        </row>
        <row r="1423">
          <cell r="E1423" t="str">
            <v>Rufous-breasted Flycatcher</v>
          </cell>
          <cell r="F1423" t="str">
            <v>Pipromorphe à poitrine rousse</v>
          </cell>
          <cell r="G1423" t="str">
            <v>Leptopogon rufipectus</v>
          </cell>
          <cell r="H1423" t="str">
            <v>Passeriformes</v>
          </cell>
          <cell r="I1423" t="str">
            <v>Tyrannidae (Tyrant Flycatchers)</v>
          </cell>
        </row>
        <row r="1424">
          <cell r="E1424" t="str">
            <v>Rufous-breasted Hermit</v>
          </cell>
          <cell r="F1424" t="str">
            <v>Ermite hirsute</v>
          </cell>
          <cell r="G1424" t="str">
            <v>Glaucis hirsutus</v>
          </cell>
          <cell r="H1424" t="str">
            <v>Apodiformes</v>
          </cell>
          <cell r="I1424" t="str">
            <v>Trochilidae (Hummingbirds)</v>
          </cell>
        </row>
        <row r="1425">
          <cell r="E1425" t="str">
            <v>Rufous-breasted Wren</v>
          </cell>
          <cell r="F1425" t="str">
            <v>Troglodyte des halliers</v>
          </cell>
          <cell r="G1425" t="str">
            <v>Pheugopedius rutilus</v>
          </cell>
          <cell r="H1425" t="str">
            <v>Passeriformes</v>
          </cell>
          <cell r="I1425" t="str">
            <v>Troglodytidae (Wrens)</v>
          </cell>
        </row>
        <row r="1426">
          <cell r="E1426" t="str">
            <v>Rufous-browed Conebill</v>
          </cell>
          <cell r="F1426" t="str">
            <v>Conirostre roux</v>
          </cell>
          <cell r="G1426" t="str">
            <v>Conirostrum rufum</v>
          </cell>
          <cell r="H1426" t="str">
            <v>Passeriformes</v>
          </cell>
          <cell r="I1426" t="str">
            <v>Thraupidae (Tanagers and Allies)</v>
          </cell>
        </row>
        <row r="1427">
          <cell r="E1427" t="str">
            <v>Rufous-browed Peppershrike</v>
          </cell>
          <cell r="F1427" t="str">
            <v>Sourciroux mélodieux</v>
          </cell>
          <cell r="G1427" t="str">
            <v>Cyclarhis gujanensis</v>
          </cell>
          <cell r="H1427" t="str">
            <v>Passeriformes</v>
          </cell>
          <cell r="I1427" t="str">
            <v>Vireonidae (Vireos, Shrike-Babblers, and Erpornis)</v>
          </cell>
        </row>
        <row r="1428">
          <cell r="E1428" t="str">
            <v>Rufous-browed Tyrannulet</v>
          </cell>
          <cell r="F1428" t="str">
            <v>Tyranneau à sourcils roux</v>
          </cell>
          <cell r="G1428" t="str">
            <v>Phylloscartes superciliaris</v>
          </cell>
          <cell r="H1428" t="str">
            <v>Passeriformes</v>
          </cell>
          <cell r="I1428" t="str">
            <v>Tyrannidae (Tyrant Flycatchers)</v>
          </cell>
        </row>
        <row r="1429">
          <cell r="E1429" t="str">
            <v>Rufous-chested Swallow</v>
          </cell>
          <cell r="F1429" t="str">
            <v>Hirondelle à ventre roux</v>
          </cell>
          <cell r="G1429" t="str">
            <v>Cecropis semirufa</v>
          </cell>
          <cell r="H1429" t="str">
            <v>Passeriformes</v>
          </cell>
          <cell r="I1429" t="str">
            <v>Hirundinidae (Swallows)</v>
          </cell>
        </row>
        <row r="1430">
          <cell r="E1430" t="str">
            <v>Rufous-collared Sparrow</v>
          </cell>
          <cell r="F1430" t="str">
            <v>Bruant chingolo</v>
          </cell>
          <cell r="G1430" t="str">
            <v>Zonotrichia capensis</v>
          </cell>
          <cell r="H1430" t="str">
            <v>Passeriformes</v>
          </cell>
          <cell r="I1430" t="str">
            <v>Passerellidae (New World Sparrows)</v>
          </cell>
        </row>
        <row r="1431">
          <cell r="E1431" t="str">
            <v>Rufous-crowned Tody-Flycatcher</v>
          </cell>
          <cell r="F1431" t="str">
            <v>Todirostre bariolé</v>
          </cell>
          <cell r="G1431" t="str">
            <v>Poecilotriccus ruficeps</v>
          </cell>
          <cell r="H1431" t="str">
            <v>Passeriformes</v>
          </cell>
          <cell r="I1431" t="str">
            <v>Tyrannidae (Tyrant Flycatchers)</v>
          </cell>
        </row>
        <row r="1432">
          <cell r="E1432" t="str">
            <v>Rufous-fronted Wood-Quail</v>
          </cell>
          <cell r="F1432" t="str">
            <v>Tocro à front roux</v>
          </cell>
          <cell r="G1432" t="str">
            <v>Odontophorus erythrops</v>
          </cell>
          <cell r="H1432" t="str">
            <v>Galliformes</v>
          </cell>
          <cell r="I1432" t="str">
            <v>Odontophoridae (New World Quail)</v>
          </cell>
        </row>
        <row r="1433">
          <cell r="E1433" t="str">
            <v>Rufous-headed Ground-Roller</v>
          </cell>
          <cell r="F1433" t="str">
            <v>Brachyptérolle de Crossley</v>
          </cell>
          <cell r="G1433" t="str">
            <v>Atelornis crossleyi</v>
          </cell>
          <cell r="H1433" t="str">
            <v>Coraciiformes</v>
          </cell>
          <cell r="I1433" t="str">
            <v>Brachypteraciidae (Ground-Rollers)</v>
          </cell>
        </row>
        <row r="1434">
          <cell r="E1434" t="str">
            <v>Rufous-naped Lark</v>
          </cell>
          <cell r="F1434" t="str">
            <v>Alouette à nuque rousse</v>
          </cell>
          <cell r="G1434" t="str">
            <v>Corypha africana</v>
          </cell>
          <cell r="H1434" t="str">
            <v>Passeriformes</v>
          </cell>
          <cell r="I1434" t="str">
            <v>Alaudidae (Larks)</v>
          </cell>
        </row>
        <row r="1435">
          <cell r="E1435" t="str">
            <v>Rufous-tailed Hummingbird</v>
          </cell>
          <cell r="F1435" t="str">
            <v>Ariane à ventre gris</v>
          </cell>
          <cell r="G1435" t="str">
            <v>Amazilia tzacatl</v>
          </cell>
          <cell r="H1435" t="str">
            <v>Apodiformes</v>
          </cell>
          <cell r="I1435" t="str">
            <v>Trochilidae (Hummingbirds)</v>
          </cell>
        </row>
        <row r="1436">
          <cell r="E1436" t="str">
            <v>Rufous-tailed Jacamar</v>
          </cell>
          <cell r="F1436" t="str">
            <v>Jacamar à queue rousse</v>
          </cell>
          <cell r="G1436" t="str">
            <v>Galbula ruficauda</v>
          </cell>
          <cell r="H1436" t="str">
            <v>Piciformes</v>
          </cell>
          <cell r="I1436" t="str">
            <v>Galbulidae (Jacamars)</v>
          </cell>
        </row>
        <row r="1437">
          <cell r="E1437" t="str">
            <v>Rufous-throated Tanager</v>
          </cell>
          <cell r="F1437" t="str">
            <v>Calliste à gorge rousse</v>
          </cell>
          <cell r="G1437" t="str">
            <v>Ixothraupis rufigula</v>
          </cell>
          <cell r="H1437" t="str">
            <v>Passeriformes</v>
          </cell>
          <cell r="I1437" t="str">
            <v>Thraupidae (Tanagers and Allies)</v>
          </cell>
        </row>
        <row r="1438">
          <cell r="E1438" t="str">
            <v>Rufous-vented Chachalaca</v>
          </cell>
          <cell r="F1438" t="str">
            <v>Ortalide à ventre roux</v>
          </cell>
          <cell r="G1438" t="str">
            <v>Ortalis ruficauda</v>
          </cell>
          <cell r="H1438" t="str">
            <v>Galliformes</v>
          </cell>
          <cell r="I1438" t="str">
            <v>Cracidae (Guans, Chachalacas, and Curassows)</v>
          </cell>
        </row>
        <row r="1439">
          <cell r="E1439" t="str">
            <v>Rufous-winged Woodpecker</v>
          </cell>
          <cell r="F1439" t="str">
            <v>Pic à ailes rousses</v>
          </cell>
          <cell r="G1439" t="str">
            <v>Piculus simplex</v>
          </cell>
          <cell r="H1439" t="str">
            <v>Piciformes</v>
          </cell>
          <cell r="I1439" t="str">
            <v>Picidae (Woodpeckers)</v>
          </cell>
        </row>
        <row r="1440">
          <cell r="E1440" t="str">
            <v>Running Coua</v>
          </cell>
          <cell r="F1440" t="str">
            <v>Coua coureur</v>
          </cell>
          <cell r="G1440" t="str">
            <v>Coua cursor</v>
          </cell>
          <cell r="H1440" t="str">
            <v>Cuculiformes</v>
          </cell>
          <cell r="I1440" t="str">
            <v>Cuculidae (Cuckoos)</v>
          </cell>
        </row>
        <row r="1441">
          <cell r="E1441" t="str">
            <v>Rüppell's Griffon</v>
          </cell>
          <cell r="F1441" t="str">
            <v>Vautour de Rüppell</v>
          </cell>
          <cell r="G1441" t="str">
            <v>Gyps rueppelli</v>
          </cell>
          <cell r="H1441" t="str">
            <v>Accipitriformes</v>
          </cell>
          <cell r="I1441" t="str">
            <v>Accipitridae (Hawks, Eagles, and Kites)</v>
          </cell>
        </row>
        <row r="1442">
          <cell r="E1442" t="str">
            <v>Rüppell's Starling</v>
          </cell>
          <cell r="F1442" t="str">
            <v>Choucador de Rüppell</v>
          </cell>
          <cell r="G1442" t="str">
            <v>Lamprotornis purpuroptera</v>
          </cell>
          <cell r="H1442" t="str">
            <v>Passeriformes</v>
          </cell>
          <cell r="I1442" t="str">
            <v>Sturnidae (Starlings)</v>
          </cell>
        </row>
        <row r="1443">
          <cell r="E1443" t="str">
            <v>Russet Antshrike</v>
          </cell>
          <cell r="F1443" t="str">
            <v>Batara rousset</v>
          </cell>
          <cell r="G1443" t="str">
            <v>Thamnistes anabatinus</v>
          </cell>
          <cell r="H1443" t="str">
            <v>Passeriformes</v>
          </cell>
          <cell r="I1443" t="str">
            <v>Thamnophilidae (Typical Antbirds)</v>
          </cell>
        </row>
        <row r="1444">
          <cell r="E1444" t="str">
            <v>Russet-crowned Warbler</v>
          </cell>
          <cell r="F1444" t="str">
            <v>Paruline à diadème</v>
          </cell>
          <cell r="G1444" t="str">
            <v>Myiothlypis coronata</v>
          </cell>
          <cell r="H1444" t="str">
            <v>Passeriformes</v>
          </cell>
          <cell r="I1444" t="str">
            <v>Parulidae (New World Warblers)</v>
          </cell>
        </row>
        <row r="1445">
          <cell r="E1445" t="str">
            <v>Russet-naped Wood-Rail</v>
          </cell>
          <cell r="F1445" t="str">
            <v>Râle à ventre blanc</v>
          </cell>
          <cell r="G1445" t="str">
            <v>Aramides albiventris</v>
          </cell>
          <cell r="H1445" t="str">
            <v>Gruiformes</v>
          </cell>
          <cell r="I1445" t="str">
            <v>Rallidae (Rails, Gallinules, and Coots)</v>
          </cell>
        </row>
        <row r="1446">
          <cell r="E1446" t="str">
            <v>Russet-throated Puffbird</v>
          </cell>
          <cell r="F1446" t="str">
            <v>Tamatia à gorge rousse</v>
          </cell>
          <cell r="G1446" t="str">
            <v>Hypnelus ruficollis</v>
          </cell>
          <cell r="H1446" t="str">
            <v>Piciformes</v>
          </cell>
          <cell r="I1446" t="str">
            <v>Bucconidae (Puffbirds)</v>
          </cell>
        </row>
        <row r="1447">
          <cell r="E1447" t="str">
            <v>Rusty Blackbird</v>
          </cell>
          <cell r="F1447" t="str">
            <v>Quiscale rouilleux</v>
          </cell>
          <cell r="G1447" t="str">
            <v>Euphagus carolinus</v>
          </cell>
          <cell r="H1447" t="str">
            <v>Passeriformes</v>
          </cell>
          <cell r="I1447" t="str">
            <v>Icteridae (Troupials and Allies)</v>
          </cell>
        </row>
        <row r="1448">
          <cell r="E1448" t="str">
            <v>Rusty Flowerpiercer</v>
          </cell>
          <cell r="F1448" t="str">
            <v>Percefleur rouilleux</v>
          </cell>
          <cell r="G1448" t="str">
            <v>Diglossa sittoides</v>
          </cell>
          <cell r="H1448" t="str">
            <v>Passeriformes</v>
          </cell>
          <cell r="I1448" t="str">
            <v>Thraupidae (Tanagers and Allies)</v>
          </cell>
        </row>
        <row r="1449">
          <cell r="E1449" t="str">
            <v>Rusty Sparrow</v>
          </cell>
          <cell r="F1449" t="str">
            <v>Tohi roussâtre</v>
          </cell>
          <cell r="G1449" t="str">
            <v>Aimophila rufescens</v>
          </cell>
          <cell r="H1449" t="str">
            <v>Passeriformes</v>
          </cell>
          <cell r="I1449" t="str">
            <v>Passerellidae (New World Sparrows)</v>
          </cell>
        </row>
        <row r="1450">
          <cell r="E1450" t="str">
            <v>Rusty-headed Spinetail</v>
          </cell>
          <cell r="F1450" t="str">
            <v>Synallaxe de Santa Marta</v>
          </cell>
          <cell r="G1450" t="str">
            <v>Synallaxis fuscorufa</v>
          </cell>
          <cell r="H1450" t="str">
            <v>Passeriformes</v>
          </cell>
          <cell r="I1450" t="str">
            <v>Furnariidae (Ovenbirds and Woodcreepers)</v>
          </cell>
        </row>
        <row r="1451">
          <cell r="E1451" t="str">
            <v>Rusty-margined Flycatcher</v>
          </cell>
          <cell r="F1451" t="str">
            <v>Tyran de Cayenne</v>
          </cell>
          <cell r="G1451" t="str">
            <v>Myiozetetes cayanensis</v>
          </cell>
          <cell r="H1451" t="str">
            <v>Passeriformes</v>
          </cell>
          <cell r="I1451" t="str">
            <v>Tyrannidae (Tyrant Flycatchers)</v>
          </cell>
        </row>
        <row r="1452">
          <cell r="E1452" t="str">
            <v>Rusty-winged Antwren</v>
          </cell>
          <cell r="F1452" t="str">
            <v>Grisin de Sclater</v>
          </cell>
          <cell r="G1452" t="str">
            <v>Herpsilochmus frater</v>
          </cell>
          <cell r="H1452" t="str">
            <v>Passeriformes</v>
          </cell>
          <cell r="I1452" t="str">
            <v>Thamnophilidae (Typical Antbirds)</v>
          </cell>
        </row>
        <row r="1453">
          <cell r="E1453" t="str">
            <v>Sacred Kingfisher</v>
          </cell>
          <cell r="F1453" t="str">
            <v>Martin-chasseur sacré</v>
          </cell>
          <cell r="G1453" t="str">
            <v>Todiramphus sanctus</v>
          </cell>
          <cell r="H1453" t="str">
            <v>Coraciiformes</v>
          </cell>
          <cell r="I1453" t="str">
            <v>Alcedinidae (Kingfishers)</v>
          </cell>
        </row>
        <row r="1454">
          <cell r="E1454" t="str">
            <v>Saddle-billed Stork</v>
          </cell>
          <cell r="F1454" t="str">
            <v>Jabiru d'Afrique</v>
          </cell>
          <cell r="G1454" t="str">
            <v>Ephippiorhynchus senegalensis</v>
          </cell>
          <cell r="H1454" t="str">
            <v>Ciconiiformes</v>
          </cell>
          <cell r="I1454" t="str">
            <v>Ciconiidae (Storks)</v>
          </cell>
        </row>
        <row r="1455">
          <cell r="E1455" t="str">
            <v>Saffron Finch</v>
          </cell>
          <cell r="F1455" t="str">
            <v>Sicale bouton-d'or</v>
          </cell>
          <cell r="G1455" t="str">
            <v>Sicalis flaveola</v>
          </cell>
          <cell r="H1455" t="str">
            <v>Passeriformes</v>
          </cell>
          <cell r="I1455" t="str">
            <v>Thraupidae (Tanagers and Allies)</v>
          </cell>
        </row>
        <row r="1456">
          <cell r="E1456" t="str">
            <v>Sahul Cicadabird</v>
          </cell>
          <cell r="F1456" t="str">
            <v>Échenilleur cigale</v>
          </cell>
          <cell r="G1456" t="str">
            <v>Edolisoma tenuirostre</v>
          </cell>
          <cell r="H1456" t="str">
            <v>Passeriformes</v>
          </cell>
          <cell r="I1456" t="str">
            <v>Campephagidae (Cuckooshrikes)</v>
          </cell>
        </row>
        <row r="1457">
          <cell r="E1457" t="str">
            <v>Sakalava Weaver</v>
          </cell>
          <cell r="F1457" t="str">
            <v>Tisserin sakalave</v>
          </cell>
          <cell r="G1457" t="str">
            <v>Ploceus sakalava</v>
          </cell>
          <cell r="H1457" t="str">
            <v>Passeriformes</v>
          </cell>
          <cell r="I1457" t="str">
            <v>Ploceidae (Weavers and Allies)</v>
          </cell>
        </row>
        <row r="1458">
          <cell r="E1458" t="str">
            <v>Sanderling</v>
          </cell>
          <cell r="F1458" t="str">
            <v>Bécasseau sanderling</v>
          </cell>
          <cell r="G1458" t="str">
            <v>Calidris alba</v>
          </cell>
          <cell r="H1458" t="str">
            <v>Charadriiformes</v>
          </cell>
          <cell r="I1458" t="str">
            <v>Scolopacidae (Sandpipers and Allies)</v>
          </cell>
        </row>
        <row r="1459">
          <cell r="E1459" t="str">
            <v>Sandhill Crane</v>
          </cell>
          <cell r="F1459" t="str">
            <v>Grue du Canada</v>
          </cell>
          <cell r="G1459" t="str">
            <v>Antigone canadensis</v>
          </cell>
          <cell r="H1459" t="str">
            <v>Gruiformes</v>
          </cell>
          <cell r="I1459" t="str">
            <v>Gruidae (Cranes)</v>
          </cell>
        </row>
        <row r="1460">
          <cell r="E1460" t="str">
            <v>Sandwich Tern</v>
          </cell>
          <cell r="F1460" t="str">
            <v>Sterne caugek</v>
          </cell>
          <cell r="G1460" t="str">
            <v>Thalasseus sandvicensis</v>
          </cell>
          <cell r="H1460" t="str">
            <v>Charadriiformes</v>
          </cell>
          <cell r="I1460" t="str">
            <v>Laridae (Gulls, Terns, and Skimmers)</v>
          </cell>
        </row>
        <row r="1461">
          <cell r="E1461" t="str">
            <v>Santa Marta Antbird</v>
          </cell>
          <cell r="F1461" t="str">
            <v>Grisin de Santa Marta</v>
          </cell>
          <cell r="G1461" t="str">
            <v>Drymophila hellmayri</v>
          </cell>
          <cell r="H1461" t="str">
            <v>Passeriformes</v>
          </cell>
          <cell r="I1461" t="str">
            <v>Thamnophilidae (Typical Antbirds)</v>
          </cell>
        </row>
        <row r="1462">
          <cell r="E1462" t="str">
            <v>Santa Marta Antpitta</v>
          </cell>
          <cell r="F1462" t="str">
            <v>Grallaire de Santa Marta</v>
          </cell>
          <cell r="G1462" t="str">
            <v>Grallaria bangsi</v>
          </cell>
          <cell r="H1462" t="str">
            <v>Passeriformes</v>
          </cell>
          <cell r="I1462" t="str">
            <v>Grallariidae (Antpittas)</v>
          </cell>
        </row>
        <row r="1463">
          <cell r="E1463" t="str">
            <v>Santa Marta Blossomcrown</v>
          </cell>
          <cell r="F1463" t="str">
            <v>Colibri à tête rose</v>
          </cell>
          <cell r="G1463" t="str">
            <v>Anthocephala floriceps</v>
          </cell>
          <cell r="H1463" t="str">
            <v>Apodiformes</v>
          </cell>
          <cell r="I1463" t="str">
            <v>Trochilidae (Hummingbirds)</v>
          </cell>
        </row>
        <row r="1464">
          <cell r="E1464" t="str">
            <v>Santa Marta Brushfinch</v>
          </cell>
          <cell r="F1464" t="str">
            <v>Tohi de Santa Marta</v>
          </cell>
          <cell r="G1464" t="str">
            <v>Atlapetes melanocephalus</v>
          </cell>
          <cell r="H1464" t="str">
            <v>Passeriformes</v>
          </cell>
          <cell r="I1464" t="str">
            <v>Passerellidae (New World Sparrows)</v>
          </cell>
        </row>
        <row r="1465">
          <cell r="E1465" t="str">
            <v>Santa Marta Bush-Tyrant</v>
          </cell>
          <cell r="F1465" t="str">
            <v>Moucherolle de Santa Marta</v>
          </cell>
          <cell r="G1465" t="str">
            <v>Myiotheretes pernix</v>
          </cell>
          <cell r="H1465" t="str">
            <v>Passeriformes</v>
          </cell>
          <cell r="I1465" t="str">
            <v>Tyrannidae (Tyrant Flycatchers)</v>
          </cell>
        </row>
        <row r="1466">
          <cell r="E1466" t="str">
            <v>Santa Marta Parakeet</v>
          </cell>
          <cell r="F1466" t="str">
            <v>Conure de Santa Marta</v>
          </cell>
          <cell r="G1466" t="str">
            <v>Pyrrhura viridicata</v>
          </cell>
          <cell r="H1466" t="str">
            <v>Psittaciformes</v>
          </cell>
          <cell r="I1466" t="str">
            <v>Psittacidae (New World and African Parrots)</v>
          </cell>
        </row>
        <row r="1467">
          <cell r="E1467" t="str">
            <v>Santa Marta Tapaculo</v>
          </cell>
          <cell r="F1467" t="str">
            <v>Mérulaxe de Santa Marta</v>
          </cell>
          <cell r="G1467" t="str">
            <v>Scytalopus sanctaemartae</v>
          </cell>
          <cell r="H1467" t="str">
            <v>Passeriformes</v>
          </cell>
          <cell r="I1467" t="str">
            <v>Rhinocryptidae (Tapaculos)</v>
          </cell>
        </row>
        <row r="1468">
          <cell r="E1468" t="str">
            <v>Santa Marta Warbler</v>
          </cell>
          <cell r="F1468" t="str">
            <v>Paruline de Santa Marta</v>
          </cell>
          <cell r="G1468" t="str">
            <v>Myiothlypis basilica</v>
          </cell>
          <cell r="H1468" t="str">
            <v>Passeriformes</v>
          </cell>
          <cell r="I1468" t="str">
            <v>Parulidae (New World Warblers)</v>
          </cell>
        </row>
        <row r="1469">
          <cell r="E1469" t="str">
            <v>Sapayoa</v>
          </cell>
          <cell r="F1469" t="str">
            <v>Sapayoa à bec large</v>
          </cell>
          <cell r="G1469" t="str">
            <v>Sapayoa aenigma</v>
          </cell>
          <cell r="H1469" t="str">
            <v>Passeriformes</v>
          </cell>
          <cell r="I1469" t="str">
            <v>Sapayoidae (Sapayoa)</v>
          </cell>
        </row>
        <row r="1470">
          <cell r="E1470" t="str">
            <v>Sapphire-bellied Hummingbird</v>
          </cell>
          <cell r="F1470" t="str">
            <v>Colibri de Lillie</v>
          </cell>
          <cell r="G1470" t="str">
            <v>Chrysuronia lilliae</v>
          </cell>
          <cell r="H1470" t="str">
            <v>Apodiformes</v>
          </cell>
          <cell r="I1470" t="str">
            <v>Trochilidae (Hummingbirds)</v>
          </cell>
        </row>
        <row r="1471">
          <cell r="E1471" t="str">
            <v>Sapphire-throated Hummingbird</v>
          </cell>
          <cell r="F1471" t="str">
            <v>Colibri faux-saphir</v>
          </cell>
          <cell r="G1471" t="str">
            <v>Chrysuronia coeruleogularis</v>
          </cell>
          <cell r="H1471" t="str">
            <v>Apodiformes</v>
          </cell>
          <cell r="I1471" t="str">
            <v>Trochilidae (Hummingbirds)</v>
          </cell>
        </row>
        <row r="1472">
          <cell r="E1472" t="str">
            <v>Sapphire-vented Puffleg</v>
          </cell>
          <cell r="F1472" t="str">
            <v>Érione catherine</v>
          </cell>
          <cell r="G1472" t="str">
            <v>Eriocnemis luciani</v>
          </cell>
          <cell r="H1472" t="str">
            <v>Apodiformes</v>
          </cell>
          <cell r="I1472" t="str">
            <v>Trochilidae (Hummingbirds)</v>
          </cell>
        </row>
        <row r="1473">
          <cell r="E1473" t="str">
            <v>Satin Bowerbird</v>
          </cell>
          <cell r="F1473" t="str">
            <v>Jardinier satiné</v>
          </cell>
          <cell r="G1473" t="str">
            <v>Ptilonorhynchus violaceus</v>
          </cell>
          <cell r="H1473" t="str">
            <v>Passeriformes</v>
          </cell>
          <cell r="I1473" t="str">
            <v>Ptilonorhynchidae (Bowerbirds)</v>
          </cell>
        </row>
        <row r="1474">
          <cell r="E1474" t="str">
            <v>Satin Flycatcher</v>
          </cell>
          <cell r="F1474" t="str">
            <v>Monarque satiné</v>
          </cell>
          <cell r="G1474" t="str">
            <v>Myiagra cyanoleuca</v>
          </cell>
          <cell r="H1474" t="str">
            <v>Passeriformes</v>
          </cell>
          <cell r="I1474" t="str">
            <v>Monarchidae (Monarch Flycatchers)</v>
          </cell>
        </row>
        <row r="1475">
          <cell r="E1475" t="str">
            <v>Savanna Hawk</v>
          </cell>
          <cell r="F1475" t="str">
            <v>Buse roussâtre</v>
          </cell>
          <cell r="G1475" t="str">
            <v>Buteogallus meridionalis</v>
          </cell>
          <cell r="H1475" t="str">
            <v>Accipitriformes</v>
          </cell>
          <cell r="I1475" t="str">
            <v>Accipitridae (Hawks, Eagles, and Kites)</v>
          </cell>
        </row>
        <row r="1476">
          <cell r="E1476" t="str">
            <v>Savannah Sparrow</v>
          </cell>
          <cell r="F1476" t="str">
            <v>Bruant des prés</v>
          </cell>
          <cell r="G1476" t="str">
            <v>Passerculus sandwichensis</v>
          </cell>
          <cell r="H1476" t="str">
            <v>Passeriformes</v>
          </cell>
          <cell r="I1476" t="str">
            <v>Passerellidae (New World Sparrows)</v>
          </cell>
        </row>
        <row r="1477">
          <cell r="E1477" t="str">
            <v>Say's Phoebe</v>
          </cell>
          <cell r="F1477" t="str">
            <v>Moucherolle à ventre roux</v>
          </cell>
          <cell r="G1477" t="str">
            <v>Sayornis saya</v>
          </cell>
          <cell r="H1477" t="str">
            <v>Passeriformes</v>
          </cell>
          <cell r="I1477" t="str">
            <v>Tyrannidae (Tyrant Flycatchers)</v>
          </cell>
        </row>
        <row r="1478">
          <cell r="E1478" t="str">
            <v>Scale-crested Pygmy-Tyrant</v>
          </cell>
          <cell r="F1478" t="str">
            <v>Microtyran chevelu</v>
          </cell>
          <cell r="G1478" t="str">
            <v>Lophotriccus pileatus</v>
          </cell>
          <cell r="H1478" t="str">
            <v>Passeriformes</v>
          </cell>
          <cell r="I1478" t="str">
            <v>Tyrannidae (Tyrant Flycatchers)</v>
          </cell>
        </row>
        <row r="1479">
          <cell r="E1479" t="str">
            <v>Scaled Dove</v>
          </cell>
          <cell r="F1479" t="str">
            <v>Colombe écaillée</v>
          </cell>
          <cell r="G1479" t="str">
            <v>Columbina squammata</v>
          </cell>
          <cell r="H1479" t="str">
            <v>Columbiformes</v>
          </cell>
          <cell r="I1479" t="str">
            <v>Columbidae (Pigeons and Doves)</v>
          </cell>
        </row>
        <row r="1480">
          <cell r="E1480" t="str">
            <v>Scaled Fruiteater</v>
          </cell>
          <cell r="F1480" t="str">
            <v>Cotinga écaillé</v>
          </cell>
          <cell r="G1480" t="str">
            <v>Ampelioides tschudii</v>
          </cell>
          <cell r="H1480" t="str">
            <v>Passeriformes</v>
          </cell>
          <cell r="I1480" t="str">
            <v>Cotingidae (Cotingas)</v>
          </cell>
        </row>
        <row r="1481">
          <cell r="E1481" t="str">
            <v>Scaled Pigeon</v>
          </cell>
          <cell r="F1481" t="str">
            <v>Pigeon ramiret</v>
          </cell>
          <cell r="G1481" t="str">
            <v>Patagioenas speciosa</v>
          </cell>
          <cell r="H1481" t="str">
            <v>Columbiformes</v>
          </cell>
          <cell r="I1481" t="str">
            <v>Columbidae (Pigeons and Doves)</v>
          </cell>
        </row>
        <row r="1482">
          <cell r="E1482" t="str">
            <v>Scaly Ground-Roller</v>
          </cell>
          <cell r="F1482" t="str">
            <v>Brachyptérolle écaillé</v>
          </cell>
          <cell r="G1482" t="str">
            <v>Geobiastes squamiger</v>
          </cell>
          <cell r="H1482" t="str">
            <v>Coraciiformes</v>
          </cell>
          <cell r="I1482" t="str">
            <v>Brachypteraciidae (Ground-Rollers)</v>
          </cell>
        </row>
        <row r="1483">
          <cell r="E1483" t="str">
            <v>Scaly Weaver</v>
          </cell>
          <cell r="F1483" t="str">
            <v>Sporopipe squameux</v>
          </cell>
          <cell r="G1483" t="str">
            <v>Sporopipes squamifrons</v>
          </cell>
          <cell r="H1483" t="str">
            <v>Passeriformes</v>
          </cell>
          <cell r="I1483" t="str">
            <v>Ploceidae (Weavers and Allies)</v>
          </cell>
        </row>
        <row r="1484">
          <cell r="E1484" t="str">
            <v>Scaly-breasted Hummingbird</v>
          </cell>
          <cell r="F1484" t="str">
            <v>Colibri de Cuvier</v>
          </cell>
          <cell r="G1484" t="str">
            <v>Phaeochroa cuvierii</v>
          </cell>
          <cell r="H1484" t="str">
            <v>Apodiformes</v>
          </cell>
          <cell r="I1484" t="str">
            <v>Trochilidae (Hummingbirds)</v>
          </cell>
        </row>
        <row r="1485">
          <cell r="E1485" t="str">
            <v>Scaly-breasted Wren</v>
          </cell>
          <cell r="F1485" t="str">
            <v>Troglodyte siffleur</v>
          </cell>
          <cell r="G1485" t="str">
            <v>Microcerculus marginatus</v>
          </cell>
          <cell r="H1485" t="str">
            <v>Passeriformes</v>
          </cell>
          <cell r="I1485" t="str">
            <v>Troglodytidae (Wrens)</v>
          </cell>
        </row>
        <row r="1486">
          <cell r="E1486" t="str">
            <v>Scaly-naped Amazon</v>
          </cell>
          <cell r="F1486" t="str">
            <v>Amazone mercenaire</v>
          </cell>
          <cell r="G1486" t="str">
            <v>Amazona mercenarius</v>
          </cell>
          <cell r="H1486" t="str">
            <v>Psittaciformes</v>
          </cell>
          <cell r="I1486" t="str">
            <v>Psittacidae (New World and African Parrots)</v>
          </cell>
        </row>
        <row r="1487">
          <cell r="E1487" t="str">
            <v>Scaly-naped Pigeon</v>
          </cell>
          <cell r="F1487" t="str">
            <v>Pigeon à cou rouge</v>
          </cell>
          <cell r="G1487" t="str">
            <v>Patagioenas squamosa</v>
          </cell>
          <cell r="H1487" t="str">
            <v>Columbiformes</v>
          </cell>
          <cell r="I1487" t="str">
            <v>Columbidae (Pigeons and Doves)</v>
          </cell>
        </row>
        <row r="1488">
          <cell r="E1488" t="str">
            <v>Scaly-throated Foliage-gleaner</v>
          </cell>
          <cell r="F1488" t="str">
            <v>Anabate à lunettes</v>
          </cell>
          <cell r="G1488" t="str">
            <v>Anabacerthia variegaticeps</v>
          </cell>
          <cell r="H1488" t="str">
            <v>Passeriformes</v>
          </cell>
          <cell r="I1488" t="str">
            <v>Furnariidae (Ovenbirds and Woodcreepers)</v>
          </cell>
        </row>
        <row r="1489">
          <cell r="E1489" t="str">
            <v>Scaly-throated Leaftosser</v>
          </cell>
          <cell r="F1489" t="str">
            <v>Sclérure écaillé</v>
          </cell>
          <cell r="G1489" t="str">
            <v>Sclerurus guatemalensis</v>
          </cell>
          <cell r="H1489" t="str">
            <v>Passeriformes</v>
          </cell>
          <cell r="I1489" t="str">
            <v>Furnariidae (Ovenbirds and Woodcreepers)</v>
          </cell>
        </row>
        <row r="1490">
          <cell r="E1490" t="str">
            <v>Scarlet Ibis</v>
          </cell>
          <cell r="F1490" t="str">
            <v>Ibis rouge</v>
          </cell>
          <cell r="G1490" t="str">
            <v>Eudocimus ruber</v>
          </cell>
          <cell r="H1490" t="str">
            <v>Pelecaniformes</v>
          </cell>
          <cell r="I1490" t="str">
            <v>Threskiornithidae (Ibises and Spoonbills)</v>
          </cell>
        </row>
        <row r="1491">
          <cell r="E1491" t="str">
            <v>Scarlet Macaw</v>
          </cell>
          <cell r="F1491" t="str">
            <v>Ara rouge</v>
          </cell>
          <cell r="G1491" t="str">
            <v>Ara macao</v>
          </cell>
          <cell r="H1491" t="str">
            <v>Psittaciformes</v>
          </cell>
          <cell r="I1491" t="str">
            <v>Psittacidae (New World and African Parrots)</v>
          </cell>
        </row>
        <row r="1492">
          <cell r="E1492" t="str">
            <v>Scarlet Robin</v>
          </cell>
          <cell r="F1492" t="str">
            <v>Miro boodang</v>
          </cell>
          <cell r="G1492" t="str">
            <v>Petroica boodang</v>
          </cell>
          <cell r="H1492" t="str">
            <v>Passeriformes</v>
          </cell>
          <cell r="I1492" t="str">
            <v>Petroicidae (Australasian Robins)</v>
          </cell>
        </row>
        <row r="1493">
          <cell r="E1493" t="str">
            <v>Scarlet Tanager</v>
          </cell>
          <cell r="F1493" t="str">
            <v>Piranga écarlate</v>
          </cell>
          <cell r="G1493" t="str">
            <v>Piranga olivacea</v>
          </cell>
          <cell r="H1493" t="str">
            <v>Passeriformes</v>
          </cell>
          <cell r="I1493" t="str">
            <v>Cardinalidae (Cardinals and Allies)</v>
          </cell>
        </row>
        <row r="1494">
          <cell r="E1494" t="str">
            <v>Scarlet-bellied Mountain Tanager</v>
          </cell>
          <cell r="F1494" t="str">
            <v>Tangara à ventre rouge</v>
          </cell>
          <cell r="G1494" t="str">
            <v>Anisognathus igniventris</v>
          </cell>
          <cell r="H1494" t="str">
            <v>Passeriformes</v>
          </cell>
          <cell r="I1494" t="str">
            <v>Thraupidae (Tanagers and Allies)</v>
          </cell>
        </row>
        <row r="1495">
          <cell r="E1495" t="str">
            <v>Scarlet-chested Sunbird</v>
          </cell>
          <cell r="F1495" t="str">
            <v>Souimanga à poitrine rouge</v>
          </cell>
          <cell r="G1495" t="str">
            <v>Chalcomitra senegalensis</v>
          </cell>
          <cell r="H1495" t="str">
            <v>Passeriformes</v>
          </cell>
          <cell r="I1495" t="str">
            <v>Nectariniidae (Sunbirds and Spiderhunters)</v>
          </cell>
        </row>
        <row r="1496">
          <cell r="E1496" t="str">
            <v>Scarlet-fronted Parakeet</v>
          </cell>
          <cell r="F1496" t="str">
            <v>Conure de Wagler</v>
          </cell>
          <cell r="G1496" t="str">
            <v>Psittacara wagleri</v>
          </cell>
          <cell r="H1496" t="str">
            <v>Psittaciformes</v>
          </cell>
          <cell r="I1496" t="str">
            <v>Psittacidae (New World and African Parrots)</v>
          </cell>
        </row>
        <row r="1497">
          <cell r="E1497" t="str">
            <v>Scarlet-rumped Cacique</v>
          </cell>
          <cell r="F1497" t="str">
            <v>Cassique à dos rouge</v>
          </cell>
          <cell r="G1497" t="str">
            <v>Cacicus uropygialis</v>
          </cell>
          <cell r="H1497" t="str">
            <v>Passeriformes</v>
          </cell>
          <cell r="I1497" t="str">
            <v>Icteridae (Troupials and Allies)</v>
          </cell>
        </row>
        <row r="1498">
          <cell r="E1498" t="str">
            <v>Scarlet-rumped Tanager</v>
          </cell>
          <cell r="F1498" t="str">
            <v>Tangara à croupion rouge</v>
          </cell>
          <cell r="G1498" t="str">
            <v>Ramphocelus passerinii</v>
          </cell>
          <cell r="H1498" t="str">
            <v>Passeriformes</v>
          </cell>
          <cell r="I1498" t="str">
            <v>Thraupidae (Tanagers and Allies)</v>
          </cell>
        </row>
        <row r="1499">
          <cell r="E1499" t="str">
            <v>Scarlet-thighed Dacnis</v>
          </cell>
          <cell r="F1499" t="str">
            <v>Dacnis à cuisses rouges</v>
          </cell>
          <cell r="G1499" t="str">
            <v>Dacnis venusta</v>
          </cell>
          <cell r="H1499" t="str">
            <v>Passeriformes</v>
          </cell>
          <cell r="I1499" t="str">
            <v>Thraupidae (Tanagers and Allies)</v>
          </cell>
        </row>
        <row r="1500">
          <cell r="E1500" t="str">
            <v>Scintillant Hummingbird</v>
          </cell>
          <cell r="F1500" t="str">
            <v>Colibri scintillant</v>
          </cell>
          <cell r="G1500" t="str">
            <v>Selasphorus scintilla</v>
          </cell>
          <cell r="H1500" t="str">
            <v>Apodiformes</v>
          </cell>
          <cell r="I1500" t="str">
            <v>Trochilidae (Hummingbirds)</v>
          </cell>
        </row>
        <row r="1501">
          <cell r="E1501" t="str">
            <v>Scissor-tailed Flycatcher</v>
          </cell>
          <cell r="F1501" t="str">
            <v>Tyran à longue queue</v>
          </cell>
          <cell r="G1501" t="str">
            <v>Tyrannus forficatus</v>
          </cell>
          <cell r="H1501" t="str">
            <v>Passeriformes</v>
          </cell>
          <cell r="I1501" t="str">
            <v>Tyrannidae (Tyrant Flycatchers)</v>
          </cell>
        </row>
        <row r="1502">
          <cell r="E1502" t="str">
            <v>Scrub Blackbird</v>
          </cell>
          <cell r="F1502" t="str">
            <v>Quiscale buissonnier</v>
          </cell>
          <cell r="G1502" t="str">
            <v>Dives warczewiczi</v>
          </cell>
          <cell r="H1502" t="str">
            <v>Passeriformes</v>
          </cell>
          <cell r="I1502" t="str">
            <v>Icteridae (Troupials and Allies)</v>
          </cell>
        </row>
        <row r="1503">
          <cell r="E1503" t="str">
            <v>Scrub Greenlet</v>
          </cell>
          <cell r="F1503" t="str">
            <v>Viréon à pattes claires</v>
          </cell>
          <cell r="G1503" t="str">
            <v>Hylophilus flavipes</v>
          </cell>
          <cell r="H1503" t="str">
            <v>Passeriformes</v>
          </cell>
          <cell r="I1503" t="str">
            <v>Vireonidae (Vireos, Shrike-Babblers, and Erpornis)</v>
          </cell>
        </row>
        <row r="1504">
          <cell r="E1504" t="str">
            <v>Scrub Tanager</v>
          </cell>
          <cell r="F1504" t="str">
            <v>Calliste vitriolin</v>
          </cell>
          <cell r="G1504" t="str">
            <v>Stilpnia vitriolina</v>
          </cell>
          <cell r="H1504" t="str">
            <v>Passeriformes</v>
          </cell>
          <cell r="I1504" t="str">
            <v>Thraupidae (Tanagers and Allies)</v>
          </cell>
        </row>
        <row r="1505">
          <cell r="E1505" t="str">
            <v>Scrubtit</v>
          </cell>
          <cell r="F1505" t="str">
            <v>Séricorne de Tasmanie</v>
          </cell>
          <cell r="G1505" t="str">
            <v>Acanthornis magna</v>
          </cell>
          <cell r="H1505" t="str">
            <v>Passeriformes</v>
          </cell>
          <cell r="I1505" t="str">
            <v>Acanthizidae (Thornbills and Allies)</v>
          </cell>
        </row>
        <row r="1506">
          <cell r="E1506" t="str">
            <v>Secretarybird</v>
          </cell>
          <cell r="F1506" t="str">
            <v>Messager sagittaire</v>
          </cell>
          <cell r="G1506" t="str">
            <v>Sagittarius serpentarius</v>
          </cell>
          <cell r="H1506" t="str">
            <v>Accipitriformes</v>
          </cell>
          <cell r="I1506" t="str">
            <v>Sagittariidae (Secretarybird)</v>
          </cell>
        </row>
        <row r="1507">
          <cell r="E1507" t="str">
            <v>Sedge Wren</v>
          </cell>
          <cell r="F1507" t="str">
            <v>Troglodyte à bec court</v>
          </cell>
          <cell r="G1507" t="str">
            <v>Cistothorus stellaris</v>
          </cell>
          <cell r="H1507" t="str">
            <v>Passeriformes</v>
          </cell>
          <cell r="I1507" t="str">
            <v>Troglodytidae (Wrens)</v>
          </cell>
        </row>
        <row r="1508">
          <cell r="E1508" t="str">
            <v>Semipalmated Plover</v>
          </cell>
          <cell r="F1508" t="str">
            <v>Pluvier semipalmé</v>
          </cell>
          <cell r="G1508" t="str">
            <v>Charadrius semipalmatus</v>
          </cell>
          <cell r="H1508" t="str">
            <v>Charadriiformes</v>
          </cell>
          <cell r="I1508" t="str">
            <v>Charadriidae (Plovers and Lapwings)</v>
          </cell>
        </row>
        <row r="1509">
          <cell r="E1509" t="str">
            <v>Semipalmated Sandpiper</v>
          </cell>
          <cell r="F1509" t="str">
            <v>Bécasseau semipalmé</v>
          </cell>
          <cell r="G1509" t="str">
            <v>Calidris pusilla</v>
          </cell>
          <cell r="H1509" t="str">
            <v>Charadriiformes</v>
          </cell>
          <cell r="I1509" t="str">
            <v>Scolopacidae (Sandpipers and Allies)</v>
          </cell>
        </row>
        <row r="1510">
          <cell r="E1510" t="str">
            <v>Sepia-capped Flycatcher</v>
          </cell>
          <cell r="F1510" t="str">
            <v>Pipromorphe à tête brune</v>
          </cell>
          <cell r="G1510" t="str">
            <v>Leptopogon amaurocephalus</v>
          </cell>
          <cell r="H1510" t="str">
            <v>Passeriformes</v>
          </cell>
          <cell r="I1510" t="str">
            <v>Tyrannidae (Tyrant Flycatchers)</v>
          </cell>
        </row>
        <row r="1511">
          <cell r="E1511" t="str">
            <v>Sharp-shinned Hawk</v>
          </cell>
          <cell r="F1511" t="str">
            <v>Épervier brun</v>
          </cell>
          <cell r="G1511" t="str">
            <v>Accipiter striatus</v>
          </cell>
          <cell r="H1511" t="str">
            <v>Accipitriformes</v>
          </cell>
          <cell r="I1511" t="str">
            <v>Accipitridae (Hawks, Eagles, and Kites)</v>
          </cell>
        </row>
        <row r="1512">
          <cell r="E1512" t="str">
            <v>Sharp-tailed Sandpiper</v>
          </cell>
          <cell r="F1512" t="str">
            <v>Bécasseau à queue pointue</v>
          </cell>
          <cell r="G1512" t="str">
            <v>Calidris acuminata</v>
          </cell>
          <cell r="H1512" t="str">
            <v>Charadriiformes</v>
          </cell>
          <cell r="I1512" t="str">
            <v>Scolopacidae (Sandpipers and Allies)</v>
          </cell>
        </row>
        <row r="1513">
          <cell r="E1513" t="str">
            <v>Sharpe's Wren</v>
          </cell>
          <cell r="F1513" t="str">
            <v>Troglodyte de Sharpe</v>
          </cell>
          <cell r="G1513" t="str">
            <v>Cinnycerthia olivascens</v>
          </cell>
          <cell r="H1513" t="str">
            <v>Passeriformes</v>
          </cell>
          <cell r="I1513" t="str">
            <v>Troglodytidae (Wrens)</v>
          </cell>
        </row>
        <row r="1514">
          <cell r="E1514" t="str">
            <v>Shikra</v>
          </cell>
          <cell r="F1514" t="str">
            <v>Épervier shikra</v>
          </cell>
          <cell r="G1514" t="str">
            <v>Tachyspiza badia</v>
          </cell>
          <cell r="H1514" t="str">
            <v>Accipitriformes</v>
          </cell>
          <cell r="I1514" t="str">
            <v>Accipitridae (Hawks, Eagles, and Kites)</v>
          </cell>
        </row>
        <row r="1515">
          <cell r="E1515" t="str">
            <v>Shining Bronze-Cuckoo</v>
          </cell>
          <cell r="F1515" t="str">
            <v>Coucou éclatant</v>
          </cell>
          <cell r="G1515" t="str">
            <v>Chalcites lucidus</v>
          </cell>
          <cell r="H1515" t="str">
            <v>Cuculiformes</v>
          </cell>
          <cell r="I1515" t="str">
            <v>Cuculidae (Cuckoos)</v>
          </cell>
        </row>
        <row r="1516">
          <cell r="E1516" t="str">
            <v>Shining Honeycreeper</v>
          </cell>
          <cell r="F1516" t="str">
            <v>Guit-guit brillant</v>
          </cell>
          <cell r="G1516" t="str">
            <v>Cyanerpes lucidus</v>
          </cell>
          <cell r="H1516" t="str">
            <v>Passeriformes</v>
          </cell>
          <cell r="I1516" t="str">
            <v>Thraupidae (Tanagers and Allies)</v>
          </cell>
        </row>
        <row r="1517">
          <cell r="E1517" t="str">
            <v>Shining Sunbeam</v>
          </cell>
          <cell r="F1517" t="str">
            <v>Colibri étincelant</v>
          </cell>
          <cell r="G1517" t="str">
            <v>Aglaeactis cupripennis</v>
          </cell>
          <cell r="H1517" t="str">
            <v>Apodiformes</v>
          </cell>
          <cell r="I1517" t="str">
            <v>Trochilidae (Hummingbirds)</v>
          </cell>
        </row>
        <row r="1518">
          <cell r="E1518" t="str">
            <v>Shiny Cowbird</v>
          </cell>
          <cell r="F1518" t="str">
            <v>Vacher luisant</v>
          </cell>
          <cell r="G1518" t="str">
            <v>Molothrus bonariensis</v>
          </cell>
          <cell r="H1518" t="str">
            <v>Passeriformes</v>
          </cell>
          <cell r="I1518" t="str">
            <v>Icteridae (Troupials and Allies)</v>
          </cell>
        </row>
        <row r="1519">
          <cell r="E1519" t="str">
            <v>Short-billed Dowitcher</v>
          </cell>
          <cell r="F1519" t="str">
            <v>Bécassin roux</v>
          </cell>
          <cell r="G1519" t="str">
            <v>Limnodromus griseus</v>
          </cell>
          <cell r="H1519" t="str">
            <v>Charadriiformes</v>
          </cell>
          <cell r="I1519" t="str">
            <v>Scolopacidae (Sandpipers and Allies)</v>
          </cell>
        </row>
        <row r="1520">
          <cell r="E1520" t="str">
            <v>Short-billed Gull</v>
          </cell>
          <cell r="F1520" t="str">
            <v>Goéland à bec court</v>
          </cell>
          <cell r="G1520" t="str">
            <v>Larus brachyrhynchus</v>
          </cell>
          <cell r="H1520" t="str">
            <v>Charadriiformes</v>
          </cell>
          <cell r="I1520" t="str">
            <v>Laridae (Gulls, Terns, and Skimmers)</v>
          </cell>
        </row>
        <row r="1521">
          <cell r="E1521" t="str">
            <v>Short-billed Pigeon</v>
          </cell>
          <cell r="F1521" t="str">
            <v>Pigeon à bec noir</v>
          </cell>
          <cell r="G1521" t="str">
            <v>Patagioenas nigrirostris</v>
          </cell>
          <cell r="H1521" t="str">
            <v>Columbiformes</v>
          </cell>
          <cell r="I1521" t="str">
            <v>Columbidae (Pigeons and Doves)</v>
          </cell>
        </row>
        <row r="1522">
          <cell r="E1522" t="str">
            <v>Short-eared Owl</v>
          </cell>
          <cell r="F1522" t="str">
            <v>Hibou des marais</v>
          </cell>
          <cell r="G1522" t="str">
            <v>Asio flammeus</v>
          </cell>
          <cell r="H1522" t="str">
            <v>Strigiformes</v>
          </cell>
          <cell r="I1522" t="str">
            <v>Strigidae (Owls)</v>
          </cell>
        </row>
        <row r="1523">
          <cell r="E1523" t="str">
            <v>Short-tailed Emerald</v>
          </cell>
          <cell r="F1523" t="str">
            <v>Émeraude à queue courte</v>
          </cell>
          <cell r="G1523" t="str">
            <v>Chlorostilbon poortmani</v>
          </cell>
          <cell r="H1523" t="str">
            <v>Apodiformes</v>
          </cell>
          <cell r="I1523" t="str">
            <v>Trochilidae (Hummingbirds)</v>
          </cell>
        </row>
        <row r="1524">
          <cell r="E1524" t="str">
            <v>Short-tailed Hawk</v>
          </cell>
          <cell r="F1524" t="str">
            <v>Buse à queue courte</v>
          </cell>
          <cell r="G1524" t="str">
            <v>Buteo brachyurus</v>
          </cell>
          <cell r="H1524" t="str">
            <v>Accipitriformes</v>
          </cell>
          <cell r="I1524" t="str">
            <v>Accipitridae (Hawks, Eagles, and Kites)</v>
          </cell>
        </row>
        <row r="1525">
          <cell r="E1525" t="str">
            <v>Short-tailed Nighthawk</v>
          </cell>
          <cell r="F1525" t="str">
            <v>Engoulevent à queue courte</v>
          </cell>
          <cell r="G1525" t="str">
            <v>Lurocalis semitorquatus</v>
          </cell>
          <cell r="H1525" t="str">
            <v>Caprimulgiformes</v>
          </cell>
          <cell r="I1525" t="str">
            <v>Caprimulgidae (Nightjars and Allies)</v>
          </cell>
        </row>
        <row r="1526">
          <cell r="E1526" t="str">
            <v>Short-tailed Shearwater</v>
          </cell>
          <cell r="F1526" t="str">
            <v>Puffin à bec grêle</v>
          </cell>
          <cell r="G1526" t="str">
            <v>Ardenna tenuirostris</v>
          </cell>
          <cell r="H1526" t="str">
            <v>Procellariiformes</v>
          </cell>
          <cell r="I1526" t="str">
            <v>Procellariidae (Shearwaters and Petrels)</v>
          </cell>
        </row>
        <row r="1527">
          <cell r="E1527" t="str">
            <v>Short-tailed Swift</v>
          </cell>
          <cell r="F1527" t="str">
            <v>Martinet polioure</v>
          </cell>
          <cell r="G1527" t="str">
            <v>Chaetura brachyura</v>
          </cell>
          <cell r="H1527" t="str">
            <v>Apodiformes</v>
          </cell>
          <cell r="I1527" t="str">
            <v>Apodidae (Swifts)</v>
          </cell>
        </row>
        <row r="1528">
          <cell r="E1528" t="str">
            <v>Short-toed Rock-Thrush</v>
          </cell>
          <cell r="F1528" t="str">
            <v>Monticole à doigts courts</v>
          </cell>
          <cell r="G1528" t="str">
            <v>Monticola brevipes</v>
          </cell>
          <cell r="H1528" t="str">
            <v>Passeriformes</v>
          </cell>
          <cell r="I1528" t="str">
            <v>Muscicapidae (Old World Flycatchers)</v>
          </cell>
        </row>
        <row r="1529">
          <cell r="E1529" t="str">
            <v>Shy Heathwren</v>
          </cell>
          <cell r="F1529" t="str">
            <v>Séricorne timide</v>
          </cell>
          <cell r="G1529" t="str">
            <v>Hylacola cauta</v>
          </cell>
          <cell r="H1529" t="str">
            <v>Passeriformes</v>
          </cell>
          <cell r="I1529" t="str">
            <v>Acanthizidae (Thornbills and Allies)</v>
          </cell>
        </row>
        <row r="1530">
          <cell r="E1530" t="str">
            <v>Sickle-billed Vanga</v>
          </cell>
          <cell r="F1530" t="str">
            <v>Falculie mantelée</v>
          </cell>
          <cell r="G1530" t="str">
            <v>Falculea palliata</v>
          </cell>
          <cell r="H1530" t="str">
            <v>Passeriformes</v>
          </cell>
          <cell r="I1530" t="str">
            <v>Vangidae (Vangas, Helmetshrikes, and Allies)</v>
          </cell>
        </row>
        <row r="1531">
          <cell r="E1531" t="str">
            <v>Sickle-winged Guan</v>
          </cell>
          <cell r="F1531" t="str">
            <v>Pénélope de Goudot</v>
          </cell>
          <cell r="G1531" t="str">
            <v>Chamaepetes goudotii</v>
          </cell>
          <cell r="H1531" t="str">
            <v>Galliformes</v>
          </cell>
          <cell r="I1531" t="str">
            <v>Cracidae (Guans, Chachalacas, and Curassows)</v>
          </cell>
        </row>
        <row r="1532">
          <cell r="E1532" t="str">
            <v>Sierra Nevada Brushfinch</v>
          </cell>
          <cell r="F1532" t="str">
            <v>Tohi de Bangs</v>
          </cell>
          <cell r="G1532" t="str">
            <v>Arremon basilicus</v>
          </cell>
          <cell r="H1532" t="str">
            <v>Passeriformes</v>
          </cell>
          <cell r="I1532" t="str">
            <v>Passerellidae (New World Sparrows)</v>
          </cell>
        </row>
        <row r="1533">
          <cell r="E1533" t="str">
            <v>Sierran Elaenia</v>
          </cell>
          <cell r="F1533" t="str">
            <v>Élénie de Pallantanga</v>
          </cell>
          <cell r="G1533" t="str">
            <v>Elaenia pallatangae</v>
          </cell>
          <cell r="H1533" t="str">
            <v>Passeriformes</v>
          </cell>
          <cell r="I1533" t="str">
            <v>Tyrannidae (Tyrant Flycatchers)</v>
          </cell>
        </row>
        <row r="1534">
          <cell r="E1534" t="str">
            <v>Silver Gull</v>
          </cell>
          <cell r="F1534" t="str">
            <v>Mouette argentée</v>
          </cell>
          <cell r="G1534" t="str">
            <v>Chroicocephalus novaehollandiae</v>
          </cell>
          <cell r="H1534" t="str">
            <v>Charadriiformes</v>
          </cell>
          <cell r="I1534" t="str">
            <v>Laridae (Gulls, Terns, and Skimmers)</v>
          </cell>
        </row>
        <row r="1535">
          <cell r="E1535" t="str">
            <v>Silver-beaked Tanager</v>
          </cell>
          <cell r="F1535" t="str">
            <v>Tangara à bec d'argent</v>
          </cell>
          <cell r="G1535" t="str">
            <v>Ramphocelus carbo</v>
          </cell>
          <cell r="H1535" t="str">
            <v>Passeriformes</v>
          </cell>
          <cell r="I1535" t="str">
            <v>Thraupidae (Tanagers and Allies)</v>
          </cell>
        </row>
        <row r="1536">
          <cell r="E1536" t="str">
            <v>Silver-throated Tanager</v>
          </cell>
          <cell r="F1536" t="str">
            <v>Calliste safran</v>
          </cell>
          <cell r="G1536" t="str">
            <v>Tangara icterocephala</v>
          </cell>
          <cell r="H1536" t="str">
            <v>Passeriformes</v>
          </cell>
          <cell r="I1536" t="str">
            <v>Thraupidae (Tanagers and Allies)</v>
          </cell>
        </row>
        <row r="1537">
          <cell r="E1537" t="str">
            <v>Silvereye</v>
          </cell>
          <cell r="F1537" t="str">
            <v>Zostérops à dos gris</v>
          </cell>
          <cell r="G1537" t="str">
            <v>Zosterops lateralis</v>
          </cell>
          <cell r="H1537" t="str">
            <v>Passeriformes</v>
          </cell>
          <cell r="I1537" t="str">
            <v>Zosteropidae (White-eyes, Yuhinas, and Allies)</v>
          </cell>
        </row>
        <row r="1538">
          <cell r="E1538" t="str">
            <v>Silvery Grebe</v>
          </cell>
          <cell r="F1538" t="str">
            <v>Grèbe aux belles joues</v>
          </cell>
          <cell r="G1538" t="str">
            <v>Podiceps occipitalis</v>
          </cell>
          <cell r="H1538" t="str">
            <v>Podicipediformes</v>
          </cell>
          <cell r="I1538" t="str">
            <v>Podicipedidae (Grebes)</v>
          </cell>
        </row>
        <row r="1539">
          <cell r="E1539" t="str">
            <v>Silvery-cheeked Hornbill</v>
          </cell>
          <cell r="F1539" t="str">
            <v>Calao à joues argent</v>
          </cell>
          <cell r="G1539" t="str">
            <v>Bycanistes brevis</v>
          </cell>
          <cell r="H1539" t="str">
            <v>Bucerotiformes</v>
          </cell>
          <cell r="I1539" t="str">
            <v>Bucerotidae (Hornbills)</v>
          </cell>
        </row>
        <row r="1540">
          <cell r="E1540" t="str">
            <v>Silvery-throated Spinetail</v>
          </cell>
          <cell r="F1540" t="str">
            <v>Synallaxe à gorge argentée</v>
          </cell>
          <cell r="G1540" t="str">
            <v>Synallaxis subpudica</v>
          </cell>
          <cell r="H1540" t="str">
            <v>Passeriformes</v>
          </cell>
          <cell r="I1540" t="str">
            <v>Furnariidae (Ovenbirds and Woodcreepers)</v>
          </cell>
        </row>
        <row r="1541">
          <cell r="E1541" t="str">
            <v>Singing Honeyeater</v>
          </cell>
          <cell r="F1541" t="str">
            <v>Méliphage chanteur</v>
          </cell>
          <cell r="G1541" t="str">
            <v>Gavicalis virescens</v>
          </cell>
          <cell r="H1541" t="str">
            <v>Passeriformes</v>
          </cell>
          <cell r="I1541" t="str">
            <v>Meliphagidae (Honeyeaters)</v>
          </cell>
        </row>
        <row r="1542">
          <cell r="E1542" t="str">
            <v>Slate-colored Coot</v>
          </cell>
          <cell r="F1542" t="str">
            <v>Foulque ardoisée</v>
          </cell>
          <cell r="G1542" t="str">
            <v>Fulica ardesiaca</v>
          </cell>
          <cell r="H1542" t="str">
            <v>Gruiformes</v>
          </cell>
          <cell r="I1542" t="str">
            <v>Rallidae (Rails, Gallinules, and Coots)</v>
          </cell>
        </row>
        <row r="1543">
          <cell r="E1543" t="str">
            <v>Slate-colored Grosbeak</v>
          </cell>
          <cell r="F1543" t="str">
            <v>Saltator ardoisé</v>
          </cell>
          <cell r="G1543" t="str">
            <v>Saltator grossus</v>
          </cell>
          <cell r="H1543" t="str">
            <v>Passeriformes</v>
          </cell>
          <cell r="I1543" t="str">
            <v>Thraupidae (Tanagers and Allies)</v>
          </cell>
        </row>
        <row r="1544">
          <cell r="E1544" t="str">
            <v>Slate-colored Seedeater</v>
          </cell>
          <cell r="F1544" t="str">
            <v>Sporophile ardoisé</v>
          </cell>
          <cell r="G1544" t="str">
            <v>Sporophila schistacea</v>
          </cell>
          <cell r="H1544" t="str">
            <v>Passeriformes</v>
          </cell>
          <cell r="I1544" t="str">
            <v>Thraupidae (Tanagers and Allies)</v>
          </cell>
        </row>
        <row r="1545">
          <cell r="E1545" t="str">
            <v>Slate-crowned Antpitta</v>
          </cell>
          <cell r="F1545" t="str">
            <v>Grallaire naine</v>
          </cell>
          <cell r="G1545" t="str">
            <v>Grallaricula nana</v>
          </cell>
          <cell r="H1545" t="str">
            <v>Passeriformes</v>
          </cell>
          <cell r="I1545" t="str">
            <v>Grallariidae (Antpittas)</v>
          </cell>
        </row>
        <row r="1546">
          <cell r="E1546" t="str">
            <v>Slate-headed Tody-Flycatcher</v>
          </cell>
          <cell r="F1546" t="str">
            <v>Todirostre de Desmarest</v>
          </cell>
          <cell r="G1546" t="str">
            <v>Poecilotriccus sylvia</v>
          </cell>
          <cell r="H1546" t="str">
            <v>Passeriformes</v>
          </cell>
          <cell r="I1546" t="str">
            <v>Tyrannidae (Tyrant Flycatchers)</v>
          </cell>
        </row>
        <row r="1547">
          <cell r="E1547" t="str">
            <v>Slate-throated Redstart</v>
          </cell>
          <cell r="F1547" t="str">
            <v>Paruline ardoisée</v>
          </cell>
          <cell r="G1547" t="str">
            <v>Myioborus miniatus</v>
          </cell>
          <cell r="H1547" t="str">
            <v>Passeriformes</v>
          </cell>
          <cell r="I1547" t="str">
            <v>Parulidae (New World Warblers)</v>
          </cell>
        </row>
        <row r="1548">
          <cell r="E1548" t="str">
            <v>Slaty Antwren</v>
          </cell>
          <cell r="F1548" t="str">
            <v>Myrmidon ardoisé</v>
          </cell>
          <cell r="G1548" t="str">
            <v>Myrmotherula schisticolor</v>
          </cell>
          <cell r="H1548" t="str">
            <v>Passeriformes</v>
          </cell>
          <cell r="I1548" t="str">
            <v>Thamnophilidae (Typical Antbirds)</v>
          </cell>
        </row>
        <row r="1549">
          <cell r="E1549" t="str">
            <v>Slaty Egret</v>
          </cell>
          <cell r="F1549" t="str">
            <v>Aigrette vineuse</v>
          </cell>
          <cell r="G1549" t="str">
            <v>Egretta vinaceigula</v>
          </cell>
          <cell r="H1549" t="str">
            <v>Pelecaniformes</v>
          </cell>
          <cell r="I1549" t="str">
            <v>Ardeidae (Herons, Egrets, and Bitterns)</v>
          </cell>
        </row>
        <row r="1550">
          <cell r="E1550" t="str">
            <v>Slaty Flowerpiercer</v>
          </cell>
          <cell r="F1550" t="str">
            <v>Percefleur ardoisé</v>
          </cell>
          <cell r="G1550" t="str">
            <v>Diglossa plumbea</v>
          </cell>
          <cell r="H1550" t="str">
            <v>Passeriformes</v>
          </cell>
          <cell r="I1550" t="str">
            <v>Thraupidae (Tanagers and Allies)</v>
          </cell>
        </row>
        <row r="1551">
          <cell r="E1551" t="str">
            <v>Slaty Spinetail</v>
          </cell>
          <cell r="F1551" t="str">
            <v>Synallaxe ardoisé</v>
          </cell>
          <cell r="G1551" t="str">
            <v>Synallaxis brachyura</v>
          </cell>
          <cell r="H1551" t="str">
            <v>Passeriformes</v>
          </cell>
          <cell r="I1551" t="str">
            <v>Furnariidae (Ovenbirds and Woodcreepers)</v>
          </cell>
        </row>
        <row r="1552">
          <cell r="E1552" t="str">
            <v>Slaty-backed Nightingale-Thrush</v>
          </cell>
          <cell r="F1552" t="str">
            <v>Grive ardoisée</v>
          </cell>
          <cell r="G1552" t="str">
            <v>Catharus fuscater</v>
          </cell>
          <cell r="H1552" t="str">
            <v>Passeriformes</v>
          </cell>
          <cell r="I1552" t="str">
            <v>Turdidae (Thrushes and Allies)</v>
          </cell>
        </row>
        <row r="1553">
          <cell r="E1553" t="str">
            <v>Slaty-capped Flycatcher</v>
          </cell>
          <cell r="F1553" t="str">
            <v>Pipromorphe à tête grise</v>
          </cell>
          <cell r="G1553" t="str">
            <v>Leptopogon superciliaris</v>
          </cell>
          <cell r="H1553" t="str">
            <v>Passeriformes</v>
          </cell>
          <cell r="I1553" t="str">
            <v>Tyrannidae (Tyrant Flycatchers)</v>
          </cell>
        </row>
        <row r="1554">
          <cell r="E1554" t="str">
            <v>Slaty-capped Shrike-Vireo</v>
          </cell>
          <cell r="F1554" t="str">
            <v>Smaragdan oreillard</v>
          </cell>
          <cell r="G1554" t="str">
            <v>Vireolanius leucotis</v>
          </cell>
          <cell r="H1554" t="str">
            <v>Passeriformes</v>
          </cell>
          <cell r="I1554" t="str">
            <v>Vireonidae (Vireos, Shrike-Babblers, and Erpornis)</v>
          </cell>
        </row>
        <row r="1555">
          <cell r="E1555" t="str">
            <v>Slaty-tailed Trogon</v>
          </cell>
          <cell r="F1555" t="str">
            <v>Trogon de Masséna</v>
          </cell>
          <cell r="G1555" t="str">
            <v>Trogon massena</v>
          </cell>
          <cell r="H1555" t="str">
            <v>Trogoniformes</v>
          </cell>
          <cell r="I1555" t="str">
            <v>Trogonidae (Trogons)</v>
          </cell>
        </row>
        <row r="1556">
          <cell r="E1556" t="str">
            <v>Slender-billed Thornbill</v>
          </cell>
          <cell r="F1556" t="str">
            <v>Acanthize d'Iredale</v>
          </cell>
          <cell r="G1556" t="str">
            <v>Acanthiza iredalei</v>
          </cell>
          <cell r="H1556" t="str">
            <v>Passeriformes</v>
          </cell>
          <cell r="I1556" t="str">
            <v>Acanthizidae (Thornbills and Allies)</v>
          </cell>
        </row>
        <row r="1557">
          <cell r="E1557" t="str">
            <v>Slender-billed Tyrannulet</v>
          </cell>
          <cell r="F1557" t="str">
            <v>Tyranneau à bec fin</v>
          </cell>
          <cell r="G1557" t="str">
            <v>Inezia tenuirostris</v>
          </cell>
          <cell r="H1557" t="str">
            <v>Passeriformes</v>
          </cell>
          <cell r="I1557" t="str">
            <v>Tyrannidae (Tyrant Flycatchers)</v>
          </cell>
        </row>
        <row r="1558">
          <cell r="E1558" t="str">
            <v>Smoke-colored Pewee</v>
          </cell>
          <cell r="F1558" t="str">
            <v>Moucherolle bistré</v>
          </cell>
          <cell r="G1558" t="str">
            <v>Contopus fumigatus</v>
          </cell>
          <cell r="H1558" t="str">
            <v>Passeriformes</v>
          </cell>
          <cell r="I1558" t="str">
            <v>Tyrannidae (Tyrant Flycatchers)</v>
          </cell>
        </row>
        <row r="1559">
          <cell r="E1559" t="str">
            <v>Smoky Bush-Tyrant</v>
          </cell>
          <cell r="F1559" t="str">
            <v>Moucherolle enfumé</v>
          </cell>
          <cell r="G1559" t="str">
            <v>Myiotheretes fumigatus</v>
          </cell>
          <cell r="H1559" t="str">
            <v>Passeriformes</v>
          </cell>
          <cell r="I1559" t="str">
            <v>Tyrannidae (Tyrant Flycatchers)</v>
          </cell>
        </row>
        <row r="1560">
          <cell r="E1560" t="str">
            <v>Smoky-brown Woodpecker</v>
          </cell>
          <cell r="F1560" t="str">
            <v>Pic enfumé</v>
          </cell>
          <cell r="G1560" t="str">
            <v>Leuconotopicus fumigatus</v>
          </cell>
          <cell r="H1560" t="str">
            <v>Piciformes</v>
          </cell>
          <cell r="I1560" t="str">
            <v>Picidae (Woodpeckers)</v>
          </cell>
        </row>
        <row r="1561">
          <cell r="E1561" t="str">
            <v>Smooth-billed Ani</v>
          </cell>
          <cell r="F1561" t="str">
            <v>Ani à bec lisse</v>
          </cell>
          <cell r="G1561" t="str">
            <v>Crotophaga ani</v>
          </cell>
          <cell r="H1561" t="str">
            <v>Cuculiformes</v>
          </cell>
          <cell r="I1561" t="str">
            <v>Cuculidae (Cuckoos)</v>
          </cell>
        </row>
        <row r="1562">
          <cell r="E1562" t="str">
            <v>Snail Kite</v>
          </cell>
          <cell r="F1562" t="str">
            <v>Milan des marais</v>
          </cell>
          <cell r="G1562" t="str">
            <v>Rostrhamus sociabilis</v>
          </cell>
          <cell r="H1562" t="str">
            <v>Accipitriformes</v>
          </cell>
          <cell r="I1562" t="str">
            <v>Accipitridae (Hawks, Eagles, and Kites)</v>
          </cell>
        </row>
        <row r="1563">
          <cell r="E1563" t="str">
            <v>Snow Bunting</v>
          </cell>
          <cell r="F1563" t="str">
            <v>Plectrophane des neiges</v>
          </cell>
          <cell r="G1563" t="str">
            <v>Plectrophenax nivalis</v>
          </cell>
          <cell r="H1563" t="str">
            <v>Passeriformes</v>
          </cell>
          <cell r="I1563" t="str">
            <v>Calcariidae (Longspurs and Snow Buntings)</v>
          </cell>
        </row>
        <row r="1564">
          <cell r="E1564" t="str">
            <v>Snow Goose</v>
          </cell>
          <cell r="F1564" t="str">
            <v>Oie des neiges</v>
          </cell>
          <cell r="G1564" t="str">
            <v>Anser caerulescens</v>
          </cell>
          <cell r="H1564" t="str">
            <v>Anseriformes</v>
          </cell>
          <cell r="I1564" t="str">
            <v>Anatidae (Ducks, Geese, and Waterfowl)</v>
          </cell>
        </row>
        <row r="1565">
          <cell r="E1565" t="str">
            <v>Snowcap</v>
          </cell>
          <cell r="F1565" t="str">
            <v>Colibri à coiffe blanche</v>
          </cell>
          <cell r="G1565" t="str">
            <v>Microchera albocoronata</v>
          </cell>
          <cell r="H1565" t="str">
            <v>Apodiformes</v>
          </cell>
          <cell r="I1565" t="str">
            <v>Trochilidae (Hummingbirds)</v>
          </cell>
        </row>
        <row r="1566">
          <cell r="E1566" t="str">
            <v>Snowy Cotinga</v>
          </cell>
          <cell r="F1566" t="str">
            <v>Cotinga neigeux</v>
          </cell>
          <cell r="G1566" t="str">
            <v>Carpodectes nitidus</v>
          </cell>
          <cell r="H1566" t="str">
            <v>Passeriformes</v>
          </cell>
          <cell r="I1566" t="str">
            <v>Cotingidae (Cotingas)</v>
          </cell>
        </row>
        <row r="1567">
          <cell r="E1567" t="str">
            <v>Snowy Egret</v>
          </cell>
          <cell r="F1567" t="str">
            <v>Aigrette neigeuse</v>
          </cell>
          <cell r="G1567" t="str">
            <v>Egretta thula</v>
          </cell>
          <cell r="H1567" t="str">
            <v>Pelecaniformes</v>
          </cell>
          <cell r="I1567" t="str">
            <v>Ardeidae (Herons, Egrets, and Bitterns)</v>
          </cell>
        </row>
        <row r="1568">
          <cell r="E1568" t="str">
            <v>Snowy Owl</v>
          </cell>
          <cell r="F1568" t="str">
            <v>Harfang des neiges</v>
          </cell>
          <cell r="G1568" t="str">
            <v>Bubo scandiacus</v>
          </cell>
          <cell r="H1568" t="str">
            <v>Strigiformes</v>
          </cell>
          <cell r="I1568" t="str">
            <v>Strigidae (Owls)</v>
          </cell>
        </row>
        <row r="1569">
          <cell r="E1569" t="str">
            <v>Snowy Plover</v>
          </cell>
          <cell r="F1569" t="str">
            <v>Pluvier neigeux</v>
          </cell>
          <cell r="G1569" t="str">
            <v>Anarhynchus nivosus</v>
          </cell>
          <cell r="H1569" t="str">
            <v>Charadriiformes</v>
          </cell>
          <cell r="I1569" t="str">
            <v>Charadriidae (Plovers and Lapwings)</v>
          </cell>
        </row>
        <row r="1570">
          <cell r="E1570" t="str">
            <v>Snowy-bellied Hummingbird</v>
          </cell>
          <cell r="F1570" t="str">
            <v>Ariane d'Edward</v>
          </cell>
          <cell r="G1570" t="str">
            <v>Saucerottia edward</v>
          </cell>
          <cell r="H1570" t="str">
            <v>Apodiformes</v>
          </cell>
          <cell r="I1570" t="str">
            <v>Trochilidae (Hummingbirds)</v>
          </cell>
        </row>
        <row r="1571">
          <cell r="E1571" t="str">
            <v>Social Flycatcher</v>
          </cell>
          <cell r="F1571" t="str">
            <v>Tyran sociable</v>
          </cell>
          <cell r="G1571" t="str">
            <v>Myiozetetes similis</v>
          </cell>
          <cell r="H1571" t="str">
            <v>Passeriformes</v>
          </cell>
          <cell r="I1571" t="str">
            <v>Tyrannidae (Tyrant Flycatchers)</v>
          </cell>
        </row>
        <row r="1572">
          <cell r="E1572" t="str">
            <v>Solitary Sandpiper</v>
          </cell>
          <cell r="F1572" t="str">
            <v>Chevalier solitaire</v>
          </cell>
          <cell r="G1572" t="str">
            <v>Tringa solitaria</v>
          </cell>
          <cell r="H1572" t="str">
            <v>Charadriiformes</v>
          </cell>
          <cell r="I1572" t="str">
            <v>Scolopacidae (Sandpipers and Allies)</v>
          </cell>
        </row>
        <row r="1573">
          <cell r="E1573" t="str">
            <v>Song Sparrow</v>
          </cell>
          <cell r="F1573" t="str">
            <v>Bruant chanteur</v>
          </cell>
          <cell r="G1573" t="str">
            <v>Melospiza melodia</v>
          </cell>
          <cell r="H1573" t="str">
            <v>Passeriformes</v>
          </cell>
          <cell r="I1573" t="str">
            <v>Passerellidae (New World Sparrows)</v>
          </cell>
        </row>
        <row r="1574">
          <cell r="E1574" t="str">
            <v>Song Wren</v>
          </cell>
          <cell r="F1574" t="str">
            <v>Troglodyte chanteur</v>
          </cell>
          <cell r="G1574" t="str">
            <v>Cyphorhinus phaeocephalus</v>
          </cell>
          <cell r="H1574" t="str">
            <v>Passeriformes</v>
          </cell>
          <cell r="I1574" t="str">
            <v>Troglodytidae (Wrens)</v>
          </cell>
        </row>
        <row r="1575">
          <cell r="E1575" t="str">
            <v>Sooty Oystercatcher</v>
          </cell>
          <cell r="F1575" t="str">
            <v>Huîtrier fuligineux</v>
          </cell>
          <cell r="G1575" t="str">
            <v>Haematopus fuliginosus</v>
          </cell>
          <cell r="H1575" t="str">
            <v>Charadriiformes</v>
          </cell>
          <cell r="I1575" t="str">
            <v>Haematopodidae (Oystercatchers)</v>
          </cell>
        </row>
        <row r="1576">
          <cell r="E1576" t="str">
            <v>Sooty Shearwater</v>
          </cell>
          <cell r="F1576" t="str">
            <v>Puffin fuligineux</v>
          </cell>
          <cell r="G1576" t="str">
            <v>Ardenna grisea</v>
          </cell>
          <cell r="H1576" t="str">
            <v>Procellariiformes</v>
          </cell>
          <cell r="I1576" t="str">
            <v>Procellariidae (Shearwaters and Petrels)</v>
          </cell>
        </row>
        <row r="1577">
          <cell r="E1577" t="str">
            <v>Sooty Tern</v>
          </cell>
          <cell r="F1577" t="str">
            <v>Sterne fuligineuse</v>
          </cell>
          <cell r="G1577" t="str">
            <v>Onychoprion fuscatus</v>
          </cell>
          <cell r="H1577" t="str">
            <v>Charadriiformes</v>
          </cell>
          <cell r="I1577" t="str">
            <v>Laridae (Gulls, Terns, and Skimmers)</v>
          </cell>
        </row>
        <row r="1578">
          <cell r="E1578" t="str">
            <v>Sooty Thrush</v>
          </cell>
          <cell r="F1578" t="str">
            <v>Merle fuligineux</v>
          </cell>
          <cell r="G1578" t="str">
            <v>Turdus nigrescens</v>
          </cell>
          <cell r="H1578" t="str">
            <v>Passeriformes</v>
          </cell>
          <cell r="I1578" t="str">
            <v>Turdidae (Thrushes and Allies)</v>
          </cell>
        </row>
        <row r="1579">
          <cell r="E1579" t="str">
            <v>Sooty-capped Chlorospingus</v>
          </cell>
          <cell r="F1579" t="str">
            <v>Chlorospin à sourcils brisés</v>
          </cell>
          <cell r="G1579" t="str">
            <v>Chlorospingus pileatus</v>
          </cell>
          <cell r="H1579" t="str">
            <v>Passeriformes</v>
          </cell>
          <cell r="I1579" t="str">
            <v>Passerellidae (New World Sparrows)</v>
          </cell>
        </row>
        <row r="1580">
          <cell r="E1580" t="str">
            <v>Sooty-headed Tyrannulet</v>
          </cell>
          <cell r="F1580" t="str">
            <v>Tyranneau nain</v>
          </cell>
          <cell r="G1580" t="str">
            <v>Phyllomyias griseiceps</v>
          </cell>
          <cell r="H1580" t="str">
            <v>Passeriformes</v>
          </cell>
          <cell r="I1580" t="str">
            <v>Tyrannidae (Tyrant Flycatchers)</v>
          </cell>
        </row>
        <row r="1581">
          <cell r="E1581" t="str">
            <v>Sora</v>
          </cell>
          <cell r="F1581" t="str">
            <v>Marouette de Caroline</v>
          </cell>
          <cell r="G1581" t="str">
            <v>Porzana carolina</v>
          </cell>
          <cell r="H1581" t="str">
            <v>Gruiformes</v>
          </cell>
          <cell r="I1581" t="str">
            <v>Rallidae (Rails, Gallinules, and Coots)</v>
          </cell>
        </row>
        <row r="1582">
          <cell r="E1582" t="str">
            <v>Souimanga Sunbird</v>
          </cell>
          <cell r="F1582" t="str">
            <v>Souimanga malgache</v>
          </cell>
          <cell r="G1582" t="str">
            <v>Cinnyris sovimanga</v>
          </cell>
          <cell r="H1582" t="str">
            <v>Passeriformes</v>
          </cell>
          <cell r="I1582" t="str">
            <v>Nectariniidae (Sunbirds and Spiderhunters)</v>
          </cell>
        </row>
        <row r="1583">
          <cell r="E1583" t="str">
            <v>South African Shelduck</v>
          </cell>
          <cell r="F1583" t="str">
            <v>Tadorne à tête grise</v>
          </cell>
          <cell r="G1583" t="str">
            <v>Tadorna cana</v>
          </cell>
          <cell r="H1583" t="str">
            <v>Anseriformes</v>
          </cell>
          <cell r="I1583" t="str">
            <v>Anatidae (Ducks, Geese, and Waterfowl)</v>
          </cell>
        </row>
        <row r="1584">
          <cell r="E1584" t="str">
            <v>Southern Bald Ibis</v>
          </cell>
          <cell r="F1584" t="str">
            <v>Ibis du Cap</v>
          </cell>
          <cell r="G1584" t="str">
            <v>Geronticus calvus</v>
          </cell>
          <cell r="H1584" t="str">
            <v>Pelecaniformes</v>
          </cell>
          <cell r="I1584" t="str">
            <v>Threskiornithidae (Ibises and Spoonbills)</v>
          </cell>
        </row>
        <row r="1585">
          <cell r="E1585" t="str">
            <v>Southern Beardless-Tyrannulet</v>
          </cell>
          <cell r="F1585" t="str">
            <v>Tyranneau passegris</v>
          </cell>
          <cell r="G1585" t="str">
            <v>Camptostoma obsoletum</v>
          </cell>
          <cell r="H1585" t="str">
            <v>Passeriformes</v>
          </cell>
          <cell r="I1585" t="str">
            <v>Tyrannidae (Tyrant Flycatchers)</v>
          </cell>
        </row>
        <row r="1586">
          <cell r="E1586" t="str">
            <v>Southern Bentbill</v>
          </cell>
          <cell r="F1586" t="str">
            <v>Bec-en-arc de Lawrence</v>
          </cell>
          <cell r="G1586" t="str">
            <v>Oncostoma olivaceum</v>
          </cell>
          <cell r="H1586" t="str">
            <v>Passeriformes</v>
          </cell>
          <cell r="I1586" t="str">
            <v>Tyrannidae (Tyrant Flycatchers)</v>
          </cell>
        </row>
        <row r="1587">
          <cell r="E1587" t="str">
            <v>Southern Black-Flycatcher</v>
          </cell>
          <cell r="F1587" t="str">
            <v>Gobemouche sud-africain</v>
          </cell>
          <cell r="G1587" t="str">
            <v>Melaenornis pammelaina</v>
          </cell>
          <cell r="H1587" t="str">
            <v>Passeriformes</v>
          </cell>
          <cell r="I1587" t="str">
            <v>Muscicapidae (Old World Flycatchers)</v>
          </cell>
        </row>
        <row r="1588">
          <cell r="E1588" t="str">
            <v>Southern Black-Tit</v>
          </cell>
          <cell r="F1588" t="str">
            <v>Mésange demi-deuil</v>
          </cell>
          <cell r="G1588" t="str">
            <v>Melaniparus niger</v>
          </cell>
          <cell r="H1588" t="str">
            <v>Passeriformes</v>
          </cell>
          <cell r="I1588" t="str">
            <v>Paridae (Tits, Chickadees, and Titmice)</v>
          </cell>
        </row>
        <row r="1589">
          <cell r="E1589" t="str">
            <v>Southern Brown-throated Weaver</v>
          </cell>
          <cell r="F1589" t="str">
            <v>Tisserin à gorge brune</v>
          </cell>
          <cell r="G1589" t="str">
            <v>Ploceus xanthopterus</v>
          </cell>
          <cell r="H1589" t="str">
            <v>Passeriformes</v>
          </cell>
          <cell r="I1589" t="str">
            <v>Ploceidae (Weavers and Allies)</v>
          </cell>
        </row>
        <row r="1590">
          <cell r="E1590" t="str">
            <v>Southern Carmine Bee-eater</v>
          </cell>
          <cell r="F1590" t="str">
            <v>Guêpier carmin</v>
          </cell>
          <cell r="G1590" t="str">
            <v>Merops nubicoides</v>
          </cell>
          <cell r="H1590" t="str">
            <v>Coraciiformes</v>
          </cell>
          <cell r="I1590" t="str">
            <v>Meropidae (Bee-eaters)</v>
          </cell>
        </row>
        <row r="1591">
          <cell r="E1591" t="str">
            <v>Southern Cordonbleu</v>
          </cell>
          <cell r="F1591" t="str">
            <v>Cordonbleu d'Angola</v>
          </cell>
          <cell r="G1591" t="str">
            <v>Uraeginthus angolensis</v>
          </cell>
          <cell r="H1591" t="str">
            <v>Passeriformes</v>
          </cell>
          <cell r="I1591" t="str">
            <v>Estrildidae (Waxbills and Allies)</v>
          </cell>
        </row>
        <row r="1592">
          <cell r="E1592" t="str">
            <v>Southern Crag-Martin</v>
          </cell>
          <cell r="F1592" t="str">
            <v>Hirondelle isabelline</v>
          </cell>
          <cell r="G1592" t="str">
            <v>Ptyonoprogne fuligula</v>
          </cell>
          <cell r="H1592" t="str">
            <v>Passeriformes</v>
          </cell>
          <cell r="I1592" t="str">
            <v>Hirundinidae (Swallows)</v>
          </cell>
        </row>
        <row r="1593">
          <cell r="E1593" t="str">
            <v>Southern Crested Guineafowl</v>
          </cell>
          <cell r="F1593" t="str">
            <v>Pintade d'Édouard</v>
          </cell>
          <cell r="G1593" t="str">
            <v>Guttera edouardi</v>
          </cell>
          <cell r="H1593" t="str">
            <v>Galliformes</v>
          </cell>
          <cell r="I1593" t="str">
            <v>Numididae (Guineafowl)</v>
          </cell>
        </row>
        <row r="1594">
          <cell r="E1594" t="str">
            <v>Southern Emerald-Toucanet</v>
          </cell>
          <cell r="F1594" t="str">
            <v>Toucanet à gorge blanche</v>
          </cell>
          <cell r="G1594" t="str">
            <v>Aulacorhynchus albivitta</v>
          </cell>
          <cell r="H1594" t="str">
            <v>Piciformes</v>
          </cell>
          <cell r="I1594" t="str">
            <v>Ramphastidae (Toucans)</v>
          </cell>
        </row>
        <row r="1595">
          <cell r="E1595" t="str">
            <v>Southern Emuwren</v>
          </cell>
          <cell r="F1595" t="str">
            <v>Queue-de-gaze du Sud</v>
          </cell>
          <cell r="G1595" t="str">
            <v>Stipiturus malachurus</v>
          </cell>
          <cell r="H1595" t="str">
            <v>Passeriformes</v>
          </cell>
          <cell r="I1595" t="str">
            <v>Maluridae (Fairywrens)</v>
          </cell>
        </row>
        <row r="1596">
          <cell r="E1596" t="str">
            <v>Southern Fiscal</v>
          </cell>
          <cell r="F1596" t="str">
            <v>Pie-grièche fiscale</v>
          </cell>
          <cell r="G1596" t="str">
            <v>Lanius collaris</v>
          </cell>
          <cell r="H1596" t="str">
            <v>Passeriformes</v>
          </cell>
          <cell r="I1596" t="str">
            <v>Laniidae (Shrikes)</v>
          </cell>
        </row>
        <row r="1597">
          <cell r="E1597" t="str">
            <v>Southern Gray-headed Sparrow</v>
          </cell>
          <cell r="F1597" t="str">
            <v>Moineau sud-africain</v>
          </cell>
          <cell r="G1597" t="str">
            <v>Passer diffusus</v>
          </cell>
          <cell r="H1597" t="str">
            <v>Passeriformes</v>
          </cell>
          <cell r="I1597" t="str">
            <v>Passeridae (Old World Sparrows)</v>
          </cell>
        </row>
        <row r="1598">
          <cell r="E1598" t="str">
            <v>Southern Ground-Hornbill</v>
          </cell>
          <cell r="F1598" t="str">
            <v>Bucorve du Sud</v>
          </cell>
          <cell r="G1598" t="str">
            <v>Bucorvus leadbeateri</v>
          </cell>
          <cell r="H1598" t="str">
            <v>Bucerotiformes</v>
          </cell>
          <cell r="I1598" t="str">
            <v>Bucerotidae (Hornbills)</v>
          </cell>
        </row>
        <row r="1599">
          <cell r="E1599" t="str">
            <v>Southern House Wren</v>
          </cell>
          <cell r="F1599" t="str">
            <v>Troglodyte austral</v>
          </cell>
          <cell r="G1599" t="str">
            <v>Troglodytes musculus</v>
          </cell>
          <cell r="H1599" t="str">
            <v>Passeriformes</v>
          </cell>
          <cell r="I1599" t="str">
            <v>Troglodytidae (Wrens)</v>
          </cell>
        </row>
        <row r="1600">
          <cell r="E1600" t="str">
            <v>Southern Lapwing</v>
          </cell>
          <cell r="F1600" t="str">
            <v>Vanneau téro</v>
          </cell>
          <cell r="G1600" t="str">
            <v>Vanellus chilensis</v>
          </cell>
          <cell r="H1600" t="str">
            <v>Charadriiformes</v>
          </cell>
          <cell r="I1600" t="str">
            <v>Charadriidae (Plovers and Lapwings)</v>
          </cell>
        </row>
        <row r="1601">
          <cell r="E1601" t="str">
            <v>Southern Masked-Weaver</v>
          </cell>
          <cell r="F1601" t="str">
            <v>Tisserin à tête rousse</v>
          </cell>
          <cell r="G1601" t="str">
            <v>Ploceus velatus</v>
          </cell>
          <cell r="H1601" t="str">
            <v>Passeriformes</v>
          </cell>
          <cell r="I1601" t="str">
            <v>Ploceidae (Weavers and Allies)</v>
          </cell>
        </row>
        <row r="1602">
          <cell r="E1602" t="str">
            <v>Southern Pochard</v>
          </cell>
          <cell r="F1602" t="str">
            <v>Nette brune</v>
          </cell>
          <cell r="G1602" t="str">
            <v>Netta erythrophthalma</v>
          </cell>
          <cell r="H1602" t="str">
            <v>Anseriformes</v>
          </cell>
          <cell r="I1602" t="str">
            <v>Anatidae (Ducks, Geese, and Waterfowl)</v>
          </cell>
        </row>
        <row r="1603">
          <cell r="E1603" t="str">
            <v>Southern Red Bishop</v>
          </cell>
          <cell r="F1603" t="str">
            <v>Euplecte ignicolore</v>
          </cell>
          <cell r="G1603" t="str">
            <v>Euplectes orix</v>
          </cell>
          <cell r="H1603" t="str">
            <v>Passeriformes</v>
          </cell>
          <cell r="I1603" t="str">
            <v>Ploceidae (Weavers and Allies)</v>
          </cell>
        </row>
        <row r="1604">
          <cell r="E1604" t="str">
            <v>Southern Red-billed Hornbill</v>
          </cell>
          <cell r="F1604" t="str">
            <v>Calao d'Afrique du Sud</v>
          </cell>
          <cell r="G1604" t="str">
            <v>Tockus rufirostris</v>
          </cell>
          <cell r="H1604" t="str">
            <v>Bucerotiformes</v>
          </cell>
          <cell r="I1604" t="str">
            <v>Bucerotidae (Hornbills)</v>
          </cell>
        </row>
        <row r="1605">
          <cell r="E1605" t="str">
            <v>Southern Rough-winged Swallow</v>
          </cell>
          <cell r="F1605" t="str">
            <v>Hirondelle à gorge rousse</v>
          </cell>
          <cell r="G1605" t="str">
            <v>Stelgidopteryx ruficollis</v>
          </cell>
          <cell r="H1605" t="str">
            <v>Passeriformes</v>
          </cell>
          <cell r="I1605" t="str">
            <v>Hirundinidae (Swallows)</v>
          </cell>
        </row>
        <row r="1606">
          <cell r="E1606" t="str">
            <v>Southern Scrub-Robin</v>
          </cell>
          <cell r="F1606" t="str">
            <v>Drymode à croupion brun</v>
          </cell>
          <cell r="G1606" t="str">
            <v>Drymodes brunneopygia</v>
          </cell>
          <cell r="H1606" t="str">
            <v>Passeriformes</v>
          </cell>
          <cell r="I1606" t="str">
            <v>Petroicidae (Australasian Robins)</v>
          </cell>
        </row>
        <row r="1607">
          <cell r="E1607" t="str">
            <v>Southern Whiteface</v>
          </cell>
          <cell r="F1607" t="str">
            <v>Acanthize blanchâtre</v>
          </cell>
          <cell r="G1607" t="str">
            <v>Aphelocephala leucopsis</v>
          </cell>
          <cell r="H1607" t="str">
            <v>Passeriformes</v>
          </cell>
          <cell r="I1607" t="str">
            <v>Acanthizidae (Thornbills and Allies)</v>
          </cell>
        </row>
        <row r="1608">
          <cell r="E1608" t="str">
            <v>Southern Yellow-billed Hornbill</v>
          </cell>
          <cell r="F1608" t="str">
            <v>Calao leucomèle</v>
          </cell>
          <cell r="G1608" t="str">
            <v>Tockus leucomelas</v>
          </cell>
          <cell r="H1608" t="str">
            <v>Bucerotiformes</v>
          </cell>
          <cell r="I1608" t="str">
            <v>Bucerotidae (Hornbills)</v>
          </cell>
        </row>
        <row r="1609">
          <cell r="E1609" t="str">
            <v>Spangle-cheeked Tanager</v>
          </cell>
          <cell r="F1609" t="str">
            <v>Calliste pailleté</v>
          </cell>
          <cell r="G1609" t="str">
            <v>Tangara dowii</v>
          </cell>
          <cell r="H1609" t="str">
            <v>Passeriformes</v>
          </cell>
          <cell r="I1609" t="str">
            <v>Thraupidae (Tanagers and Allies)</v>
          </cell>
        </row>
        <row r="1610">
          <cell r="E1610" t="str">
            <v>Sparkling Violetear</v>
          </cell>
          <cell r="F1610" t="str">
            <v>Colibri d'Anaïs</v>
          </cell>
          <cell r="G1610" t="str">
            <v>Colibri coruscans</v>
          </cell>
          <cell r="H1610" t="str">
            <v>Apodiformes</v>
          </cell>
          <cell r="I1610" t="str">
            <v>Trochilidae (Hummingbirds)</v>
          </cell>
        </row>
        <row r="1611">
          <cell r="E1611" t="str">
            <v>Speckle-breasted Wren</v>
          </cell>
          <cell r="F1611" t="str">
            <v>Troglodyte de Sclater</v>
          </cell>
          <cell r="G1611" t="str">
            <v>Pheugopedius sclateri</v>
          </cell>
          <cell r="H1611" t="str">
            <v>Passeriformes</v>
          </cell>
          <cell r="I1611" t="str">
            <v>Troglodytidae (Wrens)</v>
          </cell>
        </row>
        <row r="1612">
          <cell r="E1612" t="str">
            <v>Speckle-fronted Weaver</v>
          </cell>
          <cell r="F1612" t="str">
            <v>Sporopipe quadrillé</v>
          </cell>
          <cell r="G1612" t="str">
            <v>Sporopipes frontalis</v>
          </cell>
          <cell r="H1612" t="str">
            <v>Passeriformes</v>
          </cell>
          <cell r="I1612" t="str">
            <v>Ploceidae (Weavers and Allies)</v>
          </cell>
        </row>
        <row r="1613">
          <cell r="E1613" t="str">
            <v>Speckled Hummingbird</v>
          </cell>
          <cell r="F1613" t="str">
            <v>Colibri moucheté</v>
          </cell>
          <cell r="G1613" t="str">
            <v>Adelomyia melanogenys</v>
          </cell>
          <cell r="H1613" t="str">
            <v>Apodiformes</v>
          </cell>
          <cell r="I1613" t="str">
            <v>Trochilidae (Hummingbirds)</v>
          </cell>
        </row>
        <row r="1614">
          <cell r="E1614" t="str">
            <v>Speckled Mousebird</v>
          </cell>
          <cell r="F1614" t="str">
            <v>Coliou rayé</v>
          </cell>
          <cell r="G1614" t="str">
            <v>Colius striatus</v>
          </cell>
          <cell r="H1614" t="str">
            <v>Coliiformes</v>
          </cell>
          <cell r="I1614" t="str">
            <v>Coliidae (Mousebirds)</v>
          </cell>
        </row>
        <row r="1615">
          <cell r="E1615" t="str">
            <v>Speckled Nightingale-Thrush</v>
          </cell>
          <cell r="F1615" t="str">
            <v>Grive de Sclater</v>
          </cell>
          <cell r="G1615" t="str">
            <v>Catharus maculatus</v>
          </cell>
          <cell r="H1615" t="str">
            <v>Passeriformes</v>
          </cell>
          <cell r="I1615" t="str">
            <v>Turdidae (Thrushes and Allies)</v>
          </cell>
        </row>
        <row r="1616">
          <cell r="E1616" t="str">
            <v>Speckled Pigeon</v>
          </cell>
          <cell r="F1616" t="str">
            <v>Pigeon roussard</v>
          </cell>
          <cell r="G1616" t="str">
            <v>Columba guinea</v>
          </cell>
          <cell r="H1616" t="str">
            <v>Columbiformes</v>
          </cell>
          <cell r="I1616" t="str">
            <v>Columbidae (Pigeons and Doves)</v>
          </cell>
        </row>
        <row r="1617">
          <cell r="E1617" t="str">
            <v>Speckled Tanager</v>
          </cell>
          <cell r="F1617" t="str">
            <v>Calliste tiqueté</v>
          </cell>
          <cell r="G1617" t="str">
            <v>Ixothraupis guttata</v>
          </cell>
          <cell r="H1617" t="str">
            <v>Passeriformes</v>
          </cell>
          <cell r="I1617" t="str">
            <v>Thraupidae (Tanagers and Allies)</v>
          </cell>
        </row>
        <row r="1618">
          <cell r="E1618" t="str">
            <v>Spectacled Owl</v>
          </cell>
          <cell r="F1618" t="str">
            <v>Chouette à lunettes</v>
          </cell>
          <cell r="G1618" t="str">
            <v>Pulsatrix perspicillata</v>
          </cell>
          <cell r="H1618" t="str">
            <v>Strigiformes</v>
          </cell>
          <cell r="I1618" t="str">
            <v>Strigidae (Owls)</v>
          </cell>
        </row>
        <row r="1619">
          <cell r="E1619" t="str">
            <v>Spectacled Parrotlet</v>
          </cell>
          <cell r="F1619" t="str">
            <v>Toui à lunettes</v>
          </cell>
          <cell r="G1619" t="str">
            <v>Forpus conspicillatus</v>
          </cell>
          <cell r="H1619" t="str">
            <v>Psittaciformes</v>
          </cell>
          <cell r="I1619" t="str">
            <v>Psittacidae (New World and African Parrots)</v>
          </cell>
        </row>
        <row r="1620">
          <cell r="E1620" t="str">
            <v>Spectacled Redstart</v>
          </cell>
          <cell r="F1620" t="str">
            <v>Paruline à lunettes</v>
          </cell>
          <cell r="G1620" t="str">
            <v>Myioborus melanocephalus</v>
          </cell>
          <cell r="H1620" t="str">
            <v>Passeriformes</v>
          </cell>
          <cell r="I1620" t="str">
            <v>Parulidae (New World Warblers)</v>
          </cell>
        </row>
        <row r="1621">
          <cell r="E1621" t="str">
            <v>Spectacled Thrush</v>
          </cell>
          <cell r="F1621" t="str">
            <v>Merle à lunettes</v>
          </cell>
          <cell r="G1621" t="str">
            <v>Turdus nudigenis</v>
          </cell>
          <cell r="H1621" t="str">
            <v>Passeriformes</v>
          </cell>
          <cell r="I1621" t="str">
            <v>Turdidae (Thrushes and Allies)</v>
          </cell>
        </row>
        <row r="1622">
          <cell r="E1622" t="str">
            <v>Spectacled Tyrannulet</v>
          </cell>
          <cell r="F1622" t="str">
            <v>Tyranneau trompeur</v>
          </cell>
          <cell r="G1622" t="str">
            <v>Zimmerius improbus</v>
          </cell>
          <cell r="H1622" t="str">
            <v>Passeriformes</v>
          </cell>
          <cell r="I1622" t="str">
            <v>Tyrannidae (Tyrant Flycatchers)</v>
          </cell>
        </row>
        <row r="1623">
          <cell r="E1623" t="str">
            <v>Spectacled Weaver</v>
          </cell>
          <cell r="F1623" t="str">
            <v>Tisserin à lunettes</v>
          </cell>
          <cell r="G1623" t="str">
            <v>Ploceus ocularis</v>
          </cell>
          <cell r="H1623" t="str">
            <v>Passeriformes</v>
          </cell>
          <cell r="I1623" t="str">
            <v>Ploceidae (Weavers and Allies)</v>
          </cell>
        </row>
        <row r="1624">
          <cell r="E1624" t="str">
            <v>Spiny-cheeked Honeyeater</v>
          </cell>
          <cell r="F1624" t="str">
            <v>Méliphage à bavette</v>
          </cell>
          <cell r="G1624" t="str">
            <v>Acanthagenys rufogularis</v>
          </cell>
          <cell r="H1624" t="str">
            <v>Passeriformes</v>
          </cell>
          <cell r="I1624" t="str">
            <v>Meliphagidae (Honeyeaters)</v>
          </cell>
        </row>
        <row r="1625">
          <cell r="E1625" t="str">
            <v>Splendid Fairywren</v>
          </cell>
          <cell r="F1625" t="str">
            <v>Mérion splendide</v>
          </cell>
          <cell r="G1625" t="str">
            <v>Malurus splendens</v>
          </cell>
          <cell r="H1625" t="str">
            <v>Passeriformes</v>
          </cell>
          <cell r="I1625" t="str">
            <v>Maluridae (Fairywrens)</v>
          </cell>
        </row>
        <row r="1626">
          <cell r="E1626" t="str">
            <v>Spot-breasted Oriole</v>
          </cell>
          <cell r="F1626" t="str">
            <v>Oriole maculé</v>
          </cell>
          <cell r="G1626" t="str">
            <v>Icterus pectoralis</v>
          </cell>
          <cell r="H1626" t="str">
            <v>Passeriformes</v>
          </cell>
          <cell r="I1626" t="str">
            <v>Icteridae (Troupials and Allies)</v>
          </cell>
        </row>
        <row r="1627">
          <cell r="E1627" t="str">
            <v>Spot-breasted Woodpecker</v>
          </cell>
          <cell r="F1627" t="str">
            <v>Pic de Cayenne</v>
          </cell>
          <cell r="G1627" t="str">
            <v>Colaptes punctigula</v>
          </cell>
          <cell r="H1627" t="str">
            <v>Piciformes</v>
          </cell>
          <cell r="I1627" t="str">
            <v>Picidae (Woodpeckers)</v>
          </cell>
        </row>
        <row r="1628">
          <cell r="E1628" t="str">
            <v>Spot-breasted Wren</v>
          </cell>
          <cell r="F1628" t="str">
            <v>Troglodyte à poitrine tachetée</v>
          </cell>
          <cell r="G1628" t="str">
            <v>Pheugopedius maculipectus</v>
          </cell>
          <cell r="H1628" t="str">
            <v>Passeriformes</v>
          </cell>
          <cell r="I1628" t="str">
            <v>Troglodytidae (Wrens)</v>
          </cell>
        </row>
        <row r="1629">
          <cell r="E1629" t="str">
            <v>Spot-crowned Barbet</v>
          </cell>
          <cell r="F1629" t="str">
            <v>Cabézon à calotte tachetée</v>
          </cell>
          <cell r="G1629" t="str">
            <v>Capito maculicoronatus</v>
          </cell>
          <cell r="H1629" t="str">
            <v>Piciformes</v>
          </cell>
          <cell r="I1629" t="str">
            <v>Capitonidae (New World Barbets)</v>
          </cell>
        </row>
        <row r="1630">
          <cell r="E1630" t="str">
            <v>Spot-crowned Woodcreeper</v>
          </cell>
          <cell r="F1630" t="str">
            <v>Grimpar moucheté</v>
          </cell>
          <cell r="G1630" t="str">
            <v>Lepidocolaptes affinis</v>
          </cell>
          <cell r="H1630" t="str">
            <v>Passeriformes</v>
          </cell>
          <cell r="I1630" t="str">
            <v>Furnariidae (Ovenbirds and Woodcreepers)</v>
          </cell>
        </row>
        <row r="1631">
          <cell r="E1631" t="str">
            <v>Spotted Antbird</v>
          </cell>
          <cell r="F1631" t="str">
            <v>Fourmilier grivelé</v>
          </cell>
          <cell r="G1631" t="str">
            <v>Hylophylax naevioides</v>
          </cell>
          <cell r="H1631" t="str">
            <v>Passeriformes</v>
          </cell>
          <cell r="I1631" t="str">
            <v>Thamnophilidae (Typical Antbirds)</v>
          </cell>
        </row>
        <row r="1632">
          <cell r="E1632" t="str">
            <v>Spotted Barbtail</v>
          </cell>
          <cell r="F1632" t="str">
            <v>Anabasitte tachetée</v>
          </cell>
          <cell r="G1632" t="str">
            <v>Premnoplex brunnescens</v>
          </cell>
          <cell r="H1632" t="str">
            <v>Passeriformes</v>
          </cell>
          <cell r="I1632" t="str">
            <v>Furnariidae (Ovenbirds and Woodcreepers)</v>
          </cell>
        </row>
        <row r="1633">
          <cell r="E1633" t="str">
            <v>Spotted Dove</v>
          </cell>
          <cell r="F1633" t="str">
            <v>Tourterelle tigrine</v>
          </cell>
          <cell r="G1633" t="str">
            <v>Spilopelia chinensis</v>
          </cell>
          <cell r="H1633" t="str">
            <v>Columbiformes</v>
          </cell>
          <cell r="I1633" t="str">
            <v>Columbidae (Pigeons and Doves)</v>
          </cell>
        </row>
        <row r="1634">
          <cell r="E1634" t="str">
            <v>Spotted Eagle-Owl</v>
          </cell>
          <cell r="F1634" t="str">
            <v>Grand-duc africain</v>
          </cell>
          <cell r="G1634" t="str">
            <v>Bubo africanus</v>
          </cell>
          <cell r="H1634" t="str">
            <v>Strigiformes</v>
          </cell>
          <cell r="I1634" t="str">
            <v>Strigidae (Owls)</v>
          </cell>
        </row>
        <row r="1635">
          <cell r="E1635" t="str">
            <v>Spotted Pardalote</v>
          </cell>
          <cell r="F1635" t="str">
            <v>Pardalote pointillé</v>
          </cell>
          <cell r="G1635" t="str">
            <v>Pardalotus punctatus</v>
          </cell>
          <cell r="H1635" t="str">
            <v>Passeriformes</v>
          </cell>
          <cell r="I1635" t="str">
            <v>Pardalotidae (Pardalotes)</v>
          </cell>
        </row>
        <row r="1636">
          <cell r="E1636" t="str">
            <v>Spotted Sandpiper</v>
          </cell>
          <cell r="F1636" t="str">
            <v>Chevalier grivelé</v>
          </cell>
          <cell r="G1636" t="str">
            <v>Actitis macularius</v>
          </cell>
          <cell r="H1636" t="str">
            <v>Charadriiformes</v>
          </cell>
          <cell r="I1636" t="str">
            <v>Scolopacidae (Sandpipers and Allies)</v>
          </cell>
        </row>
        <row r="1637">
          <cell r="E1637" t="str">
            <v>Spotted Towhee</v>
          </cell>
          <cell r="F1637" t="str">
            <v>Tohi tacheté</v>
          </cell>
          <cell r="G1637" t="str">
            <v>Pipilo maculatus</v>
          </cell>
          <cell r="H1637" t="str">
            <v>Passeriformes</v>
          </cell>
          <cell r="I1637" t="str">
            <v>Passerellidae (New World Sparrows)</v>
          </cell>
        </row>
        <row r="1638">
          <cell r="E1638" t="str">
            <v>Spotted Wood-Quail</v>
          </cell>
          <cell r="F1638" t="str">
            <v>Tocro tacheté</v>
          </cell>
          <cell r="G1638" t="str">
            <v>Odontophorus guttatus</v>
          </cell>
          <cell r="H1638" t="str">
            <v>Galliformes</v>
          </cell>
          <cell r="I1638" t="str">
            <v>Odontophoridae (New World Quail)</v>
          </cell>
        </row>
        <row r="1639">
          <cell r="E1639" t="str">
            <v>Spotted Woodcreeper</v>
          </cell>
          <cell r="F1639" t="str">
            <v>Grimpar tacheté</v>
          </cell>
          <cell r="G1639" t="str">
            <v>Xiphorhynchus erythropygius</v>
          </cell>
          <cell r="H1639" t="str">
            <v>Passeriformes</v>
          </cell>
          <cell r="I1639" t="str">
            <v>Furnariidae (Ovenbirds and Woodcreepers)</v>
          </cell>
        </row>
        <row r="1640">
          <cell r="E1640" t="str">
            <v>Spruce Grouse</v>
          </cell>
          <cell r="F1640" t="str">
            <v>Tétras du Canada</v>
          </cell>
          <cell r="G1640" t="str">
            <v>Canachites canadensis</v>
          </cell>
          <cell r="H1640" t="str">
            <v>Galliformes</v>
          </cell>
          <cell r="I1640" t="str">
            <v>Phasianidae (Pheasants, Grouse, and Allies)</v>
          </cell>
        </row>
        <row r="1641">
          <cell r="E1641" t="str">
            <v>Spur-winged Goose</v>
          </cell>
          <cell r="F1641" t="str">
            <v>Oie-armée de Gambie</v>
          </cell>
          <cell r="G1641" t="str">
            <v>Plectropterus gambensis</v>
          </cell>
          <cell r="H1641" t="str">
            <v>Anseriformes</v>
          </cell>
          <cell r="I1641" t="str">
            <v>Anatidae (Ducks, Geese, and Waterfowl)</v>
          </cell>
        </row>
        <row r="1642">
          <cell r="E1642" t="str">
            <v>Spur-winged Lapwing</v>
          </cell>
          <cell r="F1642" t="str">
            <v>Vanneau à éperons</v>
          </cell>
          <cell r="G1642" t="str">
            <v>Vanellus spinosus</v>
          </cell>
          <cell r="H1642" t="str">
            <v>Charadriiformes</v>
          </cell>
          <cell r="I1642" t="str">
            <v>Charadriidae (Plovers and Lapwings)</v>
          </cell>
        </row>
        <row r="1643">
          <cell r="E1643" t="str">
            <v>Squacco Heron</v>
          </cell>
          <cell r="F1643" t="str">
            <v>Crabier chevelu</v>
          </cell>
          <cell r="G1643" t="str">
            <v>Ardeola ralloides</v>
          </cell>
          <cell r="H1643" t="str">
            <v>Pelecaniformes</v>
          </cell>
          <cell r="I1643" t="str">
            <v>Ardeidae (Herons, Egrets, and Bitterns)</v>
          </cell>
        </row>
        <row r="1644">
          <cell r="E1644" t="str">
            <v>Square-tailed Drongo</v>
          </cell>
          <cell r="F1644" t="str">
            <v>Drongo de Ludwig</v>
          </cell>
          <cell r="G1644" t="str">
            <v>Dicrurus ludwigii</v>
          </cell>
          <cell r="H1644" t="str">
            <v>Passeriformes</v>
          </cell>
          <cell r="I1644" t="str">
            <v>Dicruridae (Drongos)</v>
          </cell>
        </row>
        <row r="1645">
          <cell r="E1645" t="str">
            <v>Square-tailed Kite</v>
          </cell>
          <cell r="F1645" t="str">
            <v>Bondrée à queue carrée</v>
          </cell>
          <cell r="G1645" t="str">
            <v>Lophoictinia isura</v>
          </cell>
          <cell r="H1645" t="str">
            <v>Accipitriformes</v>
          </cell>
          <cell r="I1645" t="str">
            <v>Accipitridae (Hawks, Eagles, and Kites)</v>
          </cell>
        </row>
        <row r="1646">
          <cell r="E1646" t="str">
            <v>Steely-vented Hummingbird</v>
          </cell>
          <cell r="F1646" t="str">
            <v>Ariane de Sophie</v>
          </cell>
          <cell r="G1646" t="str">
            <v>Saucerottia saucerottei</v>
          </cell>
          <cell r="H1646" t="str">
            <v>Apodiformes</v>
          </cell>
          <cell r="I1646" t="str">
            <v>Trochilidae (Hummingbirds)</v>
          </cell>
        </row>
        <row r="1647">
          <cell r="E1647" t="str">
            <v>Steller's Jay</v>
          </cell>
          <cell r="F1647" t="str">
            <v>Geai de Steller</v>
          </cell>
          <cell r="G1647" t="str">
            <v>Cyanocitta stelleri</v>
          </cell>
          <cell r="H1647" t="str">
            <v>Passeriformes</v>
          </cell>
          <cell r="I1647" t="str">
            <v>Corvidae (Crows, Jays, and Magpies)</v>
          </cell>
        </row>
        <row r="1648">
          <cell r="E1648" t="str">
            <v>Stout-billed Cinclodes</v>
          </cell>
          <cell r="F1648" t="str">
            <v>Cinclode du paramo</v>
          </cell>
          <cell r="G1648" t="str">
            <v>Cinclodes excelsior</v>
          </cell>
          <cell r="H1648" t="str">
            <v>Passeriformes</v>
          </cell>
          <cell r="I1648" t="str">
            <v>Furnariidae (Ovenbirds and Woodcreepers)</v>
          </cell>
        </row>
        <row r="1649">
          <cell r="E1649" t="str">
            <v>Straight-billed Woodcreeper</v>
          </cell>
          <cell r="F1649" t="str">
            <v>Grimpar talapiot</v>
          </cell>
          <cell r="G1649" t="str">
            <v>Dendroplex picus</v>
          </cell>
          <cell r="H1649" t="str">
            <v>Passeriformes</v>
          </cell>
          <cell r="I1649" t="str">
            <v>Furnariidae (Ovenbirds and Woodcreepers)</v>
          </cell>
        </row>
        <row r="1650">
          <cell r="E1650" t="str">
            <v>Straw-necked Ibis</v>
          </cell>
          <cell r="F1650" t="str">
            <v>Ibis d'Australie</v>
          </cell>
          <cell r="G1650" t="str">
            <v>Threskiornis spinicollis</v>
          </cell>
          <cell r="H1650" t="str">
            <v>Pelecaniformes</v>
          </cell>
          <cell r="I1650" t="str">
            <v>Threskiornithidae (Ibises and Spoonbills)</v>
          </cell>
        </row>
        <row r="1651">
          <cell r="E1651" t="str">
            <v>Streak-backed Canastero</v>
          </cell>
          <cell r="F1651" t="str">
            <v>Synallaxe de Wyatt</v>
          </cell>
          <cell r="G1651" t="str">
            <v>Asthenes wyatti</v>
          </cell>
          <cell r="H1651" t="str">
            <v>Passeriformes</v>
          </cell>
          <cell r="I1651" t="str">
            <v>Furnariidae (Ovenbirds and Woodcreepers)</v>
          </cell>
        </row>
        <row r="1652">
          <cell r="E1652" t="str">
            <v>Streak-backed Oriole</v>
          </cell>
          <cell r="F1652" t="str">
            <v>Oriole à dos rayé</v>
          </cell>
          <cell r="G1652" t="str">
            <v>Icterus pustulatus</v>
          </cell>
          <cell r="H1652" t="str">
            <v>Passeriformes</v>
          </cell>
          <cell r="I1652" t="str">
            <v>Icteridae (Troupials and Allies)</v>
          </cell>
        </row>
        <row r="1653">
          <cell r="E1653" t="str">
            <v>Streak-capped Spinetail</v>
          </cell>
          <cell r="F1653" t="str">
            <v>Synallaxe des broméliades</v>
          </cell>
          <cell r="G1653" t="str">
            <v>Cranioleuca hellmayri</v>
          </cell>
          <cell r="H1653" t="str">
            <v>Passeriformes</v>
          </cell>
          <cell r="I1653" t="str">
            <v>Furnariidae (Ovenbirds and Woodcreepers)</v>
          </cell>
        </row>
        <row r="1654">
          <cell r="E1654" t="str">
            <v>Streak-capped Treehunter</v>
          </cell>
          <cell r="F1654" t="str">
            <v>Anabate à tête striée</v>
          </cell>
          <cell r="G1654" t="str">
            <v>Thripadectes virgaticeps</v>
          </cell>
          <cell r="H1654" t="str">
            <v>Passeriformes</v>
          </cell>
          <cell r="I1654" t="str">
            <v>Furnariidae (Ovenbirds and Woodcreepers)</v>
          </cell>
        </row>
        <row r="1655">
          <cell r="E1655" t="str">
            <v>Streak-chested Antpitta</v>
          </cell>
          <cell r="F1655" t="str">
            <v>Grallaire à lunettes</v>
          </cell>
          <cell r="G1655" t="str">
            <v>Hylopezus perspicillatus</v>
          </cell>
          <cell r="H1655" t="str">
            <v>Passeriformes</v>
          </cell>
          <cell r="I1655" t="str">
            <v>Grallariidae (Antpittas)</v>
          </cell>
        </row>
        <row r="1656">
          <cell r="E1656" t="str">
            <v>Streak-headed Antbird</v>
          </cell>
          <cell r="F1656" t="str">
            <v>Grisin de Chapman</v>
          </cell>
          <cell r="G1656" t="str">
            <v>Drymophila striaticeps</v>
          </cell>
          <cell r="H1656" t="str">
            <v>Passeriformes</v>
          </cell>
          <cell r="I1656" t="str">
            <v>Thamnophilidae (Typical Antbirds)</v>
          </cell>
        </row>
        <row r="1657">
          <cell r="E1657" t="str">
            <v>Streak-headed Woodcreeper</v>
          </cell>
          <cell r="F1657" t="str">
            <v>Grimpar de Souleyet</v>
          </cell>
          <cell r="G1657" t="str">
            <v>Lepidocolaptes souleyetii</v>
          </cell>
          <cell r="H1657" t="str">
            <v>Passeriformes</v>
          </cell>
          <cell r="I1657" t="str">
            <v>Furnariidae (Ovenbirds and Woodcreepers)</v>
          </cell>
        </row>
        <row r="1658">
          <cell r="E1658" t="str">
            <v>Streak-necked Flycatcher</v>
          </cell>
          <cell r="F1658" t="str">
            <v>Pipromorphe strié</v>
          </cell>
          <cell r="G1658" t="str">
            <v>Mionectes striaticollis</v>
          </cell>
          <cell r="H1658" t="str">
            <v>Passeriformes</v>
          </cell>
          <cell r="I1658" t="str">
            <v>Tyrannidae (Tyrant Flycatchers)</v>
          </cell>
        </row>
        <row r="1659">
          <cell r="E1659" t="str">
            <v>Streak-throated Bush-Tyrant</v>
          </cell>
          <cell r="F1659" t="str">
            <v>Moucherolle à gorge rayée</v>
          </cell>
          <cell r="G1659" t="str">
            <v>Myiotheretes striaticollis</v>
          </cell>
          <cell r="H1659" t="str">
            <v>Passeriformes</v>
          </cell>
          <cell r="I1659" t="str">
            <v>Tyrannidae (Tyrant Flycatchers)</v>
          </cell>
        </row>
        <row r="1660">
          <cell r="E1660" t="str">
            <v>Streaked Flycatcher</v>
          </cell>
          <cell r="F1660" t="str">
            <v>Tyran audacieux</v>
          </cell>
          <cell r="G1660" t="str">
            <v>Myiodynastes maculatus</v>
          </cell>
          <cell r="H1660" t="str">
            <v>Passeriformes</v>
          </cell>
          <cell r="I1660" t="str">
            <v>Tyrannidae (Tyrant Flycatchers)</v>
          </cell>
        </row>
        <row r="1661">
          <cell r="E1661" t="str">
            <v>Streaked Saltator</v>
          </cell>
          <cell r="F1661" t="str">
            <v>Saltator strié</v>
          </cell>
          <cell r="G1661" t="str">
            <v>Saltator striatipectus</v>
          </cell>
          <cell r="H1661" t="str">
            <v>Passeriformes</v>
          </cell>
          <cell r="I1661" t="str">
            <v>Thraupidae (Tanagers and Allies)</v>
          </cell>
        </row>
        <row r="1662">
          <cell r="E1662" t="str">
            <v>Streaked Tuftedcheek</v>
          </cell>
          <cell r="F1662" t="str">
            <v>Pseudocolapte de Boissonneau</v>
          </cell>
          <cell r="G1662" t="str">
            <v>Pseudocolaptes boissonneautii</v>
          </cell>
          <cell r="H1662" t="str">
            <v>Passeriformes</v>
          </cell>
          <cell r="I1662" t="str">
            <v>Furnariidae (Ovenbirds and Woodcreepers)</v>
          </cell>
        </row>
        <row r="1663">
          <cell r="E1663" t="str">
            <v>Streaked Xenops</v>
          </cell>
          <cell r="F1663" t="str">
            <v>Sittine striée</v>
          </cell>
          <cell r="G1663" t="str">
            <v>Xenops rutilans</v>
          </cell>
          <cell r="H1663" t="str">
            <v>Passeriformes</v>
          </cell>
          <cell r="I1663" t="str">
            <v>Furnariidae (Ovenbirds and Woodcreepers)</v>
          </cell>
        </row>
        <row r="1664">
          <cell r="E1664" t="str">
            <v>Streaky-headed Seedeater</v>
          </cell>
          <cell r="F1664" t="str">
            <v>Serin gris</v>
          </cell>
          <cell r="G1664" t="str">
            <v>Crithagra gularis</v>
          </cell>
          <cell r="H1664" t="str">
            <v>Passeriformes</v>
          </cell>
          <cell r="I1664" t="str">
            <v>Fringillidae (Finches, Euphonias, and Allies)</v>
          </cell>
        </row>
        <row r="1665">
          <cell r="E1665" t="str">
            <v>Striated Fieldwren</v>
          </cell>
          <cell r="F1665" t="str">
            <v>Séricorne strié</v>
          </cell>
          <cell r="G1665" t="str">
            <v>Calamanthus fuliginosus</v>
          </cell>
          <cell r="H1665" t="str">
            <v>Passeriformes</v>
          </cell>
          <cell r="I1665" t="str">
            <v>Acanthizidae (Thornbills and Allies)</v>
          </cell>
        </row>
        <row r="1666">
          <cell r="E1666" t="str">
            <v>Striated Grasswren</v>
          </cell>
          <cell r="F1666" t="str">
            <v>Amytis strié</v>
          </cell>
          <cell r="G1666" t="str">
            <v>Amytornis striatus</v>
          </cell>
          <cell r="H1666" t="str">
            <v>Passeriformes</v>
          </cell>
          <cell r="I1666" t="str">
            <v>Maluridae (Fairywrens)</v>
          </cell>
        </row>
        <row r="1667">
          <cell r="E1667" t="str">
            <v>Striated Heron</v>
          </cell>
          <cell r="F1667" t="str">
            <v>Héron strié</v>
          </cell>
          <cell r="G1667" t="str">
            <v>Butorides striata</v>
          </cell>
          <cell r="H1667" t="str">
            <v>Pelecaniformes</v>
          </cell>
          <cell r="I1667" t="str">
            <v>Ardeidae (Herons, Egrets, and Bitterns)</v>
          </cell>
        </row>
        <row r="1668">
          <cell r="E1668" t="str">
            <v>Striated Pardalote</v>
          </cell>
          <cell r="F1668" t="str">
            <v>Pardalote à point jaune</v>
          </cell>
          <cell r="G1668" t="str">
            <v>Pardalotus striatus</v>
          </cell>
          <cell r="H1668" t="str">
            <v>Passeriformes</v>
          </cell>
          <cell r="I1668" t="str">
            <v>Pardalotidae (Pardalotes)</v>
          </cell>
        </row>
        <row r="1669">
          <cell r="E1669" t="str">
            <v>Striated Thornbill</v>
          </cell>
          <cell r="F1669" t="str">
            <v>Acanthize ridé</v>
          </cell>
          <cell r="G1669" t="str">
            <v>Acanthiza lineata</v>
          </cell>
          <cell r="H1669" t="str">
            <v>Passeriformes</v>
          </cell>
          <cell r="I1669" t="str">
            <v>Acanthizidae (Thornbills and Allies)</v>
          </cell>
        </row>
        <row r="1670">
          <cell r="E1670" t="str">
            <v>Stripe-backed Wren</v>
          </cell>
          <cell r="F1670" t="str">
            <v>Troglodyte rayé</v>
          </cell>
          <cell r="G1670" t="str">
            <v>Campylorhynchus nuchalis</v>
          </cell>
          <cell r="H1670" t="str">
            <v>Passeriformes</v>
          </cell>
          <cell r="I1670" t="str">
            <v>Troglodytidae (Wrens)</v>
          </cell>
        </row>
        <row r="1671">
          <cell r="E1671" t="str">
            <v>Stripe-breasted Spinetail</v>
          </cell>
          <cell r="F1671" t="str">
            <v>Synallaxe guiouti</v>
          </cell>
          <cell r="G1671" t="str">
            <v>Synallaxis cinnamomea</v>
          </cell>
          <cell r="H1671" t="str">
            <v>Passeriformes</v>
          </cell>
          <cell r="I1671" t="str">
            <v>Furnariidae (Ovenbirds and Woodcreepers)</v>
          </cell>
        </row>
        <row r="1672">
          <cell r="E1672" t="str">
            <v>Stripe-breasted Wren</v>
          </cell>
          <cell r="F1672" t="str">
            <v>Troglodyte flammé</v>
          </cell>
          <cell r="G1672" t="str">
            <v>Cantorchilus thoracicus</v>
          </cell>
          <cell r="H1672" t="str">
            <v>Passeriformes</v>
          </cell>
          <cell r="I1672" t="str">
            <v>Troglodytidae (Wrens)</v>
          </cell>
        </row>
        <row r="1673">
          <cell r="E1673" t="str">
            <v>Stripe-headed Sparrow</v>
          </cell>
          <cell r="F1673" t="str">
            <v>Bruant ligné</v>
          </cell>
          <cell r="G1673" t="str">
            <v>Peucaea ruficauda</v>
          </cell>
          <cell r="H1673" t="str">
            <v>Passeriformes</v>
          </cell>
          <cell r="I1673" t="str">
            <v>Passerellidae (New World Sparrows)</v>
          </cell>
        </row>
        <row r="1674">
          <cell r="E1674" t="str">
            <v>Stripe-tailed Hummingbird</v>
          </cell>
          <cell r="F1674" t="str">
            <v>Colibri à épaulettes</v>
          </cell>
          <cell r="G1674" t="str">
            <v>Eupherusa eximia</v>
          </cell>
          <cell r="H1674" t="str">
            <v>Apodiformes</v>
          </cell>
          <cell r="I1674" t="str">
            <v>Trochilidae (Hummingbirds)</v>
          </cell>
        </row>
        <row r="1675">
          <cell r="E1675" t="str">
            <v>Stripe-throated Hermit</v>
          </cell>
          <cell r="F1675" t="str">
            <v>Ermite à gorge rayée</v>
          </cell>
          <cell r="G1675" t="str">
            <v>Phaethornis striigularis</v>
          </cell>
          <cell r="H1675" t="str">
            <v>Apodiformes</v>
          </cell>
          <cell r="I1675" t="str">
            <v>Trochilidae (Hummingbirds)</v>
          </cell>
        </row>
        <row r="1676">
          <cell r="E1676" t="str">
            <v>Stripe-throated Jery</v>
          </cell>
          <cell r="F1676" t="str">
            <v>Grande Éroesse</v>
          </cell>
          <cell r="G1676" t="str">
            <v>Neomixis striatigula</v>
          </cell>
          <cell r="H1676" t="str">
            <v>Passeriformes</v>
          </cell>
          <cell r="I1676" t="str">
            <v>Cisticolidae (Cisticolas and Allies)</v>
          </cell>
        </row>
        <row r="1677">
          <cell r="E1677" t="str">
            <v>Striped Cuckoo</v>
          </cell>
          <cell r="F1677" t="str">
            <v>Géocoucou tacheté</v>
          </cell>
          <cell r="G1677" t="str">
            <v>Tapera naevia</v>
          </cell>
          <cell r="H1677" t="str">
            <v>Cuculiformes</v>
          </cell>
          <cell r="I1677" t="str">
            <v>Cuculidae (Cuckoos)</v>
          </cell>
        </row>
        <row r="1678">
          <cell r="E1678" t="str">
            <v>Striped Honeyeater</v>
          </cell>
          <cell r="F1678" t="str">
            <v>Méliphage lancéolé</v>
          </cell>
          <cell r="G1678" t="str">
            <v>Plectorhyncha lanceolata</v>
          </cell>
          <cell r="H1678" t="str">
            <v>Passeriformes</v>
          </cell>
          <cell r="I1678" t="str">
            <v>Meliphagidae (Honeyeaters)</v>
          </cell>
        </row>
        <row r="1679">
          <cell r="E1679" t="str">
            <v>Striped Kingfisher</v>
          </cell>
          <cell r="F1679" t="str">
            <v>Martin-chasseur strié</v>
          </cell>
          <cell r="G1679" t="str">
            <v>Halcyon chelicuti</v>
          </cell>
          <cell r="H1679" t="str">
            <v>Coraciiformes</v>
          </cell>
          <cell r="I1679" t="str">
            <v>Alcedinidae (Kingfishers)</v>
          </cell>
        </row>
        <row r="1680">
          <cell r="E1680" t="str">
            <v>Strong-billed Honeyeater</v>
          </cell>
          <cell r="F1680" t="str">
            <v>Méliphage à bec fort</v>
          </cell>
          <cell r="G1680" t="str">
            <v>Melithreptus validirostris</v>
          </cell>
          <cell r="H1680" t="str">
            <v>Passeriformes</v>
          </cell>
          <cell r="I1680" t="str">
            <v>Meliphagidae (Honeyeaters)</v>
          </cell>
        </row>
        <row r="1681">
          <cell r="E1681" t="str">
            <v>Strong-billed Woodcreeper</v>
          </cell>
          <cell r="F1681" t="str">
            <v>Grimpar géant</v>
          </cell>
          <cell r="G1681" t="str">
            <v>Xiphocolaptes promeropirhynchus</v>
          </cell>
          <cell r="H1681" t="str">
            <v>Passeriformes</v>
          </cell>
          <cell r="I1681" t="str">
            <v>Furnariidae (Ovenbirds and Woodcreepers)</v>
          </cell>
        </row>
        <row r="1682">
          <cell r="E1682" t="str">
            <v>Stub-tailed Spadebill</v>
          </cell>
          <cell r="F1682" t="str">
            <v>Platyrhynque à queue courte</v>
          </cell>
          <cell r="G1682" t="str">
            <v>Platyrinchus cancrominus</v>
          </cell>
          <cell r="H1682" t="str">
            <v>Passeriformes</v>
          </cell>
          <cell r="I1682" t="str">
            <v>Tyrannidae (Tyrant Flycatchers)</v>
          </cell>
        </row>
        <row r="1683">
          <cell r="E1683" t="str">
            <v>Stygian Owl</v>
          </cell>
          <cell r="F1683" t="str">
            <v>Hibou maître-bois</v>
          </cell>
          <cell r="G1683" t="str">
            <v>Asio stygius</v>
          </cell>
          <cell r="H1683" t="str">
            <v>Strigiformes</v>
          </cell>
          <cell r="I1683" t="str">
            <v>Strigidae (Owls)</v>
          </cell>
        </row>
        <row r="1684">
          <cell r="E1684" t="str">
            <v>Subdesert Brush-Warbler</v>
          </cell>
          <cell r="F1684" t="str">
            <v>Nésille de Lantz</v>
          </cell>
          <cell r="G1684" t="str">
            <v>Nesillas lantzii</v>
          </cell>
          <cell r="H1684" t="str">
            <v>Passeriformes</v>
          </cell>
          <cell r="I1684" t="str">
            <v>Acrocephalidae (Reed Warblers and Allies)</v>
          </cell>
        </row>
        <row r="1685">
          <cell r="E1685" t="str">
            <v>Subdesert Mesite</v>
          </cell>
          <cell r="F1685" t="str">
            <v>Mésite monias</v>
          </cell>
          <cell r="G1685" t="str">
            <v>Monias benschi</v>
          </cell>
          <cell r="H1685" t="str">
            <v>Mesitornithiformes</v>
          </cell>
          <cell r="I1685" t="str">
            <v>Mesitornithidae (Mesites)</v>
          </cell>
        </row>
        <row r="1686">
          <cell r="E1686" t="str">
            <v>Sulphur-bellied Flycatcher</v>
          </cell>
          <cell r="F1686" t="str">
            <v>Tyran tigré</v>
          </cell>
          <cell r="G1686" t="str">
            <v>Myiodynastes luteiventris</v>
          </cell>
          <cell r="H1686" t="str">
            <v>Passeriformes</v>
          </cell>
          <cell r="I1686" t="str">
            <v>Tyrannidae (Tyrant Flycatchers)</v>
          </cell>
        </row>
        <row r="1687">
          <cell r="E1687" t="str">
            <v>Sulphur-breasted Bushshrike</v>
          </cell>
          <cell r="F1687" t="str">
            <v>Gonolek soufré</v>
          </cell>
          <cell r="G1687" t="str">
            <v>Chlorophoneus sulfureopectus</v>
          </cell>
          <cell r="H1687" t="str">
            <v>Passeriformes</v>
          </cell>
          <cell r="I1687" t="str">
            <v>Malaconotidae (Bushshrikes and Allies)</v>
          </cell>
        </row>
        <row r="1688">
          <cell r="E1688" t="str">
            <v>Sulphur-crested Cockatoo</v>
          </cell>
          <cell r="F1688" t="str">
            <v>Cacatoès à huppe jaune</v>
          </cell>
          <cell r="G1688" t="str">
            <v>Cacatua galerita</v>
          </cell>
          <cell r="H1688" t="str">
            <v>Psittaciformes</v>
          </cell>
          <cell r="I1688" t="str">
            <v>Cacatuidae (Cockatoos)</v>
          </cell>
        </row>
        <row r="1689">
          <cell r="E1689" t="str">
            <v>Sulphur-rumped Flycatcher</v>
          </cell>
          <cell r="F1689" t="str">
            <v>Barbichon à croupion jaune</v>
          </cell>
          <cell r="G1689" t="str">
            <v>Myiobius sulphureipygius</v>
          </cell>
          <cell r="H1689" t="str">
            <v>Passeriformes</v>
          </cell>
          <cell r="I1689" t="str">
            <v>Onychorhynchidae (Royal Flycatchers and Allies)</v>
          </cell>
        </row>
        <row r="1690">
          <cell r="E1690" t="str">
            <v>Sulphur-winged Parakeet</v>
          </cell>
          <cell r="F1690" t="str">
            <v>Conure de Hoffmann</v>
          </cell>
          <cell r="G1690" t="str">
            <v>Pyrrhura hoffmanni</v>
          </cell>
          <cell r="H1690" t="str">
            <v>Psittaciformes</v>
          </cell>
          <cell r="I1690" t="str">
            <v>Psittacidae (New World and African Parrots)</v>
          </cell>
        </row>
        <row r="1691">
          <cell r="E1691" t="str">
            <v>Summer Tanager</v>
          </cell>
          <cell r="F1691" t="str">
            <v>Piranga vermillon</v>
          </cell>
          <cell r="G1691" t="str">
            <v>Piranga rubra</v>
          </cell>
          <cell r="H1691" t="str">
            <v>Passeriformes</v>
          </cell>
          <cell r="I1691" t="str">
            <v>Cardinalidae (Cardinals and Allies)</v>
          </cell>
        </row>
        <row r="1692">
          <cell r="E1692" t="str">
            <v>Sunbittern</v>
          </cell>
          <cell r="F1692" t="str">
            <v>Caurale soleil</v>
          </cell>
          <cell r="G1692" t="str">
            <v>Eurypyga helias</v>
          </cell>
          <cell r="H1692" t="str">
            <v>Eurypygiformes</v>
          </cell>
          <cell r="I1692" t="str">
            <v>Eurypygidae (Sunbittern)</v>
          </cell>
        </row>
        <row r="1693">
          <cell r="E1693" t="str">
            <v>Superb Fairywren</v>
          </cell>
          <cell r="F1693" t="str">
            <v>Mérion superbe</v>
          </cell>
          <cell r="G1693" t="str">
            <v>Malurus cyaneus</v>
          </cell>
          <cell r="H1693" t="str">
            <v>Passeriformes</v>
          </cell>
          <cell r="I1693" t="str">
            <v>Maluridae (Fairywrens)</v>
          </cell>
        </row>
        <row r="1694">
          <cell r="E1694" t="str">
            <v>Superb Lyrebird</v>
          </cell>
          <cell r="F1694" t="str">
            <v>Ménure superbe</v>
          </cell>
          <cell r="G1694" t="str">
            <v>Menura novaehollandiae</v>
          </cell>
          <cell r="H1694" t="str">
            <v>Passeriformes</v>
          </cell>
          <cell r="I1694" t="str">
            <v>Menuridae (Lyrebirds)</v>
          </cell>
        </row>
        <row r="1695">
          <cell r="E1695" t="str">
            <v>Superb Parrot</v>
          </cell>
          <cell r="F1695" t="str">
            <v>Perruche de Barraband</v>
          </cell>
          <cell r="G1695" t="str">
            <v>Polytelis swainsonii</v>
          </cell>
          <cell r="H1695" t="str">
            <v>Psittaciformes</v>
          </cell>
          <cell r="I1695" t="str">
            <v>Psittaculidae (Old World Parrots)</v>
          </cell>
        </row>
        <row r="1696">
          <cell r="E1696" t="str">
            <v>Superb Starling</v>
          </cell>
          <cell r="F1696" t="str">
            <v>Choucador superbe</v>
          </cell>
          <cell r="G1696" t="str">
            <v>Lamprotornis superbus</v>
          </cell>
          <cell r="H1696" t="str">
            <v>Passeriformes</v>
          </cell>
          <cell r="I1696" t="str">
            <v>Sturnidae (Starlings)</v>
          </cell>
        </row>
        <row r="1697">
          <cell r="E1697" t="str">
            <v>Superciliaried Hemispingus</v>
          </cell>
          <cell r="F1697" t="str">
            <v>Tangara bridé</v>
          </cell>
          <cell r="G1697" t="str">
            <v>Thlypopsis superciliaris</v>
          </cell>
          <cell r="H1697" t="str">
            <v>Passeriformes</v>
          </cell>
          <cell r="I1697" t="str">
            <v>Thraupidae (Tanagers and Allies)</v>
          </cell>
        </row>
        <row r="1698">
          <cell r="E1698" t="str">
            <v>Surf Scoter</v>
          </cell>
          <cell r="F1698" t="str">
            <v>Macreuse à front blanc</v>
          </cell>
          <cell r="G1698" t="str">
            <v>Melanitta perspicillata</v>
          </cell>
          <cell r="H1698" t="str">
            <v>Anseriformes</v>
          </cell>
          <cell r="I1698" t="str">
            <v>Anatidae (Ducks, Geese, and Waterfowl)</v>
          </cell>
        </row>
        <row r="1699">
          <cell r="E1699" t="str">
            <v>Swainson's Hawk</v>
          </cell>
          <cell r="F1699" t="str">
            <v>Buse de Swainson</v>
          </cell>
          <cell r="G1699" t="str">
            <v>Buteo swainsoni</v>
          </cell>
          <cell r="H1699" t="str">
            <v>Accipitriformes</v>
          </cell>
          <cell r="I1699" t="str">
            <v>Accipitridae (Hawks, Eagles, and Kites)</v>
          </cell>
        </row>
        <row r="1700">
          <cell r="E1700" t="str">
            <v>Swainson's Spurfowl</v>
          </cell>
          <cell r="F1700" t="str">
            <v>Francolin de Swainson</v>
          </cell>
          <cell r="G1700" t="str">
            <v>Pternistis swainsonii</v>
          </cell>
          <cell r="H1700" t="str">
            <v>Galliformes</v>
          </cell>
          <cell r="I1700" t="str">
            <v>Phasianidae (Pheasants, Grouse, and Allies)</v>
          </cell>
        </row>
        <row r="1701">
          <cell r="E1701" t="str">
            <v>Swainson's Thrush</v>
          </cell>
          <cell r="F1701" t="str">
            <v>Grive à dos olive</v>
          </cell>
          <cell r="G1701" t="str">
            <v>Catharus ustulatus</v>
          </cell>
          <cell r="H1701" t="str">
            <v>Passeriformes</v>
          </cell>
          <cell r="I1701" t="str">
            <v>Turdidae (Thrushes and Allies)</v>
          </cell>
        </row>
        <row r="1702">
          <cell r="E1702" t="str">
            <v>Swallow Tanager</v>
          </cell>
          <cell r="F1702" t="str">
            <v>Tersine hirondelle</v>
          </cell>
          <cell r="G1702" t="str">
            <v>Tersina viridis</v>
          </cell>
          <cell r="H1702" t="str">
            <v>Passeriformes</v>
          </cell>
          <cell r="I1702" t="str">
            <v>Thraupidae (Tanagers and Allies)</v>
          </cell>
        </row>
        <row r="1703">
          <cell r="E1703" t="str">
            <v>Swallow-tailed Gull</v>
          </cell>
          <cell r="F1703" t="str">
            <v>Mouette à queue fourchue</v>
          </cell>
          <cell r="G1703" t="str">
            <v>Creagrus furcatus</v>
          </cell>
          <cell r="H1703" t="str">
            <v>Charadriiformes</v>
          </cell>
          <cell r="I1703" t="str">
            <v>Laridae (Gulls, Terns, and Skimmers)</v>
          </cell>
        </row>
        <row r="1704">
          <cell r="E1704" t="str">
            <v>Swallow-tailed Kite</v>
          </cell>
          <cell r="F1704" t="str">
            <v>Naucler à queue fourchue</v>
          </cell>
          <cell r="G1704" t="str">
            <v>Elanoides forficatus</v>
          </cell>
          <cell r="H1704" t="str">
            <v>Accipitriformes</v>
          </cell>
          <cell r="I1704" t="str">
            <v>Accipitridae (Hawks, Eagles, and Kites)</v>
          </cell>
        </row>
        <row r="1705">
          <cell r="E1705" t="str">
            <v>Swamp Harrier</v>
          </cell>
          <cell r="F1705" t="str">
            <v>Busard de Gould</v>
          </cell>
          <cell r="G1705" t="str">
            <v>Circus approximans</v>
          </cell>
          <cell r="H1705" t="str">
            <v>Accipitriformes</v>
          </cell>
          <cell r="I1705" t="str">
            <v>Accipitridae (Hawks, Eagles, and Kites)</v>
          </cell>
        </row>
        <row r="1706">
          <cell r="E1706" t="str">
            <v>Swamp Sparrow</v>
          </cell>
          <cell r="F1706" t="str">
            <v>Bruant des marais</v>
          </cell>
          <cell r="G1706" t="str">
            <v>Melospiza georgiana</v>
          </cell>
          <cell r="H1706" t="str">
            <v>Passeriformes</v>
          </cell>
          <cell r="I1706" t="str">
            <v>Passerellidae (New World Sparrows)</v>
          </cell>
        </row>
        <row r="1707">
          <cell r="E1707" t="str">
            <v>Swift Parrot</v>
          </cell>
          <cell r="F1707" t="str">
            <v>Perruche de Latham</v>
          </cell>
          <cell r="G1707" t="str">
            <v>Lathamus discolor</v>
          </cell>
          <cell r="H1707" t="str">
            <v>Psittaciformes</v>
          </cell>
          <cell r="I1707" t="str">
            <v>Psittaculidae (Old World Parrots)</v>
          </cell>
        </row>
        <row r="1708">
          <cell r="E1708" t="str">
            <v>Sword-billed Hummingbird</v>
          </cell>
          <cell r="F1708" t="str">
            <v>Colibri porte-épée</v>
          </cell>
          <cell r="G1708" t="str">
            <v>Ensifera ensifera</v>
          </cell>
          <cell r="H1708" t="str">
            <v>Apodiformes</v>
          </cell>
          <cell r="I1708" t="str">
            <v>Trochilidae (Hummingbirds)</v>
          </cell>
        </row>
        <row r="1709">
          <cell r="E1709" t="str">
            <v>Talamanca Hummingbird</v>
          </cell>
          <cell r="F1709" t="str">
            <v>Colibri de la Talamanca</v>
          </cell>
          <cell r="G1709" t="str">
            <v>Eugenes spectabilis</v>
          </cell>
          <cell r="H1709" t="str">
            <v>Apodiformes</v>
          </cell>
          <cell r="I1709" t="str">
            <v>Trochilidae (Hummingbirds)</v>
          </cell>
        </row>
        <row r="1710">
          <cell r="E1710" t="str">
            <v>Tasmanian Nativehen</v>
          </cell>
          <cell r="F1710" t="str">
            <v>Gallinule de Tasmanie</v>
          </cell>
          <cell r="G1710" t="str">
            <v>Tribonyx mortierii</v>
          </cell>
          <cell r="H1710" t="str">
            <v>Gruiformes</v>
          </cell>
          <cell r="I1710" t="str">
            <v>Rallidae (Rails, Gallinules, and Coots)</v>
          </cell>
        </row>
        <row r="1711">
          <cell r="E1711" t="str">
            <v>Tasmanian Scrubwren</v>
          </cell>
          <cell r="F1711" t="str">
            <v>Séricorne brun</v>
          </cell>
          <cell r="G1711" t="str">
            <v>Sericornis humilis</v>
          </cell>
          <cell r="H1711" t="str">
            <v>Passeriformes</v>
          </cell>
          <cell r="I1711" t="str">
            <v>Acanthizidae (Thornbills and Allies)</v>
          </cell>
        </row>
        <row r="1712">
          <cell r="E1712" t="str">
            <v>Tasmanian Thornbill</v>
          </cell>
          <cell r="F1712" t="str">
            <v>Acanthize de Tasmanie</v>
          </cell>
          <cell r="G1712" t="str">
            <v>Acanthiza ewingii</v>
          </cell>
          <cell r="H1712" t="str">
            <v>Passeriformes</v>
          </cell>
          <cell r="I1712" t="str">
            <v>Acanthizidae (Thornbills and Allies)</v>
          </cell>
        </row>
        <row r="1713">
          <cell r="E1713" t="str">
            <v>Tawny Antpitta</v>
          </cell>
          <cell r="F1713" t="str">
            <v>Grallaire de Quito</v>
          </cell>
          <cell r="G1713" t="str">
            <v>Grallaria quitensis</v>
          </cell>
          <cell r="H1713" t="str">
            <v>Passeriformes</v>
          </cell>
          <cell r="I1713" t="str">
            <v>Grallariidae (Antpittas)</v>
          </cell>
        </row>
        <row r="1714">
          <cell r="E1714" t="str">
            <v>Tawny Eagle</v>
          </cell>
          <cell r="F1714" t="str">
            <v>Aigle ravisseur</v>
          </cell>
          <cell r="G1714" t="str">
            <v>Aquila rapax</v>
          </cell>
          <cell r="H1714" t="str">
            <v>Accipitriformes</v>
          </cell>
          <cell r="I1714" t="str">
            <v>Accipitridae (Hawks, Eagles, and Kites)</v>
          </cell>
        </row>
        <row r="1715">
          <cell r="E1715" t="str">
            <v>Tawny Frogmouth</v>
          </cell>
          <cell r="F1715" t="str">
            <v>Podarge gris</v>
          </cell>
          <cell r="G1715" t="str">
            <v>Podargus strigoides</v>
          </cell>
          <cell r="H1715" t="str">
            <v>Podargiformes</v>
          </cell>
          <cell r="I1715" t="str">
            <v>Podargidae (Frogmouths)</v>
          </cell>
        </row>
        <row r="1716">
          <cell r="E1716" t="str">
            <v>Tawny-capped Euphonia</v>
          </cell>
          <cell r="F1716" t="str">
            <v>Organiste à couronne rousse</v>
          </cell>
          <cell r="G1716" t="str">
            <v>Euphonia anneae</v>
          </cell>
          <cell r="H1716" t="str">
            <v>Passeriformes</v>
          </cell>
          <cell r="I1716" t="str">
            <v>Fringillidae (Finches, Euphonias, and Allies)</v>
          </cell>
        </row>
        <row r="1717">
          <cell r="E1717" t="str">
            <v>Tawny-crested Tanager</v>
          </cell>
          <cell r="F1717" t="str">
            <v>Tangara de Delattre</v>
          </cell>
          <cell r="G1717" t="str">
            <v>Tachyphonus delatrii</v>
          </cell>
          <cell r="H1717" t="str">
            <v>Passeriformes</v>
          </cell>
          <cell r="I1717" t="str">
            <v>Thraupidae (Tanagers and Allies)</v>
          </cell>
        </row>
        <row r="1718">
          <cell r="E1718" t="str">
            <v>Tawny-faced Gnatwren</v>
          </cell>
          <cell r="F1718" t="str">
            <v>Microbate cendré</v>
          </cell>
          <cell r="G1718" t="str">
            <v>Microbates cinereiventris</v>
          </cell>
          <cell r="H1718" t="str">
            <v>Passeriformes</v>
          </cell>
          <cell r="I1718" t="str">
            <v>Polioptilidae (Gnatcatchers)</v>
          </cell>
        </row>
        <row r="1719">
          <cell r="E1719" t="str">
            <v>Tawny-flanked Prinia</v>
          </cell>
          <cell r="F1719" t="str">
            <v>Prinia modeste</v>
          </cell>
          <cell r="G1719" t="str">
            <v>Prinia subflava</v>
          </cell>
          <cell r="H1719" t="str">
            <v>Passeriformes</v>
          </cell>
          <cell r="I1719" t="str">
            <v>Cisticolidae (Cisticolas and Allies)</v>
          </cell>
        </row>
        <row r="1720">
          <cell r="E1720" t="str">
            <v>Tawny-winged Woodcreeper</v>
          </cell>
          <cell r="F1720" t="str">
            <v>Grimpar à ailes rousses</v>
          </cell>
          <cell r="G1720" t="str">
            <v>Dendrocincla anabatina</v>
          </cell>
          <cell r="H1720" t="str">
            <v>Passeriformes</v>
          </cell>
          <cell r="I1720" t="str">
            <v>Furnariidae (Ovenbirds and Woodcreepers)</v>
          </cell>
        </row>
        <row r="1721">
          <cell r="E1721" t="str">
            <v>Temminck's Courser</v>
          </cell>
          <cell r="F1721" t="str">
            <v>Courvite de Temminck</v>
          </cell>
          <cell r="G1721" t="str">
            <v>Cursorius temminckii</v>
          </cell>
          <cell r="H1721" t="str">
            <v>Charadriiformes</v>
          </cell>
          <cell r="I1721" t="str">
            <v>Glareolidae (Pratincoles and Coursers)</v>
          </cell>
        </row>
        <row r="1722">
          <cell r="E1722" t="str">
            <v>Tennessee Warbler</v>
          </cell>
          <cell r="F1722" t="str">
            <v>Paruline obscure</v>
          </cell>
          <cell r="G1722" t="str">
            <v>Leiothlypis peregrina</v>
          </cell>
          <cell r="H1722" t="str">
            <v>Passeriformes</v>
          </cell>
          <cell r="I1722" t="str">
            <v>Parulidae (New World Warblers)</v>
          </cell>
        </row>
        <row r="1723">
          <cell r="E1723" t="str">
            <v>Thick-billed Euphonia</v>
          </cell>
          <cell r="F1723" t="str">
            <v>Organiste à bec épais</v>
          </cell>
          <cell r="G1723" t="str">
            <v>Euphonia laniirostris</v>
          </cell>
          <cell r="H1723" t="str">
            <v>Passeriformes</v>
          </cell>
          <cell r="I1723" t="str">
            <v>Fringillidae (Finches, Euphonias, and Allies)</v>
          </cell>
        </row>
        <row r="1724">
          <cell r="E1724" t="str">
            <v>Thick-billed Grasswren</v>
          </cell>
          <cell r="F1724" t="str">
            <v>Amytis à bec fort</v>
          </cell>
          <cell r="G1724" t="str">
            <v>Amytornis modestus</v>
          </cell>
          <cell r="H1724" t="str">
            <v>Passeriformes</v>
          </cell>
          <cell r="I1724" t="str">
            <v>Maluridae (Fairywrens)</v>
          </cell>
        </row>
        <row r="1725">
          <cell r="E1725" t="str">
            <v>Thick-billed Seed-Finch</v>
          </cell>
          <cell r="F1725" t="str">
            <v>Sporophile à bec fort</v>
          </cell>
          <cell r="G1725" t="str">
            <v>Sporophila funerea</v>
          </cell>
          <cell r="H1725" t="str">
            <v>Passeriformes</v>
          </cell>
          <cell r="I1725" t="str">
            <v>Thraupidae (Tanagers and Allies)</v>
          </cell>
        </row>
        <row r="1726">
          <cell r="E1726" t="str">
            <v>Thicket Antpitta</v>
          </cell>
          <cell r="F1726" t="str">
            <v>Grallaire buissonnière</v>
          </cell>
          <cell r="G1726" t="str">
            <v>Myrmothera dives</v>
          </cell>
          <cell r="H1726" t="str">
            <v>Passeriformes</v>
          </cell>
          <cell r="I1726" t="str">
            <v>Grallariidae (Antpittas)</v>
          </cell>
        </row>
        <row r="1727">
          <cell r="E1727" t="str">
            <v>Three-banded Plover</v>
          </cell>
          <cell r="F1727" t="str">
            <v>Pluvier à triple collier</v>
          </cell>
          <cell r="G1727" t="str">
            <v>Thinornis tricollaris</v>
          </cell>
          <cell r="H1727" t="str">
            <v>Charadriiformes</v>
          </cell>
          <cell r="I1727" t="str">
            <v>Charadriidae (Plovers and Lapwings)</v>
          </cell>
        </row>
        <row r="1728">
          <cell r="E1728" t="str">
            <v>Three-striped Warbler</v>
          </cell>
          <cell r="F1728" t="str">
            <v>Paruline triligne</v>
          </cell>
          <cell r="G1728" t="str">
            <v>Basileuterus tristriatus</v>
          </cell>
          <cell r="H1728" t="str">
            <v>Passeriformes</v>
          </cell>
          <cell r="I1728" t="str">
            <v>Parulidae (New World Warblers)</v>
          </cell>
        </row>
        <row r="1729">
          <cell r="E1729" t="str">
            <v>Three-wattled Bellbird</v>
          </cell>
          <cell r="F1729" t="str">
            <v>Araponga tricaronculé</v>
          </cell>
          <cell r="G1729" t="str">
            <v>Procnias tricarunculatus</v>
          </cell>
          <cell r="H1729" t="str">
            <v>Passeriformes</v>
          </cell>
          <cell r="I1729" t="str">
            <v>Cotingidae (Cotingas)</v>
          </cell>
        </row>
        <row r="1730">
          <cell r="E1730" t="str">
            <v>Timberline Wren</v>
          </cell>
          <cell r="F1730" t="str">
            <v>Troglodyte des volcans</v>
          </cell>
          <cell r="G1730" t="str">
            <v>Thryorchilus browni</v>
          </cell>
          <cell r="H1730" t="str">
            <v>Passeriformes</v>
          </cell>
          <cell r="I1730" t="str">
            <v>Troglodytidae (Wrens)</v>
          </cell>
        </row>
        <row r="1731">
          <cell r="E1731" t="str">
            <v>Tiny Hawk</v>
          </cell>
          <cell r="F1731" t="str">
            <v>Épervier nain</v>
          </cell>
          <cell r="G1731" t="str">
            <v>Microspizias superciliosus</v>
          </cell>
          <cell r="H1731" t="str">
            <v>Accipitriformes</v>
          </cell>
          <cell r="I1731" t="str">
            <v>Accipitridae (Hawks, Eagles, and Kites)</v>
          </cell>
        </row>
        <row r="1732">
          <cell r="E1732" t="str">
            <v>Tocuyo Sparrow</v>
          </cell>
          <cell r="F1732" t="str">
            <v>Tohi de Tocuyo</v>
          </cell>
          <cell r="G1732" t="str">
            <v>Arremonops tocuyensis</v>
          </cell>
          <cell r="H1732" t="str">
            <v>Passeriformes</v>
          </cell>
          <cell r="I1732" t="str">
            <v>Passerellidae (New World Sparrows)</v>
          </cell>
        </row>
        <row r="1733">
          <cell r="E1733" t="str">
            <v>Tody Motmot</v>
          </cell>
          <cell r="F1733" t="str">
            <v>Motmot nain</v>
          </cell>
          <cell r="G1733" t="str">
            <v>Hylomanes momotula</v>
          </cell>
          <cell r="H1733" t="str">
            <v>Coraciiformes</v>
          </cell>
          <cell r="I1733" t="str">
            <v>Momotidae (Motmots)</v>
          </cell>
        </row>
        <row r="1734">
          <cell r="E1734" t="str">
            <v>Topknot Pigeon</v>
          </cell>
          <cell r="F1734" t="str">
            <v>Carpophage à double huppe</v>
          </cell>
          <cell r="G1734" t="str">
            <v>Lopholaimus antarcticus</v>
          </cell>
          <cell r="H1734" t="str">
            <v>Columbiformes</v>
          </cell>
          <cell r="I1734" t="str">
            <v>Columbidae (Pigeons and Doves)</v>
          </cell>
        </row>
        <row r="1735">
          <cell r="E1735" t="str">
            <v>Torrent Duck</v>
          </cell>
          <cell r="F1735" t="str">
            <v>Merganette des torrents</v>
          </cell>
          <cell r="G1735" t="str">
            <v>Merganetta armata</v>
          </cell>
          <cell r="H1735" t="str">
            <v>Anseriformes</v>
          </cell>
          <cell r="I1735" t="str">
            <v>Anatidae (Ducks, Geese, and Waterfowl)</v>
          </cell>
        </row>
        <row r="1736">
          <cell r="E1736" t="str">
            <v>Torrent Tyrannulet</v>
          </cell>
          <cell r="F1736" t="str">
            <v>Tyranneau des torrents</v>
          </cell>
          <cell r="G1736" t="str">
            <v>Serpophaga cinerea</v>
          </cell>
          <cell r="H1736" t="str">
            <v>Passeriformes</v>
          </cell>
          <cell r="I1736" t="str">
            <v>Tyrannidae (Tyrant Flycatchers)</v>
          </cell>
        </row>
        <row r="1737">
          <cell r="E1737" t="str">
            <v>Toucan Barbet</v>
          </cell>
          <cell r="F1737" t="str">
            <v>Cabézon toucan</v>
          </cell>
          <cell r="G1737" t="str">
            <v>Semnornis ramphastinus</v>
          </cell>
          <cell r="H1737" t="str">
            <v>Piciformes</v>
          </cell>
          <cell r="I1737" t="str">
            <v>Semnornithidae (Toucan-Barbets)</v>
          </cell>
        </row>
        <row r="1738">
          <cell r="E1738" t="str">
            <v>Tourmaline Sunangel</v>
          </cell>
          <cell r="F1738" t="str">
            <v>Héliange tourmaline</v>
          </cell>
          <cell r="G1738" t="str">
            <v>Heliangelus exortis</v>
          </cell>
          <cell r="H1738" t="str">
            <v>Apodiformes</v>
          </cell>
          <cell r="I1738" t="str">
            <v>Trochilidae (Hummingbirds)</v>
          </cell>
        </row>
        <row r="1739">
          <cell r="E1739" t="str">
            <v>Townsend's Warbler</v>
          </cell>
          <cell r="F1739" t="str">
            <v>Paruline de Townsend</v>
          </cell>
          <cell r="G1739" t="str">
            <v>Setophaga townsendi</v>
          </cell>
          <cell r="H1739" t="str">
            <v>Passeriformes</v>
          </cell>
          <cell r="I1739" t="str">
            <v>Parulidae (New World Warblers)</v>
          </cell>
        </row>
        <row r="1740">
          <cell r="E1740" t="str">
            <v>Tree Martin</v>
          </cell>
          <cell r="F1740" t="str">
            <v>Hirondelle des arbres</v>
          </cell>
          <cell r="G1740" t="str">
            <v>Petrochelidon nigricans</v>
          </cell>
          <cell r="H1740" t="str">
            <v>Passeriformes</v>
          </cell>
          <cell r="I1740" t="str">
            <v>Hirundinidae (Swallows)</v>
          </cell>
        </row>
        <row r="1741">
          <cell r="E1741" t="str">
            <v>Tree Swallow</v>
          </cell>
          <cell r="F1741" t="str">
            <v>Hirondelle bicolore</v>
          </cell>
          <cell r="G1741" t="str">
            <v>Tachycineta bicolor</v>
          </cell>
          <cell r="H1741" t="str">
            <v>Passeriformes</v>
          </cell>
          <cell r="I1741" t="str">
            <v>Hirundinidae (Swallows)</v>
          </cell>
        </row>
        <row r="1742">
          <cell r="E1742" t="str">
            <v>Tricolored Heron</v>
          </cell>
          <cell r="F1742" t="str">
            <v>Aigrette tricolore</v>
          </cell>
          <cell r="G1742" t="str">
            <v>Egretta tricolor</v>
          </cell>
          <cell r="H1742" t="str">
            <v>Pelecaniformes</v>
          </cell>
          <cell r="I1742" t="str">
            <v>Ardeidae (Herons, Egrets, and Bitterns)</v>
          </cell>
        </row>
        <row r="1743">
          <cell r="E1743" t="str">
            <v>Trinidad Euphonia</v>
          </cell>
          <cell r="F1743" t="str">
            <v>Organiste de Trinidad</v>
          </cell>
          <cell r="G1743" t="str">
            <v>Euphonia trinitatis</v>
          </cell>
          <cell r="H1743" t="str">
            <v>Passeriformes</v>
          </cell>
          <cell r="I1743" t="str">
            <v>Fringillidae (Finches, Euphonias, and Allies)</v>
          </cell>
        </row>
        <row r="1744">
          <cell r="E1744" t="str">
            <v>Trinidad Motmot</v>
          </cell>
          <cell r="F1744" t="str">
            <v>Motmot de Trinidad</v>
          </cell>
          <cell r="G1744" t="str">
            <v>Momotus bahamensis</v>
          </cell>
          <cell r="H1744" t="str">
            <v>Coraciiformes</v>
          </cell>
          <cell r="I1744" t="str">
            <v>Momotidae (Motmots)</v>
          </cell>
        </row>
        <row r="1745">
          <cell r="E1745" t="str">
            <v>Tropical Gnatcatcher</v>
          </cell>
          <cell r="F1745" t="str">
            <v>Gobemoucheron tropical</v>
          </cell>
          <cell r="G1745" t="str">
            <v>Polioptila plumbea</v>
          </cell>
          <cell r="H1745" t="str">
            <v>Passeriformes</v>
          </cell>
          <cell r="I1745" t="str">
            <v>Polioptilidae (Gnatcatchers)</v>
          </cell>
        </row>
        <row r="1746">
          <cell r="E1746" t="str">
            <v>Tropical Kingbird</v>
          </cell>
          <cell r="F1746" t="str">
            <v>Tyran mélancolique</v>
          </cell>
          <cell r="G1746" t="str">
            <v>Tyrannus melancholicus</v>
          </cell>
          <cell r="H1746" t="str">
            <v>Passeriformes</v>
          </cell>
          <cell r="I1746" t="str">
            <v>Tyrannidae (Tyrant Flycatchers)</v>
          </cell>
        </row>
        <row r="1747">
          <cell r="E1747" t="str">
            <v>Tropical Mockingbird</v>
          </cell>
          <cell r="F1747" t="str">
            <v>Moqueur des savanes</v>
          </cell>
          <cell r="G1747" t="str">
            <v>Mimus gilvus</v>
          </cell>
          <cell r="H1747" t="str">
            <v>Passeriformes</v>
          </cell>
          <cell r="I1747" t="str">
            <v>Mimidae (Mockingbirds and Thrashers)</v>
          </cell>
        </row>
        <row r="1748">
          <cell r="E1748" t="str">
            <v>Tropical Parula</v>
          </cell>
          <cell r="F1748" t="str">
            <v>Paruline à joues noires</v>
          </cell>
          <cell r="G1748" t="str">
            <v>Setophaga pitiayumi</v>
          </cell>
          <cell r="H1748" t="str">
            <v>Passeriformes</v>
          </cell>
          <cell r="I1748" t="str">
            <v>Parulidae (New World Warblers)</v>
          </cell>
        </row>
        <row r="1749">
          <cell r="E1749" t="str">
            <v>Tropical Royal Flycatcher</v>
          </cell>
          <cell r="F1749" t="str">
            <v>Porte-éventail roi</v>
          </cell>
          <cell r="G1749" t="str">
            <v>Onychorhynchus coronatus</v>
          </cell>
          <cell r="H1749" t="str">
            <v>Passeriformes</v>
          </cell>
          <cell r="I1749" t="str">
            <v>Onychorhynchidae (Royal Flycatchers and Allies)</v>
          </cell>
        </row>
        <row r="1750">
          <cell r="E1750" t="str">
            <v>Tropical Screech-Owl</v>
          </cell>
          <cell r="F1750" t="str">
            <v>Petit-duc choliba</v>
          </cell>
          <cell r="G1750" t="str">
            <v>Megascops choliba</v>
          </cell>
          <cell r="H1750" t="str">
            <v>Strigiformes</v>
          </cell>
          <cell r="I1750" t="str">
            <v>Strigidae (Owls)</v>
          </cell>
        </row>
        <row r="1751">
          <cell r="E1751" t="str">
            <v>Trumpeter Hornbill</v>
          </cell>
          <cell r="F1751" t="str">
            <v>Calao trompette</v>
          </cell>
          <cell r="G1751" t="str">
            <v>Bycanistes bucinator</v>
          </cell>
          <cell r="H1751" t="str">
            <v>Bucerotiformes</v>
          </cell>
          <cell r="I1751" t="str">
            <v>Bucerotidae (Hornbills)</v>
          </cell>
        </row>
        <row r="1752">
          <cell r="E1752" t="str">
            <v>Trumpeter Swan</v>
          </cell>
          <cell r="F1752" t="str">
            <v>Cygne trompette</v>
          </cell>
          <cell r="G1752" t="str">
            <v>Cygnus buccinator</v>
          </cell>
          <cell r="H1752" t="str">
            <v>Anseriformes</v>
          </cell>
          <cell r="I1752" t="str">
            <v>Anatidae (Ducks, Geese, and Waterfowl)</v>
          </cell>
        </row>
        <row r="1753">
          <cell r="E1753" t="str">
            <v>Tufted Coquette</v>
          </cell>
          <cell r="F1753" t="str">
            <v>Coquette huppe-col</v>
          </cell>
          <cell r="G1753" t="str">
            <v>Lophornis ornatus</v>
          </cell>
          <cell r="H1753" t="str">
            <v>Apodiformes</v>
          </cell>
          <cell r="I1753" t="str">
            <v>Trochilidae (Hummingbirds)</v>
          </cell>
        </row>
        <row r="1754">
          <cell r="E1754" t="str">
            <v>Tufted Duck</v>
          </cell>
          <cell r="F1754" t="str">
            <v>Fuligule morillon</v>
          </cell>
          <cell r="G1754" t="str">
            <v>Aythya fuligula</v>
          </cell>
          <cell r="H1754" t="str">
            <v>Anseriformes</v>
          </cell>
          <cell r="I1754" t="str">
            <v>Anatidae (Ducks, Geese, and Waterfowl)</v>
          </cell>
        </row>
        <row r="1755">
          <cell r="E1755" t="str">
            <v>Tufted Flycatcher</v>
          </cell>
          <cell r="F1755" t="str">
            <v>Moucherolle huppé</v>
          </cell>
          <cell r="G1755" t="str">
            <v>Mitrephanes phaeocercus</v>
          </cell>
          <cell r="H1755" t="str">
            <v>Passeriformes</v>
          </cell>
          <cell r="I1755" t="str">
            <v>Tyrannidae (Tyrant Flycatchers)</v>
          </cell>
        </row>
        <row r="1756">
          <cell r="E1756" t="str">
            <v>Tufted Tit-Tyrant</v>
          </cell>
          <cell r="F1756" t="str">
            <v>Taurillon mésange</v>
          </cell>
          <cell r="G1756" t="str">
            <v>Anairetes parulus</v>
          </cell>
          <cell r="H1756" t="str">
            <v>Passeriformes</v>
          </cell>
          <cell r="I1756" t="str">
            <v>Tyrannidae (Tyrant Flycatchers)</v>
          </cell>
        </row>
        <row r="1757">
          <cell r="E1757" t="str">
            <v>Tufted Titmouse</v>
          </cell>
          <cell r="F1757" t="str">
            <v>Mésange bicolore</v>
          </cell>
          <cell r="G1757" t="str">
            <v>Baeolophus bicolor</v>
          </cell>
          <cell r="H1757" t="str">
            <v>Passeriformes</v>
          </cell>
          <cell r="I1757" t="str">
            <v>Paridae (Tits, Chickadees, and Titmice)</v>
          </cell>
        </row>
        <row r="1758">
          <cell r="E1758" t="str">
            <v>Tundra Swan</v>
          </cell>
          <cell r="F1758" t="str">
            <v>Cygne siffleur</v>
          </cell>
          <cell r="G1758" t="str">
            <v>Cygnus columbianus</v>
          </cell>
          <cell r="H1758" t="str">
            <v>Anseriformes</v>
          </cell>
          <cell r="I1758" t="str">
            <v>Anatidae (Ducks, Geese, and Waterfowl)</v>
          </cell>
        </row>
        <row r="1759">
          <cell r="E1759" t="str">
            <v>Turkey Vulture</v>
          </cell>
          <cell r="F1759" t="str">
            <v>Urubu à tête rouge</v>
          </cell>
          <cell r="G1759" t="str">
            <v>Cathartes aura</v>
          </cell>
          <cell r="H1759" t="str">
            <v>Cathartiformes</v>
          </cell>
          <cell r="I1759" t="str">
            <v>Cathartidae (New World Vultures)</v>
          </cell>
        </row>
        <row r="1760">
          <cell r="E1760" t="str">
            <v>Turquoise Dacnis</v>
          </cell>
          <cell r="F1760" t="str">
            <v>Dacnis de Hartlaub</v>
          </cell>
          <cell r="G1760" t="str">
            <v>Dacnis hartlaubi</v>
          </cell>
          <cell r="H1760" t="str">
            <v>Passeriformes</v>
          </cell>
          <cell r="I1760" t="str">
            <v>Thraupidae (Tanagers and Allies)</v>
          </cell>
        </row>
        <row r="1761">
          <cell r="E1761" t="str">
            <v>Turquoise Jay</v>
          </cell>
          <cell r="F1761" t="str">
            <v>Geai turquoise</v>
          </cell>
          <cell r="G1761" t="str">
            <v>Cyanolyca turcosa</v>
          </cell>
          <cell r="H1761" t="str">
            <v>Passeriformes</v>
          </cell>
          <cell r="I1761" t="str">
            <v>Corvidae (Crows, Jays, and Magpies)</v>
          </cell>
        </row>
        <row r="1762">
          <cell r="E1762" t="str">
            <v>Turquoise Parrot</v>
          </cell>
          <cell r="F1762" t="str">
            <v>Perruche turquoisine</v>
          </cell>
          <cell r="G1762" t="str">
            <v>Neophema pulchella</v>
          </cell>
          <cell r="H1762" t="str">
            <v>Psittaciformes</v>
          </cell>
          <cell r="I1762" t="str">
            <v>Psittaculidae (Old World Parrots)</v>
          </cell>
        </row>
        <row r="1763">
          <cell r="E1763" t="str">
            <v>Turquoise Tanager</v>
          </cell>
          <cell r="F1763" t="str">
            <v>Calliste diable-enrhumé</v>
          </cell>
          <cell r="G1763" t="str">
            <v>Tangara mexicana</v>
          </cell>
          <cell r="H1763" t="str">
            <v>Passeriformes</v>
          </cell>
          <cell r="I1763" t="str">
            <v>Thraupidae (Tanagers and Allies)</v>
          </cell>
        </row>
        <row r="1764">
          <cell r="E1764" t="str">
            <v>Turquoise-browed Motmot</v>
          </cell>
          <cell r="F1764" t="str">
            <v>Motmot à sourcils bleus</v>
          </cell>
          <cell r="G1764" t="str">
            <v>Eumomota superciliosa</v>
          </cell>
          <cell r="H1764" t="str">
            <v>Coraciiformes</v>
          </cell>
          <cell r="I1764" t="str">
            <v>Momotidae (Motmots)</v>
          </cell>
        </row>
        <row r="1765">
          <cell r="E1765" t="str">
            <v>Turquoise-winged Parrotlet</v>
          </cell>
          <cell r="F1765" t="str">
            <v>Toui de Spengel</v>
          </cell>
          <cell r="G1765" t="str">
            <v>Forpus spengeli</v>
          </cell>
          <cell r="H1765" t="str">
            <v>Psittaciformes</v>
          </cell>
          <cell r="I1765" t="str">
            <v>Psittacidae (New World and African Parrots)</v>
          </cell>
        </row>
        <row r="1766">
          <cell r="E1766" t="str">
            <v>Tylas Vanga</v>
          </cell>
          <cell r="F1766" t="str">
            <v>Tylas à tête noire</v>
          </cell>
          <cell r="G1766" t="str">
            <v>Tylas eduardi</v>
          </cell>
          <cell r="H1766" t="str">
            <v>Passeriformes</v>
          </cell>
          <cell r="I1766" t="str">
            <v>Vangidae (Vangas, Helmetshrikes, and Allies)</v>
          </cell>
        </row>
        <row r="1767">
          <cell r="E1767" t="str">
            <v>Tyrannine Woodcreeper</v>
          </cell>
          <cell r="F1767" t="str">
            <v>Grimpar tyran</v>
          </cell>
          <cell r="G1767" t="str">
            <v>Dendrocincla tyrannina</v>
          </cell>
          <cell r="H1767" t="str">
            <v>Passeriformes</v>
          </cell>
          <cell r="I1767" t="str">
            <v>Furnariidae (Ovenbirds and Woodcreepers)</v>
          </cell>
        </row>
        <row r="1768">
          <cell r="E1768" t="str">
            <v>Tyrian Metaltail</v>
          </cell>
          <cell r="F1768" t="str">
            <v>Métallure émeraude</v>
          </cell>
          <cell r="G1768" t="str">
            <v>Metallura tyrianthina</v>
          </cell>
          <cell r="H1768" t="str">
            <v>Apodiformes</v>
          </cell>
          <cell r="I1768" t="str">
            <v>Trochilidae (Hummingbirds)</v>
          </cell>
        </row>
        <row r="1769">
          <cell r="E1769" t="str">
            <v>Uniform Crake</v>
          </cell>
          <cell r="F1769" t="str">
            <v>Râle concolore</v>
          </cell>
          <cell r="G1769" t="str">
            <v>Amaurolimnas concolor</v>
          </cell>
          <cell r="H1769" t="str">
            <v>Gruiformes</v>
          </cell>
          <cell r="I1769" t="str">
            <v>Rallidae (Rails, Gallinules, and Coots)</v>
          </cell>
        </row>
        <row r="1770">
          <cell r="E1770" t="str">
            <v>Upland Sandpiper</v>
          </cell>
          <cell r="F1770" t="str">
            <v>Maubèche des champs</v>
          </cell>
          <cell r="G1770" t="str">
            <v>Bartramia longicauda</v>
          </cell>
          <cell r="H1770" t="str">
            <v>Charadriiformes</v>
          </cell>
          <cell r="I1770" t="str">
            <v>Scolopacidae (Sandpipers and Allies)</v>
          </cell>
        </row>
        <row r="1771">
          <cell r="E1771" t="str">
            <v>Variable Seedeater</v>
          </cell>
          <cell r="F1771" t="str">
            <v>Sporophile variable</v>
          </cell>
          <cell r="G1771" t="str">
            <v>Sporophila corvina</v>
          </cell>
          <cell r="H1771" t="str">
            <v>Passeriformes</v>
          </cell>
          <cell r="I1771" t="str">
            <v>Thraupidae (Tanagers and Allies)</v>
          </cell>
        </row>
        <row r="1772">
          <cell r="E1772" t="str">
            <v>Vaux's Swift</v>
          </cell>
          <cell r="F1772" t="str">
            <v>Martinet de Vaux</v>
          </cell>
          <cell r="G1772" t="str">
            <v>Chaetura vauxi</v>
          </cell>
          <cell r="H1772" t="str">
            <v>Apodiformes</v>
          </cell>
          <cell r="I1772" t="str">
            <v>Apodidae (Swifts)</v>
          </cell>
        </row>
        <row r="1773">
          <cell r="E1773" t="str">
            <v>Veery</v>
          </cell>
          <cell r="F1773" t="str">
            <v>Grive fauve</v>
          </cell>
          <cell r="G1773" t="str">
            <v>Catharus fuscescens</v>
          </cell>
          <cell r="H1773" t="str">
            <v>Passeriformes</v>
          </cell>
          <cell r="I1773" t="str">
            <v>Turdidae (Thrushes and Allies)</v>
          </cell>
        </row>
        <row r="1774">
          <cell r="E1774" t="str">
            <v>Velvet Asity</v>
          </cell>
          <cell r="F1774" t="str">
            <v>Philépitte veloutée</v>
          </cell>
          <cell r="G1774" t="str">
            <v>Philepitta castanea</v>
          </cell>
          <cell r="H1774" t="str">
            <v>Passeriformes</v>
          </cell>
          <cell r="I1774" t="str">
            <v>Philepittidae (Asities)</v>
          </cell>
        </row>
        <row r="1775">
          <cell r="E1775" t="str">
            <v>Velvet-purple Coronet</v>
          </cell>
          <cell r="F1775" t="str">
            <v>Colibri de Jardine</v>
          </cell>
          <cell r="G1775" t="str">
            <v>Boissonneaua jardini</v>
          </cell>
          <cell r="H1775" t="str">
            <v>Apodiformes</v>
          </cell>
          <cell r="I1775" t="str">
            <v>Trochilidae (Hummingbirds)</v>
          </cell>
        </row>
        <row r="1776">
          <cell r="E1776" t="str">
            <v>Velvety Manakin</v>
          </cell>
          <cell r="F1776" t="str">
            <v>Manakin velouté</v>
          </cell>
          <cell r="G1776" t="str">
            <v>Lepidothrix velutina</v>
          </cell>
          <cell r="H1776" t="str">
            <v>Passeriformes</v>
          </cell>
          <cell r="I1776" t="str">
            <v>Pipridae (Manakins)</v>
          </cell>
        </row>
        <row r="1777">
          <cell r="E1777" t="str">
            <v>Venezuelan Flycatcher</v>
          </cell>
          <cell r="F1777" t="str">
            <v>Tyran du Venezuela</v>
          </cell>
          <cell r="G1777" t="str">
            <v>Myiarchus venezuelensis</v>
          </cell>
          <cell r="H1777" t="str">
            <v>Passeriformes</v>
          </cell>
          <cell r="I1777" t="str">
            <v>Tyrannidae (Tyrant Flycatchers)</v>
          </cell>
        </row>
        <row r="1778">
          <cell r="E1778" t="str">
            <v>Veraguan Mango</v>
          </cell>
          <cell r="F1778" t="str">
            <v>Mango de Veraguas</v>
          </cell>
          <cell r="G1778" t="str">
            <v>Anthracothorax veraguensis</v>
          </cell>
          <cell r="H1778" t="str">
            <v>Apodiformes</v>
          </cell>
          <cell r="I1778" t="str">
            <v>Trochilidae (Hummingbirds)</v>
          </cell>
        </row>
        <row r="1779">
          <cell r="E1779" t="str">
            <v>Vermilion Cardinal</v>
          </cell>
          <cell r="F1779" t="str">
            <v>Cardinal vermillon</v>
          </cell>
          <cell r="G1779" t="str">
            <v>Cardinalis phoeniceus</v>
          </cell>
          <cell r="H1779" t="str">
            <v>Passeriformes</v>
          </cell>
          <cell r="I1779" t="str">
            <v>Cardinalidae (Cardinals and Allies)</v>
          </cell>
        </row>
        <row r="1780">
          <cell r="E1780" t="str">
            <v>Vermilion Flycatcher</v>
          </cell>
          <cell r="F1780" t="str">
            <v>Moucherolle vermillon</v>
          </cell>
          <cell r="G1780" t="str">
            <v>Pyrocephalus rubinus</v>
          </cell>
          <cell r="H1780" t="str">
            <v>Passeriformes</v>
          </cell>
          <cell r="I1780" t="str">
            <v>Tyrannidae (Tyrant Flycatchers)</v>
          </cell>
        </row>
        <row r="1781">
          <cell r="E1781" t="str">
            <v>Verreaux's Coua</v>
          </cell>
          <cell r="F1781" t="str">
            <v>Coua de Verreaux</v>
          </cell>
          <cell r="G1781" t="str">
            <v>Coua verreauxi</v>
          </cell>
          <cell r="H1781" t="str">
            <v>Cuculiformes</v>
          </cell>
          <cell r="I1781" t="str">
            <v>Cuculidae (Cuckoos)</v>
          </cell>
        </row>
        <row r="1782">
          <cell r="E1782" t="str">
            <v>Verreaux's Eagle-Owl</v>
          </cell>
          <cell r="F1782" t="str">
            <v>Grand-duc de Verreaux</v>
          </cell>
          <cell r="G1782" t="str">
            <v>Ketupa lactea</v>
          </cell>
          <cell r="H1782" t="str">
            <v>Strigiformes</v>
          </cell>
          <cell r="I1782" t="str">
            <v>Strigidae (Owls)</v>
          </cell>
        </row>
        <row r="1783">
          <cell r="E1783" t="str">
            <v>Vesper Sparrow</v>
          </cell>
          <cell r="F1783" t="str">
            <v>Bruant vespéral</v>
          </cell>
          <cell r="G1783" t="str">
            <v>Pooecetes gramineus</v>
          </cell>
          <cell r="H1783" t="str">
            <v>Passeriformes</v>
          </cell>
          <cell r="I1783" t="str">
            <v>Passerellidae (New World Sparrows)</v>
          </cell>
        </row>
        <row r="1784">
          <cell r="E1784" t="str">
            <v>Village Indigobird</v>
          </cell>
          <cell r="F1784" t="str">
            <v>Combassou du Sénégal</v>
          </cell>
          <cell r="G1784" t="str">
            <v>Vidua chalybeata</v>
          </cell>
          <cell r="H1784" t="str">
            <v>Passeriformes</v>
          </cell>
          <cell r="I1784" t="str">
            <v>Viduidae (Whydahs and Indigobirds)</v>
          </cell>
        </row>
        <row r="1785">
          <cell r="E1785" t="str">
            <v>Village Weaver</v>
          </cell>
          <cell r="F1785" t="str">
            <v>Tisserin gendarme</v>
          </cell>
          <cell r="G1785" t="str">
            <v>Ploceus cucullatus</v>
          </cell>
          <cell r="H1785" t="str">
            <v>Passeriformes</v>
          </cell>
          <cell r="I1785" t="str">
            <v>Ploceidae (Weavers and Allies)</v>
          </cell>
        </row>
        <row r="1786">
          <cell r="E1786" t="str">
            <v>Violaceous Euphonia</v>
          </cell>
          <cell r="F1786" t="str">
            <v>Organiste teité</v>
          </cell>
          <cell r="G1786" t="str">
            <v>Euphonia violacea</v>
          </cell>
          <cell r="H1786" t="str">
            <v>Passeriformes</v>
          </cell>
          <cell r="I1786" t="str">
            <v>Fringillidae (Finches, Euphonias, and Allies)</v>
          </cell>
        </row>
        <row r="1787">
          <cell r="E1787" t="str">
            <v>Violet Sabrewing</v>
          </cell>
          <cell r="F1787" t="str">
            <v>Campyloptère violet</v>
          </cell>
          <cell r="G1787" t="str">
            <v>Campylopterus hemileucurus</v>
          </cell>
          <cell r="H1787" t="str">
            <v>Apodiformes</v>
          </cell>
          <cell r="I1787" t="str">
            <v>Trochilidae (Hummingbirds)</v>
          </cell>
        </row>
        <row r="1788">
          <cell r="E1788" t="str">
            <v>Violet-bellied Hummingbird</v>
          </cell>
          <cell r="F1788" t="str">
            <v>Colibri de Julie</v>
          </cell>
          <cell r="G1788" t="str">
            <v>Chlorestes julie</v>
          </cell>
          <cell r="H1788" t="str">
            <v>Apodiformes</v>
          </cell>
          <cell r="I1788" t="str">
            <v>Trochilidae (Hummingbirds)</v>
          </cell>
        </row>
        <row r="1789">
          <cell r="E1789" t="str">
            <v>Violet-eared Waxbill</v>
          </cell>
          <cell r="F1789" t="str">
            <v>Cordonbleu grenadin</v>
          </cell>
          <cell r="G1789" t="str">
            <v>Granatina granatina</v>
          </cell>
          <cell r="H1789" t="str">
            <v>Passeriformes</v>
          </cell>
          <cell r="I1789" t="str">
            <v>Estrildidae (Waxbills and Allies)</v>
          </cell>
        </row>
        <row r="1790">
          <cell r="E1790" t="str">
            <v>Violet-headed Hummingbird</v>
          </cell>
          <cell r="F1790" t="str">
            <v>Colibri à tête violette</v>
          </cell>
          <cell r="G1790" t="str">
            <v>Klais guimeti</v>
          </cell>
          <cell r="H1790" t="str">
            <v>Apodiformes</v>
          </cell>
          <cell r="I1790" t="str">
            <v>Trochilidae (Hummingbirds)</v>
          </cell>
        </row>
        <row r="1791">
          <cell r="E1791" t="str">
            <v>Violet-tailed Sylph</v>
          </cell>
          <cell r="F1791" t="str">
            <v>Sylphe à queue violette</v>
          </cell>
          <cell r="G1791" t="str">
            <v>Aglaiocercus coelestis</v>
          </cell>
          <cell r="H1791" t="str">
            <v>Apodiformes</v>
          </cell>
          <cell r="I1791" t="str">
            <v>Trochilidae (Hummingbirds)</v>
          </cell>
        </row>
        <row r="1792">
          <cell r="E1792" t="str">
            <v>Virginia Rail</v>
          </cell>
          <cell r="F1792" t="str">
            <v>Râle de Virginie</v>
          </cell>
          <cell r="G1792" t="str">
            <v>Rallus limicola</v>
          </cell>
          <cell r="H1792" t="str">
            <v>Gruiformes</v>
          </cell>
          <cell r="I1792" t="str">
            <v>Rallidae (Rails, Gallinules, and Coots)</v>
          </cell>
        </row>
        <row r="1793">
          <cell r="E1793" t="str">
            <v>Viridian Metaltail</v>
          </cell>
          <cell r="F1793" t="str">
            <v>Métallure verte</v>
          </cell>
          <cell r="G1793" t="str">
            <v>Metallura williami</v>
          </cell>
          <cell r="H1793" t="str">
            <v>Apodiformes</v>
          </cell>
          <cell r="I1793" t="str">
            <v>Trochilidae (Hummingbirds)</v>
          </cell>
        </row>
        <row r="1794">
          <cell r="E1794" t="str">
            <v>Volcano Hummingbird</v>
          </cell>
          <cell r="F1794" t="str">
            <v>Colibri flammule</v>
          </cell>
          <cell r="G1794" t="str">
            <v>Selasphorus flammula</v>
          </cell>
          <cell r="H1794" t="str">
            <v>Apodiformes</v>
          </cell>
          <cell r="I1794" t="str">
            <v>Trochilidae (Hummingbirds)</v>
          </cell>
        </row>
        <row r="1795">
          <cell r="E1795" t="str">
            <v>Volcano Junco</v>
          </cell>
          <cell r="F1795" t="str">
            <v>Junco des volcans</v>
          </cell>
          <cell r="G1795" t="str">
            <v>Junco vulcani</v>
          </cell>
          <cell r="H1795" t="str">
            <v>Passeriformes</v>
          </cell>
          <cell r="I1795" t="str">
            <v>Passerellidae (New World Sparrows)</v>
          </cell>
        </row>
        <row r="1796">
          <cell r="E1796" t="str">
            <v>Von der Decken's Hornbill</v>
          </cell>
          <cell r="F1796" t="str">
            <v>Calao de der Decken</v>
          </cell>
          <cell r="G1796" t="str">
            <v>Tockus deckeni</v>
          </cell>
          <cell r="H1796" t="str">
            <v>Bucerotiformes</v>
          </cell>
          <cell r="I1796" t="str">
            <v>Bucerotidae (Hornbills)</v>
          </cell>
        </row>
        <row r="1797">
          <cell r="E1797" t="str">
            <v>Wahlberg's Eagle</v>
          </cell>
          <cell r="F1797" t="str">
            <v>Aigle de Wahlberg</v>
          </cell>
          <cell r="G1797" t="str">
            <v>Hieraaetus wahlbergi</v>
          </cell>
          <cell r="H1797" t="str">
            <v>Accipitriformes</v>
          </cell>
          <cell r="I1797" t="str">
            <v>Accipitridae (Hawks, Eagles, and Kites)</v>
          </cell>
        </row>
        <row r="1798">
          <cell r="E1798" t="str">
            <v>Wandering Tattler</v>
          </cell>
          <cell r="F1798" t="str">
            <v>Chevalier errant</v>
          </cell>
          <cell r="G1798" t="str">
            <v>Tringa incana</v>
          </cell>
          <cell r="H1798" t="str">
            <v>Charadriiformes</v>
          </cell>
          <cell r="I1798" t="str">
            <v>Scolopacidae (Sandpipers and Allies)</v>
          </cell>
        </row>
        <row r="1799">
          <cell r="E1799" t="str">
            <v>Warbling White-eye</v>
          </cell>
          <cell r="F1799" t="str">
            <v>Zostérops du Japon</v>
          </cell>
          <cell r="G1799" t="str">
            <v>Zosterops japonicus</v>
          </cell>
          <cell r="H1799" t="str">
            <v>Passeriformes</v>
          </cell>
          <cell r="I1799" t="str">
            <v>Zosteropidae (White-eyes, Yuhinas, and Allies)</v>
          </cell>
        </row>
        <row r="1800">
          <cell r="E1800" t="str">
            <v>Water Thick-knee</v>
          </cell>
          <cell r="F1800" t="str">
            <v>Oedicnème vermiculé</v>
          </cell>
          <cell r="G1800" t="str">
            <v>Burhinus vermiculatus</v>
          </cell>
          <cell r="H1800" t="str">
            <v>Charadriiformes</v>
          </cell>
          <cell r="I1800" t="str">
            <v>Burhinidae (Thick-knees)</v>
          </cell>
        </row>
        <row r="1801">
          <cell r="E1801" t="str">
            <v>Wattled Crane</v>
          </cell>
          <cell r="F1801" t="str">
            <v>Grue caronculée</v>
          </cell>
          <cell r="G1801" t="str">
            <v>Grus carunculatus</v>
          </cell>
          <cell r="H1801" t="str">
            <v>Gruiformes</v>
          </cell>
          <cell r="I1801" t="str">
            <v>Gruidae (Cranes)</v>
          </cell>
        </row>
        <row r="1802">
          <cell r="E1802" t="str">
            <v>Wattled Jacana</v>
          </cell>
          <cell r="F1802" t="str">
            <v>Jacana noir</v>
          </cell>
          <cell r="G1802" t="str">
            <v>Jacana jacana</v>
          </cell>
          <cell r="H1802" t="str">
            <v>Charadriiformes</v>
          </cell>
          <cell r="I1802" t="str">
            <v>Jacanidae (Jacanas)</v>
          </cell>
        </row>
        <row r="1803">
          <cell r="E1803" t="str">
            <v>Wattled Lapwing</v>
          </cell>
          <cell r="F1803" t="str">
            <v>Vanneau du Sénégal</v>
          </cell>
          <cell r="G1803" t="str">
            <v>Vanellus senegallus</v>
          </cell>
          <cell r="H1803" t="str">
            <v>Charadriiformes</v>
          </cell>
          <cell r="I1803" t="str">
            <v>Charadriidae (Plovers and Lapwings)</v>
          </cell>
        </row>
        <row r="1804">
          <cell r="E1804" t="str">
            <v>Wattled Starling</v>
          </cell>
          <cell r="F1804" t="str">
            <v>Étourneau caronculé</v>
          </cell>
          <cell r="G1804" t="str">
            <v>Creatophora cinerea</v>
          </cell>
          <cell r="H1804" t="str">
            <v>Passeriformes</v>
          </cell>
          <cell r="I1804" t="str">
            <v>Sturnidae (Starlings)</v>
          </cell>
        </row>
        <row r="1805">
          <cell r="E1805" t="str">
            <v>Waved Albatross</v>
          </cell>
          <cell r="F1805" t="str">
            <v>Albatros des Galapagos</v>
          </cell>
          <cell r="G1805" t="str">
            <v>Phoebastria irrorata</v>
          </cell>
          <cell r="H1805" t="str">
            <v>Procellariiformes</v>
          </cell>
          <cell r="I1805" t="str">
            <v>Diomedeidae (Albatrosses)</v>
          </cell>
        </row>
        <row r="1806">
          <cell r="E1806" t="str">
            <v>Wedge-billed Woodcreeper</v>
          </cell>
          <cell r="F1806" t="str">
            <v>Grimpar bec-en-coin</v>
          </cell>
          <cell r="G1806" t="str">
            <v>Glyphorynchus spirurus</v>
          </cell>
          <cell r="H1806" t="str">
            <v>Passeriformes</v>
          </cell>
          <cell r="I1806" t="str">
            <v>Furnariidae (Ovenbirds and Woodcreepers)</v>
          </cell>
        </row>
        <row r="1807">
          <cell r="E1807" t="str">
            <v>Wedge-tailed Eagle</v>
          </cell>
          <cell r="F1807" t="str">
            <v>Aigle d'Australie</v>
          </cell>
          <cell r="G1807" t="str">
            <v>Aquila audax</v>
          </cell>
          <cell r="H1807" t="str">
            <v>Accipitriformes</v>
          </cell>
          <cell r="I1807" t="str">
            <v>Accipitridae (Hawks, Eagles, and Kites)</v>
          </cell>
        </row>
        <row r="1808">
          <cell r="E1808" t="str">
            <v>Wedge-tailed Sabrewing</v>
          </cell>
          <cell r="F1808" t="str">
            <v>Campyloptère pampa</v>
          </cell>
          <cell r="G1808" t="str">
            <v>Pampa curvipennis</v>
          </cell>
          <cell r="H1808" t="str">
            <v>Apodiformes</v>
          </cell>
          <cell r="I1808" t="str">
            <v>Trochilidae (Hummingbirds)</v>
          </cell>
        </row>
        <row r="1809">
          <cell r="E1809" t="str">
            <v>Weebill</v>
          </cell>
          <cell r="F1809" t="str">
            <v>Séricorne à bec court</v>
          </cell>
          <cell r="G1809" t="str">
            <v>Smicrornis brevirostris</v>
          </cell>
          <cell r="H1809" t="str">
            <v>Passeriformes</v>
          </cell>
          <cell r="I1809" t="str">
            <v>Acanthizidae (Thornbills and Allies)</v>
          </cell>
        </row>
        <row r="1810">
          <cell r="E1810" t="str">
            <v>Welcome Swallow</v>
          </cell>
          <cell r="F1810" t="str">
            <v>Hirondelle messagère</v>
          </cell>
          <cell r="G1810" t="str">
            <v>Hirundo neoxena</v>
          </cell>
          <cell r="H1810" t="str">
            <v>Passeriformes</v>
          </cell>
          <cell r="I1810" t="str">
            <v>Hirundinidae (Swallows)</v>
          </cell>
        </row>
        <row r="1811">
          <cell r="E1811" t="str">
            <v>Western Bluebird</v>
          </cell>
          <cell r="F1811" t="str">
            <v>Merlebleu de l'Ouest</v>
          </cell>
          <cell r="G1811" t="str">
            <v>Sialia mexicana</v>
          </cell>
          <cell r="H1811" t="str">
            <v>Passeriformes</v>
          </cell>
          <cell r="I1811" t="str">
            <v>Turdidae (Thrushes and Allies)</v>
          </cell>
        </row>
        <row r="1812">
          <cell r="E1812" t="str">
            <v>Western Cattle-Egret</v>
          </cell>
          <cell r="F1812" t="str">
            <v>Héron garde-boeufs</v>
          </cell>
          <cell r="G1812" t="str">
            <v>Ardea ibis</v>
          </cell>
          <cell r="H1812" t="str">
            <v>Pelecaniformes</v>
          </cell>
          <cell r="I1812" t="str">
            <v>Ardeidae (Herons, Egrets, and Bitterns)</v>
          </cell>
        </row>
        <row r="1813">
          <cell r="E1813" t="str">
            <v>Western Emerald</v>
          </cell>
          <cell r="F1813" t="str">
            <v>Émeraude à bec noir</v>
          </cell>
          <cell r="G1813" t="str">
            <v>Chlorostilbon melanorhynchus</v>
          </cell>
          <cell r="H1813" t="str">
            <v>Apodiformes</v>
          </cell>
          <cell r="I1813" t="str">
            <v>Trochilidae (Hummingbirds)</v>
          </cell>
        </row>
        <row r="1814">
          <cell r="E1814" t="str">
            <v>Western Gerygone</v>
          </cell>
          <cell r="F1814" t="str">
            <v>Gérygone à queue blanche</v>
          </cell>
          <cell r="G1814" t="str">
            <v>Gerygone fusca</v>
          </cell>
          <cell r="H1814" t="str">
            <v>Passeriformes</v>
          </cell>
          <cell r="I1814" t="str">
            <v>Acanthizidae (Thornbills and Allies)</v>
          </cell>
        </row>
        <row r="1815">
          <cell r="E1815" t="str">
            <v>Western Grebe</v>
          </cell>
          <cell r="F1815" t="str">
            <v>Grèbe élégant</v>
          </cell>
          <cell r="G1815" t="str">
            <v>Aechmophorus occidentalis</v>
          </cell>
          <cell r="H1815" t="str">
            <v>Podicipediformes</v>
          </cell>
          <cell r="I1815" t="str">
            <v>Podicipedidae (Grebes)</v>
          </cell>
        </row>
        <row r="1816">
          <cell r="E1816" t="str">
            <v>Western Gull</v>
          </cell>
          <cell r="F1816" t="str">
            <v>Goéland d'Audubon</v>
          </cell>
          <cell r="G1816" t="str">
            <v>Larus occidentalis</v>
          </cell>
          <cell r="H1816" t="str">
            <v>Charadriiformes</v>
          </cell>
          <cell r="I1816" t="str">
            <v>Laridae (Gulls, Terns, and Skimmers)</v>
          </cell>
        </row>
        <row r="1817">
          <cell r="E1817" t="str">
            <v>Western House-Martin</v>
          </cell>
          <cell r="F1817" t="str">
            <v>Hirondelle de fenêtre</v>
          </cell>
          <cell r="G1817" t="str">
            <v>Delichon urbicum</v>
          </cell>
          <cell r="H1817" t="str">
            <v>Passeriformes</v>
          </cell>
          <cell r="I1817" t="str">
            <v>Hirundinidae (Swallows)</v>
          </cell>
        </row>
        <row r="1818">
          <cell r="E1818" t="str">
            <v>Western Kingbird</v>
          </cell>
          <cell r="F1818" t="str">
            <v>Tyran de l'Ouest</v>
          </cell>
          <cell r="G1818" t="str">
            <v>Tyrannus verticalis</v>
          </cell>
          <cell r="H1818" t="str">
            <v>Passeriformes</v>
          </cell>
          <cell r="I1818" t="str">
            <v>Tyrannidae (Tyrant Flycatchers)</v>
          </cell>
        </row>
        <row r="1819">
          <cell r="E1819" t="str">
            <v>Western Meadowlark</v>
          </cell>
          <cell r="F1819" t="str">
            <v>Sturnelle de l'Ouest</v>
          </cell>
          <cell r="G1819" t="str">
            <v>Sturnella neglecta</v>
          </cell>
          <cell r="H1819" t="str">
            <v>Passeriformes</v>
          </cell>
          <cell r="I1819" t="str">
            <v>Icteridae (Troupials and Allies)</v>
          </cell>
        </row>
        <row r="1820">
          <cell r="E1820" t="str">
            <v>Western Olivaceous Flatbill</v>
          </cell>
          <cell r="F1820" t="str">
            <v>Tyranneau du Napo</v>
          </cell>
          <cell r="G1820" t="str">
            <v>Rhynchocyclus aequinoctialis</v>
          </cell>
          <cell r="H1820" t="str">
            <v>Passeriformes</v>
          </cell>
          <cell r="I1820" t="str">
            <v>Tyrannidae (Tyrant Flycatchers)</v>
          </cell>
        </row>
        <row r="1821">
          <cell r="E1821" t="str">
            <v>Western Sandpiper</v>
          </cell>
          <cell r="F1821" t="str">
            <v>Bécasseau d'Alaska</v>
          </cell>
          <cell r="G1821" t="str">
            <v>Calidris mauri</v>
          </cell>
          <cell r="H1821" t="str">
            <v>Charadriiformes</v>
          </cell>
          <cell r="I1821" t="str">
            <v>Scolopacidae (Sandpipers and Allies)</v>
          </cell>
        </row>
        <row r="1822">
          <cell r="E1822" t="str">
            <v>Western Spindalis</v>
          </cell>
          <cell r="F1822" t="str">
            <v>Zéna à tête rayée</v>
          </cell>
          <cell r="G1822" t="str">
            <v>Spindalis zena</v>
          </cell>
          <cell r="H1822" t="str">
            <v>Passeriformes</v>
          </cell>
          <cell r="I1822" t="str">
            <v>Phaenicophilidae (Greater Antillean Tanagers)</v>
          </cell>
        </row>
        <row r="1823">
          <cell r="E1823" t="str">
            <v>Western Wood-Pewee</v>
          </cell>
          <cell r="F1823" t="str">
            <v>Pioui de l'Ouest</v>
          </cell>
          <cell r="G1823" t="str">
            <v>Contopus sordidulus</v>
          </cell>
          <cell r="H1823" t="str">
            <v>Passeriformes</v>
          </cell>
          <cell r="I1823" t="str">
            <v>Tyrannidae (Tyrant Flycatchers)</v>
          </cell>
        </row>
        <row r="1824">
          <cell r="E1824" t="str">
            <v>Western Woodhaunter</v>
          </cell>
          <cell r="F1824" t="str">
            <v>Anabate de Lawrence</v>
          </cell>
          <cell r="G1824" t="str">
            <v>Automolus virgatus</v>
          </cell>
          <cell r="H1824" t="str">
            <v>Passeriformes</v>
          </cell>
          <cell r="I1824" t="str">
            <v>Furnariidae (Ovenbirds and Woodcreepers)</v>
          </cell>
        </row>
        <row r="1825">
          <cell r="E1825" t="str">
            <v>Whiskered Tern</v>
          </cell>
          <cell r="F1825" t="str">
            <v>Guifette moustac</v>
          </cell>
          <cell r="G1825" t="str">
            <v>Chlidonias hybrida</v>
          </cell>
          <cell r="H1825" t="str">
            <v>Charadriiformes</v>
          </cell>
          <cell r="I1825" t="str">
            <v>Laridae (Gulls, Terns, and Skimmers)</v>
          </cell>
        </row>
        <row r="1826">
          <cell r="E1826" t="str">
            <v>Whistling Heron</v>
          </cell>
          <cell r="F1826" t="str">
            <v>Héron flûte-du-soleil</v>
          </cell>
          <cell r="G1826" t="str">
            <v>Syrigma sibilatrix</v>
          </cell>
          <cell r="H1826" t="str">
            <v>Pelecaniformes</v>
          </cell>
          <cell r="I1826" t="str">
            <v>Ardeidae (Herons, Egrets, and Bitterns)</v>
          </cell>
        </row>
        <row r="1827">
          <cell r="E1827" t="str">
            <v>Whistling Kite</v>
          </cell>
          <cell r="F1827" t="str">
            <v>Milan siffleur</v>
          </cell>
          <cell r="G1827" t="str">
            <v>Haliastur sphenurus</v>
          </cell>
          <cell r="H1827" t="str">
            <v>Accipitriformes</v>
          </cell>
          <cell r="I1827" t="str">
            <v>Accipitridae (Hawks, Eagles, and Kites)</v>
          </cell>
        </row>
        <row r="1828">
          <cell r="E1828" t="str">
            <v>White Hawk</v>
          </cell>
          <cell r="F1828" t="str">
            <v>Buse blanche</v>
          </cell>
          <cell r="G1828" t="str">
            <v>Pseudastur albicollis</v>
          </cell>
          <cell r="H1828" t="str">
            <v>Accipitriformes</v>
          </cell>
          <cell r="I1828" t="str">
            <v>Accipitridae (Hawks, Eagles, and Kites)</v>
          </cell>
        </row>
        <row r="1829">
          <cell r="E1829" t="str">
            <v>White Ibis</v>
          </cell>
          <cell r="F1829" t="str">
            <v>Ibis blanc</v>
          </cell>
          <cell r="G1829" t="str">
            <v>Eudocimus albus</v>
          </cell>
          <cell r="H1829" t="str">
            <v>Pelecaniformes</v>
          </cell>
          <cell r="I1829" t="str">
            <v>Threskiornithidae (Ibises and Spoonbills)</v>
          </cell>
        </row>
        <row r="1830">
          <cell r="E1830" t="str">
            <v>White-backed Swallow</v>
          </cell>
          <cell r="F1830" t="str">
            <v>Hirondelle à dos blanc</v>
          </cell>
          <cell r="G1830" t="str">
            <v>Cheramoeca leucosterna</v>
          </cell>
          <cell r="H1830" t="str">
            <v>Passeriformes</v>
          </cell>
          <cell r="I1830" t="str">
            <v>Hirundinidae (Swallows)</v>
          </cell>
        </row>
        <row r="1831">
          <cell r="E1831" t="str">
            <v>White-backed Vulture</v>
          </cell>
          <cell r="F1831" t="str">
            <v>Vautour africain</v>
          </cell>
          <cell r="G1831" t="str">
            <v>Gyps africanus</v>
          </cell>
          <cell r="H1831" t="str">
            <v>Accipitriformes</v>
          </cell>
          <cell r="I1831" t="str">
            <v>Accipitridae (Hawks, Eagles, and Kites)</v>
          </cell>
        </row>
        <row r="1832">
          <cell r="E1832" t="str">
            <v>White-banded Tyrannulet</v>
          </cell>
          <cell r="F1832" t="str">
            <v>Tyranneau à sourcils blancs</v>
          </cell>
          <cell r="G1832" t="str">
            <v>Mecocerculus stictopterus</v>
          </cell>
          <cell r="H1832" t="str">
            <v>Passeriformes</v>
          </cell>
          <cell r="I1832" t="str">
            <v>Tyrannidae (Tyrant Flycatchers)</v>
          </cell>
        </row>
        <row r="1833">
          <cell r="E1833" t="str">
            <v>White-bearded Manakin</v>
          </cell>
          <cell r="F1833" t="str">
            <v>Manakin casse-noisette</v>
          </cell>
          <cell r="G1833" t="str">
            <v>Manacus manacus</v>
          </cell>
          <cell r="H1833" t="str">
            <v>Passeriformes</v>
          </cell>
          <cell r="I1833" t="str">
            <v>Pipridae (Manakins)</v>
          </cell>
        </row>
        <row r="1834">
          <cell r="E1834" t="str">
            <v>White-bellied Antbird</v>
          </cell>
          <cell r="F1834" t="str">
            <v>Alapi à ventre blanc</v>
          </cell>
          <cell r="G1834" t="str">
            <v>Myrmeciza longipes</v>
          </cell>
          <cell r="H1834" t="str">
            <v>Passeriformes</v>
          </cell>
          <cell r="I1834" t="str">
            <v>Thamnophilidae (Typical Antbirds)</v>
          </cell>
        </row>
        <row r="1835">
          <cell r="E1835" t="str">
            <v>White-bellied Emerald</v>
          </cell>
          <cell r="F1835" t="str">
            <v>Ariane candide</v>
          </cell>
          <cell r="G1835" t="str">
            <v>Chlorestes candida</v>
          </cell>
          <cell r="H1835" t="str">
            <v>Apodiformes</v>
          </cell>
          <cell r="I1835" t="str">
            <v>Trochilidae (Hummingbirds)</v>
          </cell>
        </row>
        <row r="1836">
          <cell r="E1836" t="str">
            <v>White-bellied Go-away-bird</v>
          </cell>
          <cell r="F1836" t="str">
            <v>Touraco à ventre blanc</v>
          </cell>
          <cell r="G1836" t="str">
            <v>Crinifer leucogaster</v>
          </cell>
          <cell r="H1836" t="str">
            <v>Musophagiformes</v>
          </cell>
          <cell r="I1836" t="str">
            <v>Musophagidae (Turacos)</v>
          </cell>
        </row>
        <row r="1837">
          <cell r="E1837" t="str">
            <v>White-bellied Mountain-gem</v>
          </cell>
          <cell r="F1837" t="str">
            <v>Colibri à gorge lilas</v>
          </cell>
          <cell r="G1837" t="str">
            <v>Lampornis hemileucus</v>
          </cell>
          <cell r="H1837" t="str">
            <v>Apodiformes</v>
          </cell>
          <cell r="I1837" t="str">
            <v>Trochilidae (Hummingbirds)</v>
          </cell>
        </row>
        <row r="1838">
          <cell r="E1838" t="str">
            <v>White-bellied Sea-Eagle</v>
          </cell>
          <cell r="F1838" t="str">
            <v>Pygargue blagre</v>
          </cell>
          <cell r="G1838" t="str">
            <v>Icthyophaga leucogaster</v>
          </cell>
          <cell r="H1838" t="str">
            <v>Accipitriformes</v>
          </cell>
          <cell r="I1838" t="str">
            <v>Accipitridae (Hawks, Eagles, and Kites)</v>
          </cell>
        </row>
        <row r="1839">
          <cell r="E1839" t="str">
            <v>White-bellied Sunbird</v>
          </cell>
          <cell r="F1839" t="str">
            <v>Souimanga à ventre blanc</v>
          </cell>
          <cell r="G1839" t="str">
            <v>Cinnyris talatala</v>
          </cell>
          <cell r="H1839" t="str">
            <v>Passeriformes</v>
          </cell>
          <cell r="I1839" t="str">
            <v>Nectariniidae (Sunbirds and Spiderhunters)</v>
          </cell>
        </row>
        <row r="1840">
          <cell r="E1840" t="str">
            <v>White-bellied Woodstar</v>
          </cell>
          <cell r="F1840" t="str">
            <v>Colibri de Mulsant</v>
          </cell>
          <cell r="G1840" t="str">
            <v>Chaetocercus mulsant</v>
          </cell>
          <cell r="H1840" t="str">
            <v>Apodiformes</v>
          </cell>
          <cell r="I1840" t="str">
            <v>Trochilidae (Hummingbirds)</v>
          </cell>
        </row>
        <row r="1841">
          <cell r="E1841" t="str">
            <v>White-booted Racket-tail</v>
          </cell>
          <cell r="F1841" t="str">
            <v>Haut-de-chausses à palettes</v>
          </cell>
          <cell r="G1841" t="str">
            <v>Ocreatus underwoodii</v>
          </cell>
          <cell r="H1841" t="str">
            <v>Apodiformes</v>
          </cell>
          <cell r="I1841" t="str">
            <v>Trochilidae (Hummingbirds)</v>
          </cell>
        </row>
        <row r="1842">
          <cell r="E1842" t="str">
            <v>White-breasted Nuthatch</v>
          </cell>
          <cell r="F1842" t="str">
            <v>Sittelle à poitrine blanche</v>
          </cell>
          <cell r="G1842" t="str">
            <v>Sitta carolinensis</v>
          </cell>
          <cell r="H1842" t="str">
            <v>Passeriformes</v>
          </cell>
          <cell r="I1842" t="str">
            <v>Sittidae (Nuthatches)</v>
          </cell>
        </row>
        <row r="1843">
          <cell r="E1843" t="str">
            <v>White-breasted Wood-Wren</v>
          </cell>
          <cell r="F1843" t="str">
            <v>Troglodyte à poitrine blanche</v>
          </cell>
          <cell r="G1843" t="str">
            <v>Henicorhina leucosticta</v>
          </cell>
          <cell r="H1843" t="str">
            <v>Passeriformes</v>
          </cell>
          <cell r="I1843" t="str">
            <v>Troglodytidae (Wrens)</v>
          </cell>
        </row>
        <row r="1844">
          <cell r="E1844" t="str">
            <v>White-breasted Woodswallow</v>
          </cell>
          <cell r="F1844" t="str">
            <v>Langrayen à ventre blanc</v>
          </cell>
          <cell r="G1844" t="str">
            <v>Artamus leucorynchus</v>
          </cell>
          <cell r="H1844" t="str">
            <v>Passeriformes</v>
          </cell>
          <cell r="I1844" t="str">
            <v>Artamidae (Woodswallows, Bellmagpies, and Allies)</v>
          </cell>
        </row>
        <row r="1845">
          <cell r="E1845" t="str">
            <v>White-browed Babbler</v>
          </cell>
          <cell r="F1845" t="str">
            <v>Pomatostome bridé</v>
          </cell>
          <cell r="G1845" t="str">
            <v>Pomatostomus superciliosus</v>
          </cell>
          <cell r="H1845" t="str">
            <v>Passeriformes</v>
          </cell>
          <cell r="I1845" t="str">
            <v>Pomatostomidae (Pseudo-Babblers)</v>
          </cell>
        </row>
        <row r="1846">
          <cell r="E1846" t="str">
            <v>White-browed Coucal</v>
          </cell>
          <cell r="F1846" t="str">
            <v>Coucal à sourcils blancs</v>
          </cell>
          <cell r="G1846" t="str">
            <v>Centropus superciliosus</v>
          </cell>
          <cell r="H1846" t="str">
            <v>Cuculiformes</v>
          </cell>
          <cell r="I1846" t="str">
            <v>Cuculidae (Cuckoos)</v>
          </cell>
        </row>
        <row r="1847">
          <cell r="E1847" t="str">
            <v>White-browed Gnatcatcher</v>
          </cell>
          <cell r="F1847" t="str">
            <v>Gobemoucheron à sourcils blancs</v>
          </cell>
          <cell r="G1847" t="str">
            <v>Polioptila bilineata</v>
          </cell>
          <cell r="H1847" t="str">
            <v>Passeriformes</v>
          </cell>
          <cell r="I1847" t="str">
            <v>Polioptilidae (Gnatcatchers)</v>
          </cell>
        </row>
        <row r="1848">
          <cell r="E1848" t="str">
            <v>White-browed Owl</v>
          </cell>
          <cell r="F1848" t="str">
            <v>Chevêche à sourcils blancs</v>
          </cell>
          <cell r="G1848" t="str">
            <v>Athene superciliaris</v>
          </cell>
          <cell r="H1848" t="str">
            <v>Strigiformes</v>
          </cell>
          <cell r="I1848" t="str">
            <v>Strigidae (Owls)</v>
          </cell>
        </row>
        <row r="1849">
          <cell r="E1849" t="str">
            <v>White-browed Robin-Chat</v>
          </cell>
          <cell r="F1849" t="str">
            <v>Cossyphe de Heuglin</v>
          </cell>
          <cell r="G1849" t="str">
            <v>Cossypha heuglini</v>
          </cell>
          <cell r="H1849" t="str">
            <v>Passeriformes</v>
          </cell>
          <cell r="I1849" t="str">
            <v>Muscicapidae (Old World Flycatchers)</v>
          </cell>
        </row>
        <row r="1850">
          <cell r="E1850" t="str">
            <v>White-browed Scrub-Robin</v>
          </cell>
          <cell r="F1850" t="str">
            <v>Agrobate à dos roux</v>
          </cell>
          <cell r="G1850" t="str">
            <v>Cercotrichas leucophrys</v>
          </cell>
          <cell r="H1850" t="str">
            <v>Passeriformes</v>
          </cell>
          <cell r="I1850" t="str">
            <v>Muscicapidae (Old World Flycatchers)</v>
          </cell>
        </row>
        <row r="1851">
          <cell r="E1851" t="str">
            <v>White-browed Scrubwren</v>
          </cell>
          <cell r="F1851" t="str">
            <v>Séricorne à sourcils blancs</v>
          </cell>
          <cell r="G1851" t="str">
            <v>Sericornis frontalis</v>
          </cell>
          <cell r="H1851" t="str">
            <v>Passeriformes</v>
          </cell>
          <cell r="I1851" t="str">
            <v>Acanthizidae (Thornbills and Allies)</v>
          </cell>
        </row>
        <row r="1852">
          <cell r="E1852" t="str">
            <v>White-browed Spinetail</v>
          </cell>
          <cell r="F1852" t="str">
            <v>Synallaxe à sourcils blancs</v>
          </cell>
          <cell r="G1852" t="str">
            <v>Hellmayrea gularis</v>
          </cell>
          <cell r="H1852" t="str">
            <v>Passeriformes</v>
          </cell>
          <cell r="I1852" t="str">
            <v>Furnariidae (Ovenbirds and Woodcreepers)</v>
          </cell>
        </row>
        <row r="1853">
          <cell r="E1853" t="str">
            <v>White-browed Treecreeper</v>
          </cell>
          <cell r="F1853" t="str">
            <v>Échelet à sourcils blancs</v>
          </cell>
          <cell r="G1853" t="str">
            <v>Climacteris affinis</v>
          </cell>
          <cell r="H1853" t="str">
            <v>Passeriformes</v>
          </cell>
          <cell r="I1853" t="str">
            <v>Climacteridae (Australasian Treecreepers)</v>
          </cell>
        </row>
        <row r="1854">
          <cell r="E1854" t="str">
            <v>White-browed Woodswallow</v>
          </cell>
          <cell r="F1854" t="str">
            <v>Langrayen bridé</v>
          </cell>
          <cell r="G1854" t="str">
            <v>Artamus superciliosus</v>
          </cell>
          <cell r="H1854" t="str">
            <v>Passeriformes</v>
          </cell>
          <cell r="I1854" t="str">
            <v>Artamidae (Woodswallows, Bellmagpies, and Allies)</v>
          </cell>
        </row>
        <row r="1855">
          <cell r="E1855" t="str">
            <v>White-capped Albatross</v>
          </cell>
          <cell r="F1855" t="str">
            <v>Albatros à cape blanche</v>
          </cell>
          <cell r="G1855" t="str">
            <v>Thalassarche cauta</v>
          </cell>
          <cell r="H1855" t="str">
            <v>Procellariiformes</v>
          </cell>
          <cell r="I1855" t="str">
            <v>Diomedeidae (Albatrosses)</v>
          </cell>
        </row>
        <row r="1856">
          <cell r="E1856" t="str">
            <v>White-capped Dipper</v>
          </cell>
          <cell r="F1856" t="str">
            <v>Cincle à tête blanche</v>
          </cell>
          <cell r="G1856" t="str">
            <v>Cinclus leucocephalus</v>
          </cell>
          <cell r="H1856" t="str">
            <v>Passeriformes</v>
          </cell>
          <cell r="I1856" t="str">
            <v>Cinclidae (Dippers)</v>
          </cell>
        </row>
        <row r="1857">
          <cell r="E1857" t="str">
            <v>White-capped Tanager</v>
          </cell>
          <cell r="F1857" t="str">
            <v>Tangara à coiffe blanche</v>
          </cell>
          <cell r="G1857" t="str">
            <v>Sericossypha albocristata</v>
          </cell>
          <cell r="H1857" t="str">
            <v>Passeriformes</v>
          </cell>
          <cell r="I1857" t="str">
            <v>Thraupidae (Tanagers and Allies)</v>
          </cell>
        </row>
        <row r="1858">
          <cell r="E1858" t="str">
            <v>White-cheeked Honeyeater</v>
          </cell>
          <cell r="F1858" t="str">
            <v>Méliphage fardé</v>
          </cell>
          <cell r="G1858" t="str">
            <v>Phylidonyris niger</v>
          </cell>
          <cell r="H1858" t="str">
            <v>Passeriformes</v>
          </cell>
          <cell r="I1858" t="str">
            <v>Meliphagidae (Honeyeaters)</v>
          </cell>
        </row>
        <row r="1859">
          <cell r="E1859" t="str">
            <v>White-cheeked Pintail</v>
          </cell>
          <cell r="F1859" t="str">
            <v>Canard des Bahamas</v>
          </cell>
          <cell r="G1859" t="str">
            <v>Anas bahamensis</v>
          </cell>
          <cell r="H1859" t="str">
            <v>Anseriformes</v>
          </cell>
          <cell r="I1859" t="str">
            <v>Anatidae (Ducks, Geese, and Waterfowl)</v>
          </cell>
        </row>
        <row r="1860">
          <cell r="E1860" t="str">
            <v>White-chested Emerald</v>
          </cell>
          <cell r="F1860" t="str">
            <v>Ariane à poitrine blanche</v>
          </cell>
          <cell r="G1860" t="str">
            <v>Chrysuronia brevirostris</v>
          </cell>
          <cell r="H1860" t="str">
            <v>Apodiformes</v>
          </cell>
          <cell r="I1860" t="str">
            <v>Trochilidae (Hummingbirds)</v>
          </cell>
        </row>
        <row r="1861">
          <cell r="E1861" t="str">
            <v>White-chinned Thistletail</v>
          </cell>
          <cell r="F1861" t="str">
            <v>Synallaxe à menton blanc</v>
          </cell>
          <cell r="G1861" t="str">
            <v>Asthenes fuliginosa</v>
          </cell>
          <cell r="H1861" t="str">
            <v>Passeriformes</v>
          </cell>
          <cell r="I1861" t="str">
            <v>Furnariidae (Ovenbirds and Woodcreepers)</v>
          </cell>
        </row>
        <row r="1862">
          <cell r="E1862" t="str">
            <v>White-collared Manakin</v>
          </cell>
          <cell r="F1862" t="str">
            <v>Manakin à col blanc</v>
          </cell>
          <cell r="G1862" t="str">
            <v>Manacus candei</v>
          </cell>
          <cell r="H1862" t="str">
            <v>Passeriformes</v>
          </cell>
          <cell r="I1862" t="str">
            <v>Pipridae (Manakins)</v>
          </cell>
        </row>
        <row r="1863">
          <cell r="E1863" t="str">
            <v>White-collared Swift</v>
          </cell>
          <cell r="F1863" t="str">
            <v>Martinet à collier blanc</v>
          </cell>
          <cell r="G1863" t="str">
            <v>Streptoprocne zonaris</v>
          </cell>
          <cell r="H1863" t="str">
            <v>Apodiformes</v>
          </cell>
          <cell r="I1863" t="str">
            <v>Apodidae (Swifts)</v>
          </cell>
        </row>
        <row r="1864">
          <cell r="E1864" t="str">
            <v>White-crested Elaenia</v>
          </cell>
          <cell r="F1864" t="str">
            <v>Élénie à cimier blanc</v>
          </cell>
          <cell r="G1864" t="str">
            <v>Elaenia albiceps</v>
          </cell>
          <cell r="H1864" t="str">
            <v>Passeriformes</v>
          </cell>
          <cell r="I1864" t="str">
            <v>Tyrannidae (Tyrant Flycatchers)</v>
          </cell>
        </row>
        <row r="1865">
          <cell r="E1865" t="str">
            <v>White-crested Helmetshrike</v>
          </cell>
          <cell r="F1865" t="str">
            <v>Bagadais casqué</v>
          </cell>
          <cell r="G1865" t="str">
            <v>Prionops plumatus</v>
          </cell>
          <cell r="H1865" t="str">
            <v>Passeriformes</v>
          </cell>
          <cell r="I1865" t="str">
            <v>Vangidae (Vangas, Helmetshrikes, and Allies)</v>
          </cell>
        </row>
        <row r="1866">
          <cell r="E1866" t="str">
            <v>White-crowned Lapwing</v>
          </cell>
          <cell r="F1866" t="str">
            <v>Vanneau à tête blanche</v>
          </cell>
          <cell r="G1866" t="str">
            <v>Vanellus albiceps</v>
          </cell>
          <cell r="H1866" t="str">
            <v>Charadriiformes</v>
          </cell>
          <cell r="I1866" t="str">
            <v>Charadriidae (Plovers and Lapwings)</v>
          </cell>
        </row>
        <row r="1867">
          <cell r="E1867" t="str">
            <v>White-crowned Parrot</v>
          </cell>
          <cell r="F1867" t="str">
            <v>Pione à couronne blanche</v>
          </cell>
          <cell r="G1867" t="str">
            <v>Pionus senilis</v>
          </cell>
          <cell r="H1867" t="str">
            <v>Psittaciformes</v>
          </cell>
          <cell r="I1867" t="str">
            <v>Psittacidae (New World and African Parrots)</v>
          </cell>
        </row>
        <row r="1868">
          <cell r="E1868" t="str">
            <v>White-crowned Shrike</v>
          </cell>
          <cell r="F1868" t="str">
            <v>Eurocéphale à couronne blanche</v>
          </cell>
          <cell r="G1868" t="str">
            <v>Eurocephalus anguitimens</v>
          </cell>
          <cell r="H1868" t="str">
            <v>Passeriformes</v>
          </cell>
          <cell r="I1868" t="str">
            <v>Laniidae (Shrikes)</v>
          </cell>
        </row>
        <row r="1869">
          <cell r="E1869" t="str">
            <v>White-crowned Sparrow</v>
          </cell>
          <cell r="F1869" t="str">
            <v>Bruant à couronne blanche</v>
          </cell>
          <cell r="G1869" t="str">
            <v>Zonotrichia leucophrys</v>
          </cell>
          <cell r="H1869" t="str">
            <v>Passeriformes</v>
          </cell>
          <cell r="I1869" t="str">
            <v>Passerellidae (New World Sparrows)</v>
          </cell>
        </row>
        <row r="1870">
          <cell r="E1870" t="str">
            <v>White-eared Barbet</v>
          </cell>
          <cell r="F1870" t="str">
            <v>Barbican oreillard</v>
          </cell>
          <cell r="G1870" t="str">
            <v>Stactolaema leucotis</v>
          </cell>
          <cell r="H1870" t="str">
            <v>Piciformes</v>
          </cell>
          <cell r="I1870" t="str">
            <v>Lybiidae (African Barbets)</v>
          </cell>
        </row>
        <row r="1871">
          <cell r="E1871" t="str">
            <v>White-eared Conebill</v>
          </cell>
          <cell r="F1871" t="str">
            <v>Conirostre oreillard</v>
          </cell>
          <cell r="G1871" t="str">
            <v>Conirostrum leucogenys</v>
          </cell>
          <cell r="H1871" t="str">
            <v>Passeriformes</v>
          </cell>
          <cell r="I1871" t="str">
            <v>Thraupidae (Tanagers and Allies)</v>
          </cell>
        </row>
        <row r="1872">
          <cell r="E1872" t="str">
            <v>White-eared Ground-Sparrow</v>
          </cell>
          <cell r="F1872" t="str">
            <v>Tohi oreillard</v>
          </cell>
          <cell r="G1872" t="str">
            <v>Melozone leucotis</v>
          </cell>
          <cell r="H1872" t="str">
            <v>Passeriformes</v>
          </cell>
          <cell r="I1872" t="str">
            <v>Passerellidae (New World Sparrows)</v>
          </cell>
        </row>
        <row r="1873">
          <cell r="E1873" t="str">
            <v>White-eared Honeyeater</v>
          </cell>
          <cell r="F1873" t="str">
            <v>Méliphage leucotique</v>
          </cell>
          <cell r="G1873" t="str">
            <v>Nesoptilotis leucotis</v>
          </cell>
          <cell r="H1873" t="str">
            <v>Passeriformes</v>
          </cell>
          <cell r="I1873" t="str">
            <v>Meliphagidae (Honeyeaters)</v>
          </cell>
        </row>
        <row r="1874">
          <cell r="E1874" t="str">
            <v>White-eyed Vireo</v>
          </cell>
          <cell r="F1874" t="str">
            <v>Viréo aux yeux blancs</v>
          </cell>
          <cell r="G1874" t="str">
            <v>Vireo griseus</v>
          </cell>
          <cell r="H1874" t="str">
            <v>Passeriformes</v>
          </cell>
          <cell r="I1874" t="str">
            <v>Vireonidae (Vireos, Shrike-Babblers, and Erpornis)</v>
          </cell>
        </row>
        <row r="1875">
          <cell r="E1875" t="str">
            <v>White-faced Heron</v>
          </cell>
          <cell r="F1875" t="str">
            <v>Aigrette à face blanche</v>
          </cell>
          <cell r="G1875" t="str">
            <v>Egretta novaehollandiae</v>
          </cell>
          <cell r="H1875" t="str">
            <v>Pelecaniformes</v>
          </cell>
          <cell r="I1875" t="str">
            <v>Ardeidae (Herons, Egrets, and Bitterns)</v>
          </cell>
        </row>
        <row r="1876">
          <cell r="E1876" t="str">
            <v>White-faced Ibis</v>
          </cell>
          <cell r="F1876" t="str">
            <v>Ibis à face blanche</v>
          </cell>
          <cell r="G1876" t="str">
            <v>Plegadis chihi</v>
          </cell>
          <cell r="H1876" t="str">
            <v>Pelecaniformes</v>
          </cell>
          <cell r="I1876" t="str">
            <v>Threskiornithidae (Ibises and Spoonbills)</v>
          </cell>
        </row>
        <row r="1877">
          <cell r="E1877" t="str">
            <v>White-faced Whistling-Duck</v>
          </cell>
          <cell r="F1877" t="str">
            <v>Dendrocygne veuf</v>
          </cell>
          <cell r="G1877" t="str">
            <v>Dendrocygna viduata</v>
          </cell>
          <cell r="H1877" t="str">
            <v>Anseriformes</v>
          </cell>
          <cell r="I1877" t="str">
            <v>Anatidae (Ducks, Geese, and Waterfowl)</v>
          </cell>
        </row>
        <row r="1878">
          <cell r="E1878" t="str">
            <v>White-flanked Antwren</v>
          </cell>
          <cell r="F1878" t="str">
            <v>Myrmidon à flancs blancs</v>
          </cell>
          <cell r="G1878" t="str">
            <v>Myrmotherula axillaris</v>
          </cell>
          <cell r="H1878" t="str">
            <v>Passeriformes</v>
          </cell>
          <cell r="I1878" t="str">
            <v>Thamnophilidae (Typical Antbirds)</v>
          </cell>
        </row>
        <row r="1879">
          <cell r="E1879" t="str">
            <v>White-fronted Amazon</v>
          </cell>
          <cell r="F1879" t="str">
            <v>Amazone à front blanc</v>
          </cell>
          <cell r="G1879" t="str">
            <v>Amazona albifrons</v>
          </cell>
          <cell r="H1879" t="str">
            <v>Psittaciformes</v>
          </cell>
          <cell r="I1879" t="str">
            <v>Psittacidae (New World and African Parrots)</v>
          </cell>
        </row>
        <row r="1880">
          <cell r="E1880" t="str">
            <v>White-fronted Bee-eater</v>
          </cell>
          <cell r="F1880" t="str">
            <v>Guêpier à front blanc</v>
          </cell>
          <cell r="G1880" t="str">
            <v>Merops bullockoides</v>
          </cell>
          <cell r="H1880" t="str">
            <v>Coraciiformes</v>
          </cell>
          <cell r="I1880" t="str">
            <v>Meropidae (Bee-eaters)</v>
          </cell>
        </row>
        <row r="1881">
          <cell r="E1881" t="str">
            <v>White-fronted Chat</v>
          </cell>
          <cell r="F1881" t="str">
            <v>Epthianure à front blanc</v>
          </cell>
          <cell r="G1881" t="str">
            <v>Epthianura albifrons</v>
          </cell>
          <cell r="H1881" t="str">
            <v>Passeriformes</v>
          </cell>
          <cell r="I1881" t="str">
            <v>Meliphagidae (Honeyeaters)</v>
          </cell>
        </row>
        <row r="1882">
          <cell r="E1882" t="str">
            <v>White-fronted Honeyeater</v>
          </cell>
          <cell r="F1882" t="str">
            <v>Méliphage à front blanc</v>
          </cell>
          <cell r="G1882" t="str">
            <v>Purnella albifrons</v>
          </cell>
          <cell r="H1882" t="str">
            <v>Passeriformes</v>
          </cell>
          <cell r="I1882" t="str">
            <v>Meliphagidae (Honeyeaters)</v>
          </cell>
        </row>
        <row r="1883">
          <cell r="E1883" t="str">
            <v>White-fronted Nunbird</v>
          </cell>
          <cell r="F1883" t="str">
            <v>Barbacou à front blanc</v>
          </cell>
          <cell r="G1883" t="str">
            <v>Monasa morphoeus</v>
          </cell>
          <cell r="H1883" t="str">
            <v>Piciformes</v>
          </cell>
          <cell r="I1883" t="str">
            <v>Bucconidae (Puffbirds)</v>
          </cell>
        </row>
        <row r="1884">
          <cell r="E1884" t="str">
            <v>White-fronted Plover</v>
          </cell>
          <cell r="F1884" t="str">
            <v>Pluvier à front blanc</v>
          </cell>
          <cell r="G1884" t="str">
            <v>Anarhynchus marginatus</v>
          </cell>
          <cell r="H1884" t="str">
            <v>Charadriiformes</v>
          </cell>
          <cell r="I1884" t="str">
            <v>Charadriidae (Plovers and Lapwings)</v>
          </cell>
        </row>
        <row r="1885">
          <cell r="E1885" t="str">
            <v>White-headed Buffalo-Weaver</v>
          </cell>
          <cell r="F1885" t="str">
            <v>Alecto à tête blanche</v>
          </cell>
          <cell r="G1885" t="str">
            <v>Dinemellia dinemelli</v>
          </cell>
          <cell r="H1885" t="str">
            <v>Passeriformes</v>
          </cell>
          <cell r="I1885" t="str">
            <v>Ploceidae (Weavers and Allies)</v>
          </cell>
        </row>
        <row r="1886">
          <cell r="E1886" t="str">
            <v>White-headed Marsh Tyrant</v>
          </cell>
          <cell r="F1886" t="str">
            <v>Moucherolle à tête blanche</v>
          </cell>
          <cell r="G1886" t="str">
            <v>Arundinicola leucocephala</v>
          </cell>
          <cell r="H1886" t="str">
            <v>Passeriformes</v>
          </cell>
          <cell r="I1886" t="str">
            <v>Tyrannidae (Tyrant Flycatchers)</v>
          </cell>
        </row>
        <row r="1887">
          <cell r="E1887" t="str">
            <v>White-headed Vanga</v>
          </cell>
          <cell r="F1887" t="str">
            <v>Artamelle à tête blanche</v>
          </cell>
          <cell r="G1887" t="str">
            <v>Artamella viridis</v>
          </cell>
          <cell r="H1887" t="str">
            <v>Passeriformes</v>
          </cell>
          <cell r="I1887" t="str">
            <v>Vangidae (Vangas, Helmetshrikes, and Allies)</v>
          </cell>
        </row>
        <row r="1888">
          <cell r="E1888" t="str">
            <v>White-headed Wren</v>
          </cell>
          <cell r="F1888" t="str">
            <v>Troglodyte à tête blanche</v>
          </cell>
          <cell r="G1888" t="str">
            <v>Campylorhynchus albobrunneus</v>
          </cell>
          <cell r="H1888" t="str">
            <v>Passeriformes</v>
          </cell>
          <cell r="I1888" t="str">
            <v>Troglodytidae (Wrens)</v>
          </cell>
        </row>
        <row r="1889">
          <cell r="E1889" t="str">
            <v>White-lined Tanager</v>
          </cell>
          <cell r="F1889" t="str">
            <v>Tangara à galons blancs</v>
          </cell>
          <cell r="G1889" t="str">
            <v>Tachyphonus rufus</v>
          </cell>
          <cell r="H1889" t="str">
            <v>Passeriformes</v>
          </cell>
          <cell r="I1889" t="str">
            <v>Thraupidae (Tanagers and Allies)</v>
          </cell>
        </row>
        <row r="1890">
          <cell r="E1890" t="str">
            <v>White-lored Warbler</v>
          </cell>
          <cell r="F1890" t="str">
            <v>Paruline à lores blancs</v>
          </cell>
          <cell r="G1890" t="str">
            <v>Myiothlypis conspicillata</v>
          </cell>
          <cell r="H1890" t="str">
            <v>Passeriformes</v>
          </cell>
          <cell r="I1890" t="str">
            <v>Parulidae (New World Warblers)</v>
          </cell>
        </row>
        <row r="1891">
          <cell r="E1891" t="str">
            <v>White-naped Brushfinch</v>
          </cell>
          <cell r="F1891" t="str">
            <v>Tohi à calotte blanche</v>
          </cell>
          <cell r="G1891" t="str">
            <v>Atlapetes albinucha</v>
          </cell>
          <cell r="H1891" t="str">
            <v>Passeriformes</v>
          </cell>
          <cell r="I1891" t="str">
            <v>Passerellidae (New World Sparrows)</v>
          </cell>
        </row>
        <row r="1892">
          <cell r="E1892" t="str">
            <v>White-naped Honeyeater</v>
          </cell>
          <cell r="F1892" t="str">
            <v>Méliphage à lunule</v>
          </cell>
          <cell r="G1892" t="str">
            <v>Melithreptus lunatus</v>
          </cell>
          <cell r="H1892" t="str">
            <v>Passeriformes</v>
          </cell>
          <cell r="I1892" t="str">
            <v>Meliphagidae (Honeyeaters)</v>
          </cell>
        </row>
        <row r="1893">
          <cell r="E1893" t="str">
            <v>White-necked Jacobin</v>
          </cell>
          <cell r="F1893" t="str">
            <v>Colibri jacobin</v>
          </cell>
          <cell r="G1893" t="str">
            <v>Florisuga mellivora</v>
          </cell>
          <cell r="H1893" t="str">
            <v>Apodiformes</v>
          </cell>
          <cell r="I1893" t="str">
            <v>Trochilidae (Hummingbirds)</v>
          </cell>
        </row>
        <row r="1894">
          <cell r="E1894" t="str">
            <v>White-necked Puffbird</v>
          </cell>
          <cell r="F1894" t="str">
            <v>Tamatia à front blanc</v>
          </cell>
          <cell r="G1894" t="str">
            <v>Notharchus hyperrhynchus</v>
          </cell>
          <cell r="H1894" t="str">
            <v>Piciformes</v>
          </cell>
          <cell r="I1894" t="str">
            <v>Bucconidae (Puffbirds)</v>
          </cell>
        </row>
        <row r="1895">
          <cell r="E1895" t="str">
            <v>White-necked Thrush</v>
          </cell>
          <cell r="F1895" t="str">
            <v>Merle à col blanc</v>
          </cell>
          <cell r="G1895" t="str">
            <v>Turdus albicollis</v>
          </cell>
          <cell r="H1895" t="str">
            <v>Passeriformes</v>
          </cell>
          <cell r="I1895" t="str">
            <v>Turdidae (Thrushes and Allies)</v>
          </cell>
        </row>
        <row r="1896">
          <cell r="E1896" t="str">
            <v>White-plumed Honeyeater</v>
          </cell>
          <cell r="F1896" t="str">
            <v>Méliphage serti</v>
          </cell>
          <cell r="G1896" t="str">
            <v>Ptilotula penicillata</v>
          </cell>
          <cell r="H1896" t="str">
            <v>Passeriformes</v>
          </cell>
          <cell r="I1896" t="str">
            <v>Meliphagidae (Honeyeaters)</v>
          </cell>
        </row>
        <row r="1897">
          <cell r="E1897" t="str">
            <v>White-quilled Bustard</v>
          </cell>
          <cell r="F1897" t="str">
            <v>Outarde à miroir blanc</v>
          </cell>
          <cell r="G1897" t="str">
            <v>Afrotis afraoides</v>
          </cell>
          <cell r="H1897" t="str">
            <v>Otidiformes</v>
          </cell>
          <cell r="I1897" t="str">
            <v>Otididae (Bustards)</v>
          </cell>
        </row>
        <row r="1898">
          <cell r="E1898" t="str">
            <v>White-ruffed Manakin</v>
          </cell>
          <cell r="F1898" t="str">
            <v>Manakin à fraise</v>
          </cell>
          <cell r="G1898" t="str">
            <v>Corapipo altera</v>
          </cell>
          <cell r="H1898" t="str">
            <v>Passeriformes</v>
          </cell>
          <cell r="I1898" t="str">
            <v>Pipridae (Manakins)</v>
          </cell>
        </row>
        <row r="1899">
          <cell r="E1899" t="str">
            <v>White-rumped Hawk</v>
          </cell>
          <cell r="F1899" t="str">
            <v>Buse cul-blanc</v>
          </cell>
          <cell r="G1899" t="str">
            <v>Parabuteo leucorrhous</v>
          </cell>
          <cell r="H1899" t="str">
            <v>Accipitriformes</v>
          </cell>
          <cell r="I1899" t="str">
            <v>Accipitridae (Hawks, Eagles, and Kites)</v>
          </cell>
        </row>
        <row r="1900">
          <cell r="E1900" t="str">
            <v>White-rumped Sandpiper</v>
          </cell>
          <cell r="F1900" t="str">
            <v>Bécasseau à croupion blanc</v>
          </cell>
          <cell r="G1900" t="str">
            <v>Calidris fuscicollis</v>
          </cell>
          <cell r="H1900" t="str">
            <v>Charadriiformes</v>
          </cell>
          <cell r="I1900" t="str">
            <v>Scolopacidae (Sandpipers and Allies)</v>
          </cell>
        </row>
        <row r="1901">
          <cell r="E1901" t="str">
            <v>White-rumped Shrike</v>
          </cell>
          <cell r="F1901" t="str">
            <v>Eurocéphale de Rüppell</v>
          </cell>
          <cell r="G1901" t="str">
            <v>Eurocephalus ruppelli</v>
          </cell>
          <cell r="H1901" t="str">
            <v>Passeriformes</v>
          </cell>
          <cell r="I1901" t="str">
            <v>Laniidae (Shrikes)</v>
          </cell>
        </row>
        <row r="1902">
          <cell r="E1902" t="str">
            <v>White-shouldered Tanager</v>
          </cell>
          <cell r="F1902" t="str">
            <v>Tangara à épaulettes blanches</v>
          </cell>
          <cell r="G1902" t="str">
            <v>Loriotus luctuosus</v>
          </cell>
          <cell r="H1902" t="str">
            <v>Passeriformes</v>
          </cell>
          <cell r="I1902" t="str">
            <v>Thraupidae (Tanagers and Allies)</v>
          </cell>
        </row>
        <row r="1903">
          <cell r="E1903" t="str">
            <v>White-sided Flowerpiercer</v>
          </cell>
          <cell r="F1903" t="str">
            <v>Percefleur à flancs blancs</v>
          </cell>
          <cell r="G1903" t="str">
            <v>Diglossa albilatera</v>
          </cell>
          <cell r="H1903" t="str">
            <v>Passeriformes</v>
          </cell>
          <cell r="I1903" t="str">
            <v>Thraupidae (Tanagers and Allies)</v>
          </cell>
        </row>
        <row r="1904">
          <cell r="E1904" t="str">
            <v>White-tailed Hawk</v>
          </cell>
          <cell r="F1904" t="str">
            <v>Buse à queue blanche</v>
          </cell>
          <cell r="G1904" t="str">
            <v>Geranoaetus albicaudatus</v>
          </cell>
          <cell r="H1904" t="str">
            <v>Accipitriformes</v>
          </cell>
          <cell r="I1904" t="str">
            <v>Accipitridae (Hawks, Eagles, and Kites)</v>
          </cell>
        </row>
        <row r="1905">
          <cell r="E1905" t="str">
            <v>White-tailed Kite</v>
          </cell>
          <cell r="F1905" t="str">
            <v>Élanion à queue blanche</v>
          </cell>
          <cell r="G1905" t="str">
            <v>Elanus leucurus</v>
          </cell>
          <cell r="H1905" t="str">
            <v>Accipitriformes</v>
          </cell>
          <cell r="I1905" t="str">
            <v>Accipitridae (Hawks, Eagles, and Kites)</v>
          </cell>
        </row>
        <row r="1906">
          <cell r="E1906" t="str">
            <v>White-tailed Nightjar</v>
          </cell>
          <cell r="F1906" t="str">
            <v>Engoulevent coré</v>
          </cell>
          <cell r="G1906" t="str">
            <v>Hydropsalis cayennensis</v>
          </cell>
          <cell r="H1906" t="str">
            <v>Caprimulgiformes</v>
          </cell>
          <cell r="I1906" t="str">
            <v>Caprimulgidae (Nightjars and Allies)</v>
          </cell>
        </row>
        <row r="1907">
          <cell r="E1907" t="str">
            <v>White-tailed Sabrewing</v>
          </cell>
          <cell r="F1907" t="str">
            <v>Campyloptère à queue blanche</v>
          </cell>
          <cell r="G1907" t="str">
            <v>Campylopterus ensipennis</v>
          </cell>
          <cell r="H1907" t="str">
            <v>Apodiformes</v>
          </cell>
          <cell r="I1907" t="str">
            <v>Trochilidae (Hummingbirds)</v>
          </cell>
        </row>
        <row r="1908">
          <cell r="E1908" t="str">
            <v>White-tailed Shrike</v>
          </cell>
          <cell r="F1908" t="str">
            <v>Lanielle à queue blanche</v>
          </cell>
          <cell r="G1908" t="str">
            <v>Lanioturdus torquatus</v>
          </cell>
          <cell r="H1908" t="str">
            <v>Passeriformes</v>
          </cell>
          <cell r="I1908" t="str">
            <v>Platysteiridae (Wattle-eyes and Batises)</v>
          </cell>
        </row>
        <row r="1909">
          <cell r="E1909" t="str">
            <v>White-tailed Starfrontlet</v>
          </cell>
          <cell r="F1909" t="str">
            <v>Inca à queue blanche</v>
          </cell>
          <cell r="G1909" t="str">
            <v>Coeligena phalerata</v>
          </cell>
          <cell r="H1909" t="str">
            <v>Apodiformes</v>
          </cell>
          <cell r="I1909" t="str">
            <v>Trochilidae (Hummingbirds)</v>
          </cell>
        </row>
        <row r="1910">
          <cell r="E1910" t="str">
            <v>White-tailed Trogon</v>
          </cell>
          <cell r="F1910" t="str">
            <v>Trogon de Sclater</v>
          </cell>
          <cell r="G1910" t="str">
            <v>Trogon chionurus</v>
          </cell>
          <cell r="H1910" t="str">
            <v>Trogoniformes</v>
          </cell>
          <cell r="I1910" t="str">
            <v>Trogonidae (Trogons)</v>
          </cell>
        </row>
        <row r="1911">
          <cell r="E1911" t="str">
            <v>White-tailed Tropicbird</v>
          </cell>
          <cell r="F1911" t="str">
            <v>Phaéton à bec jaune</v>
          </cell>
          <cell r="G1911" t="str">
            <v>Phaethon lepturus</v>
          </cell>
          <cell r="H1911" t="str">
            <v>Phaethontiformes</v>
          </cell>
          <cell r="I1911" t="str">
            <v>Phaethontidae (Tropicbirds)</v>
          </cell>
        </row>
        <row r="1912">
          <cell r="E1912" t="str">
            <v>White-tailed Tyrannulet</v>
          </cell>
          <cell r="F1912" t="str">
            <v>Tyranneau à queue blanche</v>
          </cell>
          <cell r="G1912" t="str">
            <v>Mecocerculus poecilocercus</v>
          </cell>
          <cell r="H1912" t="str">
            <v>Passeriformes</v>
          </cell>
          <cell r="I1912" t="str">
            <v>Tyrannidae (Tyrant Flycatchers)</v>
          </cell>
        </row>
        <row r="1913">
          <cell r="E1913" t="str">
            <v>White-thighed Swallow</v>
          </cell>
          <cell r="F1913" t="str">
            <v>Hirondelle à cuisses blanches</v>
          </cell>
          <cell r="G1913" t="str">
            <v>Atticora tibialis</v>
          </cell>
          <cell r="H1913" t="str">
            <v>Passeriformes</v>
          </cell>
          <cell r="I1913" t="str">
            <v>Hirundinidae (Swallows)</v>
          </cell>
        </row>
        <row r="1914">
          <cell r="E1914" t="str">
            <v>White-throated Crake</v>
          </cell>
          <cell r="F1914" t="str">
            <v>Râle à menton blanc</v>
          </cell>
          <cell r="G1914" t="str">
            <v>Laterallus albigularis</v>
          </cell>
          <cell r="H1914" t="str">
            <v>Gruiformes</v>
          </cell>
          <cell r="I1914" t="str">
            <v>Rallidae (Rails, Gallinules, and Coots)</v>
          </cell>
        </row>
        <row r="1915">
          <cell r="E1915" t="str">
            <v>White-throated Daggerbill</v>
          </cell>
          <cell r="F1915" t="str">
            <v>Colibri à collier blanc</v>
          </cell>
          <cell r="G1915" t="str">
            <v>Schistes albogularis</v>
          </cell>
          <cell r="H1915" t="str">
            <v>Apodiformes</v>
          </cell>
          <cell r="I1915" t="str">
            <v>Trochilidae (Hummingbirds)</v>
          </cell>
        </row>
        <row r="1916">
          <cell r="E1916" t="str">
            <v>White-throated Gerygone</v>
          </cell>
          <cell r="F1916" t="str">
            <v>Gérygone à gorge blanche</v>
          </cell>
          <cell r="G1916" t="str">
            <v>Gerygone olivacea</v>
          </cell>
          <cell r="H1916" t="str">
            <v>Passeriformes</v>
          </cell>
          <cell r="I1916" t="str">
            <v>Acanthizidae (Thornbills and Allies)</v>
          </cell>
        </row>
        <row r="1917">
          <cell r="E1917" t="str">
            <v>White-throated Magpie-Jay</v>
          </cell>
          <cell r="F1917" t="str">
            <v>Geai à face blanche</v>
          </cell>
          <cell r="G1917" t="str">
            <v>Cyanocorax formosus</v>
          </cell>
          <cell r="H1917" t="str">
            <v>Passeriformes</v>
          </cell>
          <cell r="I1917" t="str">
            <v>Corvidae (Crows, Jays, and Magpies)</v>
          </cell>
        </row>
        <row r="1918">
          <cell r="E1918" t="str">
            <v>White-throated Mountain-gem</v>
          </cell>
          <cell r="F1918" t="str">
            <v>Colibri à ventre châtain</v>
          </cell>
          <cell r="G1918" t="str">
            <v>Lampornis castaneoventris</v>
          </cell>
          <cell r="H1918" t="str">
            <v>Apodiformes</v>
          </cell>
          <cell r="I1918" t="str">
            <v>Trochilidae (Hummingbirds)</v>
          </cell>
        </row>
        <row r="1919">
          <cell r="E1919" t="str">
            <v>White-throated Oxylabes</v>
          </cell>
          <cell r="F1919" t="str">
            <v>Oxylabe à gorge blanche</v>
          </cell>
          <cell r="G1919" t="str">
            <v>Oxylabes madagascariensis</v>
          </cell>
          <cell r="H1919" t="str">
            <v>Passeriformes</v>
          </cell>
          <cell r="I1919" t="str">
            <v>Bernieridae (Malagasy Warblers)</v>
          </cell>
        </row>
        <row r="1920">
          <cell r="E1920" t="str">
            <v>White-throated Quail-Dove</v>
          </cell>
          <cell r="F1920" t="str">
            <v>Colombe à gorge blanche</v>
          </cell>
          <cell r="G1920" t="str">
            <v>Zentrygon frenata</v>
          </cell>
          <cell r="H1920" t="str">
            <v>Columbiformes</v>
          </cell>
          <cell r="I1920" t="str">
            <v>Columbidae (Pigeons and Doves)</v>
          </cell>
        </row>
        <row r="1921">
          <cell r="E1921" t="str">
            <v>White-throated Rail</v>
          </cell>
          <cell r="F1921" t="str">
            <v>Râle de Cuvier</v>
          </cell>
          <cell r="G1921" t="str">
            <v>Dryolimnas cuvieri</v>
          </cell>
          <cell r="H1921" t="str">
            <v>Gruiformes</v>
          </cell>
          <cell r="I1921" t="str">
            <v>Rallidae (Rails, Gallinules, and Coots)</v>
          </cell>
        </row>
        <row r="1922">
          <cell r="E1922" t="str">
            <v>White-throated Screech-Owl</v>
          </cell>
          <cell r="F1922" t="str">
            <v>Petit-duc à gorge blanche</v>
          </cell>
          <cell r="G1922" t="str">
            <v>Megascops albogularis</v>
          </cell>
          <cell r="H1922" t="str">
            <v>Strigiformes</v>
          </cell>
          <cell r="I1922" t="str">
            <v>Strigidae (Owls)</v>
          </cell>
        </row>
        <row r="1923">
          <cell r="E1923" t="str">
            <v>White-throated Shrike-Tanager</v>
          </cell>
          <cell r="F1923" t="str">
            <v>Tangara à gorge blanche</v>
          </cell>
          <cell r="G1923" t="str">
            <v>Lanio leucothorax</v>
          </cell>
          <cell r="H1923" t="str">
            <v>Passeriformes</v>
          </cell>
          <cell r="I1923" t="str">
            <v>Thraupidae (Tanagers and Allies)</v>
          </cell>
        </row>
        <row r="1924">
          <cell r="E1924" t="str">
            <v>White-throated Spadebill</v>
          </cell>
          <cell r="F1924" t="str">
            <v>Platyrhynque à moustaches</v>
          </cell>
          <cell r="G1924" t="str">
            <v>Platyrinchus mystaceus</v>
          </cell>
          <cell r="H1924" t="str">
            <v>Passeriformes</v>
          </cell>
          <cell r="I1924" t="str">
            <v>Tyrannidae (Tyrant Flycatchers)</v>
          </cell>
        </row>
        <row r="1925">
          <cell r="E1925" t="str">
            <v>White-throated Sparrow</v>
          </cell>
          <cell r="F1925" t="str">
            <v>Bruant à gorge blanche</v>
          </cell>
          <cell r="G1925" t="str">
            <v>Zonotrichia albicollis</v>
          </cell>
          <cell r="H1925" t="str">
            <v>Passeriformes</v>
          </cell>
          <cell r="I1925" t="str">
            <v>Passerellidae (New World Sparrows)</v>
          </cell>
        </row>
        <row r="1926">
          <cell r="E1926" t="str">
            <v>White-throated Thrush</v>
          </cell>
          <cell r="F1926" t="str">
            <v>Merle à gorge blanche</v>
          </cell>
          <cell r="G1926" t="str">
            <v>Turdus assimilis</v>
          </cell>
          <cell r="H1926" t="str">
            <v>Passeriformes</v>
          </cell>
          <cell r="I1926" t="str">
            <v>Turdidae (Thrushes and Allies)</v>
          </cell>
        </row>
        <row r="1927">
          <cell r="E1927" t="str">
            <v>White-throated Treecreeper</v>
          </cell>
          <cell r="F1927" t="str">
            <v>Échelet leucophée</v>
          </cell>
          <cell r="G1927" t="str">
            <v>Cormobates leucophaea</v>
          </cell>
          <cell r="H1927" t="str">
            <v>Passeriformes</v>
          </cell>
          <cell r="I1927" t="str">
            <v>Climacteridae (Australasian Treecreepers)</v>
          </cell>
        </row>
        <row r="1928">
          <cell r="E1928" t="str">
            <v>White-throated Tyrannulet</v>
          </cell>
          <cell r="F1928" t="str">
            <v>Tyranneau à gorge blanche</v>
          </cell>
          <cell r="G1928" t="str">
            <v>Mecocerculus leucophrys</v>
          </cell>
          <cell r="H1928" t="str">
            <v>Passeriformes</v>
          </cell>
          <cell r="I1928" t="str">
            <v>Tyrannidae (Tyrant Flycatchers)</v>
          </cell>
        </row>
        <row r="1929">
          <cell r="E1929" t="str">
            <v>White-tipped Dove</v>
          </cell>
          <cell r="F1929" t="str">
            <v>Colombe de Verreaux</v>
          </cell>
          <cell r="G1929" t="str">
            <v>Leptotila verreauxi</v>
          </cell>
          <cell r="H1929" t="str">
            <v>Columbiformes</v>
          </cell>
          <cell r="I1929" t="str">
            <v>Columbidae (Pigeons and Doves)</v>
          </cell>
        </row>
        <row r="1930">
          <cell r="E1930" t="str">
            <v>White-tipped Quetzal</v>
          </cell>
          <cell r="F1930" t="str">
            <v>Quetzal brillant</v>
          </cell>
          <cell r="G1930" t="str">
            <v>Pharomachrus fulgidus</v>
          </cell>
          <cell r="H1930" t="str">
            <v>Trogoniformes</v>
          </cell>
          <cell r="I1930" t="str">
            <v>Trogonidae (Trogons)</v>
          </cell>
        </row>
        <row r="1931">
          <cell r="E1931" t="str">
            <v>White-tipped Sicklebill</v>
          </cell>
          <cell r="F1931" t="str">
            <v>Bec-en-faucille aigle</v>
          </cell>
          <cell r="G1931" t="str">
            <v>Eutoxeres aquila</v>
          </cell>
          <cell r="H1931" t="str">
            <v>Apodiformes</v>
          </cell>
          <cell r="I1931" t="str">
            <v>Trochilidae (Hummingbirds)</v>
          </cell>
        </row>
        <row r="1932">
          <cell r="E1932" t="str">
            <v>White-tipped Swift</v>
          </cell>
          <cell r="F1932" t="str">
            <v>Martinet montagnard</v>
          </cell>
          <cell r="G1932" t="str">
            <v>Aeronautes montivagus</v>
          </cell>
          <cell r="H1932" t="str">
            <v>Apodiformes</v>
          </cell>
          <cell r="I1932" t="str">
            <v>Apodidae (Swifts)</v>
          </cell>
        </row>
        <row r="1933">
          <cell r="E1933" t="str">
            <v>White-vented Euphonia</v>
          </cell>
          <cell r="F1933" t="str">
            <v>Organiste cul-blanc</v>
          </cell>
          <cell r="G1933" t="str">
            <v>Euphonia minuta</v>
          </cell>
          <cell r="H1933" t="str">
            <v>Passeriformes</v>
          </cell>
          <cell r="I1933" t="str">
            <v>Fringillidae (Finches, Euphonias, and Allies)</v>
          </cell>
        </row>
        <row r="1934">
          <cell r="E1934" t="str">
            <v>White-vented Plumeleteer</v>
          </cell>
          <cell r="F1934" t="str">
            <v>Colibri de Buffon</v>
          </cell>
          <cell r="G1934" t="str">
            <v>Chalybura buffonii</v>
          </cell>
          <cell r="H1934" t="str">
            <v>Apodiformes</v>
          </cell>
          <cell r="I1934" t="str">
            <v>Trochilidae (Hummingbirds)</v>
          </cell>
        </row>
        <row r="1935">
          <cell r="E1935" t="str">
            <v>White-whiskered Hermit</v>
          </cell>
          <cell r="F1935" t="str">
            <v>Ermite yaruqui</v>
          </cell>
          <cell r="G1935" t="str">
            <v>Phaethornis yaruqui</v>
          </cell>
          <cell r="H1935" t="str">
            <v>Apodiformes</v>
          </cell>
          <cell r="I1935" t="str">
            <v>Trochilidae (Hummingbirds)</v>
          </cell>
        </row>
        <row r="1936">
          <cell r="E1936" t="str">
            <v>White-whiskered Puffbird</v>
          </cell>
          <cell r="F1936" t="str">
            <v>Tamatia de Lafresnaye</v>
          </cell>
          <cell r="G1936" t="str">
            <v>Malacoptila panamensis</v>
          </cell>
          <cell r="H1936" t="str">
            <v>Piciformes</v>
          </cell>
          <cell r="I1936" t="str">
            <v>Bucconidae (Puffbirds)</v>
          </cell>
        </row>
        <row r="1937">
          <cell r="E1937" t="str">
            <v>White-whiskered Spinetail</v>
          </cell>
          <cell r="F1937" t="str">
            <v>Synallaxe à moustaches</v>
          </cell>
          <cell r="G1937" t="str">
            <v>Synallaxis candei</v>
          </cell>
          <cell r="H1937" t="str">
            <v>Passeriformes</v>
          </cell>
          <cell r="I1937" t="str">
            <v>Furnariidae (Ovenbirds and Woodcreepers)</v>
          </cell>
        </row>
        <row r="1938">
          <cell r="E1938" t="str">
            <v>White-winged Becard</v>
          </cell>
          <cell r="F1938" t="str">
            <v>Bécarde à ailes blanches</v>
          </cell>
          <cell r="G1938" t="str">
            <v>Pachyramphus polychopterus</v>
          </cell>
          <cell r="H1938" t="str">
            <v>Passeriformes</v>
          </cell>
          <cell r="I1938" t="str">
            <v>Tityridae (Tityras and Allies)</v>
          </cell>
        </row>
        <row r="1939">
          <cell r="E1939" t="str">
            <v>White-winged Brushfinch</v>
          </cell>
          <cell r="F1939" t="str">
            <v>Tohi leucoptère</v>
          </cell>
          <cell r="G1939" t="str">
            <v>Atlapetes leucopterus</v>
          </cell>
          <cell r="H1939" t="str">
            <v>Passeriformes</v>
          </cell>
          <cell r="I1939" t="str">
            <v>Passerellidae (New World Sparrows)</v>
          </cell>
        </row>
        <row r="1940">
          <cell r="E1940" t="str">
            <v>White-winged Chough</v>
          </cell>
          <cell r="F1940" t="str">
            <v>Corbicrave leucoptère</v>
          </cell>
          <cell r="G1940" t="str">
            <v>Corcorax melanorhamphos</v>
          </cell>
          <cell r="H1940" t="str">
            <v>Passeriformes</v>
          </cell>
          <cell r="I1940" t="str">
            <v>Corcoracidae (White-winged Chough and Apostlebird)</v>
          </cell>
        </row>
        <row r="1941">
          <cell r="E1941" t="str">
            <v>White-winged Crossbill</v>
          </cell>
          <cell r="F1941" t="str">
            <v>Bec-croisé bifascié</v>
          </cell>
          <cell r="G1941" t="str">
            <v>Loxia leucoptera</v>
          </cell>
          <cell r="H1941" t="str">
            <v>Passeriformes</v>
          </cell>
          <cell r="I1941" t="str">
            <v>Fringillidae (Finches, Euphonias, and Allies)</v>
          </cell>
        </row>
        <row r="1942">
          <cell r="E1942" t="str">
            <v>White-winged Dove</v>
          </cell>
          <cell r="F1942" t="str">
            <v>Tourterelle à ailes blanches</v>
          </cell>
          <cell r="G1942" t="str">
            <v>Zenaida asiatica</v>
          </cell>
          <cell r="H1942" t="str">
            <v>Columbiformes</v>
          </cell>
          <cell r="I1942" t="str">
            <v>Columbidae (Pigeons and Doves)</v>
          </cell>
        </row>
        <row r="1943">
          <cell r="E1943" t="str">
            <v>White-winged Fairywren</v>
          </cell>
          <cell r="F1943" t="str">
            <v>Mérion leucoptère</v>
          </cell>
          <cell r="G1943" t="str">
            <v>Malurus leucopterus</v>
          </cell>
          <cell r="H1943" t="str">
            <v>Passeriformes</v>
          </cell>
          <cell r="I1943" t="str">
            <v>Maluridae (Fairywrens)</v>
          </cell>
        </row>
        <row r="1944">
          <cell r="E1944" t="str">
            <v>White-winged Scoter</v>
          </cell>
          <cell r="F1944" t="str">
            <v>Macreuse à ailes blanches</v>
          </cell>
          <cell r="G1944" t="str">
            <v>Melanitta deglandi</v>
          </cell>
          <cell r="H1944" t="str">
            <v>Anseriformes</v>
          </cell>
          <cell r="I1944" t="str">
            <v>Anatidae (Ducks, Geese, and Waterfowl)</v>
          </cell>
        </row>
        <row r="1945">
          <cell r="E1945" t="str">
            <v>White-winged Snowfinch</v>
          </cell>
          <cell r="F1945" t="str">
            <v>Niverolle alpine</v>
          </cell>
          <cell r="G1945" t="str">
            <v>Montifringilla nivalis</v>
          </cell>
          <cell r="H1945" t="str">
            <v>Passeriformes</v>
          </cell>
          <cell r="I1945" t="str">
            <v>Passeridae (Old World Sparrows)</v>
          </cell>
        </row>
        <row r="1946">
          <cell r="E1946" t="str">
            <v>White-winged Swallow</v>
          </cell>
          <cell r="F1946" t="str">
            <v>Hirondelle à ailes blanches</v>
          </cell>
          <cell r="G1946" t="str">
            <v>Tachycineta albiventer</v>
          </cell>
          <cell r="H1946" t="str">
            <v>Passeriformes</v>
          </cell>
          <cell r="I1946" t="str">
            <v>Hirundinidae (Swallows)</v>
          </cell>
        </row>
        <row r="1947">
          <cell r="E1947" t="str">
            <v>White-winged Triller</v>
          </cell>
          <cell r="F1947" t="str">
            <v>Échenilleur tricolore</v>
          </cell>
          <cell r="G1947" t="str">
            <v>Lalage tricolor</v>
          </cell>
          <cell r="H1947" t="str">
            <v>Passeriformes</v>
          </cell>
          <cell r="I1947" t="str">
            <v>Campephagidae (Cuckooshrikes)</v>
          </cell>
        </row>
        <row r="1948">
          <cell r="E1948" t="str">
            <v>Whooping Crane</v>
          </cell>
          <cell r="F1948" t="str">
            <v>Grue blanche</v>
          </cell>
          <cell r="G1948" t="str">
            <v>Grus americana</v>
          </cell>
          <cell r="H1948" t="str">
            <v>Gruiformes</v>
          </cell>
          <cell r="I1948" t="str">
            <v>Gruidae (Cranes)</v>
          </cell>
        </row>
        <row r="1949">
          <cell r="E1949" t="str">
            <v>Whooping Motmot</v>
          </cell>
          <cell r="F1949" t="str">
            <v>Motmot caraïbe</v>
          </cell>
          <cell r="G1949" t="str">
            <v>Momotus subrufescens</v>
          </cell>
          <cell r="H1949" t="str">
            <v>Coraciiformes</v>
          </cell>
          <cell r="I1949" t="str">
            <v>Momotidae (Motmots)</v>
          </cell>
        </row>
        <row r="1950">
          <cell r="E1950" t="str">
            <v>Wild Turkey</v>
          </cell>
          <cell r="F1950" t="str">
            <v>Dindon sauvage</v>
          </cell>
          <cell r="G1950" t="str">
            <v>Meleagris gallopavo</v>
          </cell>
          <cell r="H1950" t="str">
            <v>Galliformes</v>
          </cell>
          <cell r="I1950" t="str">
            <v>Phasianidae (Pheasants, Grouse, and Allies)</v>
          </cell>
        </row>
        <row r="1951">
          <cell r="E1951" t="str">
            <v>Willet</v>
          </cell>
          <cell r="F1951" t="str">
            <v>Chevalier semipalmé</v>
          </cell>
          <cell r="G1951" t="str">
            <v>Tringa semipalmata</v>
          </cell>
          <cell r="H1951" t="str">
            <v>Charadriiformes</v>
          </cell>
          <cell r="I1951" t="str">
            <v>Scolopacidae (Sandpipers and Allies)</v>
          </cell>
        </row>
        <row r="1952">
          <cell r="E1952" t="str">
            <v>Willie-wagtail</v>
          </cell>
          <cell r="F1952" t="str">
            <v>Rhipidure hochequeue</v>
          </cell>
          <cell r="G1952" t="str">
            <v>Rhipidura leucophrys</v>
          </cell>
          <cell r="H1952" t="str">
            <v>Passeriformes</v>
          </cell>
          <cell r="I1952" t="str">
            <v>Rhipiduridae (Fantails)</v>
          </cell>
        </row>
        <row r="1953">
          <cell r="E1953" t="str">
            <v>Willow Flycatcher</v>
          </cell>
          <cell r="F1953" t="str">
            <v>Moucherolle des saules</v>
          </cell>
          <cell r="G1953" t="str">
            <v>Empidonax traillii</v>
          </cell>
          <cell r="H1953" t="str">
            <v>Passeriformes</v>
          </cell>
          <cell r="I1953" t="str">
            <v>Tyrannidae (Tyrant Flycatchers)</v>
          </cell>
        </row>
        <row r="1954">
          <cell r="E1954" t="str">
            <v>Willow Ptarmigan</v>
          </cell>
          <cell r="F1954" t="str">
            <v>Lagopède des saules</v>
          </cell>
          <cell r="G1954" t="str">
            <v>Lagopus lagopus</v>
          </cell>
          <cell r="H1954" t="str">
            <v>Galliformes</v>
          </cell>
          <cell r="I1954" t="str">
            <v>Phasianidae (Pheasants, Grouse, and Allies)</v>
          </cell>
        </row>
        <row r="1955">
          <cell r="E1955" t="str">
            <v>Wilson's Phalarope</v>
          </cell>
          <cell r="F1955" t="str">
            <v>Phalarope de Wilson</v>
          </cell>
          <cell r="G1955" t="str">
            <v>Phalaropus tricolor</v>
          </cell>
          <cell r="H1955" t="str">
            <v>Charadriiformes</v>
          </cell>
          <cell r="I1955" t="str">
            <v>Scolopacidae (Sandpipers and Allies)</v>
          </cell>
        </row>
        <row r="1956">
          <cell r="E1956" t="str">
            <v>Wilson's Plover</v>
          </cell>
          <cell r="F1956" t="str">
            <v>Pluvier de Wilson</v>
          </cell>
          <cell r="G1956" t="str">
            <v>Anarhynchus wilsonia</v>
          </cell>
          <cell r="H1956" t="str">
            <v>Charadriiformes</v>
          </cell>
          <cell r="I1956" t="str">
            <v>Charadriidae (Plovers and Lapwings)</v>
          </cell>
        </row>
        <row r="1957">
          <cell r="E1957" t="str">
            <v>Wilson's Snipe</v>
          </cell>
          <cell r="F1957" t="str">
            <v>Bécassine de Wilson</v>
          </cell>
          <cell r="G1957" t="str">
            <v>Gallinago delicata</v>
          </cell>
          <cell r="H1957" t="str">
            <v>Charadriiformes</v>
          </cell>
          <cell r="I1957" t="str">
            <v>Scolopacidae (Sandpipers and Allies)</v>
          </cell>
        </row>
        <row r="1958">
          <cell r="E1958" t="str">
            <v>Wilson's Warbler</v>
          </cell>
          <cell r="F1958" t="str">
            <v>Paruline à calotte noire</v>
          </cell>
          <cell r="G1958" t="str">
            <v>Cardellina pusilla</v>
          </cell>
          <cell r="H1958" t="str">
            <v>Passeriformes</v>
          </cell>
          <cell r="I1958" t="str">
            <v>Parulidae (New World Warblers)</v>
          </cell>
        </row>
        <row r="1959">
          <cell r="E1959" t="str">
            <v>Winter Wren</v>
          </cell>
          <cell r="F1959" t="str">
            <v>Troglodyte des forêts</v>
          </cell>
          <cell r="G1959" t="str">
            <v>Troglodytes hiemalis</v>
          </cell>
          <cell r="H1959" t="str">
            <v>Passeriformes</v>
          </cell>
          <cell r="I1959" t="str">
            <v>Troglodytidae (Wrens)</v>
          </cell>
        </row>
        <row r="1960">
          <cell r="E1960" t="str">
            <v>Wood Duck</v>
          </cell>
          <cell r="F1960" t="str">
            <v>Canard branchu</v>
          </cell>
          <cell r="G1960" t="str">
            <v>Aix sponsa</v>
          </cell>
          <cell r="H1960" t="str">
            <v>Anseriformes</v>
          </cell>
          <cell r="I1960" t="str">
            <v>Anatidae (Ducks, Geese, and Waterfowl)</v>
          </cell>
        </row>
        <row r="1961">
          <cell r="E1961" t="str">
            <v>Wood Stork</v>
          </cell>
          <cell r="F1961" t="str">
            <v>Tantale d'Amérique</v>
          </cell>
          <cell r="G1961" t="str">
            <v>Mycteria americana</v>
          </cell>
          <cell r="H1961" t="str">
            <v>Ciconiiformes</v>
          </cell>
          <cell r="I1961" t="str">
            <v>Ciconiidae (Storks)</v>
          </cell>
        </row>
        <row r="1962">
          <cell r="E1962" t="str">
            <v>Wood Thrush</v>
          </cell>
          <cell r="F1962" t="str">
            <v>Grive des bois</v>
          </cell>
          <cell r="G1962" t="str">
            <v>Hylocichla mustelina</v>
          </cell>
          <cell r="H1962" t="str">
            <v>Passeriformes</v>
          </cell>
          <cell r="I1962" t="str">
            <v>Turdidae (Thrushes and Allies)</v>
          </cell>
        </row>
        <row r="1963">
          <cell r="E1963" t="str">
            <v>Woodhouse's Scrub-Jay</v>
          </cell>
          <cell r="F1963" t="str">
            <v>Geai de Woodhouse</v>
          </cell>
          <cell r="G1963" t="str">
            <v>Aphelocoma woodhouseii</v>
          </cell>
          <cell r="H1963" t="str">
            <v>Passeriformes</v>
          </cell>
          <cell r="I1963" t="str">
            <v>Corvidae (Crows, Jays, and Magpies)</v>
          </cell>
        </row>
        <row r="1964">
          <cell r="E1964" t="str">
            <v>Worm-eating Warbler</v>
          </cell>
          <cell r="F1964" t="str">
            <v>Paruline vermivore</v>
          </cell>
          <cell r="G1964" t="str">
            <v>Helmitheros vermivorum</v>
          </cell>
          <cell r="H1964" t="str">
            <v>Passeriformes</v>
          </cell>
          <cell r="I1964" t="str">
            <v>Parulidae (New World Warblers)</v>
          </cell>
        </row>
        <row r="1965">
          <cell r="E1965" t="str">
            <v>Wrentit</v>
          </cell>
          <cell r="F1965" t="str">
            <v>Cama brune</v>
          </cell>
          <cell r="G1965" t="str">
            <v>Chamaea fasciata</v>
          </cell>
          <cell r="H1965" t="str">
            <v>Passeriformes</v>
          </cell>
          <cell r="I1965" t="str">
            <v>Paradoxornithidae (Parrotbills)</v>
          </cell>
        </row>
        <row r="1966">
          <cell r="E1966" t="str">
            <v>Yellow Oriole</v>
          </cell>
          <cell r="F1966" t="str">
            <v>Oriole jaune</v>
          </cell>
          <cell r="G1966" t="str">
            <v>Icterus nigrogularis</v>
          </cell>
          <cell r="H1966" t="str">
            <v>Passeriformes</v>
          </cell>
          <cell r="I1966" t="str">
            <v>Icteridae (Troupials and Allies)</v>
          </cell>
        </row>
        <row r="1967">
          <cell r="E1967" t="str">
            <v>Yellow Thornbill</v>
          </cell>
          <cell r="F1967" t="str">
            <v>Acanthize nain</v>
          </cell>
          <cell r="G1967" t="str">
            <v>Acanthiza nana</v>
          </cell>
          <cell r="H1967" t="str">
            <v>Passeriformes</v>
          </cell>
          <cell r="I1967" t="str">
            <v>Acanthizidae (Thornbills and Allies)</v>
          </cell>
        </row>
        <row r="1968">
          <cell r="E1968" t="str">
            <v>Yellow Tyrannulet</v>
          </cell>
          <cell r="F1968" t="str">
            <v>Tyranneau flavéole</v>
          </cell>
          <cell r="G1968" t="str">
            <v>Capsiempis flaveola</v>
          </cell>
          <cell r="H1968" t="str">
            <v>Passeriformes</v>
          </cell>
          <cell r="I1968" t="str">
            <v>Tyrannidae (Tyrant Flycatchers)</v>
          </cell>
        </row>
        <row r="1969">
          <cell r="E1969" t="str">
            <v>Yellow Wattlebird</v>
          </cell>
          <cell r="F1969" t="str">
            <v>Méliphage à pendeloques</v>
          </cell>
          <cell r="G1969" t="str">
            <v>Anthochaera paradoxa</v>
          </cell>
          <cell r="H1969" t="str">
            <v>Passeriformes</v>
          </cell>
          <cell r="I1969" t="str">
            <v>Meliphagidae (Honeyeaters)</v>
          </cell>
        </row>
        <row r="1970">
          <cell r="E1970" t="str">
            <v>Yellow-backed Oriole</v>
          </cell>
          <cell r="F1970" t="str">
            <v>Oriole noir et or</v>
          </cell>
          <cell r="G1970" t="str">
            <v>Icterus chrysater</v>
          </cell>
          <cell r="H1970" t="str">
            <v>Passeriformes</v>
          </cell>
          <cell r="I1970" t="str">
            <v>Icteridae (Troupials and Allies)</v>
          </cell>
        </row>
        <row r="1971">
          <cell r="E1971" t="str">
            <v>Yellow-bellied Chat-Tyrant</v>
          </cell>
          <cell r="F1971" t="str">
            <v>Pitajo diadème</v>
          </cell>
          <cell r="G1971" t="str">
            <v>Silvicultrix diadema</v>
          </cell>
          <cell r="H1971" t="str">
            <v>Passeriformes</v>
          </cell>
          <cell r="I1971" t="str">
            <v>Tyrannidae (Tyrant Flycatchers)</v>
          </cell>
        </row>
        <row r="1972">
          <cell r="E1972" t="str">
            <v>Yellow-bellied Elaenia</v>
          </cell>
          <cell r="F1972" t="str">
            <v>Élénie à ventre jaune</v>
          </cell>
          <cell r="G1972" t="str">
            <v>Elaenia flavogaster</v>
          </cell>
          <cell r="H1972" t="str">
            <v>Passeriformes</v>
          </cell>
          <cell r="I1972" t="str">
            <v>Tyrannidae (Tyrant Flycatchers)</v>
          </cell>
        </row>
        <row r="1973">
          <cell r="E1973" t="str">
            <v>Yellow-bellied Flycatcher</v>
          </cell>
          <cell r="F1973" t="str">
            <v>Moucherolle à ventre jaune</v>
          </cell>
          <cell r="G1973" t="str">
            <v>Empidonax flaviventris</v>
          </cell>
          <cell r="H1973" t="str">
            <v>Passeriformes</v>
          </cell>
          <cell r="I1973" t="str">
            <v>Tyrannidae (Tyrant Flycatchers)</v>
          </cell>
        </row>
        <row r="1974">
          <cell r="E1974" t="str">
            <v>Yellow-bellied Greenbul</v>
          </cell>
          <cell r="F1974" t="str">
            <v>Bulbul à poitrine jaune</v>
          </cell>
          <cell r="G1974" t="str">
            <v>Chlorocichla flaviventris</v>
          </cell>
          <cell r="H1974" t="str">
            <v>Passeriformes</v>
          </cell>
          <cell r="I1974" t="str">
            <v>Pycnonotidae (Bulbuls)</v>
          </cell>
        </row>
        <row r="1975">
          <cell r="E1975" t="str">
            <v>Yellow-bellied Sapsucker</v>
          </cell>
          <cell r="F1975" t="str">
            <v>Pic maculé</v>
          </cell>
          <cell r="G1975" t="str">
            <v>Sphyrapicus varius</v>
          </cell>
          <cell r="H1975" t="str">
            <v>Piciformes</v>
          </cell>
          <cell r="I1975" t="str">
            <v>Picidae (Woodpeckers)</v>
          </cell>
        </row>
        <row r="1976">
          <cell r="E1976" t="str">
            <v>Yellow-bellied Seedeater</v>
          </cell>
          <cell r="F1976" t="str">
            <v>Sporophile à ventre jaune</v>
          </cell>
          <cell r="G1976" t="str">
            <v>Sporophila nigricollis</v>
          </cell>
          <cell r="H1976" t="str">
            <v>Passeriformes</v>
          </cell>
          <cell r="I1976" t="str">
            <v>Thraupidae (Tanagers and Allies)</v>
          </cell>
        </row>
        <row r="1977">
          <cell r="E1977" t="str">
            <v>Yellow-bellied Siskin</v>
          </cell>
          <cell r="F1977" t="str">
            <v>Tarin à ventre jaune</v>
          </cell>
          <cell r="G1977" t="str">
            <v>Spinus xanthogastrus</v>
          </cell>
          <cell r="H1977" t="str">
            <v>Passeriformes</v>
          </cell>
          <cell r="I1977" t="str">
            <v>Fringillidae (Finches, Euphonias, and Allies)</v>
          </cell>
        </row>
        <row r="1978">
          <cell r="E1978" t="str">
            <v>Yellow-billed Cacique</v>
          </cell>
          <cell r="F1978" t="str">
            <v>Cassique à bec jaune</v>
          </cell>
          <cell r="G1978" t="str">
            <v>Amblycercus holosericeus</v>
          </cell>
          <cell r="H1978" t="str">
            <v>Passeriformes</v>
          </cell>
          <cell r="I1978" t="str">
            <v>Icteridae (Troupials and Allies)</v>
          </cell>
        </row>
        <row r="1979">
          <cell r="E1979" t="str">
            <v>Yellow-billed Cardinal</v>
          </cell>
          <cell r="F1979" t="str">
            <v>Paroare à bec jaune</v>
          </cell>
          <cell r="G1979" t="str">
            <v>Paroaria capitata</v>
          </cell>
          <cell r="H1979" t="str">
            <v>Passeriformes</v>
          </cell>
          <cell r="I1979" t="str">
            <v>Thraupidae (Tanagers and Allies)</v>
          </cell>
        </row>
        <row r="1980">
          <cell r="E1980" t="str">
            <v>Yellow-billed Chough</v>
          </cell>
          <cell r="F1980" t="str">
            <v>Chocard à bec jaune</v>
          </cell>
          <cell r="G1980" t="str">
            <v>Pyrrhocorax graculus</v>
          </cell>
          <cell r="H1980" t="str">
            <v>Passeriformes</v>
          </cell>
          <cell r="I1980" t="str">
            <v>Corvidae (Crows, Jays, and Magpies)</v>
          </cell>
        </row>
        <row r="1981">
          <cell r="E1981" t="str">
            <v>Yellow-billed Cuckoo</v>
          </cell>
          <cell r="F1981" t="str">
            <v>Coulicou à bec jaune</v>
          </cell>
          <cell r="G1981" t="str">
            <v>Coccyzus americanus</v>
          </cell>
          <cell r="H1981" t="str">
            <v>Cuculiformes</v>
          </cell>
          <cell r="I1981" t="str">
            <v>Cuculidae (Cuckoos)</v>
          </cell>
        </row>
        <row r="1982">
          <cell r="E1982" t="str">
            <v>Yellow-billed Duck</v>
          </cell>
          <cell r="F1982" t="str">
            <v>Canard à bec jaune</v>
          </cell>
          <cell r="G1982" t="str">
            <v>Anas undulata</v>
          </cell>
          <cell r="H1982" t="str">
            <v>Anseriformes</v>
          </cell>
          <cell r="I1982" t="str">
            <v>Anatidae (Ducks, Geese, and Waterfowl)</v>
          </cell>
        </row>
        <row r="1983">
          <cell r="E1983" t="str">
            <v>Yellow-billed Oxpecker</v>
          </cell>
          <cell r="F1983" t="str">
            <v>Piqueboeuf à bec jaune</v>
          </cell>
          <cell r="G1983" t="str">
            <v>Buphagus africanus</v>
          </cell>
          <cell r="H1983" t="str">
            <v>Passeriformes</v>
          </cell>
          <cell r="I1983" t="str">
            <v>Buphagidae (Oxpeckers)</v>
          </cell>
        </row>
        <row r="1984">
          <cell r="E1984" t="str">
            <v>Yellow-billed Spoonbill</v>
          </cell>
          <cell r="F1984" t="str">
            <v>Spatule à bec jaune</v>
          </cell>
          <cell r="G1984" t="str">
            <v>Platalea flavipes</v>
          </cell>
          <cell r="H1984" t="str">
            <v>Pelecaniformes</v>
          </cell>
          <cell r="I1984" t="str">
            <v>Threskiornithidae (Ibises and Spoonbills)</v>
          </cell>
        </row>
        <row r="1985">
          <cell r="E1985" t="str">
            <v>Yellow-billed Stork</v>
          </cell>
          <cell r="F1985" t="str">
            <v>Tantale ibis</v>
          </cell>
          <cell r="G1985" t="str">
            <v>Mycteria ibis</v>
          </cell>
          <cell r="H1985" t="str">
            <v>Ciconiiformes</v>
          </cell>
          <cell r="I1985" t="str">
            <v>Ciconiidae (Storks)</v>
          </cell>
        </row>
        <row r="1986">
          <cell r="E1986" t="str">
            <v>Yellow-breasted Apalis</v>
          </cell>
          <cell r="F1986" t="str">
            <v>Apalis à gorge jaune</v>
          </cell>
          <cell r="G1986" t="str">
            <v>Apalis flavida</v>
          </cell>
          <cell r="H1986" t="str">
            <v>Passeriformes</v>
          </cell>
          <cell r="I1986" t="str">
            <v>Cisticolidae (Cisticolas and Allies)</v>
          </cell>
        </row>
        <row r="1987">
          <cell r="E1987" t="str">
            <v>Yellow-breasted Brushfinch</v>
          </cell>
          <cell r="F1987" t="str">
            <v>Tohi à miroir</v>
          </cell>
          <cell r="G1987" t="str">
            <v>Atlapetes latinuchus</v>
          </cell>
          <cell r="H1987" t="str">
            <v>Passeriformes</v>
          </cell>
          <cell r="I1987" t="str">
            <v>Passerellidae (New World Sparrows)</v>
          </cell>
        </row>
        <row r="1988">
          <cell r="E1988" t="str">
            <v>Yellow-breasted Chat</v>
          </cell>
          <cell r="F1988" t="str">
            <v>Ictérie polyglotte</v>
          </cell>
          <cell r="G1988" t="str">
            <v>Icteria virens</v>
          </cell>
          <cell r="H1988" t="str">
            <v>Passeriformes</v>
          </cell>
          <cell r="I1988" t="str">
            <v>Icteriidae (Yellow-breasted Chat)</v>
          </cell>
        </row>
        <row r="1989">
          <cell r="E1989" t="str">
            <v>Yellow-breasted Crake</v>
          </cell>
          <cell r="F1989" t="str">
            <v>Râle à sourcils blancs</v>
          </cell>
          <cell r="G1989" t="str">
            <v>Laterallus flaviventer</v>
          </cell>
          <cell r="H1989" t="str">
            <v>Gruiformes</v>
          </cell>
          <cell r="I1989" t="str">
            <v>Rallidae (Rails, Gallinules, and Coots)</v>
          </cell>
        </row>
        <row r="1990">
          <cell r="E1990" t="str">
            <v>Yellow-chinned Spinetail</v>
          </cell>
          <cell r="F1990" t="str">
            <v>Synallaxe à gorge jaune</v>
          </cell>
          <cell r="G1990" t="str">
            <v>Certhiaxis cinnamomeus</v>
          </cell>
          <cell r="H1990" t="str">
            <v>Passeriformes</v>
          </cell>
          <cell r="I1990" t="str">
            <v>Furnariidae (Ovenbirds and Woodcreepers)</v>
          </cell>
        </row>
        <row r="1991">
          <cell r="E1991" t="str">
            <v>Yellow-collared Lovebird</v>
          </cell>
          <cell r="F1991" t="str">
            <v>Inséparable masqué</v>
          </cell>
          <cell r="G1991" t="str">
            <v>Agapornis personatus</v>
          </cell>
          <cell r="H1991" t="str">
            <v>Psittaciformes</v>
          </cell>
          <cell r="I1991" t="str">
            <v>Psittaculidae (Old World Parrots)</v>
          </cell>
        </row>
        <row r="1992">
          <cell r="E1992" t="str">
            <v>Yellow-crowned Amazon</v>
          </cell>
          <cell r="F1992" t="str">
            <v>Amazone à front jaune</v>
          </cell>
          <cell r="G1992" t="str">
            <v>Amazona ochrocephala</v>
          </cell>
          <cell r="H1992" t="str">
            <v>Psittaciformes</v>
          </cell>
          <cell r="I1992" t="str">
            <v>Psittacidae (New World and African Parrots)</v>
          </cell>
        </row>
        <row r="1993">
          <cell r="E1993" t="str">
            <v>Yellow-crowned Euphonia</v>
          </cell>
          <cell r="F1993" t="str">
            <v>Organiste à calotte jaune</v>
          </cell>
          <cell r="G1993" t="str">
            <v>Euphonia luteicapilla</v>
          </cell>
          <cell r="H1993" t="str">
            <v>Passeriformes</v>
          </cell>
          <cell r="I1993" t="str">
            <v>Fringillidae (Finches, Euphonias, and Allies)</v>
          </cell>
        </row>
        <row r="1994">
          <cell r="E1994" t="str">
            <v>Yellow-crowned Night Heron</v>
          </cell>
          <cell r="F1994" t="str">
            <v>Bihoreau violacé</v>
          </cell>
          <cell r="G1994" t="str">
            <v>Nyctanassa violacea</v>
          </cell>
          <cell r="H1994" t="str">
            <v>Pelecaniformes</v>
          </cell>
          <cell r="I1994" t="str">
            <v>Ardeidae (Herons, Egrets, and Bitterns)</v>
          </cell>
        </row>
        <row r="1995">
          <cell r="E1995" t="str">
            <v>Yellow-crowned Redstart</v>
          </cell>
          <cell r="F1995" t="str">
            <v>Paruline à cimier jaune</v>
          </cell>
          <cell r="G1995" t="str">
            <v>Myioborus flavivertex</v>
          </cell>
          <cell r="H1995" t="str">
            <v>Passeriformes</v>
          </cell>
          <cell r="I1995" t="str">
            <v>Parulidae (New World Warblers)</v>
          </cell>
        </row>
        <row r="1996">
          <cell r="E1996" t="str">
            <v>Yellow-crowned Tyrannulet</v>
          </cell>
          <cell r="F1996" t="str">
            <v>Tyranneau roitelet</v>
          </cell>
          <cell r="G1996" t="str">
            <v>Tyrannulus elatus</v>
          </cell>
          <cell r="H1996" t="str">
            <v>Passeriformes</v>
          </cell>
          <cell r="I1996" t="str">
            <v>Tyrannidae (Tyrant Flycatchers)</v>
          </cell>
        </row>
        <row r="1997">
          <cell r="E1997" t="str">
            <v>Yellow-faced Grassquit</v>
          </cell>
          <cell r="F1997" t="str">
            <v>Tiaris grand-chanteur</v>
          </cell>
          <cell r="G1997" t="str">
            <v>Tiaris olivaceus</v>
          </cell>
          <cell r="H1997" t="str">
            <v>Passeriformes</v>
          </cell>
          <cell r="I1997" t="str">
            <v>Thraupidae (Tanagers and Allies)</v>
          </cell>
        </row>
        <row r="1998">
          <cell r="E1998" t="str">
            <v>Yellow-faced Honeyeater</v>
          </cell>
          <cell r="F1998" t="str">
            <v>Méliphage à joues d'or</v>
          </cell>
          <cell r="G1998" t="str">
            <v>Caligavis chrysops</v>
          </cell>
          <cell r="H1998" t="str">
            <v>Passeriformes</v>
          </cell>
          <cell r="I1998" t="str">
            <v>Meliphagidae (Honeyeaters)</v>
          </cell>
        </row>
        <row r="1999">
          <cell r="E1999" t="str">
            <v>Yellow-fronted Canary</v>
          </cell>
          <cell r="F1999" t="str">
            <v>Serin du Mozambique</v>
          </cell>
          <cell r="G1999" t="str">
            <v>Crithagra mozambica</v>
          </cell>
          <cell r="H1999" t="str">
            <v>Passeriformes</v>
          </cell>
          <cell r="I1999" t="str">
            <v>Fringillidae (Finches, Euphonias, and Allies)</v>
          </cell>
        </row>
        <row r="2000">
          <cell r="E2000" t="str">
            <v>Yellow-green Tyrannulet</v>
          </cell>
          <cell r="F2000" t="str">
            <v>Tyranneau jaune-vert</v>
          </cell>
          <cell r="G2000" t="str">
            <v>Phylloscartes flavovirens</v>
          </cell>
          <cell r="H2000" t="str">
            <v>Passeriformes</v>
          </cell>
          <cell r="I2000" t="str">
            <v>Tyrannidae (Tyrant Flycatchers)</v>
          </cell>
        </row>
        <row r="2001">
          <cell r="E2001" t="str">
            <v>Yellow-green Vireo</v>
          </cell>
          <cell r="F2001" t="str">
            <v>Viréo jaune-verdâtre</v>
          </cell>
          <cell r="G2001" t="str">
            <v>Vireo flavoviridis</v>
          </cell>
          <cell r="H2001" t="str">
            <v>Passeriformes</v>
          </cell>
          <cell r="I2001" t="str">
            <v>Vireonidae (Vireos, Shrike-Babblers, and Erpornis)</v>
          </cell>
        </row>
        <row r="2002">
          <cell r="E2002" t="str">
            <v>Yellow-headed Amazon</v>
          </cell>
          <cell r="F2002" t="str">
            <v>Amazone à tête jaune</v>
          </cell>
          <cell r="G2002" t="str">
            <v>Amazona oratrix</v>
          </cell>
          <cell r="H2002" t="str">
            <v>Psittaciformes</v>
          </cell>
          <cell r="I2002" t="str">
            <v>Psittacidae (New World and African Parrots)</v>
          </cell>
        </row>
        <row r="2003">
          <cell r="E2003" t="str">
            <v>Yellow-headed Blackbird</v>
          </cell>
          <cell r="F2003" t="str">
            <v>Carouge à tête jaune</v>
          </cell>
          <cell r="G2003" t="str">
            <v>Xanthocephalus xanthocephalus</v>
          </cell>
          <cell r="H2003" t="str">
            <v>Passeriformes</v>
          </cell>
          <cell r="I2003" t="str">
            <v>Icteridae (Troupials and Allies)</v>
          </cell>
        </row>
        <row r="2004">
          <cell r="E2004" t="str">
            <v>Yellow-headed Caracara</v>
          </cell>
          <cell r="F2004" t="str">
            <v>Caracara à tête jaune</v>
          </cell>
          <cell r="G2004" t="str">
            <v>Daptrius chimachima</v>
          </cell>
          <cell r="H2004" t="str">
            <v>Falconiformes</v>
          </cell>
          <cell r="I2004" t="str">
            <v>Falconidae (Falcons and Caracaras)</v>
          </cell>
        </row>
        <row r="2005">
          <cell r="E2005" t="str">
            <v>Yellow-hooded Blackbird</v>
          </cell>
          <cell r="F2005" t="str">
            <v>Carouge à capuchon</v>
          </cell>
          <cell r="G2005" t="str">
            <v>Chrysomus icterocephalus</v>
          </cell>
          <cell r="H2005" t="str">
            <v>Passeriformes</v>
          </cell>
          <cell r="I2005" t="str">
            <v>Icteridae (Troupials and Allies)</v>
          </cell>
        </row>
        <row r="2006">
          <cell r="E2006" t="str">
            <v>Yellow-legged Thrush</v>
          </cell>
          <cell r="F2006" t="str">
            <v>Merle à pattes jaunes</v>
          </cell>
          <cell r="G2006" t="str">
            <v>Turdus flavipes</v>
          </cell>
          <cell r="H2006" t="str">
            <v>Passeriformes</v>
          </cell>
          <cell r="I2006" t="str">
            <v>Turdidae (Thrushes and Allies)</v>
          </cell>
        </row>
        <row r="2007">
          <cell r="E2007" t="str">
            <v>Yellow-naped Amazon</v>
          </cell>
          <cell r="F2007" t="str">
            <v>Amazone à nuque d'or</v>
          </cell>
          <cell r="G2007" t="str">
            <v>Amazona auropalliata</v>
          </cell>
          <cell r="H2007" t="str">
            <v>Psittaciformes</v>
          </cell>
          <cell r="I2007" t="str">
            <v>Psittacidae (New World and African Parrots)</v>
          </cell>
        </row>
        <row r="2008">
          <cell r="E2008" t="str">
            <v>Yellow-necked Spurfowl</v>
          </cell>
          <cell r="F2008" t="str">
            <v>Francolin à cou jaune</v>
          </cell>
          <cell r="G2008" t="str">
            <v>Pternistis leucoscepus</v>
          </cell>
          <cell r="H2008" t="str">
            <v>Galliformes</v>
          </cell>
          <cell r="I2008" t="str">
            <v>Phasianidae (Pheasants, Grouse, and Allies)</v>
          </cell>
        </row>
        <row r="2009">
          <cell r="E2009" t="str">
            <v>Yellow-olive Flatbill</v>
          </cell>
          <cell r="F2009" t="str">
            <v>Tyranneau jaune-olive</v>
          </cell>
          <cell r="G2009" t="str">
            <v>Tolmomyias sulphurescens</v>
          </cell>
          <cell r="H2009" t="str">
            <v>Passeriformes</v>
          </cell>
          <cell r="I2009" t="str">
            <v>Tyrannidae (Tyrant Flycatchers)</v>
          </cell>
        </row>
        <row r="2010">
          <cell r="E2010" t="str">
            <v>Yellow-plumed Honeyeater</v>
          </cell>
          <cell r="F2010" t="str">
            <v>Méliphage orné</v>
          </cell>
          <cell r="G2010" t="str">
            <v>Ptilotula ornata</v>
          </cell>
          <cell r="H2010" t="str">
            <v>Passeriformes</v>
          </cell>
          <cell r="I2010" t="str">
            <v>Meliphagidae (Honeyeaters)</v>
          </cell>
        </row>
        <row r="2011">
          <cell r="E2011" t="str">
            <v>Yellow-rumped Cacique</v>
          </cell>
          <cell r="F2011" t="str">
            <v>Cassique cul-jaune</v>
          </cell>
          <cell r="G2011" t="str">
            <v>Cacicus cela</v>
          </cell>
          <cell r="H2011" t="str">
            <v>Passeriformes</v>
          </cell>
          <cell r="I2011" t="str">
            <v>Icteridae (Troupials and Allies)</v>
          </cell>
        </row>
        <row r="2012">
          <cell r="E2012" t="str">
            <v>Yellow-rumped Thornbill</v>
          </cell>
          <cell r="F2012" t="str">
            <v>Acanthize à croupion jaune</v>
          </cell>
          <cell r="G2012" t="str">
            <v>Acanthiza chrysorrhoa</v>
          </cell>
          <cell r="H2012" t="str">
            <v>Passeriformes</v>
          </cell>
          <cell r="I2012" t="str">
            <v>Acanthizidae (Thornbills and Allies)</v>
          </cell>
        </row>
        <row r="2013">
          <cell r="E2013" t="str">
            <v>Yellow-rumped Tinkerbird</v>
          </cell>
          <cell r="F2013" t="str">
            <v>Barbion à croupion jaune</v>
          </cell>
          <cell r="G2013" t="str">
            <v>Pogoniulus bilineatus</v>
          </cell>
          <cell r="H2013" t="str">
            <v>Piciformes</v>
          </cell>
          <cell r="I2013" t="str">
            <v>Lybiidae (African Barbets)</v>
          </cell>
        </row>
        <row r="2014">
          <cell r="E2014" t="str">
            <v>Yellow-rumped Warbler</v>
          </cell>
          <cell r="F2014" t="str">
            <v>Paruline à croupion jaune</v>
          </cell>
          <cell r="G2014" t="str">
            <v>Setophaga coronata</v>
          </cell>
          <cell r="H2014" t="str">
            <v>Passeriformes</v>
          </cell>
          <cell r="I2014" t="str">
            <v>Parulidae (New World Warblers)</v>
          </cell>
        </row>
        <row r="2015">
          <cell r="E2015" t="str">
            <v>Yellow-tailed Black-Cockatoo</v>
          </cell>
          <cell r="F2015" t="str">
            <v>Cacatoès funèbre</v>
          </cell>
          <cell r="G2015" t="str">
            <v>Zanda funerea</v>
          </cell>
          <cell r="H2015" t="str">
            <v>Psittaciformes</v>
          </cell>
          <cell r="I2015" t="str">
            <v>Cacatuidae (Cockatoos)</v>
          </cell>
        </row>
        <row r="2016">
          <cell r="E2016" t="str">
            <v>Yellow-tailed Oriole</v>
          </cell>
          <cell r="F2016" t="str">
            <v>Oriole à queue jaune</v>
          </cell>
          <cell r="G2016" t="str">
            <v>Icterus mesomelas</v>
          </cell>
          <cell r="H2016" t="str">
            <v>Passeriformes</v>
          </cell>
          <cell r="I2016" t="str">
            <v>Icteridae (Troupials and Allies)</v>
          </cell>
        </row>
        <row r="2017">
          <cell r="E2017" t="str">
            <v>Yellow-thighed Brushfinch</v>
          </cell>
          <cell r="F2017" t="str">
            <v>Tohi à cuisses jaunes</v>
          </cell>
          <cell r="G2017" t="str">
            <v>Atlapetes tibialis</v>
          </cell>
          <cell r="H2017" t="str">
            <v>Passeriformes</v>
          </cell>
          <cell r="I2017" t="str">
            <v>Passerellidae (New World Sparrows)</v>
          </cell>
        </row>
        <row r="2018">
          <cell r="E2018" t="str">
            <v>Yellow-throated Chlorospingus</v>
          </cell>
          <cell r="F2018" t="str">
            <v>Chlorospin à gorge jaune</v>
          </cell>
          <cell r="G2018" t="str">
            <v>Chlorospingus flavigularis</v>
          </cell>
          <cell r="H2018" t="str">
            <v>Passeriformes</v>
          </cell>
          <cell r="I2018" t="str">
            <v>Passerellidae (New World Sparrows)</v>
          </cell>
        </row>
        <row r="2019">
          <cell r="E2019" t="str">
            <v>Yellow-throated Euphonia</v>
          </cell>
          <cell r="F2019" t="str">
            <v>Organiste à gorge jaune</v>
          </cell>
          <cell r="G2019" t="str">
            <v>Euphonia hirundinacea</v>
          </cell>
          <cell r="H2019" t="str">
            <v>Passeriformes</v>
          </cell>
          <cell r="I2019" t="str">
            <v>Fringillidae (Finches, Euphonias, and Allies)</v>
          </cell>
        </row>
        <row r="2020">
          <cell r="E2020" t="str">
            <v>Yellow-throated Honeyeater</v>
          </cell>
          <cell r="F2020" t="str">
            <v>Méliphage à gorge jaune</v>
          </cell>
          <cell r="G2020" t="str">
            <v>Nesoptilotis flavicollis</v>
          </cell>
          <cell r="H2020" t="str">
            <v>Passeriformes</v>
          </cell>
          <cell r="I2020" t="str">
            <v>Meliphagidae (Honeyeaters)</v>
          </cell>
        </row>
        <row r="2021">
          <cell r="E2021" t="str">
            <v>Yellow-throated Longclaw</v>
          </cell>
          <cell r="F2021" t="str">
            <v>Sentinelle à gorge jaune</v>
          </cell>
          <cell r="G2021" t="str">
            <v>Macronyx croceus</v>
          </cell>
          <cell r="H2021" t="str">
            <v>Passeriformes</v>
          </cell>
          <cell r="I2021" t="str">
            <v>Motacillidae (Wagtails and Pipits)</v>
          </cell>
        </row>
        <row r="2022">
          <cell r="E2022" t="str">
            <v>Yellow-throated Miner</v>
          </cell>
          <cell r="F2022" t="str">
            <v>Méliphage à cou jaune</v>
          </cell>
          <cell r="G2022" t="str">
            <v>Manorina flavigula</v>
          </cell>
          <cell r="H2022" t="str">
            <v>Passeriformes</v>
          </cell>
          <cell r="I2022" t="str">
            <v>Meliphagidae (Honeyeaters)</v>
          </cell>
        </row>
        <row r="2023">
          <cell r="E2023" t="str">
            <v>Yellow-throated Toucan</v>
          </cell>
          <cell r="F2023" t="str">
            <v>Toucan tocard</v>
          </cell>
          <cell r="G2023" t="str">
            <v>Ramphastos ambiguus</v>
          </cell>
          <cell r="H2023" t="str">
            <v>Piciformes</v>
          </cell>
          <cell r="I2023" t="str">
            <v>Ramphastidae (Toucans)</v>
          </cell>
        </row>
        <row r="2024">
          <cell r="E2024" t="str">
            <v>Yellow-throated Vireo</v>
          </cell>
          <cell r="F2024" t="str">
            <v>Viréo à gorge jaune</v>
          </cell>
          <cell r="G2024" t="str">
            <v>Vireo flavifrons</v>
          </cell>
          <cell r="H2024" t="str">
            <v>Passeriformes</v>
          </cell>
          <cell r="I2024" t="str">
            <v>Vireonidae (Vireos, Shrike-Babblers, and Erpornis)</v>
          </cell>
        </row>
        <row r="2025">
          <cell r="E2025" t="str">
            <v>Yellow-throated Warbler</v>
          </cell>
          <cell r="F2025" t="str">
            <v>Paruline à gorge jaune</v>
          </cell>
          <cell r="G2025" t="str">
            <v>Setophaga dominica</v>
          </cell>
          <cell r="H2025" t="str">
            <v>Passeriformes</v>
          </cell>
          <cell r="I2025" t="str">
            <v>Parulidae (New World Warblers)</v>
          </cell>
        </row>
        <row r="2026">
          <cell r="E2026" t="str">
            <v>Yellow-tufted Honeyeater</v>
          </cell>
          <cell r="F2026" t="str">
            <v>Méliphage cornu</v>
          </cell>
          <cell r="G2026" t="str">
            <v>Lichenostomus melanops</v>
          </cell>
          <cell r="H2026" t="str">
            <v>Passeriformes</v>
          </cell>
          <cell r="I2026" t="str">
            <v>Meliphagidae (Honeyeaters)</v>
          </cell>
        </row>
        <row r="2027">
          <cell r="E2027" t="str">
            <v>Yellow-vented Woodpecker</v>
          </cell>
          <cell r="F2027" t="str">
            <v>Pic à ventre jaune</v>
          </cell>
          <cell r="G2027" t="str">
            <v>Veniliornis dignus</v>
          </cell>
          <cell r="H2027" t="str">
            <v>Piciformes</v>
          </cell>
          <cell r="I2027" t="str">
            <v>Picidae (Woodpeckers)</v>
          </cell>
        </row>
        <row r="2028">
          <cell r="E2028" t="str">
            <v>Yellow-winged Flatbill</v>
          </cell>
          <cell r="F2028" t="str">
            <v>Tyranneau à ailes jaunes</v>
          </cell>
          <cell r="G2028" t="str">
            <v>Tolmomyias flavotectus</v>
          </cell>
          <cell r="H2028" t="str">
            <v>Passeriformes</v>
          </cell>
          <cell r="I2028" t="str">
            <v>Tyrannidae (Tyrant Flycatchers)</v>
          </cell>
        </row>
        <row r="2029">
          <cell r="E2029" t="str">
            <v>Yellow-winged Tanager</v>
          </cell>
          <cell r="F2029" t="str">
            <v>Tangara à miroir jaune</v>
          </cell>
          <cell r="G2029" t="str">
            <v>Thraupis abbas</v>
          </cell>
          <cell r="H2029" t="str">
            <v>Passeriformes</v>
          </cell>
          <cell r="I2029" t="str">
            <v>Thraupidae (Tanagers and Allies)</v>
          </cell>
        </row>
        <row r="2030">
          <cell r="E2030" t="str">
            <v>Yellow-winged Vireo</v>
          </cell>
          <cell r="F2030" t="str">
            <v>Viréo à ailes jaunes</v>
          </cell>
          <cell r="G2030" t="str">
            <v>Vireo carmioli</v>
          </cell>
          <cell r="H2030" t="str">
            <v>Passeriformes</v>
          </cell>
          <cell r="I2030" t="str">
            <v>Vireonidae (Vireos, Shrike-Babblers, and Erpornis)</v>
          </cell>
        </row>
        <row r="2031">
          <cell r="E2031" t="str">
            <v>Yellowish Flycatcher</v>
          </cell>
          <cell r="F2031" t="str">
            <v>Moucherolle jaunâtre</v>
          </cell>
          <cell r="G2031" t="str">
            <v>Empidonax flavescens</v>
          </cell>
          <cell r="H2031" t="str">
            <v>Passeriformes</v>
          </cell>
          <cell r="I2031" t="str">
            <v>Tyrannidae (Tyrant Flycatchers)</v>
          </cell>
        </row>
        <row r="2032">
          <cell r="E2032" t="str">
            <v>Yucatan Woodpecker</v>
          </cell>
          <cell r="F2032" t="str">
            <v>Pic du Yucatan</v>
          </cell>
          <cell r="G2032" t="str">
            <v>Melanerpes pygmaeus</v>
          </cell>
          <cell r="H2032" t="str">
            <v>Piciformes</v>
          </cell>
          <cell r="I2032" t="str">
            <v>Picidae (Woodpeckers)</v>
          </cell>
        </row>
        <row r="2033">
          <cell r="E2033" t="str">
            <v>Zebra Dove</v>
          </cell>
          <cell r="F2033" t="str">
            <v>Géopélie zébrée</v>
          </cell>
          <cell r="G2033" t="str">
            <v>Geopelia striata</v>
          </cell>
          <cell r="H2033" t="str">
            <v>Columbiformes</v>
          </cell>
          <cell r="I2033" t="str">
            <v>Columbidae (Pigeons and Doves)</v>
          </cell>
        </row>
        <row r="2034">
          <cell r="E2034" t="str">
            <v>Zebra Finch</v>
          </cell>
          <cell r="F2034" t="str">
            <v>Diamant mandarin</v>
          </cell>
          <cell r="G2034" t="str">
            <v>Taeniopygia guttata</v>
          </cell>
          <cell r="H2034" t="str">
            <v>Passeriformes</v>
          </cell>
          <cell r="I2034" t="str">
            <v>Estrildidae (Waxbills and Allies)</v>
          </cell>
        </row>
        <row r="2035">
          <cell r="E2035" t="str">
            <v>Zeledon's Antbird</v>
          </cell>
          <cell r="F2035" t="str">
            <v>Alapi de Zeledon</v>
          </cell>
          <cell r="G2035" t="str">
            <v>Hafferia zeledoni</v>
          </cell>
          <cell r="H2035" t="str">
            <v>Passeriformes</v>
          </cell>
          <cell r="I2035" t="str">
            <v>Thamnophilidae (Typical Antbirds)</v>
          </cell>
        </row>
        <row r="2036">
          <cell r="E2036" t="str">
            <v>Zone-tailed Hawk</v>
          </cell>
          <cell r="F2036" t="str">
            <v>Buse à queue barrée</v>
          </cell>
          <cell r="G2036" t="str">
            <v>Buteo albonotatus</v>
          </cell>
          <cell r="H2036" t="str">
            <v>Accipitriformes</v>
          </cell>
          <cell r="I2036" t="str">
            <v>Accipitridae (Hawks, Eagles, and Kites)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EB95-8A4C-4740-9CD1-BEE012498621}">
  <dimension ref="A1:I3886"/>
  <sheetViews>
    <sheetView tabSelected="1" zoomScale="150" zoomScaleNormal="150" workbookViewId="0"/>
  </sheetViews>
  <sheetFormatPr baseColWidth="10" defaultRowHeight="11" x14ac:dyDescent="0.15"/>
  <cols>
    <col min="1" max="1" width="43.1640625" style="3" customWidth="1"/>
    <col min="2" max="2" width="18.33203125" style="3" customWidth="1"/>
    <col min="3" max="3" width="5.6640625" style="3" customWidth="1"/>
    <col min="4" max="4" width="20.5" style="3" customWidth="1"/>
    <col min="5" max="5" width="18.1640625" style="3" customWidth="1"/>
    <col min="6" max="6" width="18.6640625" style="3" customWidth="1"/>
    <col min="7" max="7" width="13.1640625" style="3" customWidth="1"/>
    <col min="8" max="8" width="25.1640625" style="3" customWidth="1"/>
    <col min="9" max="9" width="15.5" style="3" customWidth="1"/>
    <col min="10" max="16384" width="10.83203125" style="3"/>
  </cols>
  <sheetData>
    <row r="1" spans="1:9" x14ac:dyDescent="0.15">
      <c r="A1" s="1" t="s">
        <v>0</v>
      </c>
      <c r="B1" s="1" t="s">
        <v>3802</v>
      </c>
      <c r="C1" s="1" t="s">
        <v>5213</v>
      </c>
      <c r="D1" s="1" t="s">
        <v>5210</v>
      </c>
      <c r="E1" s="1" t="s">
        <v>5211</v>
      </c>
      <c r="F1" s="1" t="s">
        <v>5212</v>
      </c>
      <c r="G1" s="1" t="s">
        <v>3801</v>
      </c>
      <c r="H1" s="1" t="s">
        <v>3800</v>
      </c>
      <c r="I1" s="1"/>
    </row>
    <row r="2" spans="1:9" x14ac:dyDescent="0.15">
      <c r="A2" s="3" t="s">
        <v>1</v>
      </c>
      <c r="B2" s="3" t="s">
        <v>5207</v>
      </c>
      <c r="C2" s="3">
        <v>16950</v>
      </c>
      <c r="D2" s="3" t="str">
        <f>VLOOKUP(B2,[1]LifeList!$E$2:$G$2036,1)</f>
        <v>Acadian Flycatcher</v>
      </c>
      <c r="E2" s="3" t="str">
        <f>VLOOKUP(B2,[1]LifeList!$E$2:$G$2036,2)</f>
        <v>Moucherolle vert</v>
      </c>
      <c r="F2" s="3" t="str">
        <f>VLOOKUP(B2,[1]LifeList!$E$2:$G$2036,3)</f>
        <v>Empidonax virescens</v>
      </c>
      <c r="G2" s="3" t="str">
        <f>VLOOKUP(B2,[1]LifeList!$E$2:$I$2036,4)</f>
        <v>Passeriformes</v>
      </c>
      <c r="H2" s="3" t="str">
        <f>VLOOKUP(B2,[1]LifeList!$E$2:$I$2036,5)</f>
        <v>Tyrannidae (Tyrant Flycatchers)</v>
      </c>
    </row>
    <row r="3" spans="1:9" x14ac:dyDescent="0.15">
      <c r="A3" s="3" t="s">
        <v>4</v>
      </c>
      <c r="B3" s="3" t="s">
        <v>3955</v>
      </c>
      <c r="C3" s="3">
        <v>11146</v>
      </c>
      <c r="D3" s="3" t="str">
        <f>VLOOKUP(B3,[1]LifeList!$E$2:$G$2036,1)</f>
        <v>Acorn Woodpecker</v>
      </c>
      <c r="E3" s="3" t="str">
        <f>VLOOKUP(B3,[1]LifeList!$E$2:$G$2036,2)</f>
        <v>Pic glandivore</v>
      </c>
      <c r="F3" s="3" t="str">
        <f>VLOOKUP(B3,[1]LifeList!$E$2:$G$2036,3)</f>
        <v>Melanerpes formicivorus</v>
      </c>
      <c r="G3" s="3" t="str">
        <f>VLOOKUP(B3,[1]LifeList!$E$2:$I$2036,4)</f>
        <v>Piciformes</v>
      </c>
      <c r="H3" s="3" t="str">
        <f>VLOOKUP(B3,[1]LifeList!$E$2:$I$2036,5)</f>
        <v>Picidae (Woodpeckers)</v>
      </c>
      <c r="I3" s="2"/>
    </row>
    <row r="4" spans="1:9" x14ac:dyDescent="0.15">
      <c r="A4" s="3" t="s">
        <v>2</v>
      </c>
      <c r="B4" s="3" t="s">
        <v>3955</v>
      </c>
      <c r="C4" s="3">
        <v>11146</v>
      </c>
      <c r="D4" s="3" t="str">
        <f>VLOOKUP(B4,[1]LifeList!$E$2:$G$2036,1)</f>
        <v>Acorn Woodpecker</v>
      </c>
      <c r="E4" s="3" t="str">
        <f>VLOOKUP(B4,[1]LifeList!$E$2:$G$2036,2)</f>
        <v>Pic glandivore</v>
      </c>
      <c r="F4" s="3" t="str">
        <f>VLOOKUP(B4,[1]LifeList!$E$2:$G$2036,3)</f>
        <v>Melanerpes formicivorus</v>
      </c>
      <c r="G4" s="3" t="str">
        <f>VLOOKUP(B4,[1]LifeList!$E$2:$I$2036,4)</f>
        <v>Piciformes</v>
      </c>
      <c r="H4" s="3" t="str">
        <f>VLOOKUP(B4,[1]LifeList!$E$2:$I$2036,5)</f>
        <v>Picidae (Woodpeckers)</v>
      </c>
      <c r="I4" s="2"/>
    </row>
    <row r="5" spans="1:9" x14ac:dyDescent="0.15">
      <c r="A5" s="3" t="s">
        <v>3</v>
      </c>
      <c r="B5" s="3" t="s">
        <v>3955</v>
      </c>
      <c r="C5" s="3">
        <v>11146</v>
      </c>
      <c r="D5" s="3" t="str">
        <f>VLOOKUP(B5,[1]LifeList!$E$2:$G$2036,1)</f>
        <v>Acorn Woodpecker</v>
      </c>
      <c r="E5" s="3" t="str">
        <f>VLOOKUP(B5,[1]LifeList!$E$2:$G$2036,2)</f>
        <v>Pic glandivore</v>
      </c>
      <c r="F5" s="3" t="str">
        <f>VLOOKUP(B5,[1]LifeList!$E$2:$G$2036,3)</f>
        <v>Melanerpes formicivorus</v>
      </c>
      <c r="G5" s="3" t="str">
        <f>VLOOKUP(B5,[1]LifeList!$E$2:$I$2036,4)</f>
        <v>Piciformes</v>
      </c>
      <c r="H5" s="3" t="str">
        <f>VLOOKUP(B5,[1]LifeList!$E$2:$I$2036,5)</f>
        <v>Picidae (Woodpeckers)</v>
      </c>
      <c r="I5" s="2"/>
    </row>
    <row r="6" spans="1:9" x14ac:dyDescent="0.15">
      <c r="A6" s="3" t="s">
        <v>5</v>
      </c>
      <c r="B6" s="3" t="s">
        <v>3732</v>
      </c>
      <c r="C6" s="3">
        <v>19676</v>
      </c>
      <c r="D6" s="3" t="str">
        <f>VLOOKUP(B6,[1]LifeList!$E$2:$G$2036,1)</f>
        <v>African Black-headed Oriole</v>
      </c>
      <c r="E6" s="3" t="str">
        <f>VLOOKUP(B6,[1]LifeList!$E$2:$G$2036,2)</f>
        <v>Loriot masqué</v>
      </c>
      <c r="F6" s="3" t="str">
        <f>VLOOKUP(B6,[1]LifeList!$E$2:$G$2036,3)</f>
        <v>Oriolus larvatus</v>
      </c>
      <c r="G6" s="3" t="str">
        <f>VLOOKUP(B6,[1]LifeList!$E$2:$I$2036,4)</f>
        <v>Passeriformes</v>
      </c>
      <c r="H6" s="3" t="str">
        <f>VLOOKUP(B6,[1]LifeList!$E$2:$I$2036,5)</f>
        <v>Oriolidae (Old World Orioles)</v>
      </c>
      <c r="I6" s="2"/>
    </row>
    <row r="7" spans="1:9" x14ac:dyDescent="0.15">
      <c r="A7" s="3" t="s">
        <v>3803</v>
      </c>
      <c r="B7" s="3" t="s">
        <v>3956</v>
      </c>
      <c r="C7" s="3">
        <v>7370</v>
      </c>
      <c r="D7" s="3" t="str">
        <f>VLOOKUP(B7,[1]LifeList!$E$2:$G$2036,1)</f>
        <v>African Darter</v>
      </c>
      <c r="E7" s="3" t="str">
        <f>VLOOKUP(B7,[1]LifeList!$E$2:$G$2036,2)</f>
        <v>Anhinga d'Afrique</v>
      </c>
      <c r="F7" s="3" t="str">
        <f>VLOOKUP(B7,[1]LifeList!$E$2:$G$2036,3)</f>
        <v>Anhinga rufa</v>
      </c>
      <c r="G7" s="3" t="str">
        <f>VLOOKUP(B7,[1]LifeList!$E$2:$I$2036,4)</f>
        <v>Suliformes</v>
      </c>
      <c r="H7" s="3" t="str">
        <f>VLOOKUP(B7,[1]LifeList!$E$2:$I$2036,5)</f>
        <v>Anhingidae (Anhingas)</v>
      </c>
      <c r="I7" s="2"/>
    </row>
    <row r="8" spans="1:9" x14ac:dyDescent="0.15">
      <c r="A8" s="3" t="s">
        <v>3804</v>
      </c>
      <c r="B8" s="3" t="s">
        <v>3957</v>
      </c>
      <c r="C8" s="3">
        <v>8374</v>
      </c>
      <c r="D8" s="3" t="str">
        <f>VLOOKUP(B8,[1]LifeList!$E$2:$G$2036,1)</f>
        <v>African Fish-Eagle</v>
      </c>
      <c r="E8" s="3" t="str">
        <f>VLOOKUP(B8,[1]LifeList!$E$2:$G$2036,2)</f>
        <v>Pygargue vocifer</v>
      </c>
      <c r="F8" s="3" t="str">
        <f>VLOOKUP(B8,[1]LifeList!$E$2:$G$2036,3)</f>
        <v>Icthyophaga vocifer</v>
      </c>
      <c r="G8" s="3" t="str">
        <f>VLOOKUP(B8,[1]LifeList!$E$2:$I$2036,4)</f>
        <v>Accipitriformes</v>
      </c>
      <c r="H8" s="3" t="str">
        <f>VLOOKUP(B8,[1]LifeList!$E$2:$I$2036,5)</f>
        <v>Accipitridae (Hawks, Eagles, and Kites)</v>
      </c>
      <c r="I8" s="2"/>
    </row>
    <row r="9" spans="1:9" x14ac:dyDescent="0.15">
      <c r="A9" s="3" t="s">
        <v>3805</v>
      </c>
      <c r="B9" s="3" t="s">
        <v>3958</v>
      </c>
      <c r="C9" s="3">
        <v>28852</v>
      </c>
      <c r="D9" s="3" t="str">
        <f>VLOOKUP(B9,[1]LifeList!$E$2:$G$2036,1)</f>
        <v>African Gray Flycatcher</v>
      </c>
      <c r="E9" s="3" t="str">
        <f>VLOOKUP(B9,[1]LifeList!$E$2:$G$2036,2)</f>
        <v>Gobemouche à petit bec</v>
      </c>
      <c r="F9" s="3" t="str">
        <f>VLOOKUP(B9,[1]LifeList!$E$2:$G$2036,3)</f>
        <v>Bradornis microrhynchus</v>
      </c>
      <c r="G9" s="3" t="str">
        <f>VLOOKUP(B9,[1]LifeList!$E$2:$I$2036,4)</f>
        <v>Passeriformes</v>
      </c>
      <c r="H9" s="3" t="str">
        <f>VLOOKUP(B9,[1]LifeList!$E$2:$I$2036,5)</f>
        <v>Muscicapidae (Old World Flycatchers)</v>
      </c>
      <c r="I9" s="2"/>
    </row>
    <row r="10" spans="1:9" x14ac:dyDescent="0.15">
      <c r="A10" s="3" t="s">
        <v>3806</v>
      </c>
      <c r="B10" s="3" t="s">
        <v>3959</v>
      </c>
      <c r="C10" s="3">
        <v>9664</v>
      </c>
      <c r="D10" s="3" t="str">
        <f>VLOOKUP(B10,[1]LifeList!$E$2:$G$2036,1)</f>
        <v>African Gray Hornbill</v>
      </c>
      <c r="E10" s="3" t="str">
        <f>VLOOKUP(B10,[1]LifeList!$E$2:$G$2036,2)</f>
        <v>Calao à bec noir</v>
      </c>
      <c r="F10" s="3" t="str">
        <f>VLOOKUP(B10,[1]LifeList!$E$2:$G$2036,3)</f>
        <v>Lophoceros nasutus</v>
      </c>
      <c r="G10" s="3" t="str">
        <f>VLOOKUP(B10,[1]LifeList!$E$2:$I$2036,4)</f>
        <v>Bucerotiformes</v>
      </c>
      <c r="H10" s="3" t="str">
        <f>VLOOKUP(B10,[1]LifeList!$E$2:$I$2036,5)</f>
        <v>Bucerotidae (Hornbills)</v>
      </c>
      <c r="I10" s="2"/>
    </row>
    <row r="11" spans="1:9" x14ac:dyDescent="0.15">
      <c r="A11" s="3" t="s">
        <v>3807</v>
      </c>
      <c r="B11" s="3" t="s">
        <v>3960</v>
      </c>
      <c r="C11" s="3">
        <v>8309</v>
      </c>
      <c r="D11" s="3" t="str">
        <f>VLOOKUP(B11,[1]LifeList!$E$2:$G$2036,1)</f>
        <v>African Marsh Harrier</v>
      </c>
      <c r="E11" s="3" t="str">
        <f>VLOOKUP(B11,[1]LifeList!$E$2:$G$2036,2)</f>
        <v>Busard grenouillard</v>
      </c>
      <c r="F11" s="3" t="str">
        <f>VLOOKUP(B11,[1]LifeList!$E$2:$G$2036,3)</f>
        <v>Circus ranivorus</v>
      </c>
      <c r="G11" s="3" t="str">
        <f>VLOOKUP(B11,[1]LifeList!$E$2:$I$2036,4)</f>
        <v>Accipitriformes</v>
      </c>
      <c r="H11" s="3" t="str">
        <f>VLOOKUP(B11,[1]LifeList!$E$2:$I$2036,5)</f>
        <v>Accipitridae (Hawks, Eagles, and Kites)</v>
      </c>
      <c r="I11" s="2"/>
    </row>
    <row r="12" spans="1:9" x14ac:dyDescent="0.15">
      <c r="A12" s="3" t="s">
        <v>6</v>
      </c>
      <c r="B12" s="3" t="s">
        <v>3961</v>
      </c>
      <c r="C12" s="3">
        <v>7280</v>
      </c>
      <c r="D12" s="3" t="str">
        <f>VLOOKUP(B12,[1]LifeList!$E$2:$G$2036,1)</f>
        <v>African Openbill</v>
      </c>
      <c r="E12" s="3" t="str">
        <f>VLOOKUP(B12,[1]LifeList!$E$2:$G$2036,2)</f>
        <v>Bec-ouvert africain</v>
      </c>
      <c r="F12" s="3" t="str">
        <f>VLOOKUP(B12,[1]LifeList!$E$2:$G$2036,3)</f>
        <v>Anastomus lamelligerus</v>
      </c>
      <c r="G12" s="3" t="str">
        <f>VLOOKUP(B12,[1]LifeList!$E$2:$I$2036,4)</f>
        <v>Ciconiiformes</v>
      </c>
      <c r="H12" s="3" t="str">
        <f>VLOOKUP(B12,[1]LifeList!$E$2:$I$2036,5)</f>
        <v>Ciconiidae (Storks)</v>
      </c>
      <c r="I12" s="2"/>
    </row>
    <row r="13" spans="1:9" x14ac:dyDescent="0.15">
      <c r="A13" s="3" t="s">
        <v>7</v>
      </c>
      <c r="B13" s="3" t="s">
        <v>3961</v>
      </c>
      <c r="C13" s="3">
        <v>7280</v>
      </c>
      <c r="D13" s="3" t="str">
        <f>VLOOKUP(B13,[1]LifeList!$E$2:$G$2036,1)</f>
        <v>African Openbill</v>
      </c>
      <c r="E13" s="3" t="str">
        <f>VLOOKUP(B13,[1]LifeList!$E$2:$G$2036,2)</f>
        <v>Bec-ouvert africain</v>
      </c>
      <c r="F13" s="3" t="str">
        <f>VLOOKUP(B13,[1]LifeList!$E$2:$G$2036,3)</f>
        <v>Anastomus lamelligerus</v>
      </c>
      <c r="G13" s="3" t="str">
        <f>VLOOKUP(B13,[1]LifeList!$E$2:$I$2036,4)</f>
        <v>Ciconiiformes</v>
      </c>
      <c r="H13" s="3" t="str">
        <f>VLOOKUP(B13,[1]LifeList!$E$2:$I$2036,5)</f>
        <v>Ciconiidae (Storks)</v>
      </c>
      <c r="I13" s="2"/>
    </row>
    <row r="14" spans="1:9" x14ac:dyDescent="0.15">
      <c r="A14" s="3" t="s">
        <v>8</v>
      </c>
      <c r="B14" s="3" t="s">
        <v>3962</v>
      </c>
      <c r="C14" s="3">
        <v>20781</v>
      </c>
      <c r="D14" s="3" t="str">
        <f>VLOOKUP(B14,[1]LifeList!$E$2:$G$2036,1)</f>
        <v>African Paradise-Flycatcher</v>
      </c>
      <c r="E14" s="3" t="str">
        <f>VLOOKUP(B14,[1]LifeList!$E$2:$G$2036,2)</f>
        <v>Tchitrec d'Afrique</v>
      </c>
      <c r="F14" s="3" t="str">
        <f>VLOOKUP(B14,[1]LifeList!$E$2:$G$2036,3)</f>
        <v>Terpsiphone viridis</v>
      </c>
      <c r="G14" s="3" t="str">
        <f>VLOOKUP(B14,[1]LifeList!$E$2:$I$2036,4)</f>
        <v>Passeriformes</v>
      </c>
      <c r="H14" s="3" t="str">
        <f>VLOOKUP(B14,[1]LifeList!$E$2:$I$2036,5)</f>
        <v>Monarchidae (Monarch Flycatchers)</v>
      </c>
      <c r="I14" s="2"/>
    </row>
    <row r="15" spans="1:9" x14ac:dyDescent="0.15">
      <c r="A15" s="3" t="s">
        <v>9</v>
      </c>
      <c r="B15" s="3" t="s">
        <v>3733</v>
      </c>
      <c r="C15" s="3">
        <v>31717</v>
      </c>
      <c r="D15" s="3" t="str">
        <f>VLOOKUP(B15,[1]LifeList!$E$2:$G$2036,1)</f>
        <v>African Pied Wagtail</v>
      </c>
      <c r="E15" s="3" t="str">
        <f>VLOOKUP(B15,[1]LifeList!$E$2:$G$2036,2)</f>
        <v>Bergeronnette pie</v>
      </c>
      <c r="F15" s="3" t="str">
        <f>VLOOKUP(B15,[1]LifeList!$E$2:$G$2036,3)</f>
        <v>Motacilla aguimp</v>
      </c>
      <c r="G15" s="3" t="str">
        <f>VLOOKUP(B15,[1]LifeList!$E$2:$I$2036,4)</f>
        <v>Passeriformes</v>
      </c>
      <c r="H15" s="3" t="str">
        <f>VLOOKUP(B15,[1]LifeList!$E$2:$I$2036,5)</f>
        <v>Motacillidae (Wagtails and Pipits)</v>
      </c>
    </row>
    <row r="16" spans="1:9" x14ac:dyDescent="0.15">
      <c r="A16" s="3" t="s">
        <v>10</v>
      </c>
      <c r="B16" s="3" t="s">
        <v>3733</v>
      </c>
      <c r="C16" s="3">
        <v>31717</v>
      </c>
      <c r="D16" s="3" t="str">
        <f>VLOOKUP(B16,[1]LifeList!$E$2:$G$2036,1)</f>
        <v>African Pied Wagtail</v>
      </c>
      <c r="E16" s="3" t="str">
        <f>VLOOKUP(B16,[1]LifeList!$E$2:$G$2036,2)</f>
        <v>Bergeronnette pie</v>
      </c>
      <c r="F16" s="3" t="str">
        <f>VLOOKUP(B16,[1]LifeList!$E$2:$G$2036,3)</f>
        <v>Motacilla aguimp</v>
      </c>
      <c r="G16" s="3" t="str">
        <f>VLOOKUP(B16,[1]LifeList!$E$2:$I$2036,4)</f>
        <v>Passeriformes</v>
      </c>
      <c r="H16" s="3" t="str">
        <f>VLOOKUP(B16,[1]LifeList!$E$2:$I$2036,5)</f>
        <v>Motacillidae (Wagtails and Pipits)</v>
      </c>
    </row>
    <row r="17" spans="1:8" x14ac:dyDescent="0.15">
      <c r="A17" s="3" t="s">
        <v>11</v>
      </c>
      <c r="B17" s="3" t="s">
        <v>3963</v>
      </c>
      <c r="C17" s="3">
        <v>31766</v>
      </c>
      <c r="D17" s="3" t="str">
        <f>VLOOKUP(B17,[1]LifeList!$E$2:$G$2036,1)</f>
        <v>African Pipit</v>
      </c>
      <c r="E17" s="3" t="str">
        <f>VLOOKUP(B17,[1]LifeList!$E$2:$G$2036,2)</f>
        <v>Pipit africain</v>
      </c>
      <c r="F17" s="3" t="str">
        <f>VLOOKUP(B17,[1]LifeList!$E$2:$G$2036,3)</f>
        <v>Anthus cinnamomeus</v>
      </c>
      <c r="G17" s="3" t="str">
        <f>VLOOKUP(B17,[1]LifeList!$E$2:$I$2036,4)</f>
        <v>Passeriformes</v>
      </c>
      <c r="H17" s="3" t="str">
        <f>VLOOKUP(B17,[1]LifeList!$E$2:$I$2036,5)</f>
        <v>Motacillidae (Wagtails and Pipits)</v>
      </c>
    </row>
    <row r="18" spans="1:8" x14ac:dyDescent="0.15">
      <c r="A18" s="3" t="s">
        <v>12</v>
      </c>
      <c r="B18" s="3" t="s">
        <v>3964</v>
      </c>
      <c r="C18" s="3">
        <v>31062</v>
      </c>
      <c r="D18" s="3" t="str">
        <f>VLOOKUP(B18,[1]LifeList!$E$2:$G$2036,1)</f>
        <v>African Silverbill</v>
      </c>
      <c r="E18" s="3" t="str">
        <f>VLOOKUP(B18,[1]LifeList!$E$2:$G$2036,2)</f>
        <v>Capucin bec-d'argent</v>
      </c>
      <c r="F18" s="3" t="str">
        <f>VLOOKUP(B18,[1]LifeList!$E$2:$G$2036,3)</f>
        <v>Euodice cantans</v>
      </c>
      <c r="G18" s="3" t="str">
        <f>VLOOKUP(B18,[1]LifeList!$E$2:$I$2036,4)</f>
        <v>Passeriformes</v>
      </c>
      <c r="H18" s="3" t="str">
        <f>VLOOKUP(B18,[1]LifeList!$E$2:$I$2036,5)</f>
        <v>Estrildidae (Waxbills and Allies)</v>
      </c>
    </row>
    <row r="19" spans="1:8" x14ac:dyDescent="0.15">
      <c r="A19" s="3" t="s">
        <v>13</v>
      </c>
      <c r="B19" s="3" t="s">
        <v>3965</v>
      </c>
      <c r="C19" s="3">
        <v>6620</v>
      </c>
      <c r="D19" s="3" t="str">
        <f>VLOOKUP(B19,[1]LifeList!$E$2:$G$2036,1)</f>
        <v>African Skimmer</v>
      </c>
      <c r="E19" s="3" t="str">
        <f>VLOOKUP(B19,[1]LifeList!$E$2:$G$2036,2)</f>
        <v>Bec-en-ciseaux d'Afrique</v>
      </c>
      <c r="F19" s="3" t="str">
        <f>VLOOKUP(B19,[1]LifeList!$E$2:$G$2036,3)</f>
        <v>Rynchops flavirostris</v>
      </c>
      <c r="G19" s="3" t="str">
        <f>VLOOKUP(B19,[1]LifeList!$E$2:$I$2036,4)</f>
        <v>Charadriiformes</v>
      </c>
      <c r="H19" s="3" t="str">
        <f>VLOOKUP(B19,[1]LifeList!$E$2:$I$2036,5)</f>
        <v>Laridae (Gulls, Terns, and Skimmers)</v>
      </c>
    </row>
    <row r="20" spans="1:8" x14ac:dyDescent="0.15">
      <c r="A20" s="3" t="s">
        <v>14</v>
      </c>
      <c r="B20" s="3" t="s">
        <v>3966</v>
      </c>
      <c r="C20" s="3">
        <v>7529</v>
      </c>
      <c r="D20" s="3" t="str">
        <f>VLOOKUP(B20,[1]LifeList!$E$2:$G$2036,1)</f>
        <v>African Spoonbill</v>
      </c>
      <c r="E20" s="3" t="str">
        <f>VLOOKUP(B20,[1]LifeList!$E$2:$G$2036,2)</f>
        <v>Spatule d'Afrique</v>
      </c>
      <c r="F20" s="3" t="str">
        <f>VLOOKUP(B20,[1]LifeList!$E$2:$G$2036,3)</f>
        <v>Platalea alba</v>
      </c>
      <c r="G20" s="3" t="str">
        <f>VLOOKUP(B20,[1]LifeList!$E$2:$I$2036,4)</f>
        <v>Pelecaniformes</v>
      </c>
      <c r="H20" s="3" t="str">
        <f>VLOOKUP(B20,[1]LifeList!$E$2:$I$2036,5)</f>
        <v>Threskiornithidae (Ibises and Spoonbills)</v>
      </c>
    </row>
    <row r="21" spans="1:8" x14ac:dyDescent="0.15">
      <c r="A21" s="3" t="s">
        <v>15</v>
      </c>
      <c r="B21" s="3" t="s">
        <v>3967</v>
      </c>
      <c r="C21" s="3">
        <v>29690</v>
      </c>
      <c r="D21" s="3" t="str">
        <f>VLOOKUP(B21,[1]LifeList!$E$2:$G$2036,1)</f>
        <v>African Stonechat</v>
      </c>
      <c r="E21" s="3" t="str">
        <f>VLOOKUP(B21,[1]LifeList!$E$2:$G$2036,2)</f>
        <v>Monticole rocar</v>
      </c>
      <c r="F21" s="3" t="str">
        <f>VLOOKUP(B21,[1]LifeList!$E$2:$G$2036,3)</f>
        <v>Saxicola torquatus</v>
      </c>
      <c r="G21" s="3" t="str">
        <f>VLOOKUP(B21,[1]LifeList!$E$2:$I$2036,4)</f>
        <v>Passeriformes</v>
      </c>
      <c r="H21" s="3" t="str">
        <f>VLOOKUP(B21,[1]LifeList!$E$2:$I$2036,5)</f>
        <v>Muscicapidae (Old World Flycatchers)</v>
      </c>
    </row>
    <row r="22" spans="1:8" x14ac:dyDescent="0.15">
      <c r="A22" s="3" t="s">
        <v>16</v>
      </c>
      <c r="B22" s="3" t="s">
        <v>3968</v>
      </c>
      <c r="C22" s="3">
        <v>7554</v>
      </c>
      <c r="D22" s="3" t="str">
        <f>VLOOKUP(B22,[1]LifeList!$E$2:$G$2036,1)</f>
        <v>Agami Heron</v>
      </c>
      <c r="E22" s="3" t="str">
        <f>VLOOKUP(B22,[1]LifeList!$E$2:$G$2036,2)</f>
        <v>Héron agami</v>
      </c>
      <c r="F22" s="3" t="str">
        <f>VLOOKUP(B22,[1]LifeList!$E$2:$G$2036,3)</f>
        <v>Agamia agami</v>
      </c>
      <c r="G22" s="3" t="str">
        <f>VLOOKUP(B22,[1]LifeList!$E$2:$I$2036,4)</f>
        <v>Pelecaniformes</v>
      </c>
      <c r="H22" s="3" t="str">
        <f>VLOOKUP(B22,[1]LifeList!$E$2:$I$2036,5)</f>
        <v>Ardeidae (Herons, Egrets, and Bitterns)</v>
      </c>
    </row>
    <row r="23" spans="1:8" x14ac:dyDescent="0.15">
      <c r="A23" s="3" t="s">
        <v>17</v>
      </c>
      <c r="B23" s="3" t="s">
        <v>3969</v>
      </c>
      <c r="C23" s="3">
        <v>32129</v>
      </c>
      <c r="D23" s="3" t="str">
        <f>VLOOKUP(B23,[1]LifeList!$E$2:$G$2036,1)</f>
        <v>Akiapolaau</v>
      </c>
      <c r="E23" s="3" t="str">
        <f>VLOOKUP(B23,[1]LifeList!$E$2:$G$2036,2)</f>
        <v>Akiapolaau d'Hawaï</v>
      </c>
      <c r="F23" s="3" t="str">
        <f>VLOOKUP(B23,[1]LifeList!$E$2:$G$2036,3)</f>
        <v>Hemignathus wilsoni</v>
      </c>
      <c r="G23" s="3" t="str">
        <f>VLOOKUP(B23,[1]LifeList!$E$2:$I$2036,4)</f>
        <v>Passeriformes</v>
      </c>
      <c r="H23" s="3" t="str">
        <f>VLOOKUP(B23,[1]LifeList!$E$2:$I$2036,5)</f>
        <v>Fringillidae (Finches, Euphonias, and Allies)</v>
      </c>
    </row>
    <row r="24" spans="1:8" x14ac:dyDescent="0.15">
      <c r="A24" s="3" t="s">
        <v>18</v>
      </c>
      <c r="B24" s="3" t="s">
        <v>3970</v>
      </c>
      <c r="C24" s="3">
        <v>16951</v>
      </c>
      <c r="D24" s="3" t="str">
        <f>VLOOKUP(B24,[1]LifeList!$E$2:$G$2036,1)</f>
        <v>Alder Flycatcher</v>
      </c>
      <c r="E24" s="3" t="str">
        <f>VLOOKUP(B24,[1]LifeList!$E$2:$G$2036,2)</f>
        <v>Moucherolle des aulnes</v>
      </c>
      <c r="F24" s="3" t="str">
        <f>VLOOKUP(B24,[1]LifeList!$E$2:$G$2036,3)</f>
        <v>Empidonax alnorum</v>
      </c>
      <c r="G24" s="3" t="str">
        <f>VLOOKUP(B24,[1]LifeList!$E$2:$I$2036,4)</f>
        <v>Passeriformes</v>
      </c>
      <c r="H24" s="3" t="str">
        <f>VLOOKUP(B24,[1]LifeList!$E$2:$I$2036,5)</f>
        <v>Tyrannidae (Tyrant Flycatchers)</v>
      </c>
    </row>
    <row r="25" spans="1:8" x14ac:dyDescent="0.15">
      <c r="A25" s="3" t="s">
        <v>19</v>
      </c>
      <c r="B25" s="3" t="s">
        <v>3971</v>
      </c>
      <c r="C25" s="3">
        <v>10312</v>
      </c>
      <c r="D25" s="3" t="str">
        <f>VLOOKUP(B25,[1]LifeList!$E$2:$G$2036,1)</f>
        <v>Amazon Kingfisher</v>
      </c>
      <c r="E25" s="3" t="str">
        <f>VLOOKUP(B25,[1]LifeList!$E$2:$G$2036,2)</f>
        <v>Martin-pêcheur d'Amazonie</v>
      </c>
      <c r="F25" s="3" t="str">
        <f>VLOOKUP(B25,[1]LifeList!$E$2:$G$2036,3)</f>
        <v>Chloroceryle amazona</v>
      </c>
      <c r="G25" s="3" t="str">
        <f>VLOOKUP(B25,[1]LifeList!$E$2:$I$2036,4)</f>
        <v>Coraciiformes</v>
      </c>
      <c r="H25" s="3" t="str">
        <f>VLOOKUP(B25,[1]LifeList!$E$2:$I$2036,5)</f>
        <v>Alcedinidae (Kingfishers)</v>
      </c>
    </row>
    <row r="26" spans="1:8" x14ac:dyDescent="0.15">
      <c r="A26" s="3" t="s">
        <v>20</v>
      </c>
      <c r="B26" s="3" t="s">
        <v>3972</v>
      </c>
      <c r="C26" s="3">
        <v>5780</v>
      </c>
      <c r="D26" s="3" t="str">
        <f>VLOOKUP(B26,[1]LifeList!$E$2:$G$2036,1)</f>
        <v>American Avocet</v>
      </c>
      <c r="E26" s="3" t="str">
        <f>VLOOKUP(B26,[1]LifeList!$E$2:$G$2036,2)</f>
        <v>Avocette d'Amérique</v>
      </c>
      <c r="F26" s="3" t="str">
        <f>VLOOKUP(B26,[1]LifeList!$E$2:$G$2036,3)</f>
        <v>Recurvirostra americana</v>
      </c>
      <c r="G26" s="3" t="str">
        <f>VLOOKUP(B26,[1]LifeList!$E$2:$I$2036,4)</f>
        <v>Charadriiformes</v>
      </c>
      <c r="H26" s="3" t="str">
        <f>VLOOKUP(B26,[1]LifeList!$E$2:$I$2036,5)</f>
        <v>Recurvirostridae (Stilts and Avocets)</v>
      </c>
    </row>
    <row r="27" spans="1:8" x14ac:dyDescent="0.15">
      <c r="A27" s="3" t="s">
        <v>21</v>
      </c>
      <c r="B27" s="3" t="s">
        <v>3734</v>
      </c>
      <c r="C27" s="3">
        <v>8633</v>
      </c>
      <c r="D27" s="3" t="str">
        <f>VLOOKUP(B27,[1]LifeList!$E$2:$G$2036,1)</f>
        <v>American Barn Owl</v>
      </c>
      <c r="E27" s="3" t="str">
        <f>VLOOKUP(B27,[1]LifeList!$E$2:$G$2036,2)</f>
        <v>Effraie d'Amérique</v>
      </c>
      <c r="F27" s="3" t="str">
        <f>VLOOKUP(B27,[1]LifeList!$E$2:$G$2036,3)</f>
        <v>Tyto furcata</v>
      </c>
      <c r="G27" s="3" t="str">
        <f>VLOOKUP(B27,[1]LifeList!$E$2:$I$2036,4)</f>
        <v>Strigiformes</v>
      </c>
      <c r="H27" s="3" t="str">
        <f>VLOOKUP(B27,[1]LifeList!$E$2:$I$2036,5)</f>
        <v>Tytonidae (Barn-Owls)</v>
      </c>
    </row>
    <row r="28" spans="1:8" x14ac:dyDescent="0.15">
      <c r="A28" s="3" t="s">
        <v>3808</v>
      </c>
      <c r="B28" s="3" t="s">
        <v>3734</v>
      </c>
      <c r="C28" s="3">
        <v>8633</v>
      </c>
      <c r="D28" s="3" t="str">
        <f>VLOOKUP(B28,[1]LifeList!$E$2:$G$2036,1)</f>
        <v>American Barn Owl</v>
      </c>
      <c r="E28" s="3" t="str">
        <f>VLOOKUP(B28,[1]LifeList!$E$2:$G$2036,2)</f>
        <v>Effraie d'Amérique</v>
      </c>
      <c r="F28" s="3" t="str">
        <f>VLOOKUP(B28,[1]LifeList!$E$2:$G$2036,3)</f>
        <v>Tyto furcata</v>
      </c>
      <c r="G28" s="3" t="str">
        <f>VLOOKUP(B28,[1]LifeList!$E$2:$I$2036,4)</f>
        <v>Strigiformes</v>
      </c>
      <c r="H28" s="3" t="str">
        <f>VLOOKUP(B28,[1]LifeList!$E$2:$I$2036,5)</f>
        <v>Tytonidae (Barn-Owls)</v>
      </c>
    </row>
    <row r="29" spans="1:8" x14ac:dyDescent="0.15">
      <c r="A29" s="3" t="s">
        <v>23</v>
      </c>
      <c r="B29" s="3" t="s">
        <v>3973</v>
      </c>
      <c r="C29" s="3">
        <v>7560</v>
      </c>
      <c r="D29" s="3" t="str">
        <f>VLOOKUP(B29,[1]LifeList!$E$2:$G$2036,1)</f>
        <v>American Bittern</v>
      </c>
      <c r="E29" s="3" t="str">
        <f>VLOOKUP(B29,[1]LifeList!$E$2:$G$2036,2)</f>
        <v>Butor d'Amérique</v>
      </c>
      <c r="F29" s="3" t="str">
        <f>VLOOKUP(B29,[1]LifeList!$E$2:$G$2036,3)</f>
        <v>Botaurus lentiginosus</v>
      </c>
      <c r="G29" s="3" t="str">
        <f>VLOOKUP(B29,[1]LifeList!$E$2:$I$2036,4)</f>
        <v>Pelecaniformes</v>
      </c>
      <c r="H29" s="3" t="str">
        <f>VLOOKUP(B29,[1]LifeList!$E$2:$I$2036,5)</f>
        <v>Ardeidae (Herons, Egrets, and Bitterns)</v>
      </c>
    </row>
    <row r="30" spans="1:8" x14ac:dyDescent="0.15">
      <c r="A30" s="3" t="s">
        <v>24</v>
      </c>
      <c r="B30" s="3" t="s">
        <v>3973</v>
      </c>
      <c r="C30" s="3">
        <v>7560</v>
      </c>
      <c r="D30" s="3" t="str">
        <f>VLOOKUP(B30,[1]LifeList!$E$2:$G$2036,1)</f>
        <v>American Bittern</v>
      </c>
      <c r="E30" s="3" t="str">
        <f>VLOOKUP(B30,[1]LifeList!$E$2:$G$2036,2)</f>
        <v>Butor d'Amérique</v>
      </c>
      <c r="F30" s="3" t="str">
        <f>VLOOKUP(B30,[1]LifeList!$E$2:$G$2036,3)</f>
        <v>Botaurus lentiginosus</v>
      </c>
      <c r="G30" s="3" t="str">
        <f>VLOOKUP(B30,[1]LifeList!$E$2:$I$2036,4)</f>
        <v>Pelecaniformes</v>
      </c>
      <c r="H30" s="3" t="str">
        <f>VLOOKUP(B30,[1]LifeList!$E$2:$I$2036,5)</f>
        <v>Ardeidae (Herons, Egrets, and Bitterns)</v>
      </c>
    </row>
    <row r="31" spans="1:8" x14ac:dyDescent="0.15">
      <c r="A31" s="3" t="s">
        <v>25</v>
      </c>
      <c r="B31" s="3" t="s">
        <v>3973</v>
      </c>
      <c r="C31" s="3">
        <v>7560</v>
      </c>
      <c r="D31" s="3" t="str">
        <f>VLOOKUP(B31,[1]LifeList!$E$2:$G$2036,1)</f>
        <v>American Bittern</v>
      </c>
      <c r="E31" s="3" t="str">
        <f>VLOOKUP(B31,[1]LifeList!$E$2:$G$2036,2)</f>
        <v>Butor d'Amérique</v>
      </c>
      <c r="F31" s="3" t="str">
        <f>VLOOKUP(B31,[1]LifeList!$E$2:$G$2036,3)</f>
        <v>Botaurus lentiginosus</v>
      </c>
      <c r="G31" s="3" t="str">
        <f>VLOOKUP(B31,[1]LifeList!$E$2:$I$2036,4)</f>
        <v>Pelecaniformes</v>
      </c>
      <c r="H31" s="3" t="str">
        <f>VLOOKUP(B31,[1]LifeList!$E$2:$I$2036,5)</f>
        <v>Ardeidae (Herons, Egrets, and Bitterns)</v>
      </c>
    </row>
    <row r="32" spans="1:8" x14ac:dyDescent="0.15">
      <c r="A32" s="3" t="s">
        <v>22</v>
      </c>
      <c r="B32" s="3" t="s">
        <v>3973</v>
      </c>
      <c r="C32" s="3">
        <v>7560</v>
      </c>
      <c r="D32" s="3" t="str">
        <f>VLOOKUP(B32,[1]LifeList!$E$2:$G$2036,1)</f>
        <v>American Bittern</v>
      </c>
      <c r="E32" s="3" t="str">
        <f>VLOOKUP(B32,[1]LifeList!$E$2:$G$2036,2)</f>
        <v>Butor d'Amérique</v>
      </c>
      <c r="F32" s="3" t="str">
        <f>VLOOKUP(B32,[1]LifeList!$E$2:$G$2036,3)</f>
        <v>Botaurus lentiginosus</v>
      </c>
      <c r="G32" s="3" t="str">
        <f>VLOOKUP(B32,[1]LifeList!$E$2:$I$2036,4)</f>
        <v>Pelecaniformes</v>
      </c>
      <c r="H32" s="3" t="str">
        <f>VLOOKUP(B32,[1]LifeList!$E$2:$I$2036,5)</f>
        <v>Ardeidae (Herons, Egrets, and Bitterns)</v>
      </c>
    </row>
    <row r="33" spans="1:8" x14ac:dyDescent="0.15">
      <c r="A33" s="3" t="s">
        <v>26</v>
      </c>
      <c r="B33" s="3" t="s">
        <v>3735</v>
      </c>
      <c r="C33" s="3">
        <v>571</v>
      </c>
      <c r="D33" s="3" t="str">
        <f>VLOOKUP(B33,[1]LifeList!$E$2:$G$2036,1)</f>
        <v>American Black Duck</v>
      </c>
      <c r="E33" s="3" t="str">
        <f>VLOOKUP(B33,[1]LifeList!$E$2:$G$2036,2)</f>
        <v>Canard noir</v>
      </c>
      <c r="F33" s="3" t="str">
        <f>VLOOKUP(B33,[1]LifeList!$E$2:$G$2036,3)</f>
        <v>Anas rubripes</v>
      </c>
      <c r="G33" s="3" t="str">
        <f>VLOOKUP(B33,[1]LifeList!$E$2:$I$2036,4)</f>
        <v>Anseriformes</v>
      </c>
      <c r="H33" s="3" t="str">
        <f>VLOOKUP(B33,[1]LifeList!$E$2:$I$2036,5)</f>
        <v>Anatidae (Ducks, Geese, and Waterfowl)</v>
      </c>
    </row>
    <row r="34" spans="1:8" x14ac:dyDescent="0.15">
      <c r="A34" s="3" t="s">
        <v>27</v>
      </c>
      <c r="B34" s="3" t="s">
        <v>3735</v>
      </c>
      <c r="C34" s="3">
        <v>571</v>
      </c>
      <c r="D34" s="3" t="str">
        <f>VLOOKUP(B34,[1]LifeList!$E$2:$G$2036,1)</f>
        <v>American Black Duck</v>
      </c>
      <c r="E34" s="3" t="str">
        <f>VLOOKUP(B34,[1]LifeList!$E$2:$G$2036,2)</f>
        <v>Canard noir</v>
      </c>
      <c r="F34" s="3" t="str">
        <f>VLOOKUP(B34,[1]LifeList!$E$2:$G$2036,3)</f>
        <v>Anas rubripes</v>
      </c>
      <c r="G34" s="3" t="str">
        <f>VLOOKUP(B34,[1]LifeList!$E$2:$I$2036,4)</f>
        <v>Anseriformes</v>
      </c>
      <c r="H34" s="3" t="str">
        <f>VLOOKUP(B34,[1]LifeList!$E$2:$I$2036,5)</f>
        <v>Anatidae (Ducks, Geese, and Waterfowl)</v>
      </c>
    </row>
    <row r="35" spans="1:8" x14ac:dyDescent="0.15">
      <c r="A35" s="3" t="s">
        <v>28</v>
      </c>
      <c r="B35" s="3" t="s">
        <v>3735</v>
      </c>
      <c r="C35" s="3">
        <v>571</v>
      </c>
      <c r="D35" s="3" t="str">
        <f>VLOOKUP(B35,[1]LifeList!$E$2:$G$2036,1)</f>
        <v>American Black Duck</v>
      </c>
      <c r="E35" s="3" t="str">
        <f>VLOOKUP(B35,[1]LifeList!$E$2:$G$2036,2)</f>
        <v>Canard noir</v>
      </c>
      <c r="F35" s="3" t="str">
        <f>VLOOKUP(B35,[1]LifeList!$E$2:$G$2036,3)</f>
        <v>Anas rubripes</v>
      </c>
      <c r="G35" s="3" t="str">
        <f>VLOOKUP(B35,[1]LifeList!$E$2:$I$2036,4)</f>
        <v>Anseriformes</v>
      </c>
      <c r="H35" s="3" t="str">
        <f>VLOOKUP(B35,[1]LifeList!$E$2:$I$2036,5)</f>
        <v>Anatidae (Ducks, Geese, and Waterfowl)</v>
      </c>
    </row>
    <row r="36" spans="1:8" x14ac:dyDescent="0.15">
      <c r="A36" s="3" t="s">
        <v>29</v>
      </c>
      <c r="B36" s="3" t="s">
        <v>3974</v>
      </c>
      <c r="C36" s="3">
        <v>5500</v>
      </c>
      <c r="D36" s="3" t="str">
        <f>VLOOKUP(B36,[1]LifeList!$E$2:$G$2036,1)</f>
        <v>American Coot</v>
      </c>
      <c r="E36" s="3" t="str">
        <f>VLOOKUP(B36,[1]LifeList!$E$2:$G$2036,2)</f>
        <v>Foulque d'Amérique</v>
      </c>
      <c r="F36" s="3" t="str">
        <f>VLOOKUP(B36,[1]LifeList!$E$2:$G$2036,3)</f>
        <v>Fulica americana</v>
      </c>
      <c r="G36" s="3" t="str">
        <f>VLOOKUP(B36,[1]LifeList!$E$2:$I$2036,4)</f>
        <v>Gruiformes</v>
      </c>
      <c r="H36" s="3" t="str">
        <f>VLOOKUP(B36,[1]LifeList!$E$2:$I$2036,5)</f>
        <v>Rallidae (Rails, Gallinules, and Coots)</v>
      </c>
    </row>
    <row r="37" spans="1:8" x14ac:dyDescent="0.15">
      <c r="A37" s="3" t="s">
        <v>30</v>
      </c>
      <c r="B37" s="3" t="s">
        <v>3974</v>
      </c>
      <c r="C37" s="3">
        <v>5500</v>
      </c>
      <c r="D37" s="3" t="str">
        <f>VLOOKUP(B37,[1]LifeList!$E$2:$G$2036,1)</f>
        <v>American Coot</v>
      </c>
      <c r="E37" s="3" t="str">
        <f>VLOOKUP(B37,[1]LifeList!$E$2:$G$2036,2)</f>
        <v>Foulque d'Amérique</v>
      </c>
      <c r="F37" s="3" t="str">
        <f>VLOOKUP(B37,[1]LifeList!$E$2:$G$2036,3)</f>
        <v>Fulica americana</v>
      </c>
      <c r="G37" s="3" t="str">
        <f>VLOOKUP(B37,[1]LifeList!$E$2:$I$2036,4)</f>
        <v>Gruiformes</v>
      </c>
      <c r="H37" s="3" t="str">
        <f>VLOOKUP(B37,[1]LifeList!$E$2:$I$2036,5)</f>
        <v>Rallidae (Rails, Gallinules, and Coots)</v>
      </c>
    </row>
    <row r="38" spans="1:8" x14ac:dyDescent="0.15">
      <c r="A38" s="3" t="s">
        <v>31</v>
      </c>
      <c r="B38" s="3" t="s">
        <v>3974</v>
      </c>
      <c r="C38" s="3">
        <v>5500</v>
      </c>
      <c r="D38" s="3" t="str">
        <f>VLOOKUP(B38,[1]LifeList!$E$2:$G$2036,1)</f>
        <v>American Coot</v>
      </c>
      <c r="E38" s="3" t="str">
        <f>VLOOKUP(B38,[1]LifeList!$E$2:$G$2036,2)</f>
        <v>Foulque d'Amérique</v>
      </c>
      <c r="F38" s="3" t="str">
        <f>VLOOKUP(B38,[1]LifeList!$E$2:$G$2036,3)</f>
        <v>Fulica americana</v>
      </c>
      <c r="G38" s="3" t="str">
        <f>VLOOKUP(B38,[1]LifeList!$E$2:$I$2036,4)</f>
        <v>Gruiformes</v>
      </c>
      <c r="H38" s="3" t="str">
        <f>VLOOKUP(B38,[1]LifeList!$E$2:$I$2036,5)</f>
        <v>Rallidae (Rails, Gallinules, and Coots)</v>
      </c>
    </row>
    <row r="39" spans="1:8" x14ac:dyDescent="0.15">
      <c r="A39" s="3" t="s">
        <v>32</v>
      </c>
      <c r="B39" s="3" t="s">
        <v>3975</v>
      </c>
      <c r="C39" s="3">
        <v>21557</v>
      </c>
      <c r="D39" s="3" t="str">
        <f>VLOOKUP(B39,[1]LifeList!$E$2:$G$2036,1)</f>
        <v>American Crow</v>
      </c>
      <c r="E39" s="3" t="str">
        <f>VLOOKUP(B39,[1]LifeList!$E$2:$G$2036,2)</f>
        <v>Corneille d'Amérique</v>
      </c>
      <c r="F39" s="3" t="str">
        <f>VLOOKUP(B39,[1]LifeList!$E$2:$G$2036,3)</f>
        <v>Corvus brachyrhynchos</v>
      </c>
      <c r="G39" s="3" t="str">
        <f>VLOOKUP(B39,[1]LifeList!$E$2:$I$2036,4)</f>
        <v>Passeriformes</v>
      </c>
      <c r="H39" s="3" t="str">
        <f>VLOOKUP(B39,[1]LifeList!$E$2:$I$2036,5)</f>
        <v>Corvidae (Crows, Jays, and Magpies)</v>
      </c>
    </row>
    <row r="40" spans="1:8" x14ac:dyDescent="0.15">
      <c r="A40" s="3" t="s">
        <v>33</v>
      </c>
      <c r="B40" s="3" t="s">
        <v>3976</v>
      </c>
      <c r="C40" s="3">
        <v>27668</v>
      </c>
      <c r="D40" s="3" t="str">
        <f>VLOOKUP(B40,[1]LifeList!$E$2:$G$2036,1)</f>
        <v>American Dipper</v>
      </c>
      <c r="E40" s="3" t="str">
        <f>VLOOKUP(B40,[1]LifeList!$E$2:$G$2036,2)</f>
        <v>Cincle d'Amérique</v>
      </c>
      <c r="F40" s="3" t="str">
        <f>VLOOKUP(B40,[1]LifeList!$E$2:$G$2036,3)</f>
        <v>Cinclus mexicanus</v>
      </c>
      <c r="G40" s="3" t="str">
        <f>VLOOKUP(B40,[1]LifeList!$E$2:$I$2036,4)</f>
        <v>Passeriformes</v>
      </c>
      <c r="H40" s="3" t="str">
        <f>VLOOKUP(B40,[1]LifeList!$E$2:$I$2036,5)</f>
        <v>Cinclidae (Dippers)</v>
      </c>
    </row>
    <row r="41" spans="1:8" x14ac:dyDescent="0.15">
      <c r="A41" s="3" t="s">
        <v>34</v>
      </c>
      <c r="B41" s="3" t="s">
        <v>3976</v>
      </c>
      <c r="C41" s="3">
        <v>27668</v>
      </c>
      <c r="D41" s="3" t="str">
        <f>VLOOKUP(B41,[1]LifeList!$E$2:$G$2036,1)</f>
        <v>American Dipper</v>
      </c>
      <c r="E41" s="3" t="str">
        <f>VLOOKUP(B41,[1]LifeList!$E$2:$G$2036,2)</f>
        <v>Cincle d'Amérique</v>
      </c>
      <c r="F41" s="3" t="str">
        <f>VLOOKUP(B41,[1]LifeList!$E$2:$G$2036,3)</f>
        <v>Cinclus mexicanus</v>
      </c>
      <c r="G41" s="3" t="str">
        <f>VLOOKUP(B41,[1]LifeList!$E$2:$I$2036,4)</f>
        <v>Passeriformes</v>
      </c>
      <c r="H41" s="3" t="str">
        <f>VLOOKUP(B41,[1]LifeList!$E$2:$I$2036,5)</f>
        <v>Cinclidae (Dippers)</v>
      </c>
    </row>
    <row r="42" spans="1:8" x14ac:dyDescent="0.15">
      <c r="A42" s="3" t="s">
        <v>35</v>
      </c>
      <c r="B42" s="3" t="s">
        <v>3977</v>
      </c>
      <c r="C42" s="3">
        <v>6807</v>
      </c>
      <c r="D42" s="3" t="str">
        <f>VLOOKUP(B42,[1]LifeList!$E$2:$G$2036,1)</f>
        <v>American Flamingo</v>
      </c>
      <c r="E42" s="3" t="str">
        <f>VLOOKUP(B42,[1]LifeList!$E$2:$G$2036,2)</f>
        <v>Flamant des Caraïbes</v>
      </c>
      <c r="F42" s="3" t="str">
        <f>VLOOKUP(B42,[1]LifeList!$E$2:$G$2036,3)</f>
        <v>Phoenicopterus ruber</v>
      </c>
      <c r="G42" s="3" t="str">
        <f>VLOOKUP(B42,[1]LifeList!$E$2:$I$2036,4)</f>
        <v>Phoenicopteriformes</v>
      </c>
      <c r="H42" s="3" t="str">
        <f>VLOOKUP(B42,[1]LifeList!$E$2:$I$2036,5)</f>
        <v>Phoenicopteridae (Flamingos)</v>
      </c>
    </row>
    <row r="43" spans="1:8" x14ac:dyDescent="0.15">
      <c r="A43" s="3" t="s">
        <v>36</v>
      </c>
      <c r="B43" s="3" t="s">
        <v>3977</v>
      </c>
      <c r="C43" s="3">
        <v>6807</v>
      </c>
      <c r="D43" s="3" t="str">
        <f>VLOOKUP(B43,[1]LifeList!$E$2:$G$2036,1)</f>
        <v>American Flamingo</v>
      </c>
      <c r="E43" s="3" t="str">
        <f>VLOOKUP(B43,[1]LifeList!$E$2:$G$2036,2)</f>
        <v>Flamant des Caraïbes</v>
      </c>
      <c r="F43" s="3" t="str">
        <f>VLOOKUP(B43,[1]LifeList!$E$2:$G$2036,3)</f>
        <v>Phoenicopterus ruber</v>
      </c>
      <c r="G43" s="3" t="str">
        <f>VLOOKUP(B43,[1]LifeList!$E$2:$I$2036,4)</f>
        <v>Phoenicopteriformes</v>
      </c>
      <c r="H43" s="3" t="str">
        <f>VLOOKUP(B43,[1]LifeList!$E$2:$I$2036,5)</f>
        <v>Phoenicopteridae (Flamingos)</v>
      </c>
    </row>
    <row r="44" spans="1:8" x14ac:dyDescent="0.15">
      <c r="A44" s="3" t="s">
        <v>37</v>
      </c>
      <c r="B44" s="3" t="s">
        <v>3977</v>
      </c>
      <c r="C44" s="3">
        <v>6807</v>
      </c>
      <c r="D44" s="3" t="str">
        <f>VLOOKUP(B44,[1]LifeList!$E$2:$G$2036,1)</f>
        <v>American Flamingo</v>
      </c>
      <c r="E44" s="3" t="str">
        <f>VLOOKUP(B44,[1]LifeList!$E$2:$G$2036,2)</f>
        <v>Flamant des Caraïbes</v>
      </c>
      <c r="F44" s="3" t="str">
        <f>VLOOKUP(B44,[1]LifeList!$E$2:$G$2036,3)</f>
        <v>Phoenicopterus ruber</v>
      </c>
      <c r="G44" s="3" t="str">
        <f>VLOOKUP(B44,[1]LifeList!$E$2:$I$2036,4)</f>
        <v>Phoenicopteriformes</v>
      </c>
      <c r="H44" s="3" t="str">
        <f>VLOOKUP(B44,[1]LifeList!$E$2:$I$2036,5)</f>
        <v>Phoenicopteridae (Flamingos)</v>
      </c>
    </row>
    <row r="45" spans="1:8" x14ac:dyDescent="0.15">
      <c r="A45" s="3" t="s">
        <v>38</v>
      </c>
      <c r="B45" s="3" t="s">
        <v>3977</v>
      </c>
      <c r="C45" s="3">
        <v>6807</v>
      </c>
      <c r="D45" s="3" t="str">
        <f>VLOOKUP(B45,[1]LifeList!$E$2:$G$2036,1)</f>
        <v>American Flamingo</v>
      </c>
      <c r="E45" s="3" t="str">
        <f>VLOOKUP(B45,[1]LifeList!$E$2:$G$2036,2)</f>
        <v>Flamant des Caraïbes</v>
      </c>
      <c r="F45" s="3" t="str">
        <f>VLOOKUP(B45,[1]LifeList!$E$2:$G$2036,3)</f>
        <v>Phoenicopterus ruber</v>
      </c>
      <c r="G45" s="3" t="str">
        <f>VLOOKUP(B45,[1]LifeList!$E$2:$I$2036,4)</f>
        <v>Phoenicopteriformes</v>
      </c>
      <c r="H45" s="3" t="str">
        <f>VLOOKUP(B45,[1]LifeList!$E$2:$I$2036,5)</f>
        <v>Phoenicopteridae (Flamingos)</v>
      </c>
    </row>
    <row r="46" spans="1:8" x14ac:dyDescent="0.15">
      <c r="A46" s="3" t="s">
        <v>39</v>
      </c>
      <c r="B46" s="3" t="s">
        <v>3978</v>
      </c>
      <c r="C46" s="3">
        <v>5815</v>
      </c>
      <c r="D46" s="3" t="str">
        <f>VLOOKUP(B46,[1]LifeList!$E$2:$G$2036,1)</f>
        <v>American Golden-Plover</v>
      </c>
      <c r="E46" s="3" t="str">
        <f>VLOOKUP(B46,[1]LifeList!$E$2:$G$2036,2)</f>
        <v>Pluvier bronzé</v>
      </c>
      <c r="F46" s="3" t="str">
        <f>VLOOKUP(B46,[1]LifeList!$E$2:$G$2036,3)</f>
        <v>Pluvialis dominica</v>
      </c>
      <c r="G46" s="3" t="str">
        <f>VLOOKUP(B46,[1]LifeList!$E$2:$I$2036,4)</f>
        <v>Charadriiformes</v>
      </c>
      <c r="H46" s="3" t="str">
        <f>VLOOKUP(B46,[1]LifeList!$E$2:$I$2036,5)</f>
        <v>Charadriidae (Plovers and Lapwings)</v>
      </c>
    </row>
    <row r="47" spans="1:8" x14ac:dyDescent="0.15">
      <c r="A47" s="3" t="s">
        <v>41</v>
      </c>
      <c r="B47" s="3" t="s">
        <v>3979</v>
      </c>
      <c r="C47" s="3">
        <v>32617</v>
      </c>
      <c r="D47" s="3" t="str">
        <f>VLOOKUP(B47,[1]LifeList!$E$2:$G$2036,1)</f>
        <v>American Goldfinch</v>
      </c>
      <c r="E47" s="3" t="str">
        <f>VLOOKUP(B47,[1]LifeList!$E$2:$G$2036,2)</f>
        <v>Chardonneret jaune</v>
      </c>
      <c r="F47" s="3" t="str">
        <f>VLOOKUP(B47,[1]LifeList!$E$2:$G$2036,3)</f>
        <v>Spinus tristis</v>
      </c>
      <c r="G47" s="3" t="str">
        <f>VLOOKUP(B47,[1]LifeList!$E$2:$I$2036,4)</f>
        <v>Passeriformes</v>
      </c>
      <c r="H47" s="3" t="str">
        <f>VLOOKUP(B47,[1]LifeList!$E$2:$I$2036,5)</f>
        <v>Fringillidae (Finches, Euphonias, and Allies)</v>
      </c>
    </row>
    <row r="48" spans="1:8" x14ac:dyDescent="0.15">
      <c r="A48" s="3" t="s">
        <v>42</v>
      </c>
      <c r="B48" s="3" t="s">
        <v>3979</v>
      </c>
      <c r="C48" s="3">
        <v>32617</v>
      </c>
      <c r="D48" s="3" t="str">
        <f>VLOOKUP(B48,[1]LifeList!$E$2:$G$2036,1)</f>
        <v>American Goldfinch</v>
      </c>
      <c r="E48" s="3" t="str">
        <f>VLOOKUP(B48,[1]LifeList!$E$2:$G$2036,2)</f>
        <v>Chardonneret jaune</v>
      </c>
      <c r="F48" s="3" t="str">
        <f>VLOOKUP(B48,[1]LifeList!$E$2:$G$2036,3)</f>
        <v>Spinus tristis</v>
      </c>
      <c r="G48" s="3" t="str">
        <f>VLOOKUP(B48,[1]LifeList!$E$2:$I$2036,4)</f>
        <v>Passeriformes</v>
      </c>
      <c r="H48" s="3" t="str">
        <f>VLOOKUP(B48,[1]LifeList!$E$2:$I$2036,5)</f>
        <v>Fringillidae (Finches, Euphonias, and Allies)</v>
      </c>
    </row>
    <row r="49" spans="1:8" x14ac:dyDescent="0.15">
      <c r="A49" s="3" t="s">
        <v>43</v>
      </c>
      <c r="B49" s="3" t="s">
        <v>3979</v>
      </c>
      <c r="C49" s="3">
        <v>32617</v>
      </c>
      <c r="D49" s="3" t="str">
        <f>VLOOKUP(B49,[1]LifeList!$E$2:$G$2036,1)</f>
        <v>American Goldfinch</v>
      </c>
      <c r="E49" s="3" t="str">
        <f>VLOOKUP(B49,[1]LifeList!$E$2:$G$2036,2)</f>
        <v>Chardonneret jaune</v>
      </c>
      <c r="F49" s="3" t="str">
        <f>VLOOKUP(B49,[1]LifeList!$E$2:$G$2036,3)</f>
        <v>Spinus tristis</v>
      </c>
      <c r="G49" s="3" t="str">
        <f>VLOOKUP(B49,[1]LifeList!$E$2:$I$2036,4)</f>
        <v>Passeriformes</v>
      </c>
      <c r="H49" s="3" t="str">
        <f>VLOOKUP(B49,[1]LifeList!$E$2:$I$2036,5)</f>
        <v>Fringillidae (Finches, Euphonias, and Allies)</v>
      </c>
    </row>
    <row r="50" spans="1:8" x14ac:dyDescent="0.15">
      <c r="A50" s="3" t="s">
        <v>44</v>
      </c>
      <c r="B50" s="3" t="s">
        <v>3979</v>
      </c>
      <c r="C50" s="3">
        <v>32617</v>
      </c>
      <c r="D50" s="3" t="str">
        <f>VLOOKUP(B50,[1]LifeList!$E$2:$G$2036,1)</f>
        <v>American Goldfinch</v>
      </c>
      <c r="E50" s="3" t="str">
        <f>VLOOKUP(B50,[1]LifeList!$E$2:$G$2036,2)</f>
        <v>Chardonneret jaune</v>
      </c>
      <c r="F50" s="3" t="str">
        <f>VLOOKUP(B50,[1]LifeList!$E$2:$G$2036,3)</f>
        <v>Spinus tristis</v>
      </c>
      <c r="G50" s="3" t="str">
        <f>VLOOKUP(B50,[1]LifeList!$E$2:$I$2036,4)</f>
        <v>Passeriformes</v>
      </c>
      <c r="H50" s="3" t="str">
        <f>VLOOKUP(B50,[1]LifeList!$E$2:$I$2036,5)</f>
        <v>Fringillidae (Finches, Euphonias, and Allies)</v>
      </c>
    </row>
    <row r="51" spans="1:8" x14ac:dyDescent="0.15">
      <c r="A51" s="3" t="s">
        <v>40</v>
      </c>
      <c r="B51" s="3" t="s">
        <v>3979</v>
      </c>
      <c r="C51" s="3">
        <v>32617</v>
      </c>
      <c r="D51" s="3" t="str">
        <f>VLOOKUP(B51,[1]LifeList!$E$2:$G$2036,1)</f>
        <v>American Goldfinch</v>
      </c>
      <c r="E51" s="3" t="str">
        <f>VLOOKUP(B51,[1]LifeList!$E$2:$G$2036,2)</f>
        <v>Chardonneret jaune</v>
      </c>
      <c r="F51" s="3" t="str">
        <f>VLOOKUP(B51,[1]LifeList!$E$2:$G$2036,3)</f>
        <v>Spinus tristis</v>
      </c>
      <c r="G51" s="3" t="str">
        <f>VLOOKUP(B51,[1]LifeList!$E$2:$I$2036,4)</f>
        <v>Passeriformes</v>
      </c>
      <c r="H51" s="3" t="str">
        <f>VLOOKUP(B51,[1]LifeList!$E$2:$I$2036,5)</f>
        <v>Fringillidae (Finches, Euphonias, and Allies)</v>
      </c>
    </row>
    <row r="52" spans="1:8" x14ac:dyDescent="0.15">
      <c r="A52" s="3" t="s">
        <v>45</v>
      </c>
      <c r="B52" s="3" t="s">
        <v>3736</v>
      </c>
      <c r="C52" s="3">
        <v>6539</v>
      </c>
      <c r="D52" s="3" t="str">
        <f>VLOOKUP(B52,[1]LifeList!$E$2:$G$2036,1)</f>
        <v>American Herring Gull</v>
      </c>
      <c r="E52" s="3" t="str">
        <f>VLOOKUP(B52,[1]LifeList!$E$2:$G$2036,2)</f>
        <v>Goéland hudsonien</v>
      </c>
      <c r="F52" s="3" t="str">
        <f>VLOOKUP(B52,[1]LifeList!$E$2:$G$2036,3)</f>
        <v>Larus smithsonianus</v>
      </c>
      <c r="G52" s="3" t="str">
        <f>VLOOKUP(B52,[1]LifeList!$E$2:$I$2036,4)</f>
        <v>Charadriiformes</v>
      </c>
      <c r="H52" s="3" t="str">
        <f>VLOOKUP(B52,[1]LifeList!$E$2:$I$2036,5)</f>
        <v>Laridae (Gulls, Terns, and Skimmers)</v>
      </c>
    </row>
    <row r="53" spans="1:8" x14ac:dyDescent="0.15">
      <c r="A53" s="3" t="s">
        <v>46</v>
      </c>
      <c r="B53" s="3" t="s">
        <v>3736</v>
      </c>
      <c r="C53" s="3">
        <v>6539</v>
      </c>
      <c r="D53" s="3" t="str">
        <f>VLOOKUP(B53,[1]LifeList!$E$2:$G$2036,1)</f>
        <v>American Herring Gull</v>
      </c>
      <c r="E53" s="3" t="str">
        <f>VLOOKUP(B53,[1]LifeList!$E$2:$G$2036,2)</f>
        <v>Goéland hudsonien</v>
      </c>
      <c r="F53" s="3" t="str">
        <f>VLOOKUP(B53,[1]LifeList!$E$2:$G$2036,3)</f>
        <v>Larus smithsonianus</v>
      </c>
      <c r="G53" s="3" t="str">
        <f>VLOOKUP(B53,[1]LifeList!$E$2:$I$2036,4)</f>
        <v>Charadriiformes</v>
      </c>
      <c r="H53" s="3" t="str">
        <f>VLOOKUP(B53,[1]LifeList!$E$2:$I$2036,5)</f>
        <v>Laridae (Gulls, Terns, and Skimmers)</v>
      </c>
    </row>
    <row r="54" spans="1:8" x14ac:dyDescent="0.15">
      <c r="A54" s="3" t="s">
        <v>47</v>
      </c>
      <c r="B54" s="3" t="s">
        <v>3736</v>
      </c>
      <c r="C54" s="3">
        <v>6539</v>
      </c>
      <c r="D54" s="3" t="str">
        <f>VLOOKUP(B54,[1]LifeList!$E$2:$G$2036,1)</f>
        <v>American Herring Gull</v>
      </c>
      <c r="E54" s="3" t="str">
        <f>VLOOKUP(B54,[1]LifeList!$E$2:$G$2036,2)</f>
        <v>Goéland hudsonien</v>
      </c>
      <c r="F54" s="3" t="str">
        <f>VLOOKUP(B54,[1]LifeList!$E$2:$G$2036,3)</f>
        <v>Larus smithsonianus</v>
      </c>
      <c r="G54" s="3" t="str">
        <f>VLOOKUP(B54,[1]LifeList!$E$2:$I$2036,4)</f>
        <v>Charadriiformes</v>
      </c>
      <c r="H54" s="3" t="str">
        <f>VLOOKUP(B54,[1]LifeList!$E$2:$I$2036,5)</f>
        <v>Laridae (Gulls, Terns, and Skimmers)</v>
      </c>
    </row>
    <row r="55" spans="1:8" x14ac:dyDescent="0.15">
      <c r="A55" s="3" t="s">
        <v>48</v>
      </c>
      <c r="B55" s="3" t="s">
        <v>3980</v>
      </c>
      <c r="C55" s="3">
        <v>12028</v>
      </c>
      <c r="D55" s="3" t="str">
        <f>VLOOKUP(B55,[1]LifeList!$E$2:$G$2036,1)</f>
        <v>American Kestrel</v>
      </c>
      <c r="E55" s="3" t="str">
        <f>VLOOKUP(B55,[1]LifeList!$E$2:$G$2036,2)</f>
        <v>Crécerelle d'Amérique</v>
      </c>
      <c r="F55" s="3" t="str">
        <f>VLOOKUP(B55,[1]LifeList!$E$2:$G$2036,3)</f>
        <v>Falco sparverius</v>
      </c>
      <c r="G55" s="3" t="str">
        <f>VLOOKUP(B55,[1]LifeList!$E$2:$I$2036,4)</f>
        <v>Falconiformes</v>
      </c>
      <c r="H55" s="3" t="str">
        <f>VLOOKUP(B55,[1]LifeList!$E$2:$I$2036,5)</f>
        <v>Falconidae (Falcons and Caracaras)</v>
      </c>
    </row>
    <row r="56" spans="1:8" x14ac:dyDescent="0.15">
      <c r="A56" s="3" t="s">
        <v>49</v>
      </c>
      <c r="B56" s="3" t="s">
        <v>3980</v>
      </c>
      <c r="C56" s="3">
        <v>12028</v>
      </c>
      <c r="D56" s="3" t="str">
        <f>VLOOKUP(B56,[1]LifeList!$E$2:$G$2036,1)</f>
        <v>American Kestrel</v>
      </c>
      <c r="E56" s="3" t="str">
        <f>VLOOKUP(B56,[1]LifeList!$E$2:$G$2036,2)</f>
        <v>Crécerelle d'Amérique</v>
      </c>
      <c r="F56" s="3" t="str">
        <f>VLOOKUP(B56,[1]LifeList!$E$2:$G$2036,3)</f>
        <v>Falco sparverius</v>
      </c>
      <c r="G56" s="3" t="str">
        <f>VLOOKUP(B56,[1]LifeList!$E$2:$I$2036,4)</f>
        <v>Falconiformes</v>
      </c>
      <c r="H56" s="3" t="str">
        <f>VLOOKUP(B56,[1]LifeList!$E$2:$I$2036,5)</f>
        <v>Falconidae (Falcons and Caracaras)</v>
      </c>
    </row>
    <row r="57" spans="1:8" x14ac:dyDescent="0.15">
      <c r="A57" s="3" t="s">
        <v>50</v>
      </c>
      <c r="B57" s="3" t="s">
        <v>3980</v>
      </c>
      <c r="C57" s="3">
        <v>12028</v>
      </c>
      <c r="D57" s="3" t="str">
        <f>VLOOKUP(B57,[1]LifeList!$E$2:$G$2036,1)</f>
        <v>American Kestrel</v>
      </c>
      <c r="E57" s="3" t="str">
        <f>VLOOKUP(B57,[1]LifeList!$E$2:$G$2036,2)</f>
        <v>Crécerelle d'Amérique</v>
      </c>
      <c r="F57" s="3" t="str">
        <f>VLOOKUP(B57,[1]LifeList!$E$2:$G$2036,3)</f>
        <v>Falco sparverius</v>
      </c>
      <c r="G57" s="3" t="str">
        <f>VLOOKUP(B57,[1]LifeList!$E$2:$I$2036,4)</f>
        <v>Falconiformes</v>
      </c>
      <c r="H57" s="3" t="str">
        <f>VLOOKUP(B57,[1]LifeList!$E$2:$I$2036,5)</f>
        <v>Falconidae (Falcons and Caracaras)</v>
      </c>
    </row>
    <row r="58" spans="1:8" x14ac:dyDescent="0.15">
      <c r="A58" s="3" t="s">
        <v>51</v>
      </c>
      <c r="B58" s="3" t="s">
        <v>3981</v>
      </c>
      <c r="C58" s="3">
        <v>5799</v>
      </c>
      <c r="D58" s="3" t="str">
        <f>VLOOKUP(B58,[1]LifeList!$E$2:$G$2036,1)</f>
        <v>American Oystercatcher</v>
      </c>
      <c r="E58" s="3" t="str">
        <f>VLOOKUP(B58,[1]LifeList!$E$2:$G$2036,2)</f>
        <v>Huîtrier d'Amérique</v>
      </c>
      <c r="F58" s="3" t="str">
        <f>VLOOKUP(B58,[1]LifeList!$E$2:$G$2036,3)</f>
        <v>Haematopus palliatus</v>
      </c>
      <c r="G58" s="3" t="str">
        <f>VLOOKUP(B58,[1]LifeList!$E$2:$I$2036,4)</f>
        <v>Charadriiformes</v>
      </c>
      <c r="H58" s="3" t="str">
        <f>VLOOKUP(B58,[1]LifeList!$E$2:$I$2036,5)</f>
        <v>Haematopodidae (Oystercatchers)</v>
      </c>
    </row>
    <row r="59" spans="1:8" x14ac:dyDescent="0.15">
      <c r="A59" s="3" t="s">
        <v>52</v>
      </c>
      <c r="B59" s="3" t="s">
        <v>3981</v>
      </c>
      <c r="C59" s="3">
        <v>5799</v>
      </c>
      <c r="D59" s="3" t="str">
        <f>VLOOKUP(B59,[1]LifeList!$E$2:$G$2036,1)</f>
        <v>American Oystercatcher</v>
      </c>
      <c r="E59" s="3" t="str">
        <f>VLOOKUP(B59,[1]LifeList!$E$2:$G$2036,2)</f>
        <v>Huîtrier d'Amérique</v>
      </c>
      <c r="F59" s="3" t="str">
        <f>VLOOKUP(B59,[1]LifeList!$E$2:$G$2036,3)</f>
        <v>Haematopus palliatus</v>
      </c>
      <c r="G59" s="3" t="str">
        <f>VLOOKUP(B59,[1]LifeList!$E$2:$I$2036,4)</f>
        <v>Charadriiformes</v>
      </c>
      <c r="H59" s="3" t="str">
        <f>VLOOKUP(B59,[1]LifeList!$E$2:$I$2036,5)</f>
        <v>Haematopodidae (Oystercatchers)</v>
      </c>
    </row>
    <row r="60" spans="1:8" x14ac:dyDescent="0.15">
      <c r="A60" s="3" t="s">
        <v>53</v>
      </c>
      <c r="B60" s="3" t="s">
        <v>3981</v>
      </c>
      <c r="C60" s="3">
        <v>5799</v>
      </c>
      <c r="D60" s="3" t="str">
        <f>VLOOKUP(B60,[1]LifeList!$E$2:$G$2036,1)</f>
        <v>American Oystercatcher</v>
      </c>
      <c r="E60" s="3" t="str">
        <f>VLOOKUP(B60,[1]LifeList!$E$2:$G$2036,2)</f>
        <v>Huîtrier d'Amérique</v>
      </c>
      <c r="F60" s="3" t="str">
        <f>VLOOKUP(B60,[1]LifeList!$E$2:$G$2036,3)</f>
        <v>Haematopus palliatus</v>
      </c>
      <c r="G60" s="3" t="str">
        <f>VLOOKUP(B60,[1]LifeList!$E$2:$I$2036,4)</f>
        <v>Charadriiformes</v>
      </c>
      <c r="H60" s="3" t="str">
        <f>VLOOKUP(B60,[1]LifeList!$E$2:$I$2036,5)</f>
        <v>Haematopodidae (Oystercatchers)</v>
      </c>
    </row>
    <row r="61" spans="1:8" x14ac:dyDescent="0.15">
      <c r="A61" s="3" t="s">
        <v>54</v>
      </c>
      <c r="B61" s="3" t="s">
        <v>3981</v>
      </c>
      <c r="C61" s="3">
        <v>5799</v>
      </c>
      <c r="D61" s="3" t="str">
        <f>VLOOKUP(B61,[1]LifeList!$E$2:$G$2036,1)</f>
        <v>American Oystercatcher</v>
      </c>
      <c r="E61" s="3" t="str">
        <f>VLOOKUP(B61,[1]LifeList!$E$2:$G$2036,2)</f>
        <v>Huîtrier d'Amérique</v>
      </c>
      <c r="F61" s="3" t="str">
        <f>VLOOKUP(B61,[1]LifeList!$E$2:$G$2036,3)</f>
        <v>Haematopus palliatus</v>
      </c>
      <c r="G61" s="3" t="str">
        <f>VLOOKUP(B61,[1]LifeList!$E$2:$I$2036,4)</f>
        <v>Charadriiformes</v>
      </c>
      <c r="H61" s="3" t="str">
        <f>VLOOKUP(B61,[1]LifeList!$E$2:$I$2036,5)</f>
        <v>Haematopodidae (Oystercatchers)</v>
      </c>
    </row>
    <row r="62" spans="1:8" x14ac:dyDescent="0.15">
      <c r="A62" s="3" t="s">
        <v>55</v>
      </c>
      <c r="B62" s="3" t="s">
        <v>3981</v>
      </c>
      <c r="C62" s="3">
        <v>5799</v>
      </c>
      <c r="D62" s="3" t="str">
        <f>VLOOKUP(B62,[1]LifeList!$E$2:$G$2036,1)</f>
        <v>American Oystercatcher</v>
      </c>
      <c r="E62" s="3" t="str">
        <f>VLOOKUP(B62,[1]LifeList!$E$2:$G$2036,2)</f>
        <v>Huîtrier d'Amérique</v>
      </c>
      <c r="F62" s="3" t="str">
        <f>VLOOKUP(B62,[1]LifeList!$E$2:$G$2036,3)</f>
        <v>Haematopus palliatus</v>
      </c>
      <c r="G62" s="3" t="str">
        <f>VLOOKUP(B62,[1]LifeList!$E$2:$I$2036,4)</f>
        <v>Charadriiformes</v>
      </c>
      <c r="H62" s="3" t="str">
        <f>VLOOKUP(B62,[1]LifeList!$E$2:$I$2036,5)</f>
        <v>Haematopodidae (Oystercatchers)</v>
      </c>
    </row>
    <row r="63" spans="1:8" x14ac:dyDescent="0.15">
      <c r="A63" s="3" t="s">
        <v>56</v>
      </c>
      <c r="B63" s="3" t="s">
        <v>3981</v>
      </c>
      <c r="C63" s="3">
        <v>5799</v>
      </c>
      <c r="D63" s="3" t="str">
        <f>VLOOKUP(B63,[1]LifeList!$E$2:$G$2036,1)</f>
        <v>American Oystercatcher</v>
      </c>
      <c r="E63" s="3" t="str">
        <f>VLOOKUP(B63,[1]LifeList!$E$2:$G$2036,2)</f>
        <v>Huîtrier d'Amérique</v>
      </c>
      <c r="F63" s="3" t="str">
        <f>VLOOKUP(B63,[1]LifeList!$E$2:$G$2036,3)</f>
        <v>Haematopus palliatus</v>
      </c>
      <c r="G63" s="3" t="str">
        <f>VLOOKUP(B63,[1]LifeList!$E$2:$I$2036,4)</f>
        <v>Charadriiformes</v>
      </c>
      <c r="H63" s="3" t="str">
        <f>VLOOKUP(B63,[1]LifeList!$E$2:$I$2036,5)</f>
        <v>Haematopodidae (Oystercatchers)</v>
      </c>
    </row>
    <row r="64" spans="1:8" x14ac:dyDescent="0.15">
      <c r="A64" s="3" t="s">
        <v>57</v>
      </c>
      <c r="B64" s="3" t="s">
        <v>3982</v>
      </c>
      <c r="C64" s="3">
        <v>31883</v>
      </c>
      <c r="D64" s="3" t="str">
        <f>VLOOKUP(B64,[1]LifeList!$E$2:$G$2036,1)</f>
        <v>American Pipit</v>
      </c>
      <c r="E64" s="3" t="str">
        <f>VLOOKUP(B64,[1]LifeList!$E$2:$G$2036,2)</f>
        <v>Pipit d'Amérique</v>
      </c>
      <c r="F64" s="3" t="str">
        <f>VLOOKUP(B64,[1]LifeList!$E$2:$G$2036,3)</f>
        <v>Anthus rubescens</v>
      </c>
      <c r="G64" s="3" t="str">
        <f>VLOOKUP(B64,[1]LifeList!$E$2:$I$2036,4)</f>
        <v>Passeriformes</v>
      </c>
      <c r="H64" s="3" t="str">
        <f>VLOOKUP(B64,[1]LifeList!$E$2:$I$2036,5)</f>
        <v>Motacillidae (Wagtails and Pipits)</v>
      </c>
    </row>
    <row r="65" spans="1:8" x14ac:dyDescent="0.15">
      <c r="A65" s="3" t="s">
        <v>58</v>
      </c>
      <c r="B65" s="3" t="s">
        <v>3737</v>
      </c>
      <c r="C65" s="3">
        <v>10313</v>
      </c>
      <c r="D65" s="3" t="str">
        <f>VLOOKUP(B65,[1]LifeList!$E$2:$G$2036,1)</f>
        <v>American Pygmy Kingfisher</v>
      </c>
      <c r="E65" s="3" t="str">
        <f>VLOOKUP(B65,[1]LifeList!$E$2:$G$2036,2)</f>
        <v>Martin-pêcheur nain</v>
      </c>
      <c r="F65" s="3" t="str">
        <f>VLOOKUP(B65,[1]LifeList!$E$2:$G$2036,3)</f>
        <v>Chloroceryle aenea</v>
      </c>
      <c r="G65" s="3" t="str">
        <f>VLOOKUP(B65,[1]LifeList!$E$2:$I$2036,4)</f>
        <v>Coraciiformes</v>
      </c>
      <c r="H65" s="3" t="str">
        <f>VLOOKUP(B65,[1]LifeList!$E$2:$I$2036,5)</f>
        <v>Alcedinidae (Kingfishers)</v>
      </c>
    </row>
    <row r="66" spans="1:8" x14ac:dyDescent="0.15">
      <c r="A66" s="3" t="s">
        <v>59</v>
      </c>
      <c r="B66" s="3" t="s">
        <v>3737</v>
      </c>
      <c r="C66" s="3">
        <v>10313</v>
      </c>
      <c r="D66" s="3" t="str">
        <f>VLOOKUP(B66,[1]LifeList!$E$2:$G$2036,1)</f>
        <v>American Pygmy Kingfisher</v>
      </c>
      <c r="E66" s="3" t="str">
        <f>VLOOKUP(B66,[1]LifeList!$E$2:$G$2036,2)</f>
        <v>Martin-pêcheur nain</v>
      </c>
      <c r="F66" s="3" t="str">
        <f>VLOOKUP(B66,[1]LifeList!$E$2:$G$2036,3)</f>
        <v>Chloroceryle aenea</v>
      </c>
      <c r="G66" s="3" t="str">
        <f>VLOOKUP(B66,[1]LifeList!$E$2:$I$2036,4)</f>
        <v>Coraciiformes</v>
      </c>
      <c r="H66" s="3" t="str">
        <f>VLOOKUP(B66,[1]LifeList!$E$2:$I$2036,5)</f>
        <v>Alcedinidae (Kingfishers)</v>
      </c>
    </row>
    <row r="67" spans="1:8" x14ac:dyDescent="0.15">
      <c r="A67" s="3" t="s">
        <v>78</v>
      </c>
      <c r="B67" s="3" t="s">
        <v>3983</v>
      </c>
      <c r="C67" s="3">
        <v>34058</v>
      </c>
      <c r="D67" s="3" t="str">
        <f>VLOOKUP(B67,[1]LifeList!$E$2:$G$2036,1)</f>
        <v>American Redstart</v>
      </c>
      <c r="E67" s="3" t="str">
        <f>VLOOKUP(B67,[1]LifeList!$E$2:$G$2036,2)</f>
        <v>Paruline flamboyante</v>
      </c>
      <c r="F67" s="3" t="str">
        <f>VLOOKUP(B67,[1]LifeList!$E$2:$G$2036,3)</f>
        <v>Setophaga ruticilla</v>
      </c>
      <c r="G67" s="3" t="str">
        <f>VLOOKUP(B67,[1]LifeList!$E$2:$I$2036,4)</f>
        <v>Passeriformes</v>
      </c>
      <c r="H67" s="3" t="str">
        <f>VLOOKUP(B67,[1]LifeList!$E$2:$I$2036,5)</f>
        <v>Parulidae (New World Warblers)</v>
      </c>
    </row>
    <row r="68" spans="1:8" x14ac:dyDescent="0.15">
      <c r="A68" s="3" t="s">
        <v>60</v>
      </c>
      <c r="B68" s="3" t="s">
        <v>3983</v>
      </c>
      <c r="C68" s="3">
        <v>34058</v>
      </c>
      <c r="D68" s="3" t="str">
        <f>VLOOKUP(B68,[1]LifeList!$E$2:$G$2036,1)</f>
        <v>American Redstart</v>
      </c>
      <c r="E68" s="3" t="str">
        <f>VLOOKUP(B68,[1]LifeList!$E$2:$G$2036,2)</f>
        <v>Paruline flamboyante</v>
      </c>
      <c r="F68" s="3" t="str">
        <f>VLOOKUP(B68,[1]LifeList!$E$2:$G$2036,3)</f>
        <v>Setophaga ruticilla</v>
      </c>
      <c r="G68" s="3" t="str">
        <f>VLOOKUP(B68,[1]LifeList!$E$2:$I$2036,4)</f>
        <v>Passeriformes</v>
      </c>
      <c r="H68" s="3" t="str">
        <f>VLOOKUP(B68,[1]LifeList!$E$2:$I$2036,5)</f>
        <v>Parulidae (New World Warblers)</v>
      </c>
    </row>
    <row r="69" spans="1:8" x14ac:dyDescent="0.15">
      <c r="A69" s="3" t="s">
        <v>61</v>
      </c>
      <c r="B69" s="3" t="s">
        <v>3983</v>
      </c>
      <c r="C69" s="3">
        <v>34058</v>
      </c>
      <c r="D69" s="3" t="str">
        <f>VLOOKUP(B69,[1]LifeList!$E$2:$G$2036,1)</f>
        <v>American Redstart</v>
      </c>
      <c r="E69" s="3" t="str">
        <f>VLOOKUP(B69,[1]LifeList!$E$2:$G$2036,2)</f>
        <v>Paruline flamboyante</v>
      </c>
      <c r="F69" s="3" t="str">
        <f>VLOOKUP(B69,[1]LifeList!$E$2:$G$2036,3)</f>
        <v>Setophaga ruticilla</v>
      </c>
      <c r="G69" s="3" t="str">
        <f>VLOOKUP(B69,[1]LifeList!$E$2:$I$2036,4)</f>
        <v>Passeriformes</v>
      </c>
      <c r="H69" s="3" t="str">
        <f>VLOOKUP(B69,[1]LifeList!$E$2:$I$2036,5)</f>
        <v>Parulidae (New World Warblers)</v>
      </c>
    </row>
    <row r="70" spans="1:8" x14ac:dyDescent="0.15">
      <c r="A70" s="3" t="s">
        <v>62</v>
      </c>
      <c r="B70" s="3" t="s">
        <v>3983</v>
      </c>
      <c r="C70" s="3">
        <v>34058</v>
      </c>
      <c r="D70" s="3" t="str">
        <f>VLOOKUP(B70,[1]LifeList!$E$2:$G$2036,1)</f>
        <v>American Redstart</v>
      </c>
      <c r="E70" s="3" t="str">
        <f>VLOOKUP(B70,[1]LifeList!$E$2:$G$2036,2)</f>
        <v>Paruline flamboyante</v>
      </c>
      <c r="F70" s="3" t="str">
        <f>VLOOKUP(B70,[1]LifeList!$E$2:$G$2036,3)</f>
        <v>Setophaga ruticilla</v>
      </c>
      <c r="G70" s="3" t="str">
        <f>VLOOKUP(B70,[1]LifeList!$E$2:$I$2036,4)</f>
        <v>Passeriformes</v>
      </c>
      <c r="H70" s="3" t="str">
        <f>VLOOKUP(B70,[1]LifeList!$E$2:$I$2036,5)</f>
        <v>Parulidae (New World Warblers)</v>
      </c>
    </row>
    <row r="71" spans="1:8" x14ac:dyDescent="0.15">
      <c r="A71" s="3" t="s">
        <v>63</v>
      </c>
      <c r="B71" s="3" t="s">
        <v>3983</v>
      </c>
      <c r="C71" s="3">
        <v>34058</v>
      </c>
      <c r="D71" s="3" t="str">
        <f>VLOOKUP(B71,[1]LifeList!$E$2:$G$2036,1)</f>
        <v>American Redstart</v>
      </c>
      <c r="E71" s="3" t="str">
        <f>VLOOKUP(B71,[1]LifeList!$E$2:$G$2036,2)</f>
        <v>Paruline flamboyante</v>
      </c>
      <c r="F71" s="3" t="str">
        <f>VLOOKUP(B71,[1]LifeList!$E$2:$G$2036,3)</f>
        <v>Setophaga ruticilla</v>
      </c>
      <c r="G71" s="3" t="str">
        <f>VLOOKUP(B71,[1]LifeList!$E$2:$I$2036,4)</f>
        <v>Passeriformes</v>
      </c>
      <c r="H71" s="3" t="str">
        <f>VLOOKUP(B71,[1]LifeList!$E$2:$I$2036,5)</f>
        <v>Parulidae (New World Warblers)</v>
      </c>
    </row>
    <row r="72" spans="1:8" x14ac:dyDescent="0.15">
      <c r="A72" s="3" t="s">
        <v>64</v>
      </c>
      <c r="B72" s="3" t="s">
        <v>3983</v>
      </c>
      <c r="C72" s="3">
        <v>34058</v>
      </c>
      <c r="D72" s="3" t="str">
        <f>VLOOKUP(B72,[1]LifeList!$E$2:$G$2036,1)</f>
        <v>American Redstart</v>
      </c>
      <c r="E72" s="3" t="str">
        <f>VLOOKUP(B72,[1]LifeList!$E$2:$G$2036,2)</f>
        <v>Paruline flamboyante</v>
      </c>
      <c r="F72" s="3" t="str">
        <f>VLOOKUP(B72,[1]LifeList!$E$2:$G$2036,3)</f>
        <v>Setophaga ruticilla</v>
      </c>
      <c r="G72" s="3" t="str">
        <f>VLOOKUP(B72,[1]LifeList!$E$2:$I$2036,4)</f>
        <v>Passeriformes</v>
      </c>
      <c r="H72" s="3" t="str">
        <f>VLOOKUP(B72,[1]LifeList!$E$2:$I$2036,5)</f>
        <v>Parulidae (New World Warblers)</v>
      </c>
    </row>
    <row r="73" spans="1:8" x14ac:dyDescent="0.15">
      <c r="A73" s="3" t="s">
        <v>65</v>
      </c>
      <c r="B73" s="3" t="s">
        <v>3983</v>
      </c>
      <c r="C73" s="3">
        <v>34058</v>
      </c>
      <c r="D73" s="3" t="str">
        <f>VLOOKUP(B73,[1]LifeList!$E$2:$G$2036,1)</f>
        <v>American Redstart</v>
      </c>
      <c r="E73" s="3" t="str">
        <f>VLOOKUP(B73,[1]LifeList!$E$2:$G$2036,2)</f>
        <v>Paruline flamboyante</v>
      </c>
      <c r="F73" s="3" t="str">
        <f>VLOOKUP(B73,[1]LifeList!$E$2:$G$2036,3)</f>
        <v>Setophaga ruticilla</v>
      </c>
      <c r="G73" s="3" t="str">
        <f>VLOOKUP(B73,[1]LifeList!$E$2:$I$2036,4)</f>
        <v>Passeriformes</v>
      </c>
      <c r="H73" s="3" t="str">
        <f>VLOOKUP(B73,[1]LifeList!$E$2:$I$2036,5)</f>
        <v>Parulidae (New World Warblers)</v>
      </c>
    </row>
    <row r="74" spans="1:8" x14ac:dyDescent="0.15">
      <c r="A74" s="3" t="s">
        <v>66</v>
      </c>
      <c r="B74" s="3" t="s">
        <v>3983</v>
      </c>
      <c r="C74" s="3">
        <v>34058</v>
      </c>
      <c r="D74" s="3" t="str">
        <f>VLOOKUP(B74,[1]LifeList!$E$2:$G$2036,1)</f>
        <v>American Redstart</v>
      </c>
      <c r="E74" s="3" t="str">
        <f>VLOOKUP(B74,[1]LifeList!$E$2:$G$2036,2)</f>
        <v>Paruline flamboyante</v>
      </c>
      <c r="F74" s="3" t="str">
        <f>VLOOKUP(B74,[1]LifeList!$E$2:$G$2036,3)</f>
        <v>Setophaga ruticilla</v>
      </c>
      <c r="G74" s="3" t="str">
        <f>VLOOKUP(B74,[1]LifeList!$E$2:$I$2036,4)</f>
        <v>Passeriformes</v>
      </c>
      <c r="H74" s="3" t="str">
        <f>VLOOKUP(B74,[1]LifeList!$E$2:$I$2036,5)</f>
        <v>Parulidae (New World Warblers)</v>
      </c>
    </row>
    <row r="75" spans="1:8" x14ac:dyDescent="0.15">
      <c r="A75" s="3" t="s">
        <v>67</v>
      </c>
      <c r="B75" s="3" t="s">
        <v>3984</v>
      </c>
      <c r="C75" s="3">
        <v>28633</v>
      </c>
      <c r="D75" s="3" t="str">
        <f>VLOOKUP(B75,[1]LifeList!$E$2:$G$2036,1)</f>
        <v>American Robin</v>
      </c>
      <c r="E75" s="3" t="str">
        <f>VLOOKUP(B75,[1]LifeList!$E$2:$G$2036,2)</f>
        <v>Merle d'Amérique</v>
      </c>
      <c r="F75" s="3" t="str">
        <f>VLOOKUP(B75,[1]LifeList!$E$2:$G$2036,3)</f>
        <v>Turdus migratorius</v>
      </c>
      <c r="G75" s="3" t="str">
        <f>VLOOKUP(B75,[1]LifeList!$E$2:$I$2036,4)</f>
        <v>Passeriformes</v>
      </c>
      <c r="H75" s="3" t="str">
        <f>VLOOKUP(B75,[1]LifeList!$E$2:$I$2036,5)</f>
        <v>Turdidae (Thrushes and Allies)</v>
      </c>
    </row>
    <row r="76" spans="1:8" x14ac:dyDescent="0.15">
      <c r="A76" s="3" t="s">
        <v>68</v>
      </c>
      <c r="B76" s="3" t="s">
        <v>3738</v>
      </c>
      <c r="C76" s="3">
        <v>11216</v>
      </c>
      <c r="D76" s="3" t="str">
        <f>VLOOKUP(B76,[1]LifeList!$E$2:$G$2036,1)</f>
        <v>American Three-toed Woodpecker</v>
      </c>
      <c r="E76" s="3" t="str">
        <f>VLOOKUP(B76,[1]LifeList!$E$2:$G$2036,2)</f>
        <v>Pic à dos rayé</v>
      </c>
      <c r="F76" s="3" t="str">
        <f>VLOOKUP(B76,[1]LifeList!$E$2:$G$2036,3)</f>
        <v>Picoides dorsalis</v>
      </c>
      <c r="G76" s="3" t="str">
        <f>VLOOKUP(B76,[1]LifeList!$E$2:$I$2036,4)</f>
        <v>Piciformes</v>
      </c>
      <c r="H76" s="3" t="str">
        <f>VLOOKUP(B76,[1]LifeList!$E$2:$I$2036,5)</f>
        <v>Picidae (Woodpeckers)</v>
      </c>
    </row>
    <row r="77" spans="1:8" x14ac:dyDescent="0.15">
      <c r="A77" s="3" t="s">
        <v>69</v>
      </c>
      <c r="B77" s="3" t="s">
        <v>3739</v>
      </c>
      <c r="C77" s="3">
        <v>33095</v>
      </c>
      <c r="D77" s="3" t="str">
        <f>VLOOKUP(B77,[1]LifeList!$E$2:$G$2036,1)</f>
        <v>American Tree Sparrow</v>
      </c>
      <c r="E77" s="3" t="str">
        <f>VLOOKUP(B77,[1]LifeList!$E$2:$G$2036,2)</f>
        <v>Bruant hudsonien</v>
      </c>
      <c r="F77" s="3" t="str">
        <f>VLOOKUP(B77,[1]LifeList!$E$2:$G$2036,3)</f>
        <v>Spizelloides arborea</v>
      </c>
      <c r="G77" s="3" t="str">
        <f>VLOOKUP(B77,[1]LifeList!$E$2:$I$2036,4)</f>
        <v>Passeriformes</v>
      </c>
      <c r="H77" s="3" t="str">
        <f>VLOOKUP(B77,[1]LifeList!$E$2:$I$2036,5)</f>
        <v>Passerellidae (New World Sparrows)</v>
      </c>
    </row>
    <row r="78" spans="1:8" x14ac:dyDescent="0.15">
      <c r="A78" s="3" t="s">
        <v>70</v>
      </c>
      <c r="B78" s="3" t="s">
        <v>3739</v>
      </c>
      <c r="C78" s="3">
        <v>33095</v>
      </c>
      <c r="D78" s="3" t="str">
        <f>VLOOKUP(B78,[1]LifeList!$E$2:$G$2036,1)</f>
        <v>American Tree Sparrow</v>
      </c>
      <c r="E78" s="3" t="str">
        <f>VLOOKUP(B78,[1]LifeList!$E$2:$G$2036,2)</f>
        <v>Bruant hudsonien</v>
      </c>
      <c r="F78" s="3" t="str">
        <f>VLOOKUP(B78,[1]LifeList!$E$2:$G$2036,3)</f>
        <v>Spizelloides arborea</v>
      </c>
      <c r="G78" s="3" t="str">
        <f>VLOOKUP(B78,[1]LifeList!$E$2:$I$2036,4)</f>
        <v>Passeriformes</v>
      </c>
      <c r="H78" s="3" t="str">
        <f>VLOOKUP(B78,[1]LifeList!$E$2:$I$2036,5)</f>
        <v>Passerellidae (New World Sparrows)</v>
      </c>
    </row>
    <row r="79" spans="1:8" x14ac:dyDescent="0.15">
      <c r="A79" s="3" t="s">
        <v>71</v>
      </c>
      <c r="B79" s="3" t="s">
        <v>3739</v>
      </c>
      <c r="C79" s="3">
        <v>33095</v>
      </c>
      <c r="D79" s="3" t="str">
        <f>VLOOKUP(B79,[1]LifeList!$E$2:$G$2036,1)</f>
        <v>American Tree Sparrow</v>
      </c>
      <c r="E79" s="3" t="str">
        <f>VLOOKUP(B79,[1]LifeList!$E$2:$G$2036,2)</f>
        <v>Bruant hudsonien</v>
      </c>
      <c r="F79" s="3" t="str">
        <f>VLOOKUP(B79,[1]LifeList!$E$2:$G$2036,3)</f>
        <v>Spizelloides arborea</v>
      </c>
      <c r="G79" s="3" t="str">
        <f>VLOOKUP(B79,[1]LifeList!$E$2:$I$2036,4)</f>
        <v>Passeriformes</v>
      </c>
      <c r="H79" s="3" t="str">
        <f>VLOOKUP(B79,[1]LifeList!$E$2:$I$2036,5)</f>
        <v>Passerellidae (New World Sparrows)</v>
      </c>
    </row>
    <row r="80" spans="1:8" x14ac:dyDescent="0.15">
      <c r="A80" s="3" t="s">
        <v>72</v>
      </c>
      <c r="B80" s="3" t="s">
        <v>3740</v>
      </c>
      <c r="C80" s="3">
        <v>7791</v>
      </c>
      <c r="D80" s="3" t="str">
        <f>VLOOKUP(B80,[1]LifeList!$E$2:$G$2036,1)</f>
        <v>American White Pelican</v>
      </c>
      <c r="E80" s="3" t="str">
        <f>VLOOKUP(B80,[1]LifeList!$E$2:$G$2036,2)</f>
        <v>Pélican d'Amérique</v>
      </c>
      <c r="F80" s="3" t="str">
        <f>VLOOKUP(B80,[1]LifeList!$E$2:$G$2036,3)</f>
        <v>Pelecanus erythrorhynchos</v>
      </c>
      <c r="G80" s="3" t="str">
        <f>VLOOKUP(B80,[1]LifeList!$E$2:$I$2036,4)</f>
        <v>Pelecaniformes</v>
      </c>
      <c r="H80" s="3" t="str">
        <f>VLOOKUP(B80,[1]LifeList!$E$2:$I$2036,5)</f>
        <v>Pelecanidae (Pelicans)</v>
      </c>
    </row>
    <row r="81" spans="1:8" x14ac:dyDescent="0.15">
      <c r="A81" s="3" t="s">
        <v>73</v>
      </c>
      <c r="B81" s="3" t="s">
        <v>3740</v>
      </c>
      <c r="C81" s="3">
        <v>7791</v>
      </c>
      <c r="D81" s="3" t="str">
        <f>VLOOKUP(B81,[1]LifeList!$E$2:$G$2036,1)</f>
        <v>American White Pelican</v>
      </c>
      <c r="E81" s="3" t="str">
        <f>VLOOKUP(B81,[1]LifeList!$E$2:$G$2036,2)</f>
        <v>Pélican d'Amérique</v>
      </c>
      <c r="F81" s="3" t="str">
        <f>VLOOKUP(B81,[1]LifeList!$E$2:$G$2036,3)</f>
        <v>Pelecanus erythrorhynchos</v>
      </c>
      <c r="G81" s="3" t="str">
        <f>VLOOKUP(B81,[1]LifeList!$E$2:$I$2036,4)</f>
        <v>Pelecaniformes</v>
      </c>
      <c r="H81" s="3" t="str">
        <f>VLOOKUP(B81,[1]LifeList!$E$2:$I$2036,5)</f>
        <v>Pelecanidae (Pelicans)</v>
      </c>
    </row>
    <row r="82" spans="1:8" x14ac:dyDescent="0.15">
      <c r="A82" s="3" t="s">
        <v>74</v>
      </c>
      <c r="B82" s="3" t="s">
        <v>3740</v>
      </c>
      <c r="C82" s="3">
        <v>7791</v>
      </c>
      <c r="D82" s="3" t="str">
        <f>VLOOKUP(B82,[1]LifeList!$E$2:$G$2036,1)</f>
        <v>American White Pelican</v>
      </c>
      <c r="E82" s="3" t="str">
        <f>VLOOKUP(B82,[1]LifeList!$E$2:$G$2036,2)</f>
        <v>Pélican d'Amérique</v>
      </c>
      <c r="F82" s="3" t="str">
        <f>VLOOKUP(B82,[1]LifeList!$E$2:$G$2036,3)</f>
        <v>Pelecanus erythrorhynchos</v>
      </c>
      <c r="G82" s="3" t="str">
        <f>VLOOKUP(B82,[1]LifeList!$E$2:$I$2036,4)</f>
        <v>Pelecaniformes</v>
      </c>
      <c r="H82" s="3" t="str">
        <f>VLOOKUP(B82,[1]LifeList!$E$2:$I$2036,5)</f>
        <v>Pelecanidae (Pelicans)</v>
      </c>
    </row>
    <row r="83" spans="1:8" x14ac:dyDescent="0.15">
      <c r="A83" s="3" t="s">
        <v>75</v>
      </c>
      <c r="B83" s="3" t="s">
        <v>3985</v>
      </c>
      <c r="C83" s="3">
        <v>517</v>
      </c>
      <c r="D83" s="3" t="str">
        <f>VLOOKUP(B83,[1]LifeList!$E$2:$G$2036,1)</f>
        <v>American Wigeon</v>
      </c>
      <c r="E83" s="3" t="str">
        <f>VLOOKUP(B83,[1]LifeList!$E$2:$G$2036,2)</f>
        <v>Canard d'Amérique</v>
      </c>
      <c r="F83" s="3" t="str">
        <f>VLOOKUP(B83,[1]LifeList!$E$2:$G$2036,3)</f>
        <v>Mareca americana</v>
      </c>
      <c r="G83" s="3" t="str">
        <f>VLOOKUP(B83,[1]LifeList!$E$2:$I$2036,4)</f>
        <v>Anseriformes</v>
      </c>
      <c r="H83" s="3" t="str">
        <f>VLOOKUP(B83,[1]LifeList!$E$2:$I$2036,5)</f>
        <v>Anatidae (Ducks, Geese, and Waterfowl)</v>
      </c>
    </row>
    <row r="84" spans="1:8" x14ac:dyDescent="0.15">
      <c r="A84" s="3" t="s">
        <v>76</v>
      </c>
      <c r="B84" s="3" t="s">
        <v>3985</v>
      </c>
      <c r="C84" s="3">
        <v>517</v>
      </c>
      <c r="D84" s="3" t="str">
        <f>VLOOKUP(B84,[1]LifeList!$E$2:$G$2036,1)</f>
        <v>American Wigeon</v>
      </c>
      <c r="E84" s="3" t="str">
        <f>VLOOKUP(B84,[1]LifeList!$E$2:$G$2036,2)</f>
        <v>Canard d'Amérique</v>
      </c>
      <c r="F84" s="3" t="str">
        <f>VLOOKUP(B84,[1]LifeList!$E$2:$G$2036,3)</f>
        <v>Mareca americana</v>
      </c>
      <c r="G84" s="3" t="str">
        <f>VLOOKUP(B84,[1]LifeList!$E$2:$I$2036,4)</f>
        <v>Anseriformes</v>
      </c>
      <c r="H84" s="3" t="str">
        <f>VLOOKUP(B84,[1]LifeList!$E$2:$I$2036,5)</f>
        <v>Anatidae (Ducks, Geese, and Waterfowl)</v>
      </c>
    </row>
    <row r="85" spans="1:8" x14ac:dyDescent="0.15">
      <c r="A85" s="3" t="s">
        <v>77</v>
      </c>
      <c r="B85" s="3" t="s">
        <v>3985</v>
      </c>
      <c r="C85" s="3">
        <v>517</v>
      </c>
      <c r="D85" s="3" t="str">
        <f>VLOOKUP(B85,[1]LifeList!$E$2:$G$2036,1)</f>
        <v>American Wigeon</v>
      </c>
      <c r="E85" s="3" t="str">
        <f>VLOOKUP(B85,[1]LifeList!$E$2:$G$2036,2)</f>
        <v>Canard d'Amérique</v>
      </c>
      <c r="F85" s="3" t="str">
        <f>VLOOKUP(B85,[1]LifeList!$E$2:$G$2036,3)</f>
        <v>Mareca americana</v>
      </c>
      <c r="G85" s="3" t="str">
        <f>VLOOKUP(B85,[1]LifeList!$E$2:$I$2036,4)</f>
        <v>Anseriformes</v>
      </c>
      <c r="H85" s="3" t="str">
        <f>VLOOKUP(B85,[1]LifeList!$E$2:$I$2036,5)</f>
        <v>Anatidae (Ducks, Geese, and Waterfowl)</v>
      </c>
    </row>
    <row r="86" spans="1:8" x14ac:dyDescent="0.15">
      <c r="A86" s="3" t="s">
        <v>79</v>
      </c>
      <c r="B86" s="3" t="s">
        <v>3986</v>
      </c>
      <c r="C86" s="3">
        <v>15900</v>
      </c>
      <c r="D86" s="3" t="str">
        <f>VLOOKUP(B86,[1]LifeList!$E$2:$G$2036,1)</f>
        <v>Andean Cock-of-the-rock</v>
      </c>
      <c r="E86" s="3" t="str">
        <f>VLOOKUP(B86,[1]LifeList!$E$2:$G$2036,2)</f>
        <v>Coq-de-roche péruvien</v>
      </c>
      <c r="F86" s="3" t="str">
        <f>VLOOKUP(B86,[1]LifeList!$E$2:$G$2036,3)</f>
        <v>Rupicola peruvianus</v>
      </c>
      <c r="G86" s="3" t="str">
        <f>VLOOKUP(B86,[1]LifeList!$E$2:$I$2036,4)</f>
        <v>Passeriformes</v>
      </c>
      <c r="H86" s="3" t="str">
        <f>VLOOKUP(B86,[1]LifeList!$E$2:$I$2036,5)</f>
        <v>Cotingidae (Cotingas)</v>
      </c>
    </row>
    <row r="87" spans="1:8" x14ac:dyDescent="0.15">
      <c r="A87" s="3" t="s">
        <v>80</v>
      </c>
      <c r="B87" s="3" t="s">
        <v>3987</v>
      </c>
      <c r="C87" s="3">
        <v>7810</v>
      </c>
      <c r="D87" s="3" t="str">
        <f>VLOOKUP(B87,[1]LifeList!$E$2:$G$2036,1)</f>
        <v>Andean Condor</v>
      </c>
      <c r="E87" s="3" t="str">
        <f>VLOOKUP(B87,[1]LifeList!$E$2:$G$2036,2)</f>
        <v>Condor des Andes</v>
      </c>
      <c r="F87" s="3" t="str">
        <f>VLOOKUP(B87,[1]LifeList!$E$2:$G$2036,3)</f>
        <v>Vultur gryphus</v>
      </c>
      <c r="G87" s="3" t="str">
        <f>VLOOKUP(B87,[1]LifeList!$E$2:$I$2036,4)</f>
        <v>Cathartiformes</v>
      </c>
      <c r="H87" s="3" t="str">
        <f>VLOOKUP(B87,[1]LifeList!$E$2:$I$2036,5)</f>
        <v>Cathartidae (New World Vultures)</v>
      </c>
    </row>
    <row r="88" spans="1:8" x14ac:dyDescent="0.15">
      <c r="A88" s="3" t="s">
        <v>81</v>
      </c>
      <c r="B88" s="3" t="s">
        <v>3987</v>
      </c>
      <c r="C88" s="3">
        <v>7810</v>
      </c>
      <c r="D88" s="3" t="str">
        <f>VLOOKUP(B88,[1]LifeList!$E$2:$G$2036,1)</f>
        <v>Andean Condor</v>
      </c>
      <c r="E88" s="3" t="str">
        <f>VLOOKUP(B88,[1]LifeList!$E$2:$G$2036,2)</f>
        <v>Condor des Andes</v>
      </c>
      <c r="F88" s="3" t="str">
        <f>VLOOKUP(B88,[1]LifeList!$E$2:$G$2036,3)</f>
        <v>Vultur gryphus</v>
      </c>
      <c r="G88" s="3" t="str">
        <f>VLOOKUP(B88,[1]LifeList!$E$2:$I$2036,4)</f>
        <v>Cathartiformes</v>
      </c>
      <c r="H88" s="3" t="str">
        <f>VLOOKUP(B88,[1]LifeList!$E$2:$I$2036,5)</f>
        <v>Cathartidae (New World Vultures)</v>
      </c>
    </row>
    <row r="89" spans="1:8" x14ac:dyDescent="0.15">
      <c r="A89" s="3" t="s">
        <v>82</v>
      </c>
      <c r="B89" s="3" t="s">
        <v>3988</v>
      </c>
      <c r="C89" s="3">
        <v>780</v>
      </c>
      <c r="D89" s="3" t="str">
        <f>VLOOKUP(B89,[1]LifeList!$E$2:$G$2036,1)</f>
        <v>Andean Duck</v>
      </c>
      <c r="E89" s="3" t="str">
        <f>VLOOKUP(B89,[1]LifeList!$E$2:$G$2036,2)</f>
        <v>Érismature des Andes</v>
      </c>
      <c r="F89" s="3" t="str">
        <f>VLOOKUP(B89,[1]LifeList!$E$2:$G$2036,3)</f>
        <v>Oxyura ferruginea</v>
      </c>
      <c r="G89" s="3" t="str">
        <f>VLOOKUP(B89,[1]LifeList!$E$2:$I$2036,4)</f>
        <v>Anseriformes</v>
      </c>
      <c r="H89" s="3" t="str">
        <f>VLOOKUP(B89,[1]LifeList!$E$2:$I$2036,5)</f>
        <v>Anatidae (Ducks, Geese, and Waterfowl)</v>
      </c>
    </row>
    <row r="90" spans="1:8" x14ac:dyDescent="0.15">
      <c r="A90" s="3" t="s">
        <v>83</v>
      </c>
      <c r="B90" s="3" t="s">
        <v>3989</v>
      </c>
      <c r="C90" s="3">
        <v>5130</v>
      </c>
      <c r="D90" s="3" t="str">
        <f>VLOOKUP(B90,[1]LifeList!$E$2:$G$2036,1)</f>
        <v>Andean Emerald</v>
      </c>
      <c r="E90" s="3" t="str">
        <f>VLOOKUP(B90,[1]LifeList!$E$2:$G$2036,2)</f>
        <v>Ariane de Francia</v>
      </c>
      <c r="F90" s="3" t="str">
        <f>VLOOKUP(B90,[1]LifeList!$E$2:$G$2036,3)</f>
        <v>Uranomitra franciae</v>
      </c>
      <c r="G90" s="3" t="str">
        <f>VLOOKUP(B90,[1]LifeList!$E$2:$I$2036,4)</f>
        <v>Apodiformes</v>
      </c>
      <c r="H90" s="3" t="str">
        <f>VLOOKUP(B90,[1]LifeList!$E$2:$I$2036,5)</f>
        <v>Trochilidae (Hummingbirds)</v>
      </c>
    </row>
    <row r="91" spans="1:8" x14ac:dyDescent="0.15">
      <c r="A91" s="3" t="s">
        <v>84</v>
      </c>
      <c r="B91" s="3" t="s">
        <v>3989</v>
      </c>
      <c r="C91" s="3">
        <v>5130</v>
      </c>
      <c r="D91" s="3" t="str">
        <f>VLOOKUP(B91,[1]LifeList!$E$2:$G$2036,1)</f>
        <v>Andean Emerald</v>
      </c>
      <c r="E91" s="3" t="str">
        <f>VLOOKUP(B91,[1]LifeList!$E$2:$G$2036,2)</f>
        <v>Ariane de Francia</v>
      </c>
      <c r="F91" s="3" t="str">
        <f>VLOOKUP(B91,[1]LifeList!$E$2:$G$2036,3)</f>
        <v>Uranomitra franciae</v>
      </c>
      <c r="G91" s="3" t="str">
        <f>VLOOKUP(B91,[1]LifeList!$E$2:$I$2036,4)</f>
        <v>Apodiformes</v>
      </c>
      <c r="H91" s="3" t="str">
        <f>VLOOKUP(B91,[1]LifeList!$E$2:$I$2036,5)</f>
        <v>Trochilidae (Hummingbirds)</v>
      </c>
    </row>
    <row r="92" spans="1:8" x14ac:dyDescent="0.15">
      <c r="A92" s="3" t="s">
        <v>85</v>
      </c>
      <c r="B92" s="3" t="s">
        <v>3990</v>
      </c>
      <c r="C92" s="3">
        <v>6470</v>
      </c>
      <c r="D92" s="3" t="str">
        <f>VLOOKUP(B92,[1]LifeList!$E$2:$G$2036,1)</f>
        <v>Andean Gull</v>
      </c>
      <c r="E92" s="3" t="str">
        <f>VLOOKUP(B92,[1]LifeList!$E$2:$G$2036,2)</f>
        <v>Mouette des Andes</v>
      </c>
      <c r="F92" s="3" t="str">
        <f>VLOOKUP(B92,[1]LifeList!$E$2:$G$2036,3)</f>
        <v>Chroicocephalus serranus</v>
      </c>
      <c r="G92" s="3" t="str">
        <f>VLOOKUP(B92,[1]LifeList!$E$2:$I$2036,4)</f>
        <v>Charadriiformes</v>
      </c>
      <c r="H92" s="3" t="str">
        <f>VLOOKUP(B92,[1]LifeList!$E$2:$I$2036,5)</f>
        <v>Laridae (Gulls, Terns, and Skimmers)</v>
      </c>
    </row>
    <row r="93" spans="1:8" x14ac:dyDescent="0.15">
      <c r="A93" s="3" t="s">
        <v>86</v>
      </c>
      <c r="B93" s="3" t="s">
        <v>3990</v>
      </c>
      <c r="C93" s="3">
        <v>6470</v>
      </c>
      <c r="D93" s="3" t="str">
        <f>VLOOKUP(B93,[1]LifeList!$E$2:$G$2036,1)</f>
        <v>Andean Gull</v>
      </c>
      <c r="E93" s="3" t="str">
        <f>VLOOKUP(B93,[1]LifeList!$E$2:$G$2036,2)</f>
        <v>Mouette des Andes</v>
      </c>
      <c r="F93" s="3" t="str">
        <f>VLOOKUP(B93,[1]LifeList!$E$2:$G$2036,3)</f>
        <v>Chroicocephalus serranus</v>
      </c>
      <c r="G93" s="3" t="str">
        <f>VLOOKUP(B93,[1]LifeList!$E$2:$I$2036,4)</f>
        <v>Charadriiformes</v>
      </c>
      <c r="H93" s="3" t="str">
        <f>VLOOKUP(B93,[1]LifeList!$E$2:$I$2036,5)</f>
        <v>Laridae (Gulls, Terns, and Skimmers)</v>
      </c>
    </row>
    <row r="94" spans="1:8" x14ac:dyDescent="0.15">
      <c r="A94" s="3" t="s">
        <v>87</v>
      </c>
      <c r="B94" s="3" t="s">
        <v>3991</v>
      </c>
      <c r="C94" s="3">
        <v>7488</v>
      </c>
      <c r="D94" s="3" t="str">
        <f>VLOOKUP(B94,[1]LifeList!$E$2:$G$2036,1)</f>
        <v>Andean Ibis</v>
      </c>
      <c r="E94" s="3" t="str">
        <f>VLOOKUP(B94,[1]LifeList!$E$2:$G$2036,2)</f>
        <v>Ibis des Andes</v>
      </c>
      <c r="F94" s="3" t="str">
        <f>VLOOKUP(B94,[1]LifeList!$E$2:$G$2036,3)</f>
        <v>Theristicus branickii</v>
      </c>
      <c r="G94" s="3" t="str">
        <f>VLOOKUP(B94,[1]LifeList!$E$2:$I$2036,4)</f>
        <v>Pelecaniformes</v>
      </c>
      <c r="H94" s="3" t="str">
        <f>VLOOKUP(B94,[1]LifeList!$E$2:$I$2036,5)</f>
        <v>Threskiornithidae (Ibises and Spoonbills)</v>
      </c>
    </row>
    <row r="95" spans="1:8" x14ac:dyDescent="0.15">
      <c r="A95" s="3" t="s">
        <v>88</v>
      </c>
      <c r="B95" s="3" t="s">
        <v>3992</v>
      </c>
      <c r="C95" s="3">
        <v>9880</v>
      </c>
      <c r="D95" s="3" t="str">
        <f>VLOOKUP(B95,[1]LifeList!$E$2:$G$2036,1)</f>
        <v>Andean Motmot</v>
      </c>
      <c r="E95" s="3" t="str">
        <f>VLOOKUP(B95,[1]LifeList!$E$2:$G$2036,2)</f>
        <v>Motmot d'Équateur</v>
      </c>
      <c r="F95" s="3" t="str">
        <f>VLOOKUP(B95,[1]LifeList!$E$2:$G$2036,3)</f>
        <v>Momotus aequatorialis</v>
      </c>
      <c r="G95" s="3" t="str">
        <f>VLOOKUP(B95,[1]LifeList!$E$2:$I$2036,4)</f>
        <v>Coraciiformes</v>
      </c>
      <c r="H95" s="3" t="str">
        <f>VLOOKUP(B95,[1]LifeList!$E$2:$I$2036,5)</f>
        <v>Momotidae (Motmots)</v>
      </c>
    </row>
    <row r="96" spans="1:8" x14ac:dyDescent="0.15">
      <c r="A96" s="3" t="s">
        <v>89</v>
      </c>
      <c r="B96" s="3" t="s">
        <v>3992</v>
      </c>
      <c r="C96" s="3">
        <v>9880</v>
      </c>
      <c r="D96" s="3" t="str">
        <f>VLOOKUP(B96,[1]LifeList!$E$2:$G$2036,1)</f>
        <v>Andean Motmot</v>
      </c>
      <c r="E96" s="3" t="str">
        <f>VLOOKUP(B96,[1]LifeList!$E$2:$G$2036,2)</f>
        <v>Motmot d'Équateur</v>
      </c>
      <c r="F96" s="3" t="str">
        <f>VLOOKUP(B96,[1]LifeList!$E$2:$G$2036,3)</f>
        <v>Momotus aequatorialis</v>
      </c>
      <c r="G96" s="3" t="str">
        <f>VLOOKUP(B96,[1]LifeList!$E$2:$I$2036,4)</f>
        <v>Coraciiformes</v>
      </c>
      <c r="H96" s="3" t="str">
        <f>VLOOKUP(B96,[1]LifeList!$E$2:$I$2036,5)</f>
        <v>Momotidae (Motmots)</v>
      </c>
    </row>
    <row r="97" spans="1:8" x14ac:dyDescent="0.15">
      <c r="A97" s="3" t="s">
        <v>90</v>
      </c>
      <c r="B97" s="3" t="s">
        <v>3993</v>
      </c>
      <c r="C97" s="3">
        <v>9022</v>
      </c>
      <c r="D97" s="3" t="str">
        <f>VLOOKUP(B97,[1]LifeList!$E$2:$G$2036,1)</f>
        <v>Andean Pygmy-Owl</v>
      </c>
      <c r="E97" s="3" t="str">
        <f>VLOOKUP(B97,[1]LifeList!$E$2:$G$2036,2)</f>
        <v>Chevêchette des Andes</v>
      </c>
      <c r="F97" s="3" t="str">
        <f>VLOOKUP(B97,[1]LifeList!$E$2:$G$2036,3)</f>
        <v>Glaucidium jardinii</v>
      </c>
      <c r="G97" s="3" t="str">
        <f>VLOOKUP(B97,[1]LifeList!$E$2:$I$2036,4)</f>
        <v>Strigiformes</v>
      </c>
      <c r="H97" s="3" t="str">
        <f>VLOOKUP(B97,[1]LifeList!$E$2:$I$2036,5)</f>
        <v>Strigidae (Owls)</v>
      </c>
    </row>
    <row r="98" spans="1:8" x14ac:dyDescent="0.15">
      <c r="A98" s="3" t="s">
        <v>91</v>
      </c>
      <c r="B98" s="3" t="s">
        <v>3994</v>
      </c>
      <c r="C98" s="3">
        <v>15336</v>
      </c>
      <c r="D98" s="3" t="str">
        <f>VLOOKUP(B98,[1]LifeList!$E$2:$G$2036,1)</f>
        <v>Andean Tit-Spinetail</v>
      </c>
      <c r="E98" s="3" t="str">
        <f>VLOOKUP(B98,[1]LifeList!$E$2:$G$2036,2)</f>
        <v>Synallaxe des Andes</v>
      </c>
      <c r="F98" s="3" t="str">
        <f>VLOOKUP(B98,[1]LifeList!$E$2:$G$2036,3)</f>
        <v>Leptasthenura andicola</v>
      </c>
      <c r="G98" s="3" t="str">
        <f>VLOOKUP(B98,[1]LifeList!$E$2:$I$2036,4)</f>
        <v>Passeriformes</v>
      </c>
      <c r="H98" s="3" t="str">
        <f>VLOOKUP(B98,[1]LifeList!$E$2:$I$2036,5)</f>
        <v>Furnariidae (Ovenbirds and Woodcreepers)</v>
      </c>
    </row>
    <row r="99" spans="1:8" x14ac:dyDescent="0.15">
      <c r="A99" s="3" t="s">
        <v>92</v>
      </c>
      <c r="B99" s="3" t="s">
        <v>3995</v>
      </c>
      <c r="C99" s="3">
        <v>7367</v>
      </c>
      <c r="D99" s="3" t="str">
        <f>VLOOKUP(B99,[1]LifeList!$E$2:$G$2036,1)</f>
        <v>Anhinga</v>
      </c>
      <c r="E99" s="3" t="str">
        <f>VLOOKUP(B99,[1]LifeList!$E$2:$G$2036,2)</f>
        <v>Anhinga d'Amérique</v>
      </c>
      <c r="F99" s="3" t="str">
        <f>VLOOKUP(B99,[1]LifeList!$E$2:$G$2036,3)</f>
        <v>Anhinga anhinga</v>
      </c>
      <c r="G99" s="3" t="str">
        <f>VLOOKUP(B99,[1]LifeList!$E$2:$I$2036,4)</f>
        <v>Suliformes</v>
      </c>
      <c r="H99" s="3" t="str">
        <f>VLOOKUP(B99,[1]LifeList!$E$2:$I$2036,5)</f>
        <v>Anhingidae (Anhingas)</v>
      </c>
    </row>
    <row r="100" spans="1:8" x14ac:dyDescent="0.15">
      <c r="A100" s="3" t="s">
        <v>93</v>
      </c>
      <c r="B100" s="3" t="s">
        <v>3995</v>
      </c>
      <c r="C100" s="3">
        <v>7367</v>
      </c>
      <c r="D100" s="3" t="str">
        <f>VLOOKUP(B100,[1]LifeList!$E$2:$G$2036,1)</f>
        <v>Anhinga</v>
      </c>
      <c r="E100" s="3" t="str">
        <f>VLOOKUP(B100,[1]LifeList!$E$2:$G$2036,2)</f>
        <v>Anhinga d'Amérique</v>
      </c>
      <c r="F100" s="3" t="str">
        <f>VLOOKUP(B100,[1]LifeList!$E$2:$G$2036,3)</f>
        <v>Anhinga anhinga</v>
      </c>
      <c r="G100" s="3" t="str">
        <f>VLOOKUP(B100,[1]LifeList!$E$2:$I$2036,4)</f>
        <v>Suliformes</v>
      </c>
      <c r="H100" s="3" t="str">
        <f>VLOOKUP(B100,[1]LifeList!$E$2:$I$2036,5)</f>
        <v>Anhingidae (Anhingas)</v>
      </c>
    </row>
    <row r="101" spans="1:8" x14ac:dyDescent="0.15">
      <c r="A101" s="3" t="s">
        <v>94</v>
      </c>
      <c r="B101" s="3" t="s">
        <v>3995</v>
      </c>
      <c r="C101" s="3">
        <v>7367</v>
      </c>
      <c r="D101" s="3" t="str">
        <f>VLOOKUP(B101,[1]LifeList!$E$2:$G$2036,1)</f>
        <v>Anhinga</v>
      </c>
      <c r="E101" s="3" t="str">
        <f>VLOOKUP(B101,[1]LifeList!$E$2:$G$2036,2)</f>
        <v>Anhinga d'Amérique</v>
      </c>
      <c r="F101" s="3" t="str">
        <f>VLOOKUP(B101,[1]LifeList!$E$2:$G$2036,3)</f>
        <v>Anhinga anhinga</v>
      </c>
      <c r="G101" s="3" t="str">
        <f>VLOOKUP(B101,[1]LifeList!$E$2:$I$2036,4)</f>
        <v>Suliformes</v>
      </c>
      <c r="H101" s="3" t="str">
        <f>VLOOKUP(B101,[1]LifeList!$E$2:$I$2036,5)</f>
        <v>Anhingidae (Anhingas)</v>
      </c>
    </row>
    <row r="102" spans="1:8" x14ac:dyDescent="0.15">
      <c r="A102" s="3" t="s">
        <v>95</v>
      </c>
      <c r="B102" s="3" t="s">
        <v>3995</v>
      </c>
      <c r="C102" s="3">
        <v>7367</v>
      </c>
      <c r="D102" s="3" t="str">
        <f>VLOOKUP(B102,[1]LifeList!$E$2:$G$2036,1)</f>
        <v>Anhinga</v>
      </c>
      <c r="E102" s="3" t="str">
        <f>VLOOKUP(B102,[1]LifeList!$E$2:$G$2036,2)</f>
        <v>Anhinga d'Amérique</v>
      </c>
      <c r="F102" s="3" t="str">
        <f>VLOOKUP(B102,[1]LifeList!$E$2:$G$2036,3)</f>
        <v>Anhinga anhinga</v>
      </c>
      <c r="G102" s="3" t="str">
        <f>VLOOKUP(B102,[1]LifeList!$E$2:$I$2036,4)</f>
        <v>Suliformes</v>
      </c>
      <c r="H102" s="3" t="str">
        <f>VLOOKUP(B102,[1]LifeList!$E$2:$I$2036,5)</f>
        <v>Anhingidae (Anhingas)</v>
      </c>
    </row>
    <row r="103" spans="1:8" x14ac:dyDescent="0.15">
      <c r="A103" s="3" t="s">
        <v>96</v>
      </c>
      <c r="B103" s="3" t="s">
        <v>3995</v>
      </c>
      <c r="C103" s="3">
        <v>7367</v>
      </c>
      <c r="D103" s="3" t="str">
        <f>VLOOKUP(B103,[1]LifeList!$E$2:$G$2036,1)</f>
        <v>Anhinga</v>
      </c>
      <c r="E103" s="3" t="str">
        <f>VLOOKUP(B103,[1]LifeList!$E$2:$G$2036,2)</f>
        <v>Anhinga d'Amérique</v>
      </c>
      <c r="F103" s="3" t="str">
        <f>VLOOKUP(B103,[1]LifeList!$E$2:$G$2036,3)</f>
        <v>Anhinga anhinga</v>
      </c>
      <c r="G103" s="3" t="str">
        <f>VLOOKUP(B103,[1]LifeList!$E$2:$I$2036,4)</f>
        <v>Suliformes</v>
      </c>
      <c r="H103" s="3" t="str">
        <f>VLOOKUP(B103,[1]LifeList!$E$2:$I$2036,5)</f>
        <v>Anhingidae (Anhingas)</v>
      </c>
    </row>
    <row r="104" spans="1:8" x14ac:dyDescent="0.15">
      <c r="A104" s="3" t="s">
        <v>97</v>
      </c>
      <c r="B104" s="3" t="s">
        <v>3995</v>
      </c>
      <c r="C104" s="3">
        <v>7367</v>
      </c>
      <c r="D104" s="3" t="str">
        <f>VLOOKUP(B104,[1]LifeList!$E$2:$G$2036,1)</f>
        <v>Anhinga</v>
      </c>
      <c r="E104" s="3" t="str">
        <f>VLOOKUP(B104,[1]LifeList!$E$2:$G$2036,2)</f>
        <v>Anhinga d'Amérique</v>
      </c>
      <c r="F104" s="3" t="str">
        <f>VLOOKUP(B104,[1]LifeList!$E$2:$G$2036,3)</f>
        <v>Anhinga anhinga</v>
      </c>
      <c r="G104" s="3" t="str">
        <f>VLOOKUP(B104,[1]LifeList!$E$2:$I$2036,4)</f>
        <v>Suliformes</v>
      </c>
      <c r="H104" s="3" t="str">
        <f>VLOOKUP(B104,[1]LifeList!$E$2:$I$2036,5)</f>
        <v>Anhingidae (Anhingas)</v>
      </c>
    </row>
    <row r="105" spans="1:8" x14ac:dyDescent="0.15">
      <c r="A105" s="3" t="s">
        <v>98</v>
      </c>
      <c r="B105" s="3" t="s">
        <v>3995</v>
      </c>
      <c r="C105" s="3">
        <v>7367</v>
      </c>
      <c r="D105" s="3" t="str">
        <f>VLOOKUP(B105,[1]LifeList!$E$2:$G$2036,1)</f>
        <v>Anhinga</v>
      </c>
      <c r="E105" s="3" t="str">
        <f>VLOOKUP(B105,[1]LifeList!$E$2:$G$2036,2)</f>
        <v>Anhinga d'Amérique</v>
      </c>
      <c r="F105" s="3" t="str">
        <f>VLOOKUP(B105,[1]LifeList!$E$2:$G$2036,3)</f>
        <v>Anhinga anhinga</v>
      </c>
      <c r="G105" s="3" t="str">
        <f>VLOOKUP(B105,[1]LifeList!$E$2:$I$2036,4)</f>
        <v>Suliformes</v>
      </c>
      <c r="H105" s="3" t="str">
        <f>VLOOKUP(B105,[1]LifeList!$E$2:$I$2036,5)</f>
        <v>Anhingidae (Anhingas)</v>
      </c>
    </row>
    <row r="106" spans="1:8" x14ac:dyDescent="0.15">
      <c r="A106" s="3" t="s">
        <v>99</v>
      </c>
      <c r="B106" s="3" t="s">
        <v>3995</v>
      </c>
      <c r="C106" s="3">
        <v>7367</v>
      </c>
      <c r="D106" s="3" t="str">
        <f>VLOOKUP(B106,[1]LifeList!$E$2:$G$2036,1)</f>
        <v>Anhinga</v>
      </c>
      <c r="E106" s="3" t="str">
        <f>VLOOKUP(B106,[1]LifeList!$E$2:$G$2036,2)</f>
        <v>Anhinga d'Amérique</v>
      </c>
      <c r="F106" s="3" t="str">
        <f>VLOOKUP(B106,[1]LifeList!$E$2:$G$2036,3)</f>
        <v>Anhinga anhinga</v>
      </c>
      <c r="G106" s="3" t="str">
        <f>VLOOKUP(B106,[1]LifeList!$E$2:$I$2036,4)</f>
        <v>Suliformes</v>
      </c>
      <c r="H106" s="3" t="str">
        <f>VLOOKUP(B106,[1]LifeList!$E$2:$I$2036,5)</f>
        <v>Anhingidae (Anhingas)</v>
      </c>
    </row>
    <row r="107" spans="1:8" x14ac:dyDescent="0.15">
      <c r="A107" s="3" t="s">
        <v>100</v>
      </c>
      <c r="B107" s="3" t="s">
        <v>3995</v>
      </c>
      <c r="C107" s="3">
        <v>7367</v>
      </c>
      <c r="D107" s="3" t="str">
        <f>VLOOKUP(B107,[1]LifeList!$E$2:$G$2036,1)</f>
        <v>Anhinga</v>
      </c>
      <c r="E107" s="3" t="str">
        <f>VLOOKUP(B107,[1]LifeList!$E$2:$G$2036,2)</f>
        <v>Anhinga d'Amérique</v>
      </c>
      <c r="F107" s="3" t="str">
        <f>VLOOKUP(B107,[1]LifeList!$E$2:$G$2036,3)</f>
        <v>Anhinga anhinga</v>
      </c>
      <c r="G107" s="3" t="str">
        <f>VLOOKUP(B107,[1]LifeList!$E$2:$I$2036,4)</f>
        <v>Suliformes</v>
      </c>
      <c r="H107" s="3" t="str">
        <f>VLOOKUP(B107,[1]LifeList!$E$2:$I$2036,5)</f>
        <v>Anhingidae (Anhingas)</v>
      </c>
    </row>
    <row r="108" spans="1:8" x14ac:dyDescent="0.15">
      <c r="A108" s="3" t="s">
        <v>101</v>
      </c>
      <c r="B108" s="3" t="s">
        <v>3995</v>
      </c>
      <c r="C108" s="3">
        <v>7367</v>
      </c>
      <c r="D108" s="3" t="str">
        <f>VLOOKUP(B108,[1]LifeList!$E$2:$G$2036,1)</f>
        <v>Anhinga</v>
      </c>
      <c r="E108" s="3" t="str">
        <f>VLOOKUP(B108,[1]LifeList!$E$2:$G$2036,2)</f>
        <v>Anhinga d'Amérique</v>
      </c>
      <c r="F108" s="3" t="str">
        <f>VLOOKUP(B108,[1]LifeList!$E$2:$G$2036,3)</f>
        <v>Anhinga anhinga</v>
      </c>
      <c r="G108" s="3" t="str">
        <f>VLOOKUP(B108,[1]LifeList!$E$2:$I$2036,4)</f>
        <v>Suliformes</v>
      </c>
      <c r="H108" s="3" t="str">
        <f>VLOOKUP(B108,[1]LifeList!$E$2:$I$2036,5)</f>
        <v>Anhingidae (Anhingas)</v>
      </c>
    </row>
    <row r="109" spans="1:8" x14ac:dyDescent="0.15">
      <c r="A109" s="3" t="s">
        <v>102</v>
      </c>
      <c r="B109" s="3" t="s">
        <v>3995</v>
      </c>
      <c r="C109" s="3">
        <v>7367</v>
      </c>
      <c r="D109" s="3" t="str">
        <f>VLOOKUP(B109,[1]LifeList!$E$2:$G$2036,1)</f>
        <v>Anhinga</v>
      </c>
      <c r="E109" s="3" t="str">
        <f>VLOOKUP(B109,[1]LifeList!$E$2:$G$2036,2)</f>
        <v>Anhinga d'Amérique</v>
      </c>
      <c r="F109" s="3" t="str">
        <f>VLOOKUP(B109,[1]LifeList!$E$2:$G$2036,3)</f>
        <v>Anhinga anhinga</v>
      </c>
      <c r="G109" s="3" t="str">
        <f>VLOOKUP(B109,[1]LifeList!$E$2:$I$2036,4)</f>
        <v>Suliformes</v>
      </c>
      <c r="H109" s="3" t="str">
        <f>VLOOKUP(B109,[1]LifeList!$E$2:$I$2036,5)</f>
        <v>Anhingidae (Anhingas)</v>
      </c>
    </row>
    <row r="110" spans="1:8" x14ac:dyDescent="0.15">
      <c r="A110" s="3" t="s">
        <v>3809</v>
      </c>
      <c r="B110" s="3" t="s">
        <v>3995</v>
      </c>
      <c r="C110" s="3">
        <v>7367</v>
      </c>
      <c r="D110" s="3" t="str">
        <f>VLOOKUP(B110,[1]LifeList!$E$2:$G$2036,1)</f>
        <v>Anhinga</v>
      </c>
      <c r="E110" s="3" t="str">
        <f>VLOOKUP(B110,[1]LifeList!$E$2:$G$2036,2)</f>
        <v>Anhinga d'Amérique</v>
      </c>
      <c r="F110" s="3" t="str">
        <f>VLOOKUP(B110,[1]LifeList!$E$2:$G$2036,3)</f>
        <v>Anhinga anhinga</v>
      </c>
      <c r="G110" s="3" t="str">
        <f>VLOOKUP(B110,[1]LifeList!$E$2:$I$2036,4)</f>
        <v>Suliformes</v>
      </c>
      <c r="H110" s="3" t="str">
        <f>VLOOKUP(B110,[1]LifeList!$E$2:$I$2036,5)</f>
        <v>Anhingidae (Anhingas)</v>
      </c>
    </row>
    <row r="111" spans="1:8" x14ac:dyDescent="0.15">
      <c r="A111" s="3" t="s">
        <v>103</v>
      </c>
      <c r="B111" s="3" t="s">
        <v>3995</v>
      </c>
      <c r="C111" s="3">
        <v>7367</v>
      </c>
      <c r="D111" s="3" t="str">
        <f>VLOOKUP(B111,[1]LifeList!$E$2:$G$2036,1)</f>
        <v>Anhinga</v>
      </c>
      <c r="E111" s="3" t="str">
        <f>VLOOKUP(B111,[1]LifeList!$E$2:$G$2036,2)</f>
        <v>Anhinga d'Amérique</v>
      </c>
      <c r="F111" s="3" t="str">
        <f>VLOOKUP(B111,[1]LifeList!$E$2:$G$2036,3)</f>
        <v>Anhinga anhinga</v>
      </c>
      <c r="G111" s="3" t="str">
        <f>VLOOKUP(B111,[1]LifeList!$E$2:$I$2036,4)</f>
        <v>Suliformes</v>
      </c>
      <c r="H111" s="3" t="str">
        <f>VLOOKUP(B111,[1]LifeList!$E$2:$I$2036,5)</f>
        <v>Anhingidae (Anhingas)</v>
      </c>
    </row>
    <row r="112" spans="1:8" x14ac:dyDescent="0.15">
      <c r="A112" s="3" t="s">
        <v>3810</v>
      </c>
      <c r="B112" s="3" t="s">
        <v>5216</v>
      </c>
      <c r="C112" s="3">
        <v>17808</v>
      </c>
      <c r="D112" s="3" t="str">
        <f>VLOOKUP(B112,[1]LifeList!$E$2:$G$2036,1)</f>
        <v>Anna's Hummingbird</v>
      </c>
      <c r="E112" s="3" t="str">
        <f>VLOOKUP(B112,[1]LifeList!$E$2:$G$2036,2)</f>
        <v>Colibri d'Anna</v>
      </c>
      <c r="F112" s="3" t="str">
        <f>VLOOKUP(B112,[1]LifeList!$E$2:$G$2036,3)</f>
        <v>Calypte anna</v>
      </c>
      <c r="G112" s="3" t="str">
        <f>VLOOKUP(B112,[1]LifeList!$E$2:$I$2036,4)</f>
        <v>Apodiformes</v>
      </c>
      <c r="H112" s="3" t="str">
        <f>VLOOKUP(B112,[1]LifeList!$E$2:$I$2036,5)</f>
        <v>Trochilidae (Hummingbirds)</v>
      </c>
    </row>
    <row r="113" spans="1:8" x14ac:dyDescent="0.15">
      <c r="A113" s="3" t="s">
        <v>3811</v>
      </c>
      <c r="B113" s="3" t="s">
        <v>5216</v>
      </c>
      <c r="C113" s="3">
        <v>17808</v>
      </c>
      <c r="D113" s="3" t="str">
        <f>VLOOKUP(B113,[1]LifeList!$E$2:$G$2036,1)</f>
        <v>Anna's Hummingbird</v>
      </c>
      <c r="E113" s="3" t="str">
        <f>VLOOKUP(B113,[1]LifeList!$E$2:$G$2036,2)</f>
        <v>Colibri d'Anna</v>
      </c>
      <c r="F113" s="3" t="str">
        <f>VLOOKUP(B113,[1]LifeList!$E$2:$G$2036,3)</f>
        <v>Calypte anna</v>
      </c>
      <c r="G113" s="3" t="str">
        <f>VLOOKUP(B113,[1]LifeList!$E$2:$I$2036,4)</f>
        <v>Apodiformes</v>
      </c>
      <c r="H113" s="3" t="str">
        <f>VLOOKUP(B113,[1]LifeList!$E$2:$I$2036,5)</f>
        <v>Trochilidae (Hummingbirds)</v>
      </c>
    </row>
    <row r="114" spans="1:8" x14ac:dyDescent="0.15">
      <c r="A114" s="3" t="s">
        <v>104</v>
      </c>
      <c r="B114" s="3" t="s">
        <v>3996</v>
      </c>
      <c r="C114" s="3">
        <v>32117</v>
      </c>
      <c r="D114" s="3" t="str">
        <f>VLOOKUP(B114,[1]LifeList!$E$2:$G$2036,1)</f>
        <v>Apapane</v>
      </c>
      <c r="E114" s="3" t="str">
        <f>VLOOKUP(B114,[1]LifeList!$E$2:$G$2036,2)</f>
        <v>Picchion cramoisi</v>
      </c>
      <c r="F114" s="3" t="str">
        <f>VLOOKUP(B114,[1]LifeList!$E$2:$G$2036,3)</f>
        <v>Himatione sanguinea</v>
      </c>
      <c r="G114" s="3" t="str">
        <f>VLOOKUP(B114,[1]LifeList!$E$2:$I$2036,4)</f>
        <v>Passeriformes</v>
      </c>
      <c r="H114" s="3" t="str">
        <f>VLOOKUP(B114,[1]LifeList!$E$2:$I$2036,5)</f>
        <v>Fringillidae (Finches, Euphonias, and Allies)</v>
      </c>
    </row>
    <row r="115" spans="1:8" x14ac:dyDescent="0.15">
      <c r="A115" s="3" t="s">
        <v>105</v>
      </c>
      <c r="B115" s="3" t="s">
        <v>3996</v>
      </c>
      <c r="C115" s="3">
        <v>32117</v>
      </c>
      <c r="D115" s="3" t="str">
        <f>VLOOKUP(B115,[1]LifeList!$E$2:$G$2036,1)</f>
        <v>Apapane</v>
      </c>
      <c r="E115" s="3" t="str">
        <f>VLOOKUP(B115,[1]LifeList!$E$2:$G$2036,2)</f>
        <v>Picchion cramoisi</v>
      </c>
      <c r="F115" s="3" t="str">
        <f>VLOOKUP(B115,[1]LifeList!$E$2:$G$2036,3)</f>
        <v>Himatione sanguinea</v>
      </c>
      <c r="G115" s="3" t="str">
        <f>VLOOKUP(B115,[1]LifeList!$E$2:$I$2036,4)</f>
        <v>Passeriformes</v>
      </c>
      <c r="H115" s="3" t="str">
        <f>VLOOKUP(B115,[1]LifeList!$E$2:$I$2036,5)</f>
        <v>Fringillidae (Finches, Euphonias, and Allies)</v>
      </c>
    </row>
    <row r="116" spans="1:8" x14ac:dyDescent="0.15">
      <c r="A116" s="3" t="s">
        <v>106</v>
      </c>
      <c r="B116" s="3" t="s">
        <v>3997</v>
      </c>
      <c r="C116" s="3">
        <v>17316</v>
      </c>
      <c r="D116" s="3" t="str">
        <f>VLOOKUP(B116,[1]LifeList!$E$2:$G$2036,1)</f>
        <v>Apical Flycatcher</v>
      </c>
      <c r="E116" s="3" t="str">
        <f>VLOOKUP(B116,[1]LifeList!$E$2:$G$2036,2)</f>
        <v>Tyran à queue givrée</v>
      </c>
      <c r="F116" s="3" t="str">
        <f>VLOOKUP(B116,[1]LifeList!$E$2:$G$2036,3)</f>
        <v>Myiarchus apicalis</v>
      </c>
      <c r="G116" s="3" t="str">
        <f>VLOOKUP(B116,[1]LifeList!$E$2:$I$2036,4)</f>
        <v>Passeriformes</v>
      </c>
      <c r="H116" s="3" t="str">
        <f>VLOOKUP(B116,[1]LifeList!$E$2:$I$2036,5)</f>
        <v>Tyrannidae (Tyrant Flycatchers)</v>
      </c>
    </row>
    <row r="117" spans="1:8" x14ac:dyDescent="0.15">
      <c r="A117" s="3" t="s">
        <v>3812</v>
      </c>
      <c r="B117" s="3" t="s">
        <v>5217</v>
      </c>
      <c r="C117" s="3">
        <v>17808</v>
      </c>
      <c r="D117" s="3" t="str">
        <f>VLOOKUP(B117,[1]LifeList!$E$2:$G$2036,1)</f>
        <v>Appert's Tetraka</v>
      </c>
      <c r="E117" s="3" t="str">
        <f>VLOOKUP(B117,[1]LifeList!$E$2:$G$2036,2)</f>
        <v>Farifotra d'Appert</v>
      </c>
      <c r="F117" s="3" t="str">
        <f>VLOOKUP(B117,[1]LifeList!$E$2:$G$2036,3)</f>
        <v>Xanthomixis apperti</v>
      </c>
      <c r="G117" s="3" t="str">
        <f>VLOOKUP(B117,[1]LifeList!$E$2:$I$2036,4)</f>
        <v>Passeriformes</v>
      </c>
      <c r="H117" s="3" t="str">
        <f>VLOOKUP(B117,[1]LifeList!$E$2:$I$2036,5)</f>
        <v>Bernieridae (Malagasy Warblers)</v>
      </c>
    </row>
    <row r="118" spans="1:8" x14ac:dyDescent="0.15">
      <c r="A118" s="3" t="s">
        <v>3813</v>
      </c>
      <c r="B118" s="3" t="s">
        <v>5215</v>
      </c>
      <c r="C118" s="3">
        <v>17808</v>
      </c>
      <c r="D118" s="3" t="str">
        <f>VLOOKUP(B118,[1]LifeList!$E$2:$G$2036,1)</f>
        <v>Archbold's Newtonia</v>
      </c>
      <c r="E118" s="3" t="str">
        <f>VLOOKUP(B118,[1]LifeList!$E$2:$G$2036,2)</f>
        <v>Newtonie d'Archbold</v>
      </c>
      <c r="F118" s="3" t="str">
        <f>VLOOKUP(B118,[1]LifeList!$E$2:$G$2036,3)</f>
        <v>Newtonia archboldi</v>
      </c>
      <c r="G118" s="3" t="str">
        <f>VLOOKUP(B118,[1]LifeList!$E$2:$I$2036,4)</f>
        <v>Passeriformes</v>
      </c>
      <c r="H118" s="3" t="str">
        <f>VLOOKUP(B118,[1]LifeList!$E$2:$I$2036,5)</f>
        <v>Vangidae (Vangas, Helmetshrikes, and Allies)</v>
      </c>
    </row>
    <row r="119" spans="1:8" x14ac:dyDescent="0.15">
      <c r="A119" s="3" t="s">
        <v>3814</v>
      </c>
      <c r="B119" s="3" t="s">
        <v>5215</v>
      </c>
      <c r="C119" s="3">
        <v>17808</v>
      </c>
      <c r="D119" s="3" t="str">
        <f>VLOOKUP(B119,[1]LifeList!$E$2:$G$2036,1)</f>
        <v>Archbold's Newtonia</v>
      </c>
      <c r="E119" s="3" t="str">
        <f>VLOOKUP(B119,[1]LifeList!$E$2:$G$2036,2)</f>
        <v>Newtonie d'Archbold</v>
      </c>
      <c r="F119" s="3" t="str">
        <f>VLOOKUP(B119,[1]LifeList!$E$2:$G$2036,3)</f>
        <v>Newtonia archboldi</v>
      </c>
      <c r="G119" s="3" t="str">
        <f>VLOOKUP(B119,[1]LifeList!$E$2:$I$2036,4)</f>
        <v>Passeriformes</v>
      </c>
      <c r="H119" s="3" t="str">
        <f>VLOOKUP(B119,[1]LifeList!$E$2:$I$2036,5)</f>
        <v>Vangidae (Vangas, Helmetshrikes, and Allies)</v>
      </c>
    </row>
    <row r="120" spans="1:8" x14ac:dyDescent="0.15">
      <c r="A120" s="3" t="s">
        <v>3815</v>
      </c>
      <c r="B120" s="3" t="s">
        <v>5215</v>
      </c>
      <c r="C120" s="3">
        <v>17808</v>
      </c>
      <c r="D120" s="3" t="str">
        <f>VLOOKUP(B120,[1]LifeList!$E$2:$G$2036,1)</f>
        <v>Archbold's Newtonia</v>
      </c>
      <c r="E120" s="3" t="str">
        <f>VLOOKUP(B120,[1]LifeList!$E$2:$G$2036,2)</f>
        <v>Newtonie d'Archbold</v>
      </c>
      <c r="F120" s="3" t="str">
        <f>VLOOKUP(B120,[1]LifeList!$E$2:$G$2036,3)</f>
        <v>Newtonia archboldi</v>
      </c>
      <c r="G120" s="3" t="str">
        <f>VLOOKUP(B120,[1]LifeList!$E$2:$I$2036,4)</f>
        <v>Passeriformes</v>
      </c>
      <c r="H120" s="3" t="str">
        <f>VLOOKUP(B120,[1]LifeList!$E$2:$I$2036,5)</f>
        <v>Vangidae (Vangas, Helmetshrikes, and Allies)</v>
      </c>
    </row>
    <row r="121" spans="1:8" x14ac:dyDescent="0.15">
      <c r="A121" s="3" t="s">
        <v>108</v>
      </c>
      <c r="B121" s="3" t="s">
        <v>3998</v>
      </c>
      <c r="C121" s="3">
        <v>6733</v>
      </c>
      <c r="D121" s="3" t="str">
        <f>VLOOKUP(B121,[1]LifeList!$E$2:$G$2036,1)</f>
        <v>Arctic Tern</v>
      </c>
      <c r="E121" s="3" t="str">
        <f>VLOOKUP(B121,[1]LifeList!$E$2:$G$2036,2)</f>
        <v>Sterne arctique</v>
      </c>
      <c r="F121" s="3" t="str">
        <f>VLOOKUP(B121,[1]LifeList!$E$2:$G$2036,3)</f>
        <v>Sterna paradisaea</v>
      </c>
      <c r="G121" s="3" t="str">
        <f>VLOOKUP(B121,[1]LifeList!$E$2:$I$2036,4)</f>
        <v>Charadriiformes</v>
      </c>
      <c r="H121" s="3" t="str">
        <f>VLOOKUP(B121,[1]LifeList!$E$2:$I$2036,5)</f>
        <v>Laridae (Gulls, Terns, and Skimmers)</v>
      </c>
    </row>
    <row r="122" spans="1:8" x14ac:dyDescent="0.15">
      <c r="A122" s="3" t="s">
        <v>107</v>
      </c>
      <c r="B122" s="3" t="s">
        <v>3998</v>
      </c>
      <c r="C122" s="3">
        <v>6733</v>
      </c>
      <c r="D122" s="3" t="str">
        <f>VLOOKUP(B122,[1]LifeList!$E$2:$G$2036,1)</f>
        <v>Arctic Tern</v>
      </c>
      <c r="E122" s="3" t="str">
        <f>VLOOKUP(B122,[1]LifeList!$E$2:$G$2036,2)</f>
        <v>Sterne arctique</v>
      </c>
      <c r="F122" s="3" t="str">
        <f>VLOOKUP(B122,[1]LifeList!$E$2:$G$2036,3)</f>
        <v>Sterna paradisaea</v>
      </c>
      <c r="G122" s="3" t="str">
        <f>VLOOKUP(B122,[1]LifeList!$E$2:$I$2036,4)</f>
        <v>Charadriiformes</v>
      </c>
      <c r="H122" s="3" t="str">
        <f>VLOOKUP(B122,[1]LifeList!$E$2:$I$2036,5)</f>
        <v>Laridae (Gulls, Terns, and Skimmers)</v>
      </c>
    </row>
    <row r="123" spans="1:8" x14ac:dyDescent="0.15">
      <c r="A123" s="3" t="s">
        <v>109</v>
      </c>
      <c r="B123" s="3" t="s">
        <v>3999</v>
      </c>
      <c r="C123" s="3">
        <v>26680</v>
      </c>
      <c r="D123" s="3" t="str">
        <f>VLOOKUP(B123,[1]LifeList!$E$2:$G$2036,1)</f>
        <v>Arrow-marked Babbler</v>
      </c>
      <c r="E123" s="3" t="str">
        <f>VLOOKUP(B123,[1]LifeList!$E$2:$G$2036,2)</f>
        <v>Cratérope fléché</v>
      </c>
      <c r="F123" s="3" t="str">
        <f>VLOOKUP(B123,[1]LifeList!$E$2:$G$2036,3)</f>
        <v>Turdoides jardineii</v>
      </c>
      <c r="G123" s="3" t="str">
        <f>VLOOKUP(B123,[1]LifeList!$E$2:$I$2036,4)</f>
        <v>Passeriformes</v>
      </c>
      <c r="H123" s="3" t="str">
        <f>VLOOKUP(B123,[1]LifeList!$E$2:$I$2036,5)</f>
        <v>Leiothrichidae (Laughingthrushes and Allies)</v>
      </c>
    </row>
    <row r="124" spans="1:8" x14ac:dyDescent="0.15">
      <c r="A124" s="3" t="s">
        <v>110</v>
      </c>
      <c r="B124" s="3" t="s">
        <v>4000</v>
      </c>
      <c r="C124" s="3">
        <v>27957</v>
      </c>
      <c r="D124" s="3" t="str">
        <f>VLOOKUP(B124,[1]LifeList!$E$2:$G$2036,1)</f>
        <v>Ashy Starling</v>
      </c>
      <c r="E124" s="3" t="str">
        <f>VLOOKUP(B124,[1]LifeList!$E$2:$G$2036,2)</f>
        <v>Choucador cendré</v>
      </c>
      <c r="F124" s="3" t="str">
        <f>VLOOKUP(B124,[1]LifeList!$E$2:$G$2036,3)</f>
        <v>Lamprotornis unicolor</v>
      </c>
      <c r="G124" s="3" t="str">
        <f>VLOOKUP(B124,[1]LifeList!$E$2:$I$2036,4)</f>
        <v>Passeriformes</v>
      </c>
      <c r="H124" s="3" t="str">
        <f>VLOOKUP(B124,[1]LifeList!$E$2:$I$2036,5)</f>
        <v>Sturnidae (Starlings)</v>
      </c>
    </row>
    <row r="125" spans="1:8" x14ac:dyDescent="0.15">
      <c r="A125" s="3" t="s">
        <v>111</v>
      </c>
      <c r="B125" s="3" t="s">
        <v>4001</v>
      </c>
      <c r="C125" s="3">
        <v>6379</v>
      </c>
      <c r="D125" s="3" t="str">
        <f>VLOOKUP(B125,[1]LifeList!$E$2:$G$2036,1)</f>
        <v>Atlantic Puffin</v>
      </c>
      <c r="E125" s="3" t="str">
        <f>VLOOKUP(B125,[1]LifeList!$E$2:$G$2036,2)</f>
        <v>Macareux moine</v>
      </c>
      <c r="F125" s="3" t="str">
        <f>VLOOKUP(B125,[1]LifeList!$E$2:$G$2036,3)</f>
        <v>Fratercula arctica</v>
      </c>
      <c r="G125" s="3" t="str">
        <f>VLOOKUP(B125,[1]LifeList!$E$2:$I$2036,4)</f>
        <v>Charadriiformes</v>
      </c>
      <c r="H125" s="3" t="str">
        <f>VLOOKUP(B125,[1]LifeList!$E$2:$I$2036,5)</f>
        <v>Alcidae (Auks, Murres, and Puffins)</v>
      </c>
    </row>
    <row r="126" spans="1:8" x14ac:dyDescent="0.15">
      <c r="A126" s="3" t="s">
        <v>112</v>
      </c>
      <c r="B126" s="3" t="s">
        <v>4002</v>
      </c>
      <c r="C126" s="3">
        <v>8538</v>
      </c>
      <c r="D126" s="3" t="str">
        <f>VLOOKUP(B126,[1]LifeList!$E$2:$G$2036,1)</f>
        <v>Augur Buzzard</v>
      </c>
      <c r="E126" s="3" t="str">
        <f>VLOOKUP(B126,[1]LifeList!$E$2:$G$2036,2)</f>
        <v>Buse augure</v>
      </c>
      <c r="F126" s="3" t="str">
        <f>VLOOKUP(B126,[1]LifeList!$E$2:$G$2036,3)</f>
        <v>Buteo augur</v>
      </c>
      <c r="G126" s="3" t="str">
        <f>VLOOKUP(B126,[1]LifeList!$E$2:$I$2036,4)</f>
        <v>Accipitriformes</v>
      </c>
      <c r="H126" s="3" t="str">
        <f>VLOOKUP(B126,[1]LifeList!$E$2:$I$2036,5)</f>
        <v>Accipitridae (Hawks, Eagles, and Kites)</v>
      </c>
    </row>
    <row r="127" spans="1:8" x14ac:dyDescent="0.15">
      <c r="A127" s="3" t="s">
        <v>113</v>
      </c>
      <c r="B127" s="3" t="s">
        <v>4003</v>
      </c>
      <c r="C127" s="3">
        <v>7335</v>
      </c>
      <c r="D127" s="3" t="str">
        <f>VLOOKUP(B127,[1]LifeList!$E$2:$G$2036,1)</f>
        <v>Australasian Gannet</v>
      </c>
      <c r="E127" s="3" t="str">
        <f>VLOOKUP(B127,[1]LifeList!$E$2:$G$2036,2)</f>
        <v>Fou austral</v>
      </c>
      <c r="F127" s="3" t="str">
        <f>VLOOKUP(B127,[1]LifeList!$E$2:$G$2036,3)</f>
        <v>Morus serrator</v>
      </c>
      <c r="G127" s="3" t="str">
        <f>VLOOKUP(B127,[1]LifeList!$E$2:$I$2036,4)</f>
        <v>Suliformes</v>
      </c>
      <c r="H127" s="3" t="str">
        <f>VLOOKUP(B127,[1]LifeList!$E$2:$I$2036,5)</f>
        <v>Sulidae (Boobies and Gannets)</v>
      </c>
    </row>
    <row r="128" spans="1:8" x14ac:dyDescent="0.15">
      <c r="A128" s="3" t="s">
        <v>114</v>
      </c>
      <c r="B128" s="3" t="s">
        <v>4003</v>
      </c>
      <c r="C128" s="3">
        <v>7335</v>
      </c>
      <c r="D128" s="3" t="str">
        <f>VLOOKUP(B128,[1]LifeList!$E$2:$G$2036,1)</f>
        <v>Australasian Gannet</v>
      </c>
      <c r="E128" s="3" t="str">
        <f>VLOOKUP(B128,[1]LifeList!$E$2:$G$2036,2)</f>
        <v>Fou austral</v>
      </c>
      <c r="F128" s="3" t="str">
        <f>VLOOKUP(B128,[1]LifeList!$E$2:$G$2036,3)</f>
        <v>Morus serrator</v>
      </c>
      <c r="G128" s="3" t="str">
        <f>VLOOKUP(B128,[1]LifeList!$E$2:$I$2036,4)</f>
        <v>Suliformes</v>
      </c>
      <c r="H128" s="3" t="str">
        <f>VLOOKUP(B128,[1]LifeList!$E$2:$I$2036,5)</f>
        <v>Sulidae (Boobies and Gannets)</v>
      </c>
    </row>
    <row r="129" spans="1:8" x14ac:dyDescent="0.15">
      <c r="A129" s="3" t="s">
        <v>115</v>
      </c>
      <c r="B129" s="3" t="s">
        <v>4004</v>
      </c>
      <c r="C129" s="3">
        <v>6840</v>
      </c>
      <c r="D129" s="3" t="str">
        <f>VLOOKUP(B129,[1]LifeList!$E$2:$G$2036,1)</f>
        <v>Australasian Grebe</v>
      </c>
      <c r="E129" s="3" t="str">
        <f>VLOOKUP(B129,[1]LifeList!$E$2:$G$2036,2)</f>
        <v>Grèbe australasien</v>
      </c>
      <c r="F129" s="3" t="str">
        <f>VLOOKUP(B129,[1]LifeList!$E$2:$G$2036,3)</f>
        <v>Tachybaptus novaehollandiae</v>
      </c>
      <c r="G129" s="3" t="str">
        <f>VLOOKUP(B129,[1]LifeList!$E$2:$I$2036,4)</f>
        <v>Podicipediformes</v>
      </c>
      <c r="H129" s="3" t="str">
        <f>VLOOKUP(B129,[1]LifeList!$E$2:$I$2036,5)</f>
        <v>Podicipedidae (Grebes)</v>
      </c>
    </row>
    <row r="130" spans="1:8" x14ac:dyDescent="0.15">
      <c r="A130" s="3" t="s">
        <v>116</v>
      </c>
      <c r="B130" s="3" t="s">
        <v>4005</v>
      </c>
      <c r="C130" s="3">
        <v>5525</v>
      </c>
      <c r="D130" s="3" t="str">
        <f>VLOOKUP(B130,[1]LifeList!$E$2:$G$2036,1)</f>
        <v>Australasian Swamphen</v>
      </c>
      <c r="E130" s="3" t="str">
        <f>VLOOKUP(B130,[1]LifeList!$E$2:$G$2036,2)</f>
        <v>Talève australe</v>
      </c>
      <c r="F130" s="3" t="str">
        <f>VLOOKUP(B130,[1]LifeList!$E$2:$G$2036,3)</f>
        <v>Porphyrio melanotus</v>
      </c>
      <c r="G130" s="3" t="str">
        <f>VLOOKUP(B130,[1]LifeList!$E$2:$I$2036,4)</f>
        <v>Gruiformes</v>
      </c>
      <c r="H130" s="3" t="str">
        <f>VLOOKUP(B130,[1]LifeList!$E$2:$I$2036,5)</f>
        <v>Rallidae (Rails, Gallinules, and Coots)</v>
      </c>
    </row>
    <row r="131" spans="1:8" x14ac:dyDescent="0.15">
      <c r="A131" s="3" t="s">
        <v>117</v>
      </c>
      <c r="B131" s="3" t="s">
        <v>4006</v>
      </c>
      <c r="C131" s="3">
        <v>795</v>
      </c>
      <c r="D131" s="3" t="str">
        <f>VLOOKUP(B131,[1]LifeList!$E$2:$G$2036,1)</f>
        <v>Australian Brushturkey</v>
      </c>
      <c r="E131" s="3" t="str">
        <f>VLOOKUP(B131,[1]LifeList!$E$2:$G$2036,2)</f>
        <v>Talégalle de Latham</v>
      </c>
      <c r="F131" s="3" t="str">
        <f>VLOOKUP(B131,[1]LifeList!$E$2:$G$2036,3)</f>
        <v>Alectura lathami</v>
      </c>
      <c r="G131" s="3" t="str">
        <f>VLOOKUP(B131,[1]LifeList!$E$2:$I$2036,4)</f>
        <v>Galliformes</v>
      </c>
      <c r="H131" s="3" t="str">
        <f>VLOOKUP(B131,[1]LifeList!$E$2:$I$2036,5)</f>
        <v>Megapodiidae (Megapodes)</v>
      </c>
    </row>
    <row r="132" spans="1:8" x14ac:dyDescent="0.15">
      <c r="A132" s="3" t="s">
        <v>118</v>
      </c>
      <c r="B132" s="3" t="s">
        <v>4007</v>
      </c>
      <c r="C132" s="3">
        <v>5457</v>
      </c>
      <c r="D132" s="3" t="str">
        <f>VLOOKUP(B132,[1]LifeList!$E$2:$G$2036,1)</f>
        <v>Australian Crake</v>
      </c>
      <c r="E132" s="3" t="str">
        <f>VLOOKUP(B132,[1]LifeList!$E$2:$G$2036,2)</f>
        <v>Marouette d'Australie</v>
      </c>
      <c r="F132" s="3" t="str">
        <f>VLOOKUP(B132,[1]LifeList!$E$2:$G$2036,3)</f>
        <v>Porzana fluminea</v>
      </c>
      <c r="G132" s="3" t="str">
        <f>VLOOKUP(B132,[1]LifeList!$E$2:$I$2036,4)</f>
        <v>Gruiformes</v>
      </c>
      <c r="H132" s="3" t="str">
        <f>VLOOKUP(B132,[1]LifeList!$E$2:$I$2036,5)</f>
        <v>Rallidae (Rails, Gallinules, and Coots)</v>
      </c>
    </row>
    <row r="133" spans="1:8" x14ac:dyDescent="0.15">
      <c r="A133" s="3" t="s">
        <v>119</v>
      </c>
      <c r="B133" s="3" t="s">
        <v>4008</v>
      </c>
      <c r="C133" s="3">
        <v>7498</v>
      </c>
      <c r="D133" s="3" t="str">
        <f>VLOOKUP(B133,[1]LifeList!$E$2:$G$2036,1)</f>
        <v>Australian Ibis</v>
      </c>
      <c r="E133" s="3" t="str">
        <f>VLOOKUP(B133,[1]LifeList!$E$2:$G$2036,2)</f>
        <v>Ibis à cou noir</v>
      </c>
      <c r="F133" s="3" t="str">
        <f>VLOOKUP(B133,[1]LifeList!$E$2:$G$2036,3)</f>
        <v>Threskiornis molucca</v>
      </c>
      <c r="G133" s="3" t="str">
        <f>VLOOKUP(B133,[1]LifeList!$E$2:$I$2036,4)</f>
        <v>Pelecaniformes</v>
      </c>
      <c r="H133" s="3" t="str">
        <f>VLOOKUP(B133,[1]LifeList!$E$2:$I$2036,5)</f>
        <v>Threskiornithidae (Ibises and Spoonbills)</v>
      </c>
    </row>
    <row r="134" spans="1:8" x14ac:dyDescent="0.15">
      <c r="A134" s="3" t="s">
        <v>121</v>
      </c>
      <c r="B134" s="3" t="s">
        <v>4009</v>
      </c>
      <c r="C134" s="3">
        <v>12265</v>
      </c>
      <c r="D134" s="3" t="str">
        <f>VLOOKUP(B134,[1]LifeList!$E$2:$G$2036,1)</f>
        <v>Australian King-Parrot</v>
      </c>
      <c r="E134" s="3" t="str">
        <f>VLOOKUP(B134,[1]LifeList!$E$2:$G$2036,2)</f>
        <v>Perruche royale</v>
      </c>
      <c r="F134" s="3" t="str">
        <f>VLOOKUP(B134,[1]LifeList!$E$2:$G$2036,3)</f>
        <v>Alisterus scapularis</v>
      </c>
      <c r="G134" s="3" t="str">
        <f>VLOOKUP(B134,[1]LifeList!$E$2:$I$2036,4)</f>
        <v>Psittaciformes</v>
      </c>
      <c r="H134" s="3" t="str">
        <f>VLOOKUP(B134,[1]LifeList!$E$2:$I$2036,5)</f>
        <v>Psittaculidae (Old World Parrots)</v>
      </c>
    </row>
    <row r="135" spans="1:8" x14ac:dyDescent="0.15">
      <c r="A135" s="3" t="s">
        <v>120</v>
      </c>
      <c r="B135" s="3" t="s">
        <v>4009</v>
      </c>
      <c r="C135" s="3">
        <v>12265</v>
      </c>
      <c r="D135" s="3" t="str">
        <f>VLOOKUP(B135,[1]LifeList!$E$2:$G$2036,1)</f>
        <v>Australian King-Parrot</v>
      </c>
      <c r="E135" s="3" t="str">
        <f>VLOOKUP(B135,[1]LifeList!$E$2:$G$2036,2)</f>
        <v>Perruche royale</v>
      </c>
      <c r="F135" s="3" t="str">
        <f>VLOOKUP(B135,[1]LifeList!$E$2:$G$2036,3)</f>
        <v>Alisterus scapularis</v>
      </c>
      <c r="G135" s="3" t="str">
        <f>VLOOKUP(B135,[1]LifeList!$E$2:$I$2036,4)</f>
        <v>Psittaciformes</v>
      </c>
      <c r="H135" s="3" t="str">
        <f>VLOOKUP(B135,[1]LifeList!$E$2:$I$2036,5)</f>
        <v>Psittaculidae (Old World Parrots)</v>
      </c>
    </row>
    <row r="136" spans="1:8" x14ac:dyDescent="0.15">
      <c r="A136" s="3" t="s">
        <v>122</v>
      </c>
      <c r="B136" s="3" t="s">
        <v>4010</v>
      </c>
      <c r="C136" s="3">
        <v>19793</v>
      </c>
      <c r="D136" s="3" t="str">
        <f>VLOOKUP(B136,[1]LifeList!$E$2:$G$2036,1)</f>
        <v>Australian Magpie</v>
      </c>
      <c r="E136" s="3" t="str">
        <f>VLOOKUP(B136,[1]LifeList!$E$2:$G$2036,2)</f>
        <v>Cassican flûteur</v>
      </c>
      <c r="F136" s="3" t="str">
        <f>VLOOKUP(B136,[1]LifeList!$E$2:$G$2036,3)</f>
        <v>Gymnorhina tibicen</v>
      </c>
      <c r="G136" s="3" t="str">
        <f>VLOOKUP(B136,[1]LifeList!$E$2:$I$2036,4)</f>
        <v>Passeriformes</v>
      </c>
      <c r="H136" s="3" t="str">
        <f>VLOOKUP(B136,[1]LifeList!$E$2:$I$2036,5)</f>
        <v>Artamidae (Woodswallows, Bellmagpies, and Allies)</v>
      </c>
    </row>
    <row r="137" spans="1:8" x14ac:dyDescent="0.15">
      <c r="A137" s="3" t="s">
        <v>130</v>
      </c>
      <c r="B137" s="3" t="s">
        <v>4010</v>
      </c>
      <c r="C137" s="3">
        <v>19793</v>
      </c>
      <c r="D137" s="3" t="str">
        <f>VLOOKUP(B137,[1]LifeList!$E$2:$G$2036,1)</f>
        <v>Australian Magpie</v>
      </c>
      <c r="E137" s="3" t="str">
        <f>VLOOKUP(B137,[1]LifeList!$E$2:$G$2036,2)</f>
        <v>Cassican flûteur</v>
      </c>
      <c r="F137" s="3" t="str">
        <f>VLOOKUP(B137,[1]LifeList!$E$2:$G$2036,3)</f>
        <v>Gymnorhina tibicen</v>
      </c>
      <c r="G137" s="3" t="str">
        <f>VLOOKUP(B137,[1]LifeList!$E$2:$I$2036,4)</f>
        <v>Passeriformes</v>
      </c>
      <c r="H137" s="3" t="str">
        <f>VLOOKUP(B137,[1]LifeList!$E$2:$I$2036,5)</f>
        <v>Artamidae (Woodswallows, Bellmagpies, and Allies)</v>
      </c>
    </row>
    <row r="138" spans="1:8" x14ac:dyDescent="0.15">
      <c r="A138" s="3" t="s">
        <v>123</v>
      </c>
      <c r="B138" s="3" t="s">
        <v>4011</v>
      </c>
      <c r="C138" s="3">
        <v>7801</v>
      </c>
      <c r="D138" s="3" t="str">
        <f>VLOOKUP(B138,[1]LifeList!$E$2:$G$2036,1)</f>
        <v>Australian Pelican</v>
      </c>
      <c r="E138" s="3" t="str">
        <f>VLOOKUP(B138,[1]LifeList!$E$2:$G$2036,2)</f>
        <v>Pélican à lunettes</v>
      </c>
      <c r="F138" s="3" t="str">
        <f>VLOOKUP(B138,[1]LifeList!$E$2:$G$2036,3)</f>
        <v>Pelecanus conspicillatus</v>
      </c>
      <c r="G138" s="3" t="str">
        <f>VLOOKUP(B138,[1]LifeList!$E$2:$I$2036,4)</f>
        <v>Pelecaniformes</v>
      </c>
      <c r="H138" s="3" t="str">
        <f>VLOOKUP(B138,[1]LifeList!$E$2:$I$2036,5)</f>
        <v>Pelecanidae (Pelicans)</v>
      </c>
    </row>
    <row r="139" spans="1:8" x14ac:dyDescent="0.15">
      <c r="A139" s="3" t="s">
        <v>124</v>
      </c>
      <c r="B139" s="3" t="s">
        <v>4011</v>
      </c>
      <c r="C139" s="3">
        <v>7801</v>
      </c>
      <c r="D139" s="3" t="str">
        <f>VLOOKUP(B139,[1]LifeList!$E$2:$G$2036,1)</f>
        <v>Australian Pelican</v>
      </c>
      <c r="E139" s="3" t="str">
        <f>VLOOKUP(B139,[1]LifeList!$E$2:$G$2036,2)</f>
        <v>Pélican à lunettes</v>
      </c>
      <c r="F139" s="3" t="str">
        <f>VLOOKUP(B139,[1]LifeList!$E$2:$G$2036,3)</f>
        <v>Pelecanus conspicillatus</v>
      </c>
      <c r="G139" s="3" t="str">
        <f>VLOOKUP(B139,[1]LifeList!$E$2:$I$2036,4)</f>
        <v>Pelecaniformes</v>
      </c>
      <c r="H139" s="3" t="str">
        <f>VLOOKUP(B139,[1]LifeList!$E$2:$I$2036,5)</f>
        <v>Pelecanidae (Pelicans)</v>
      </c>
    </row>
    <row r="140" spans="1:8" x14ac:dyDescent="0.15">
      <c r="A140" s="3" t="s">
        <v>125</v>
      </c>
      <c r="B140" s="3" t="s">
        <v>4012</v>
      </c>
      <c r="C140" s="3">
        <v>31738</v>
      </c>
      <c r="D140" s="3" t="str">
        <f>VLOOKUP(B140,[1]LifeList!$E$2:$G$2036,1)</f>
        <v>Australian Pipit</v>
      </c>
      <c r="E140" s="3" t="str">
        <f>VLOOKUP(B140,[1]LifeList!$E$2:$G$2036,2)</f>
        <v>Pipit d'Australie</v>
      </c>
      <c r="F140" s="3" t="str">
        <f>VLOOKUP(B140,[1]LifeList!$E$2:$G$2036,3)</f>
        <v>Anthus australis</v>
      </c>
      <c r="G140" s="3" t="str">
        <f>VLOOKUP(B140,[1]LifeList!$E$2:$I$2036,4)</f>
        <v>Passeriformes</v>
      </c>
      <c r="H140" s="3" t="str">
        <f>VLOOKUP(B140,[1]LifeList!$E$2:$I$2036,5)</f>
        <v>Motacillidae (Wagtails and Pipits)</v>
      </c>
    </row>
    <row r="141" spans="1:8" x14ac:dyDescent="0.15">
      <c r="A141" s="3" t="s">
        <v>126</v>
      </c>
      <c r="B141" s="3" t="s">
        <v>4012</v>
      </c>
      <c r="C141" s="3">
        <v>31738</v>
      </c>
      <c r="D141" s="3" t="str">
        <f>VLOOKUP(B141,[1]LifeList!$E$2:$G$2036,1)</f>
        <v>Australian Pipit</v>
      </c>
      <c r="E141" s="3" t="str">
        <f>VLOOKUP(B141,[1]LifeList!$E$2:$G$2036,2)</f>
        <v>Pipit d'Australie</v>
      </c>
      <c r="F141" s="3" t="str">
        <f>VLOOKUP(B141,[1]LifeList!$E$2:$G$2036,3)</f>
        <v>Anthus australis</v>
      </c>
      <c r="G141" s="3" t="str">
        <f>VLOOKUP(B141,[1]LifeList!$E$2:$I$2036,4)</f>
        <v>Passeriformes</v>
      </c>
      <c r="H141" s="3" t="str">
        <f>VLOOKUP(B141,[1]LifeList!$E$2:$I$2036,5)</f>
        <v>Motacillidae (Wagtails and Pipits)</v>
      </c>
    </row>
    <row r="142" spans="1:8" x14ac:dyDescent="0.15">
      <c r="A142" s="3" t="s">
        <v>127</v>
      </c>
      <c r="B142" s="3" t="s">
        <v>3741</v>
      </c>
      <c r="C142" s="3">
        <v>23728</v>
      </c>
      <c r="D142" s="3" t="str">
        <f>VLOOKUP(B142,[1]LifeList!$E$2:$G$2036,1)</f>
        <v>Australian Reed Warbler</v>
      </c>
      <c r="E142" s="3" t="str">
        <f>VLOOKUP(B142,[1]LifeList!$E$2:$G$2036,2)</f>
        <v>Rousserolle d'Australie</v>
      </c>
      <c r="F142" s="3" t="str">
        <f>VLOOKUP(B142,[1]LifeList!$E$2:$G$2036,3)</f>
        <v>Acrocephalus australis</v>
      </c>
      <c r="G142" s="3" t="str">
        <f>VLOOKUP(B142,[1]LifeList!$E$2:$I$2036,4)</f>
        <v>Passeriformes</v>
      </c>
      <c r="H142" s="3" t="str">
        <f>VLOOKUP(B142,[1]LifeList!$E$2:$I$2036,5)</f>
        <v>Acrocephalidae (Reed Warblers and Allies)</v>
      </c>
    </row>
    <row r="143" spans="1:8" x14ac:dyDescent="0.15">
      <c r="A143" s="3" t="s">
        <v>128</v>
      </c>
      <c r="B143" s="3" t="s">
        <v>3742</v>
      </c>
      <c r="C143" s="3">
        <v>20338</v>
      </c>
      <c r="D143" s="3" t="str">
        <f>VLOOKUP(B143,[1]LifeList!$E$2:$G$2036,1)</f>
        <v>Australian Rufous Fantail</v>
      </c>
      <c r="E143" s="3" t="str">
        <f>VLOOKUP(B143,[1]LifeList!$E$2:$G$2036,2)</f>
        <v>Rhipidure roux</v>
      </c>
      <c r="F143" s="3" t="str">
        <f>VLOOKUP(B143,[1]LifeList!$E$2:$G$2036,3)</f>
        <v>Rhipidura rufifrons</v>
      </c>
      <c r="G143" s="3" t="str">
        <f>VLOOKUP(B143,[1]LifeList!$E$2:$I$2036,4)</f>
        <v>Passeriformes</v>
      </c>
      <c r="H143" s="3" t="str">
        <f>VLOOKUP(B143,[1]LifeList!$E$2:$I$2036,5)</f>
        <v>Rhipiduridae (Fantails)</v>
      </c>
    </row>
    <row r="144" spans="1:8" x14ac:dyDescent="0.15">
      <c r="A144" s="3" t="s">
        <v>129</v>
      </c>
      <c r="B144" s="3" t="s">
        <v>4013</v>
      </c>
      <c r="C144" s="3">
        <v>424</v>
      </c>
      <c r="D144" s="3" t="str">
        <f>VLOOKUP(B144,[1]LifeList!$E$2:$G$2036,1)</f>
        <v>Australian Shelduck</v>
      </c>
      <c r="E144" s="3" t="str">
        <f>VLOOKUP(B144,[1]LifeList!$E$2:$G$2036,2)</f>
        <v>Tadorne d'Australie</v>
      </c>
      <c r="F144" s="3" t="str">
        <f>VLOOKUP(B144,[1]LifeList!$E$2:$G$2036,3)</f>
        <v>Tadorna tadornoides</v>
      </c>
      <c r="G144" s="3" t="str">
        <f>VLOOKUP(B144,[1]LifeList!$E$2:$I$2036,4)</f>
        <v>Anseriformes</v>
      </c>
      <c r="H144" s="3" t="str">
        <f>VLOOKUP(B144,[1]LifeList!$E$2:$I$2036,5)</f>
        <v>Anatidae (Ducks, Geese, and Waterfowl)</v>
      </c>
    </row>
    <row r="145" spans="1:8" x14ac:dyDescent="0.15">
      <c r="A145" s="3" t="s">
        <v>131</v>
      </c>
      <c r="B145" s="3" t="s">
        <v>4014</v>
      </c>
      <c r="C145" s="3">
        <v>8367</v>
      </c>
      <c r="D145" s="3" t="str">
        <f>VLOOKUP(B145,[1]LifeList!$E$2:$G$2036,1)</f>
        <v>Bald Eagle</v>
      </c>
      <c r="E145" s="3" t="str">
        <f>VLOOKUP(B145,[1]LifeList!$E$2:$G$2036,2)</f>
        <v>Pygargue à tête blanche</v>
      </c>
      <c r="F145" s="3" t="str">
        <f>VLOOKUP(B145,[1]LifeList!$E$2:$G$2036,3)</f>
        <v>Haliaeetus leucocephalus</v>
      </c>
      <c r="G145" s="3" t="str">
        <f>VLOOKUP(B145,[1]LifeList!$E$2:$I$2036,4)</f>
        <v>Accipitriformes</v>
      </c>
      <c r="H145" s="3" t="str">
        <f>VLOOKUP(B145,[1]LifeList!$E$2:$I$2036,5)</f>
        <v>Accipitridae (Hawks, Eagles, and Kites)</v>
      </c>
    </row>
    <row r="146" spans="1:8" x14ac:dyDescent="0.15">
      <c r="A146" s="3" t="s">
        <v>132</v>
      </c>
      <c r="B146" s="3" t="s">
        <v>4014</v>
      </c>
      <c r="C146" s="3">
        <v>8367</v>
      </c>
      <c r="D146" s="3" t="str">
        <f>VLOOKUP(B146,[1]LifeList!$E$2:$G$2036,1)</f>
        <v>Bald Eagle</v>
      </c>
      <c r="E146" s="3" t="str">
        <f>VLOOKUP(B146,[1]LifeList!$E$2:$G$2036,2)</f>
        <v>Pygargue à tête blanche</v>
      </c>
      <c r="F146" s="3" t="str">
        <f>VLOOKUP(B146,[1]LifeList!$E$2:$G$2036,3)</f>
        <v>Haliaeetus leucocephalus</v>
      </c>
      <c r="G146" s="3" t="str">
        <f>VLOOKUP(B146,[1]LifeList!$E$2:$I$2036,4)</f>
        <v>Accipitriformes</v>
      </c>
      <c r="H146" s="3" t="str">
        <f>VLOOKUP(B146,[1]LifeList!$E$2:$I$2036,5)</f>
        <v>Accipitridae (Hawks, Eagles, and Kites)</v>
      </c>
    </row>
    <row r="147" spans="1:8" x14ac:dyDescent="0.15">
      <c r="A147" s="3" t="s">
        <v>133</v>
      </c>
      <c r="B147" s="3" t="s">
        <v>4014</v>
      </c>
      <c r="C147" s="3">
        <v>8367</v>
      </c>
      <c r="D147" s="3" t="str">
        <f>VLOOKUP(B147,[1]LifeList!$E$2:$G$2036,1)</f>
        <v>Bald Eagle</v>
      </c>
      <c r="E147" s="3" t="str">
        <f>VLOOKUP(B147,[1]LifeList!$E$2:$G$2036,2)</f>
        <v>Pygargue à tête blanche</v>
      </c>
      <c r="F147" s="3" t="str">
        <f>VLOOKUP(B147,[1]LifeList!$E$2:$G$2036,3)</f>
        <v>Haliaeetus leucocephalus</v>
      </c>
      <c r="G147" s="3" t="str">
        <f>VLOOKUP(B147,[1]LifeList!$E$2:$I$2036,4)</f>
        <v>Accipitriformes</v>
      </c>
      <c r="H147" s="3" t="str">
        <f>VLOOKUP(B147,[1]LifeList!$E$2:$I$2036,5)</f>
        <v>Accipitridae (Hawks, Eagles, and Kites)</v>
      </c>
    </row>
    <row r="148" spans="1:8" x14ac:dyDescent="0.15">
      <c r="A148" s="3" t="s">
        <v>134</v>
      </c>
      <c r="B148" s="3" t="s">
        <v>4014</v>
      </c>
      <c r="C148" s="3">
        <v>8367</v>
      </c>
      <c r="D148" s="3" t="str">
        <f>VLOOKUP(B148,[1]LifeList!$E$2:$G$2036,1)</f>
        <v>Bald Eagle</v>
      </c>
      <c r="E148" s="3" t="str">
        <f>VLOOKUP(B148,[1]LifeList!$E$2:$G$2036,2)</f>
        <v>Pygargue à tête blanche</v>
      </c>
      <c r="F148" s="3" t="str">
        <f>VLOOKUP(B148,[1]LifeList!$E$2:$G$2036,3)</f>
        <v>Haliaeetus leucocephalus</v>
      </c>
      <c r="G148" s="3" t="str">
        <f>VLOOKUP(B148,[1]LifeList!$E$2:$I$2036,4)</f>
        <v>Accipitriformes</v>
      </c>
      <c r="H148" s="3" t="str">
        <f>VLOOKUP(B148,[1]LifeList!$E$2:$I$2036,5)</f>
        <v>Accipitridae (Hawks, Eagles, and Kites)</v>
      </c>
    </row>
    <row r="149" spans="1:8" x14ac:dyDescent="0.15">
      <c r="A149" s="3" t="s">
        <v>135</v>
      </c>
      <c r="B149" s="3" t="s">
        <v>4014</v>
      </c>
      <c r="C149" s="3">
        <v>8367</v>
      </c>
      <c r="D149" s="3" t="str">
        <f>VLOOKUP(B149,[1]LifeList!$E$2:$G$2036,1)</f>
        <v>Bald Eagle</v>
      </c>
      <c r="E149" s="3" t="str">
        <f>VLOOKUP(B149,[1]LifeList!$E$2:$G$2036,2)</f>
        <v>Pygargue à tête blanche</v>
      </c>
      <c r="F149" s="3" t="str">
        <f>VLOOKUP(B149,[1]LifeList!$E$2:$G$2036,3)</f>
        <v>Haliaeetus leucocephalus</v>
      </c>
      <c r="G149" s="3" t="str">
        <f>VLOOKUP(B149,[1]LifeList!$E$2:$I$2036,4)</f>
        <v>Accipitriformes</v>
      </c>
      <c r="H149" s="3" t="str">
        <f>VLOOKUP(B149,[1]LifeList!$E$2:$I$2036,5)</f>
        <v>Accipitridae (Hawks, Eagles, and Kites)</v>
      </c>
    </row>
    <row r="150" spans="1:8" x14ac:dyDescent="0.15">
      <c r="A150" s="3" t="s">
        <v>136</v>
      </c>
      <c r="B150" s="3" t="s">
        <v>4014</v>
      </c>
      <c r="C150" s="3">
        <v>8367</v>
      </c>
      <c r="D150" s="3" t="str">
        <f>VLOOKUP(B150,[1]LifeList!$E$2:$G$2036,1)</f>
        <v>Bald Eagle</v>
      </c>
      <c r="E150" s="3" t="str">
        <f>VLOOKUP(B150,[1]LifeList!$E$2:$G$2036,2)</f>
        <v>Pygargue à tête blanche</v>
      </c>
      <c r="F150" s="3" t="str">
        <f>VLOOKUP(B150,[1]LifeList!$E$2:$G$2036,3)</f>
        <v>Haliaeetus leucocephalus</v>
      </c>
      <c r="G150" s="3" t="str">
        <f>VLOOKUP(B150,[1]LifeList!$E$2:$I$2036,4)</f>
        <v>Accipitriformes</v>
      </c>
      <c r="H150" s="3" t="str">
        <f>VLOOKUP(B150,[1]LifeList!$E$2:$I$2036,5)</f>
        <v>Accipitridae (Hawks, Eagles, and Kites)</v>
      </c>
    </row>
    <row r="151" spans="1:8" x14ac:dyDescent="0.15">
      <c r="A151" s="3" t="s">
        <v>137</v>
      </c>
      <c r="B151" s="3" t="s">
        <v>4015</v>
      </c>
      <c r="C151" s="3">
        <v>33770</v>
      </c>
      <c r="D151" s="3" t="str">
        <f>VLOOKUP(B151,[1]LifeList!$E$2:$G$2036,1)</f>
        <v>Baltimore Oriole</v>
      </c>
      <c r="E151" s="3" t="str">
        <f>VLOOKUP(B151,[1]LifeList!$E$2:$G$2036,2)</f>
        <v>Oriole de Baltimore</v>
      </c>
      <c r="F151" s="3" t="str">
        <f>VLOOKUP(B151,[1]LifeList!$E$2:$G$2036,3)</f>
        <v>Icterus galbula</v>
      </c>
      <c r="G151" s="3" t="str">
        <f>VLOOKUP(B151,[1]LifeList!$E$2:$I$2036,4)</f>
        <v>Passeriformes</v>
      </c>
      <c r="H151" s="3" t="str">
        <f>VLOOKUP(B151,[1]LifeList!$E$2:$I$2036,5)</f>
        <v>Icteridae (Troupials and Allies)</v>
      </c>
    </row>
    <row r="152" spans="1:8" x14ac:dyDescent="0.15">
      <c r="A152" s="3" t="s">
        <v>138</v>
      </c>
      <c r="B152" s="3" t="s">
        <v>4015</v>
      </c>
      <c r="C152" s="3">
        <v>33770</v>
      </c>
      <c r="D152" s="3" t="str">
        <f>VLOOKUP(B152,[1]LifeList!$E$2:$G$2036,1)</f>
        <v>Baltimore Oriole</v>
      </c>
      <c r="E152" s="3" t="str">
        <f>VLOOKUP(B152,[1]LifeList!$E$2:$G$2036,2)</f>
        <v>Oriole de Baltimore</v>
      </c>
      <c r="F152" s="3" t="str">
        <f>VLOOKUP(B152,[1]LifeList!$E$2:$G$2036,3)</f>
        <v>Icterus galbula</v>
      </c>
      <c r="G152" s="3" t="str">
        <f>VLOOKUP(B152,[1]LifeList!$E$2:$I$2036,4)</f>
        <v>Passeriformes</v>
      </c>
      <c r="H152" s="3" t="str">
        <f>VLOOKUP(B152,[1]LifeList!$E$2:$I$2036,5)</f>
        <v>Icteridae (Troupials and Allies)</v>
      </c>
    </row>
    <row r="153" spans="1:8" x14ac:dyDescent="0.15">
      <c r="A153" s="3" t="s">
        <v>139</v>
      </c>
      <c r="B153" s="3" t="s">
        <v>4015</v>
      </c>
      <c r="C153" s="3">
        <v>33770</v>
      </c>
      <c r="D153" s="3" t="str">
        <f>VLOOKUP(B153,[1]LifeList!$E$2:$G$2036,1)</f>
        <v>Baltimore Oriole</v>
      </c>
      <c r="E153" s="3" t="str">
        <f>VLOOKUP(B153,[1]LifeList!$E$2:$G$2036,2)</f>
        <v>Oriole de Baltimore</v>
      </c>
      <c r="F153" s="3" t="str">
        <f>VLOOKUP(B153,[1]LifeList!$E$2:$G$2036,3)</f>
        <v>Icterus galbula</v>
      </c>
      <c r="G153" s="3" t="str">
        <f>VLOOKUP(B153,[1]LifeList!$E$2:$I$2036,4)</f>
        <v>Passeriformes</v>
      </c>
      <c r="H153" s="3" t="str">
        <f>VLOOKUP(B153,[1]LifeList!$E$2:$I$2036,5)</f>
        <v>Icteridae (Troupials and Allies)</v>
      </c>
    </row>
    <row r="154" spans="1:8" x14ac:dyDescent="0.15">
      <c r="A154" s="3" t="s">
        <v>140</v>
      </c>
      <c r="B154" s="3" t="s">
        <v>4015</v>
      </c>
      <c r="C154" s="3">
        <v>33770</v>
      </c>
      <c r="D154" s="3" t="str">
        <f>VLOOKUP(B154,[1]LifeList!$E$2:$G$2036,1)</f>
        <v>Baltimore Oriole</v>
      </c>
      <c r="E154" s="3" t="str">
        <f>VLOOKUP(B154,[1]LifeList!$E$2:$G$2036,2)</f>
        <v>Oriole de Baltimore</v>
      </c>
      <c r="F154" s="3" t="str">
        <f>VLOOKUP(B154,[1]LifeList!$E$2:$G$2036,3)</f>
        <v>Icterus galbula</v>
      </c>
      <c r="G154" s="3" t="str">
        <f>VLOOKUP(B154,[1]LifeList!$E$2:$I$2036,4)</f>
        <v>Passeriformes</v>
      </c>
      <c r="H154" s="3" t="str">
        <f>VLOOKUP(B154,[1]LifeList!$E$2:$I$2036,5)</f>
        <v>Icteridae (Troupials and Allies)</v>
      </c>
    </row>
    <row r="155" spans="1:8" x14ac:dyDescent="0.15">
      <c r="A155" s="3" t="s">
        <v>141</v>
      </c>
      <c r="B155" s="3" t="s">
        <v>4016</v>
      </c>
      <c r="C155" s="3">
        <v>35644</v>
      </c>
      <c r="D155" s="3" t="str">
        <f>VLOOKUP(B155,[1]LifeList!$E$2:$G$2036,1)</f>
        <v>Bananaquit</v>
      </c>
      <c r="E155" s="3" t="str">
        <f>VLOOKUP(B155,[1]LifeList!$E$2:$G$2036,2)</f>
        <v>Sucrier à ventre jaune</v>
      </c>
      <c r="F155" s="3" t="str">
        <f>VLOOKUP(B155,[1]LifeList!$E$2:$G$2036,3)</f>
        <v>Coereba flaveola</v>
      </c>
      <c r="G155" s="3" t="str">
        <f>VLOOKUP(B155,[1]LifeList!$E$2:$I$2036,4)</f>
        <v>Passeriformes</v>
      </c>
      <c r="H155" s="3" t="str">
        <f>VLOOKUP(B155,[1]LifeList!$E$2:$I$2036,5)</f>
        <v>Thraupidae (Tanagers and Allies)</v>
      </c>
    </row>
    <row r="156" spans="1:8" x14ac:dyDescent="0.15">
      <c r="A156" s="3" t="s">
        <v>142</v>
      </c>
      <c r="B156" s="3" t="s">
        <v>4016</v>
      </c>
      <c r="C156" s="3">
        <v>35644</v>
      </c>
      <c r="D156" s="3" t="str">
        <f>VLOOKUP(B156,[1]LifeList!$E$2:$G$2036,1)</f>
        <v>Bananaquit</v>
      </c>
      <c r="E156" s="3" t="str">
        <f>VLOOKUP(B156,[1]LifeList!$E$2:$G$2036,2)</f>
        <v>Sucrier à ventre jaune</v>
      </c>
      <c r="F156" s="3" t="str">
        <f>VLOOKUP(B156,[1]LifeList!$E$2:$G$2036,3)</f>
        <v>Coereba flaveola</v>
      </c>
      <c r="G156" s="3" t="str">
        <f>VLOOKUP(B156,[1]LifeList!$E$2:$I$2036,4)</f>
        <v>Passeriformes</v>
      </c>
      <c r="H156" s="3" t="str">
        <f>VLOOKUP(B156,[1]LifeList!$E$2:$I$2036,5)</f>
        <v>Thraupidae (Tanagers and Allies)</v>
      </c>
    </row>
    <row r="157" spans="1:8" x14ac:dyDescent="0.15">
      <c r="A157" s="3" t="s">
        <v>143</v>
      </c>
      <c r="B157" s="3" t="s">
        <v>4016</v>
      </c>
      <c r="C157" s="3">
        <v>35644</v>
      </c>
      <c r="D157" s="3" t="str">
        <f>VLOOKUP(B157,[1]LifeList!$E$2:$G$2036,1)</f>
        <v>Bananaquit</v>
      </c>
      <c r="E157" s="3" t="str">
        <f>VLOOKUP(B157,[1]LifeList!$E$2:$G$2036,2)</f>
        <v>Sucrier à ventre jaune</v>
      </c>
      <c r="F157" s="3" t="str">
        <f>VLOOKUP(B157,[1]LifeList!$E$2:$G$2036,3)</f>
        <v>Coereba flaveola</v>
      </c>
      <c r="G157" s="3" t="str">
        <f>VLOOKUP(B157,[1]LifeList!$E$2:$I$2036,4)</f>
        <v>Passeriformes</v>
      </c>
      <c r="H157" s="3" t="str">
        <f>VLOOKUP(B157,[1]LifeList!$E$2:$I$2036,5)</f>
        <v>Thraupidae (Tanagers and Allies)</v>
      </c>
    </row>
    <row r="158" spans="1:8" x14ac:dyDescent="0.15">
      <c r="A158" s="3" t="s">
        <v>144</v>
      </c>
      <c r="B158" s="3" t="s">
        <v>4017</v>
      </c>
      <c r="C158" s="3">
        <v>27383</v>
      </c>
      <c r="D158" s="3" t="str">
        <f>VLOOKUP(B158,[1]LifeList!$E$2:$G$2036,1)</f>
        <v>Band-backed Wren</v>
      </c>
      <c r="E158" s="3" t="str">
        <f>VLOOKUP(B158,[1]LifeList!$E$2:$G$2036,2)</f>
        <v>Troglodyte zoné</v>
      </c>
      <c r="F158" s="3" t="str">
        <f>VLOOKUP(B158,[1]LifeList!$E$2:$G$2036,3)</f>
        <v>Campylorhynchus zonatus</v>
      </c>
      <c r="G158" s="3" t="str">
        <f>VLOOKUP(B158,[1]LifeList!$E$2:$I$2036,4)</f>
        <v>Passeriformes</v>
      </c>
      <c r="H158" s="3" t="str">
        <f>VLOOKUP(B158,[1]LifeList!$E$2:$I$2036,5)</f>
        <v>Troglodytidae (Wrens)</v>
      </c>
    </row>
    <row r="159" spans="1:8" x14ac:dyDescent="0.15">
      <c r="A159" s="3" t="s">
        <v>145</v>
      </c>
      <c r="B159" s="3" t="s">
        <v>4018</v>
      </c>
      <c r="C159" s="3">
        <v>873</v>
      </c>
      <c r="D159" s="3" t="str">
        <f>VLOOKUP(B159,[1]LifeList!$E$2:$G$2036,1)</f>
        <v>Band-tailed Guan</v>
      </c>
      <c r="E159" s="3" t="str">
        <f>VLOOKUP(B159,[1]LifeList!$E$2:$G$2036,2)</f>
        <v>Pénélope à queue barrée</v>
      </c>
      <c r="F159" s="3" t="str">
        <f>VLOOKUP(B159,[1]LifeList!$E$2:$G$2036,3)</f>
        <v>Penelope argyrotis</v>
      </c>
      <c r="G159" s="3" t="str">
        <f>VLOOKUP(B159,[1]LifeList!$E$2:$I$2036,4)</f>
        <v>Galliformes</v>
      </c>
      <c r="H159" s="3" t="str">
        <f>VLOOKUP(B159,[1]LifeList!$E$2:$I$2036,5)</f>
        <v>Cracidae (Guans, Chachalacas, and Curassows)</v>
      </c>
    </row>
    <row r="160" spans="1:8" x14ac:dyDescent="0.15">
      <c r="A160" s="3" t="s">
        <v>146</v>
      </c>
      <c r="B160" s="3" t="s">
        <v>4018</v>
      </c>
      <c r="C160" s="3">
        <v>873</v>
      </c>
      <c r="D160" s="3" t="str">
        <f>VLOOKUP(B160,[1]LifeList!$E$2:$G$2036,1)</f>
        <v>Band-tailed Guan</v>
      </c>
      <c r="E160" s="3" t="str">
        <f>VLOOKUP(B160,[1]LifeList!$E$2:$G$2036,2)</f>
        <v>Pénélope à queue barrée</v>
      </c>
      <c r="F160" s="3" t="str">
        <f>VLOOKUP(B160,[1]LifeList!$E$2:$G$2036,3)</f>
        <v>Penelope argyrotis</v>
      </c>
      <c r="G160" s="3" t="str">
        <f>VLOOKUP(B160,[1]LifeList!$E$2:$I$2036,4)</f>
        <v>Galliformes</v>
      </c>
      <c r="H160" s="3" t="str">
        <f>VLOOKUP(B160,[1]LifeList!$E$2:$I$2036,5)</f>
        <v>Cracidae (Guans, Chachalacas, and Curassows)</v>
      </c>
    </row>
    <row r="161" spans="1:8" x14ac:dyDescent="0.15">
      <c r="A161" s="3" t="s">
        <v>148</v>
      </c>
      <c r="B161" s="3" t="s">
        <v>4019</v>
      </c>
      <c r="C161" s="3">
        <v>1966</v>
      </c>
      <c r="D161" s="3" t="str">
        <f>VLOOKUP(B161,[1]LifeList!$E$2:$G$2036,1)</f>
        <v>Band-tailed Pigeon</v>
      </c>
      <c r="E161" s="3" t="str">
        <f>VLOOKUP(B161,[1]LifeList!$E$2:$G$2036,2)</f>
        <v>Pigeon à queue barrée</v>
      </c>
      <c r="F161" s="3" t="str">
        <f>VLOOKUP(B161,[1]LifeList!$E$2:$G$2036,3)</f>
        <v>Patagioenas fasciata</v>
      </c>
      <c r="G161" s="3" t="str">
        <f>VLOOKUP(B161,[1]LifeList!$E$2:$I$2036,4)</f>
        <v>Columbiformes</v>
      </c>
      <c r="H161" s="3" t="str">
        <f>VLOOKUP(B161,[1]LifeList!$E$2:$I$2036,5)</f>
        <v>Columbidae (Pigeons and Doves)</v>
      </c>
    </row>
    <row r="162" spans="1:8" x14ac:dyDescent="0.15">
      <c r="A162" s="3" t="s">
        <v>147</v>
      </c>
      <c r="B162" s="3" t="s">
        <v>4019</v>
      </c>
      <c r="C162" s="3">
        <v>1966</v>
      </c>
      <c r="D162" s="3" t="str">
        <f>VLOOKUP(B162,[1]LifeList!$E$2:$G$2036,1)</f>
        <v>Band-tailed Pigeon</v>
      </c>
      <c r="E162" s="3" t="str">
        <f>VLOOKUP(B162,[1]LifeList!$E$2:$G$2036,2)</f>
        <v>Pigeon à queue barrée</v>
      </c>
      <c r="F162" s="3" t="str">
        <f>VLOOKUP(B162,[1]LifeList!$E$2:$G$2036,3)</f>
        <v>Patagioenas fasciata</v>
      </c>
      <c r="G162" s="3" t="str">
        <f>VLOOKUP(B162,[1]LifeList!$E$2:$I$2036,4)</f>
        <v>Columbiformes</v>
      </c>
      <c r="H162" s="3" t="str">
        <f>VLOOKUP(B162,[1]LifeList!$E$2:$I$2036,5)</f>
        <v>Columbidae (Pigeons and Doves)</v>
      </c>
    </row>
    <row r="163" spans="1:8" x14ac:dyDescent="0.15">
      <c r="A163" s="3" t="s">
        <v>149</v>
      </c>
      <c r="B163" s="3" t="s">
        <v>4020</v>
      </c>
      <c r="C163" s="3">
        <v>6033</v>
      </c>
      <c r="D163" s="3" t="str">
        <f>VLOOKUP(B163,[1]LifeList!$E$2:$G$2036,1)</f>
        <v>Bar-tailed Godwit</v>
      </c>
      <c r="E163" s="3" t="str">
        <f>VLOOKUP(B163,[1]LifeList!$E$2:$G$2036,2)</f>
        <v>Barge rousse</v>
      </c>
      <c r="F163" s="3" t="str">
        <f>VLOOKUP(B163,[1]LifeList!$E$2:$G$2036,3)</f>
        <v>Limosa lapponica</v>
      </c>
      <c r="G163" s="3" t="str">
        <f>VLOOKUP(B163,[1]LifeList!$E$2:$I$2036,4)</f>
        <v>Charadriiformes</v>
      </c>
      <c r="H163" s="3" t="str">
        <f>VLOOKUP(B163,[1]LifeList!$E$2:$I$2036,5)</f>
        <v>Scolopacidae (Sandpipers and Allies)</v>
      </c>
    </row>
    <row r="164" spans="1:8" x14ac:dyDescent="0.15">
      <c r="A164" s="3" t="s">
        <v>150</v>
      </c>
      <c r="B164" s="3" t="s">
        <v>4021</v>
      </c>
      <c r="C164" s="3">
        <v>23050</v>
      </c>
      <c r="D164" s="3" t="str">
        <f>VLOOKUP(B164,[1]LifeList!$E$2:$G$2036,1)</f>
        <v>Bar-throated Apalis</v>
      </c>
      <c r="E164" s="3" t="str">
        <f>VLOOKUP(B164,[1]LifeList!$E$2:$G$2036,2)</f>
        <v>Apalis à collier</v>
      </c>
      <c r="F164" s="3" t="str">
        <f>VLOOKUP(B164,[1]LifeList!$E$2:$G$2036,3)</f>
        <v>Apalis thoracica</v>
      </c>
      <c r="G164" s="3" t="str">
        <f>VLOOKUP(B164,[1]LifeList!$E$2:$I$2036,4)</f>
        <v>Passeriformes</v>
      </c>
      <c r="H164" s="3" t="str">
        <f>VLOOKUP(B164,[1]LifeList!$E$2:$I$2036,5)</f>
        <v>Cisticolidae (Cisticolas and Allies)</v>
      </c>
    </row>
    <row r="165" spans="1:8" x14ac:dyDescent="0.15">
      <c r="A165" s="3" t="s">
        <v>151</v>
      </c>
      <c r="B165" s="3" t="s">
        <v>4022</v>
      </c>
      <c r="C165" s="3">
        <v>13979</v>
      </c>
      <c r="D165" s="3" t="str">
        <f>VLOOKUP(B165,[1]LifeList!$E$2:$G$2036,1)</f>
        <v>Bare-crowned Antbird</v>
      </c>
      <c r="E165" s="3" t="str">
        <f>VLOOKUP(B165,[1]LifeList!$E$2:$G$2036,2)</f>
        <v>Alapi à tête nue</v>
      </c>
      <c r="F165" s="3" t="str">
        <f>VLOOKUP(B165,[1]LifeList!$E$2:$G$2036,3)</f>
        <v>Gymnocichla nudiceps</v>
      </c>
      <c r="G165" s="3" t="str">
        <f>VLOOKUP(B165,[1]LifeList!$E$2:$I$2036,4)</f>
        <v>Passeriformes</v>
      </c>
      <c r="H165" s="3" t="str">
        <f>VLOOKUP(B165,[1]LifeList!$E$2:$I$2036,5)</f>
        <v>Thamnophilidae (Typical Antbirds)</v>
      </c>
    </row>
    <row r="166" spans="1:8" x14ac:dyDescent="0.15">
      <c r="A166" s="3" t="s">
        <v>152</v>
      </c>
      <c r="B166" s="3" t="s">
        <v>4022</v>
      </c>
      <c r="C166" s="3">
        <v>13979</v>
      </c>
      <c r="D166" s="3" t="str">
        <f>VLOOKUP(B166,[1]LifeList!$E$2:$G$2036,1)</f>
        <v>Bare-crowned Antbird</v>
      </c>
      <c r="E166" s="3" t="str">
        <f>VLOOKUP(B166,[1]LifeList!$E$2:$G$2036,2)</f>
        <v>Alapi à tête nue</v>
      </c>
      <c r="F166" s="3" t="str">
        <f>VLOOKUP(B166,[1]LifeList!$E$2:$G$2036,3)</f>
        <v>Gymnocichla nudiceps</v>
      </c>
      <c r="G166" s="3" t="str">
        <f>VLOOKUP(B166,[1]LifeList!$E$2:$I$2036,4)</f>
        <v>Passeriformes</v>
      </c>
      <c r="H166" s="3" t="str">
        <f>VLOOKUP(B166,[1]LifeList!$E$2:$I$2036,5)</f>
        <v>Thamnophilidae (Typical Antbirds)</v>
      </c>
    </row>
    <row r="167" spans="1:8" x14ac:dyDescent="0.15">
      <c r="A167" s="3" t="s">
        <v>153</v>
      </c>
      <c r="B167" s="3" t="s">
        <v>4023</v>
      </c>
      <c r="C167" s="3">
        <v>1952</v>
      </c>
      <c r="D167" s="3" t="str">
        <f>VLOOKUP(B167,[1]LifeList!$E$2:$G$2036,1)</f>
        <v>Bare-eyed Pigeon</v>
      </c>
      <c r="E167" s="3" t="str">
        <f>VLOOKUP(B167,[1]LifeList!$E$2:$G$2036,2)</f>
        <v>Pigeon jounud</v>
      </c>
      <c r="F167" s="3" t="str">
        <f>VLOOKUP(B167,[1]LifeList!$E$2:$G$2036,3)</f>
        <v>Patagioenas corensis</v>
      </c>
      <c r="G167" s="3" t="str">
        <f>VLOOKUP(B167,[1]LifeList!$E$2:$I$2036,4)</f>
        <v>Columbiformes</v>
      </c>
      <c r="H167" s="3" t="str">
        <f>VLOOKUP(B167,[1]LifeList!$E$2:$I$2036,5)</f>
        <v>Columbidae (Pigeons and Doves)</v>
      </c>
    </row>
    <row r="168" spans="1:8" x14ac:dyDescent="0.15">
      <c r="A168" s="3" t="s">
        <v>154</v>
      </c>
      <c r="B168" s="3" t="s">
        <v>4023</v>
      </c>
      <c r="C168" s="3">
        <v>1952</v>
      </c>
      <c r="D168" s="3" t="str">
        <f>VLOOKUP(B168,[1]LifeList!$E$2:$G$2036,1)</f>
        <v>Bare-eyed Pigeon</v>
      </c>
      <c r="E168" s="3" t="str">
        <f>VLOOKUP(B168,[1]LifeList!$E$2:$G$2036,2)</f>
        <v>Pigeon jounud</v>
      </c>
      <c r="F168" s="3" t="str">
        <f>VLOOKUP(B168,[1]LifeList!$E$2:$G$2036,3)</f>
        <v>Patagioenas corensis</v>
      </c>
      <c r="G168" s="3" t="str">
        <f>VLOOKUP(B168,[1]LifeList!$E$2:$I$2036,4)</f>
        <v>Columbiformes</v>
      </c>
      <c r="H168" s="3" t="str">
        <f>VLOOKUP(B168,[1]LifeList!$E$2:$I$2036,5)</f>
        <v>Columbidae (Pigeons and Doves)</v>
      </c>
    </row>
    <row r="169" spans="1:8" x14ac:dyDescent="0.15">
      <c r="A169" s="3" t="s">
        <v>155</v>
      </c>
      <c r="B169" s="3" t="s">
        <v>4024</v>
      </c>
      <c r="C169" s="3">
        <v>7478</v>
      </c>
      <c r="D169" s="3" t="str">
        <f>VLOOKUP(B169,[1]LifeList!$E$2:$G$2036,1)</f>
        <v>Bare-faced Ibis</v>
      </c>
      <c r="E169" s="3" t="str">
        <f>VLOOKUP(B169,[1]LifeList!$E$2:$G$2036,2)</f>
        <v>Ibis à face nue</v>
      </c>
      <c r="F169" s="3" t="str">
        <f>VLOOKUP(B169,[1]LifeList!$E$2:$G$2036,3)</f>
        <v>Phimosus infuscatus</v>
      </c>
      <c r="G169" s="3" t="str">
        <f>VLOOKUP(B169,[1]LifeList!$E$2:$I$2036,4)</f>
        <v>Pelecaniformes</v>
      </c>
      <c r="H169" s="3" t="str">
        <f>VLOOKUP(B169,[1]LifeList!$E$2:$I$2036,5)</f>
        <v>Threskiornithidae (Ibises and Spoonbills)</v>
      </c>
    </row>
    <row r="170" spans="1:8" x14ac:dyDescent="0.15">
      <c r="A170" s="3" t="s">
        <v>156</v>
      </c>
      <c r="B170" s="3" t="s">
        <v>4024</v>
      </c>
      <c r="C170" s="3">
        <v>7478</v>
      </c>
      <c r="D170" s="3" t="str">
        <f>VLOOKUP(B170,[1]LifeList!$E$2:$G$2036,1)</f>
        <v>Bare-faced Ibis</v>
      </c>
      <c r="E170" s="3" t="str">
        <f>VLOOKUP(B170,[1]LifeList!$E$2:$G$2036,2)</f>
        <v>Ibis à face nue</v>
      </c>
      <c r="F170" s="3" t="str">
        <f>VLOOKUP(B170,[1]LifeList!$E$2:$G$2036,3)</f>
        <v>Phimosus infuscatus</v>
      </c>
      <c r="G170" s="3" t="str">
        <f>VLOOKUP(B170,[1]LifeList!$E$2:$I$2036,4)</f>
        <v>Pelecaniformes</v>
      </c>
      <c r="H170" s="3" t="str">
        <f>VLOOKUP(B170,[1]LifeList!$E$2:$I$2036,5)</f>
        <v>Threskiornithidae (Ibises and Spoonbills)</v>
      </c>
    </row>
    <row r="171" spans="1:8" x14ac:dyDescent="0.15">
      <c r="A171" s="3" t="s">
        <v>157</v>
      </c>
      <c r="B171" s="3" t="s">
        <v>4024</v>
      </c>
      <c r="C171" s="3">
        <v>7478</v>
      </c>
      <c r="D171" s="3" t="str">
        <f>VLOOKUP(B171,[1]LifeList!$E$2:$G$2036,1)</f>
        <v>Bare-faced Ibis</v>
      </c>
      <c r="E171" s="3" t="str">
        <f>VLOOKUP(B171,[1]LifeList!$E$2:$G$2036,2)</f>
        <v>Ibis à face nue</v>
      </c>
      <c r="F171" s="3" t="str">
        <f>VLOOKUP(B171,[1]LifeList!$E$2:$G$2036,3)</f>
        <v>Phimosus infuscatus</v>
      </c>
      <c r="G171" s="3" t="str">
        <f>VLOOKUP(B171,[1]LifeList!$E$2:$I$2036,4)</f>
        <v>Pelecaniformes</v>
      </c>
      <c r="H171" s="3" t="str">
        <f>VLOOKUP(B171,[1]LifeList!$E$2:$I$2036,5)</f>
        <v>Threskiornithidae (Ibises and Spoonbills)</v>
      </c>
    </row>
    <row r="172" spans="1:8" x14ac:dyDescent="0.15">
      <c r="A172" s="3" t="s">
        <v>158</v>
      </c>
      <c r="B172" s="3" t="s">
        <v>4025</v>
      </c>
      <c r="C172" s="3">
        <v>7540</v>
      </c>
      <c r="D172" s="3" t="str">
        <f>VLOOKUP(B172,[1]LifeList!$E$2:$G$2036,1)</f>
        <v>Bare-throated Tiger-Heron</v>
      </c>
      <c r="E172" s="3" t="str">
        <f>VLOOKUP(B172,[1]LifeList!$E$2:$G$2036,2)</f>
        <v>Onoré du Mexique</v>
      </c>
      <c r="F172" s="3" t="str">
        <f>VLOOKUP(B172,[1]LifeList!$E$2:$G$2036,3)</f>
        <v>Tigrisoma mexicanum</v>
      </c>
      <c r="G172" s="3" t="str">
        <f>VLOOKUP(B172,[1]LifeList!$E$2:$I$2036,4)</f>
        <v>Pelecaniformes</v>
      </c>
      <c r="H172" s="3" t="str">
        <f>VLOOKUP(B172,[1]LifeList!$E$2:$I$2036,5)</f>
        <v>Ardeidae (Herons, Egrets, and Bitterns)</v>
      </c>
    </row>
    <row r="173" spans="1:8" x14ac:dyDescent="0.15">
      <c r="A173" s="3" t="s">
        <v>159</v>
      </c>
      <c r="B173" s="3" t="s">
        <v>4025</v>
      </c>
      <c r="C173" s="3">
        <v>7540</v>
      </c>
      <c r="D173" s="3" t="str">
        <f>VLOOKUP(B173,[1]LifeList!$E$2:$G$2036,1)</f>
        <v>Bare-throated Tiger-Heron</v>
      </c>
      <c r="E173" s="3" t="str">
        <f>VLOOKUP(B173,[1]LifeList!$E$2:$G$2036,2)</f>
        <v>Onoré du Mexique</v>
      </c>
      <c r="F173" s="3" t="str">
        <f>VLOOKUP(B173,[1]LifeList!$E$2:$G$2036,3)</f>
        <v>Tigrisoma mexicanum</v>
      </c>
      <c r="G173" s="3" t="str">
        <f>VLOOKUP(B173,[1]LifeList!$E$2:$I$2036,4)</f>
        <v>Pelecaniformes</v>
      </c>
      <c r="H173" s="3" t="str">
        <f>VLOOKUP(B173,[1]LifeList!$E$2:$I$2036,5)</f>
        <v>Ardeidae (Herons, Egrets, and Bitterns)</v>
      </c>
    </row>
    <row r="174" spans="1:8" x14ac:dyDescent="0.15">
      <c r="A174" s="3" t="s">
        <v>160</v>
      </c>
      <c r="B174" s="3" t="s">
        <v>4026</v>
      </c>
      <c r="C174" s="3">
        <v>24187</v>
      </c>
      <c r="D174" s="3" t="str">
        <f>VLOOKUP(B174,[1]LifeList!$E$2:$G$2036,1)</f>
        <v>Barn Swallow</v>
      </c>
      <c r="E174" s="3" t="str">
        <f>VLOOKUP(B174,[1]LifeList!$E$2:$G$2036,2)</f>
        <v>Hirondelle rustique</v>
      </c>
      <c r="F174" s="3" t="str">
        <f>VLOOKUP(B174,[1]LifeList!$E$2:$G$2036,3)</f>
        <v>Hirundo rustica</v>
      </c>
      <c r="G174" s="3" t="str">
        <f>VLOOKUP(B174,[1]LifeList!$E$2:$I$2036,4)</f>
        <v>Passeriformes</v>
      </c>
      <c r="H174" s="3" t="str">
        <f>VLOOKUP(B174,[1]LifeList!$E$2:$I$2036,5)</f>
        <v>Hirundinidae (Swallows)</v>
      </c>
    </row>
    <row r="175" spans="1:8" x14ac:dyDescent="0.15">
      <c r="A175" s="3" t="s">
        <v>161</v>
      </c>
      <c r="B175" s="3" t="s">
        <v>4026</v>
      </c>
      <c r="C175" s="3">
        <v>24187</v>
      </c>
      <c r="D175" s="3" t="str">
        <f>VLOOKUP(B175,[1]LifeList!$E$2:$G$2036,1)</f>
        <v>Barn Swallow</v>
      </c>
      <c r="E175" s="3" t="str">
        <f>VLOOKUP(B175,[1]LifeList!$E$2:$G$2036,2)</f>
        <v>Hirondelle rustique</v>
      </c>
      <c r="F175" s="3" t="str">
        <f>VLOOKUP(B175,[1]LifeList!$E$2:$G$2036,3)</f>
        <v>Hirundo rustica</v>
      </c>
      <c r="G175" s="3" t="str">
        <f>VLOOKUP(B175,[1]LifeList!$E$2:$I$2036,4)</f>
        <v>Passeriformes</v>
      </c>
      <c r="H175" s="3" t="str">
        <f>VLOOKUP(B175,[1]LifeList!$E$2:$I$2036,5)</f>
        <v>Hirundinidae (Swallows)</v>
      </c>
    </row>
    <row r="176" spans="1:8" x14ac:dyDescent="0.15">
      <c r="A176" s="3" t="s">
        <v>162</v>
      </c>
      <c r="B176" s="3" t="s">
        <v>4026</v>
      </c>
      <c r="C176" s="3">
        <v>24187</v>
      </c>
      <c r="D176" s="3" t="str">
        <f>VLOOKUP(B176,[1]LifeList!$E$2:$G$2036,1)</f>
        <v>Barn Swallow</v>
      </c>
      <c r="E176" s="3" t="str">
        <f>VLOOKUP(B176,[1]LifeList!$E$2:$G$2036,2)</f>
        <v>Hirondelle rustique</v>
      </c>
      <c r="F176" s="3" t="str">
        <f>VLOOKUP(B176,[1]LifeList!$E$2:$G$2036,3)</f>
        <v>Hirundo rustica</v>
      </c>
      <c r="G176" s="3" t="str">
        <f>VLOOKUP(B176,[1]LifeList!$E$2:$I$2036,4)</f>
        <v>Passeriformes</v>
      </c>
      <c r="H176" s="3" t="str">
        <f>VLOOKUP(B176,[1]LifeList!$E$2:$I$2036,5)</f>
        <v>Hirundinidae (Swallows)</v>
      </c>
    </row>
    <row r="177" spans="1:8" x14ac:dyDescent="0.15">
      <c r="A177" s="3" t="s">
        <v>164</v>
      </c>
      <c r="B177" s="3" t="s">
        <v>4027</v>
      </c>
      <c r="C177" s="3">
        <v>13491</v>
      </c>
      <c r="D177" s="3" t="str">
        <f>VLOOKUP(B177,[1]LifeList!$E$2:$G$2036,1)</f>
        <v>Barred Antshrike</v>
      </c>
      <c r="E177" s="3" t="str">
        <f>VLOOKUP(B177,[1]LifeList!$E$2:$G$2036,2)</f>
        <v>Batara rayé</v>
      </c>
      <c r="F177" s="3" t="str">
        <f>VLOOKUP(B177,[1]LifeList!$E$2:$G$2036,3)</f>
        <v>Thamnophilus doliatus</v>
      </c>
      <c r="G177" s="3" t="str">
        <f>VLOOKUP(B177,[1]LifeList!$E$2:$I$2036,4)</f>
        <v>Passeriformes</v>
      </c>
      <c r="H177" s="3" t="str">
        <f>VLOOKUP(B177,[1]LifeList!$E$2:$I$2036,5)</f>
        <v>Thamnophilidae (Typical Antbirds)</v>
      </c>
    </row>
    <row r="178" spans="1:8" x14ac:dyDescent="0.15">
      <c r="A178" s="3" t="s">
        <v>165</v>
      </c>
      <c r="B178" s="3" t="s">
        <v>4027</v>
      </c>
      <c r="C178" s="3">
        <v>13491</v>
      </c>
      <c r="D178" s="3" t="str">
        <f>VLOOKUP(B178,[1]LifeList!$E$2:$G$2036,1)</f>
        <v>Barred Antshrike</v>
      </c>
      <c r="E178" s="3" t="str">
        <f>VLOOKUP(B178,[1]LifeList!$E$2:$G$2036,2)</f>
        <v>Batara rayé</v>
      </c>
      <c r="F178" s="3" t="str">
        <f>VLOOKUP(B178,[1]LifeList!$E$2:$G$2036,3)</f>
        <v>Thamnophilus doliatus</v>
      </c>
      <c r="G178" s="3" t="str">
        <f>VLOOKUP(B178,[1]LifeList!$E$2:$I$2036,4)</f>
        <v>Passeriformes</v>
      </c>
      <c r="H178" s="3" t="str">
        <f>VLOOKUP(B178,[1]LifeList!$E$2:$I$2036,5)</f>
        <v>Thamnophilidae (Typical Antbirds)</v>
      </c>
    </row>
    <row r="179" spans="1:8" x14ac:dyDescent="0.15">
      <c r="A179" s="3" t="s">
        <v>166</v>
      </c>
      <c r="B179" s="3" t="s">
        <v>4027</v>
      </c>
      <c r="C179" s="3">
        <v>13491</v>
      </c>
      <c r="D179" s="3" t="str">
        <f>VLOOKUP(B179,[1]LifeList!$E$2:$G$2036,1)</f>
        <v>Barred Antshrike</v>
      </c>
      <c r="E179" s="3" t="str">
        <f>VLOOKUP(B179,[1]LifeList!$E$2:$G$2036,2)</f>
        <v>Batara rayé</v>
      </c>
      <c r="F179" s="3" t="str">
        <f>VLOOKUP(B179,[1]LifeList!$E$2:$G$2036,3)</f>
        <v>Thamnophilus doliatus</v>
      </c>
      <c r="G179" s="3" t="str">
        <f>VLOOKUP(B179,[1]LifeList!$E$2:$I$2036,4)</f>
        <v>Passeriformes</v>
      </c>
      <c r="H179" s="3" t="str">
        <f>VLOOKUP(B179,[1]LifeList!$E$2:$I$2036,5)</f>
        <v>Thamnophilidae (Typical Antbirds)</v>
      </c>
    </row>
    <row r="180" spans="1:8" x14ac:dyDescent="0.15">
      <c r="A180" s="3" t="s">
        <v>163</v>
      </c>
      <c r="B180" s="3" t="s">
        <v>4027</v>
      </c>
      <c r="C180" s="3">
        <v>13491</v>
      </c>
      <c r="D180" s="3" t="str">
        <f>VLOOKUP(B180,[1]LifeList!$E$2:$G$2036,1)</f>
        <v>Barred Antshrike</v>
      </c>
      <c r="E180" s="3" t="str">
        <f>VLOOKUP(B180,[1]LifeList!$E$2:$G$2036,2)</f>
        <v>Batara rayé</v>
      </c>
      <c r="F180" s="3" t="str">
        <f>VLOOKUP(B180,[1]LifeList!$E$2:$G$2036,3)</f>
        <v>Thamnophilus doliatus</v>
      </c>
      <c r="G180" s="3" t="str">
        <f>VLOOKUP(B180,[1]LifeList!$E$2:$I$2036,4)</f>
        <v>Passeriformes</v>
      </c>
      <c r="H180" s="3" t="str">
        <f>VLOOKUP(B180,[1]LifeList!$E$2:$I$2036,5)</f>
        <v>Thamnophilidae (Typical Antbirds)</v>
      </c>
    </row>
    <row r="181" spans="1:8" x14ac:dyDescent="0.15">
      <c r="A181" s="3" t="s">
        <v>167</v>
      </c>
      <c r="B181" s="3" t="s">
        <v>4028</v>
      </c>
      <c r="C181" s="3">
        <v>9219</v>
      </c>
      <c r="D181" s="3" t="str">
        <f>VLOOKUP(B181,[1]LifeList!$E$2:$G$2036,1)</f>
        <v>Barred Owl</v>
      </c>
      <c r="E181" s="3" t="str">
        <f>VLOOKUP(B181,[1]LifeList!$E$2:$G$2036,2)</f>
        <v>Chouette rayée</v>
      </c>
      <c r="F181" s="3" t="str">
        <f>VLOOKUP(B181,[1]LifeList!$E$2:$G$2036,3)</f>
        <v>Strix varia</v>
      </c>
      <c r="G181" s="3" t="str">
        <f>VLOOKUP(B181,[1]LifeList!$E$2:$I$2036,4)</f>
        <v>Strigiformes</v>
      </c>
      <c r="H181" s="3" t="str">
        <f>VLOOKUP(B181,[1]LifeList!$E$2:$I$2036,5)</f>
        <v>Strigidae (Owls)</v>
      </c>
    </row>
    <row r="182" spans="1:8" x14ac:dyDescent="0.15">
      <c r="A182" s="3" t="s">
        <v>168</v>
      </c>
      <c r="B182" s="3" t="s">
        <v>4028</v>
      </c>
      <c r="C182" s="3">
        <v>9219</v>
      </c>
      <c r="D182" s="3" t="str">
        <f>VLOOKUP(B182,[1]LifeList!$E$2:$G$2036,1)</f>
        <v>Barred Owl</v>
      </c>
      <c r="E182" s="3" t="str">
        <f>VLOOKUP(B182,[1]LifeList!$E$2:$G$2036,2)</f>
        <v>Chouette rayée</v>
      </c>
      <c r="F182" s="3" t="str">
        <f>VLOOKUP(B182,[1]LifeList!$E$2:$G$2036,3)</f>
        <v>Strix varia</v>
      </c>
      <c r="G182" s="3" t="str">
        <f>VLOOKUP(B182,[1]LifeList!$E$2:$I$2036,4)</f>
        <v>Strigiformes</v>
      </c>
      <c r="H182" s="3" t="str">
        <f>VLOOKUP(B182,[1]LifeList!$E$2:$I$2036,5)</f>
        <v>Strigidae (Owls)</v>
      </c>
    </row>
    <row r="183" spans="1:8" x14ac:dyDescent="0.15">
      <c r="A183" s="3" t="s">
        <v>169</v>
      </c>
      <c r="B183" s="3" t="s">
        <v>4028</v>
      </c>
      <c r="C183" s="3">
        <v>9219</v>
      </c>
      <c r="D183" s="3" t="str">
        <f>VLOOKUP(B183,[1]LifeList!$E$2:$G$2036,1)</f>
        <v>Barred Owl</v>
      </c>
      <c r="E183" s="3" t="str">
        <f>VLOOKUP(B183,[1]LifeList!$E$2:$G$2036,2)</f>
        <v>Chouette rayée</v>
      </c>
      <c r="F183" s="3" t="str">
        <f>VLOOKUP(B183,[1]LifeList!$E$2:$G$2036,3)</f>
        <v>Strix varia</v>
      </c>
      <c r="G183" s="3" t="str">
        <f>VLOOKUP(B183,[1]LifeList!$E$2:$I$2036,4)</f>
        <v>Strigiformes</v>
      </c>
      <c r="H183" s="3" t="str">
        <f>VLOOKUP(B183,[1]LifeList!$E$2:$I$2036,5)</f>
        <v>Strigidae (Owls)</v>
      </c>
    </row>
    <row r="184" spans="1:8" x14ac:dyDescent="0.15">
      <c r="A184" s="3" t="s">
        <v>170</v>
      </c>
      <c r="B184" s="3" t="s">
        <v>4028</v>
      </c>
      <c r="C184" s="3">
        <v>9219</v>
      </c>
      <c r="D184" s="3" t="str">
        <f>VLOOKUP(B184,[1]LifeList!$E$2:$G$2036,1)</f>
        <v>Barred Owl</v>
      </c>
      <c r="E184" s="3" t="str">
        <f>VLOOKUP(B184,[1]LifeList!$E$2:$G$2036,2)</f>
        <v>Chouette rayée</v>
      </c>
      <c r="F184" s="3" t="str">
        <f>VLOOKUP(B184,[1]LifeList!$E$2:$G$2036,3)</f>
        <v>Strix varia</v>
      </c>
      <c r="G184" s="3" t="str">
        <f>VLOOKUP(B184,[1]LifeList!$E$2:$I$2036,4)</f>
        <v>Strigiformes</v>
      </c>
      <c r="H184" s="3" t="str">
        <f>VLOOKUP(B184,[1]LifeList!$E$2:$I$2036,5)</f>
        <v>Strigidae (Owls)</v>
      </c>
    </row>
    <row r="185" spans="1:8" x14ac:dyDescent="0.15">
      <c r="A185" s="3" t="s">
        <v>171</v>
      </c>
      <c r="B185" s="3" t="s">
        <v>4028</v>
      </c>
      <c r="C185" s="3">
        <v>9219</v>
      </c>
      <c r="D185" s="3" t="str">
        <f>VLOOKUP(B185,[1]LifeList!$E$2:$G$2036,1)</f>
        <v>Barred Owl</v>
      </c>
      <c r="E185" s="3" t="str">
        <f>VLOOKUP(B185,[1]LifeList!$E$2:$G$2036,2)</f>
        <v>Chouette rayée</v>
      </c>
      <c r="F185" s="3" t="str">
        <f>VLOOKUP(B185,[1]LifeList!$E$2:$G$2036,3)</f>
        <v>Strix varia</v>
      </c>
      <c r="G185" s="3" t="str">
        <f>VLOOKUP(B185,[1]LifeList!$E$2:$I$2036,4)</f>
        <v>Strigiformes</v>
      </c>
      <c r="H185" s="3" t="str">
        <f>VLOOKUP(B185,[1]LifeList!$E$2:$I$2036,5)</f>
        <v>Strigidae (Owls)</v>
      </c>
    </row>
    <row r="186" spans="1:8" x14ac:dyDescent="0.15">
      <c r="A186" s="3" t="s">
        <v>173</v>
      </c>
      <c r="B186" s="3" t="s">
        <v>4029</v>
      </c>
      <c r="C186" s="3">
        <v>10396</v>
      </c>
      <c r="D186" s="3" t="str">
        <f>VLOOKUP(B186,[1]LifeList!$E$2:$G$2036,1)</f>
        <v>Barred Puffbird</v>
      </c>
      <c r="E186" s="3" t="str">
        <f>VLOOKUP(B186,[1]LifeList!$E$2:$G$2036,2)</f>
        <v>Tamatia barré</v>
      </c>
      <c r="F186" s="3" t="str">
        <f>VLOOKUP(B186,[1]LifeList!$E$2:$G$2036,3)</f>
        <v>Nystalus radiatus</v>
      </c>
      <c r="G186" s="3" t="str">
        <f>VLOOKUP(B186,[1]LifeList!$E$2:$I$2036,4)</f>
        <v>Piciformes</v>
      </c>
      <c r="H186" s="3" t="str">
        <f>VLOOKUP(B186,[1]LifeList!$E$2:$I$2036,5)</f>
        <v>Bucconidae (Puffbirds)</v>
      </c>
    </row>
    <row r="187" spans="1:8" x14ac:dyDescent="0.15">
      <c r="A187" s="3" t="s">
        <v>174</v>
      </c>
      <c r="B187" s="3" t="s">
        <v>4029</v>
      </c>
      <c r="C187" s="3">
        <v>10396</v>
      </c>
      <c r="D187" s="3" t="str">
        <f>VLOOKUP(B187,[1]LifeList!$E$2:$G$2036,1)</f>
        <v>Barred Puffbird</v>
      </c>
      <c r="E187" s="3" t="str">
        <f>VLOOKUP(B187,[1]LifeList!$E$2:$G$2036,2)</f>
        <v>Tamatia barré</v>
      </c>
      <c r="F187" s="3" t="str">
        <f>VLOOKUP(B187,[1]LifeList!$E$2:$G$2036,3)</f>
        <v>Nystalus radiatus</v>
      </c>
      <c r="G187" s="3" t="str">
        <f>VLOOKUP(B187,[1]LifeList!$E$2:$I$2036,4)</f>
        <v>Piciformes</v>
      </c>
      <c r="H187" s="3" t="str">
        <f>VLOOKUP(B187,[1]LifeList!$E$2:$I$2036,5)</f>
        <v>Bucconidae (Puffbirds)</v>
      </c>
    </row>
    <row r="188" spans="1:8" x14ac:dyDescent="0.15">
      <c r="A188" s="3" t="s">
        <v>175</v>
      </c>
      <c r="B188" s="3" t="s">
        <v>4029</v>
      </c>
      <c r="C188" s="3">
        <v>10396</v>
      </c>
      <c r="D188" s="3" t="str">
        <f>VLOOKUP(B188,[1]LifeList!$E$2:$G$2036,1)</f>
        <v>Barred Puffbird</v>
      </c>
      <c r="E188" s="3" t="str">
        <f>VLOOKUP(B188,[1]LifeList!$E$2:$G$2036,2)</f>
        <v>Tamatia barré</v>
      </c>
      <c r="F188" s="3" t="str">
        <f>VLOOKUP(B188,[1]LifeList!$E$2:$G$2036,3)</f>
        <v>Nystalus radiatus</v>
      </c>
      <c r="G188" s="3" t="str">
        <f>VLOOKUP(B188,[1]LifeList!$E$2:$I$2036,4)</f>
        <v>Piciformes</v>
      </c>
      <c r="H188" s="3" t="str">
        <f>VLOOKUP(B188,[1]LifeList!$E$2:$I$2036,5)</f>
        <v>Bucconidae (Puffbirds)</v>
      </c>
    </row>
    <row r="189" spans="1:8" x14ac:dyDescent="0.15">
      <c r="A189" s="3" t="s">
        <v>172</v>
      </c>
      <c r="B189" s="3" t="s">
        <v>4029</v>
      </c>
      <c r="C189" s="3">
        <v>10396</v>
      </c>
      <c r="D189" s="3" t="str">
        <f>VLOOKUP(B189,[1]LifeList!$E$2:$G$2036,1)</f>
        <v>Barred Puffbird</v>
      </c>
      <c r="E189" s="3" t="str">
        <f>VLOOKUP(B189,[1]LifeList!$E$2:$G$2036,2)</f>
        <v>Tamatia barré</v>
      </c>
      <c r="F189" s="3" t="str">
        <f>VLOOKUP(B189,[1]LifeList!$E$2:$G$2036,3)</f>
        <v>Nystalus radiatus</v>
      </c>
      <c r="G189" s="3" t="str">
        <f>VLOOKUP(B189,[1]LifeList!$E$2:$I$2036,4)</f>
        <v>Piciformes</v>
      </c>
      <c r="H189" s="3" t="str">
        <f>VLOOKUP(B189,[1]LifeList!$E$2:$I$2036,5)</f>
        <v>Bucconidae (Puffbirds)</v>
      </c>
    </row>
    <row r="190" spans="1:8" x14ac:dyDescent="0.15">
      <c r="A190" s="3" t="s">
        <v>176</v>
      </c>
      <c r="B190" s="3" t="s">
        <v>4030</v>
      </c>
      <c r="C190" s="3">
        <v>28227</v>
      </c>
      <c r="D190" s="3" t="str">
        <f>VLOOKUP(B190,[1]LifeList!$E$2:$G$2036,1)</f>
        <v>Bassian Thrush</v>
      </c>
      <c r="E190" s="3" t="str">
        <f>VLOOKUP(B190,[1]LifeList!$E$2:$G$2036,2)</f>
        <v>Grive à lunules</v>
      </c>
      <c r="F190" s="3" t="str">
        <f>VLOOKUP(B190,[1]LifeList!$E$2:$G$2036,3)</f>
        <v>Zoothera lunulata</v>
      </c>
      <c r="G190" s="3" t="str">
        <f>VLOOKUP(B190,[1]LifeList!$E$2:$I$2036,4)</f>
        <v>Passeriformes</v>
      </c>
      <c r="H190" s="3" t="str">
        <f>VLOOKUP(B190,[1]LifeList!$E$2:$I$2036,5)</f>
        <v>Turdidae (Thrushes and Allies)</v>
      </c>
    </row>
    <row r="191" spans="1:8" x14ac:dyDescent="0.15">
      <c r="A191" s="3" t="s">
        <v>177</v>
      </c>
      <c r="B191" s="3" t="s">
        <v>4031</v>
      </c>
      <c r="C191" s="3">
        <v>12096</v>
      </c>
      <c r="D191" s="3" t="str">
        <f>VLOOKUP(B191,[1]LifeList!$E$2:$G$2036,1)</f>
        <v>Bat Falcon</v>
      </c>
      <c r="E191" s="3" t="str">
        <f>VLOOKUP(B191,[1]LifeList!$E$2:$G$2036,2)</f>
        <v>Faucon des chauves-souris</v>
      </c>
      <c r="F191" s="3" t="str">
        <f>VLOOKUP(B191,[1]LifeList!$E$2:$G$2036,3)</f>
        <v>Falco rufigularis</v>
      </c>
      <c r="G191" s="3" t="str">
        <f>VLOOKUP(B191,[1]LifeList!$E$2:$I$2036,4)</f>
        <v>Falconiformes</v>
      </c>
      <c r="H191" s="3" t="str">
        <f>VLOOKUP(B191,[1]LifeList!$E$2:$I$2036,5)</f>
        <v>Falconidae (Falcons and Caracaras)</v>
      </c>
    </row>
    <row r="192" spans="1:8" x14ac:dyDescent="0.15">
      <c r="A192" s="3" t="s">
        <v>178</v>
      </c>
      <c r="B192" s="3" t="s">
        <v>4031</v>
      </c>
      <c r="C192" s="3">
        <v>12096</v>
      </c>
      <c r="D192" s="3" t="str">
        <f>VLOOKUP(B192,[1]LifeList!$E$2:$G$2036,1)</f>
        <v>Bat Falcon</v>
      </c>
      <c r="E192" s="3" t="str">
        <f>VLOOKUP(B192,[1]LifeList!$E$2:$G$2036,2)</f>
        <v>Faucon des chauves-souris</v>
      </c>
      <c r="F192" s="3" t="str">
        <f>VLOOKUP(B192,[1]LifeList!$E$2:$G$2036,3)</f>
        <v>Falco rufigularis</v>
      </c>
      <c r="G192" s="3" t="str">
        <f>VLOOKUP(B192,[1]LifeList!$E$2:$I$2036,4)</f>
        <v>Falconiformes</v>
      </c>
      <c r="H192" s="3" t="str">
        <f>VLOOKUP(B192,[1]LifeList!$E$2:$I$2036,5)</f>
        <v>Falconidae (Falcons and Caracaras)</v>
      </c>
    </row>
    <row r="193" spans="1:8" x14ac:dyDescent="0.15">
      <c r="A193" s="3" t="s">
        <v>180</v>
      </c>
      <c r="B193" s="3" t="s">
        <v>4032</v>
      </c>
      <c r="C193" s="3">
        <v>7985</v>
      </c>
      <c r="D193" s="3" t="str">
        <f>VLOOKUP(B193,[1]LifeList!$E$2:$G$2036,1)</f>
        <v>Bateleur</v>
      </c>
      <c r="E193" s="3" t="str">
        <f>VLOOKUP(B193,[1]LifeList!$E$2:$G$2036,2)</f>
        <v>Bateleur des savanes</v>
      </c>
      <c r="F193" s="3" t="str">
        <f>VLOOKUP(B193,[1]LifeList!$E$2:$G$2036,3)</f>
        <v>Terathopius ecaudatus</v>
      </c>
      <c r="G193" s="3" t="str">
        <f>VLOOKUP(B193,[1]LifeList!$E$2:$I$2036,4)</f>
        <v>Accipitriformes</v>
      </c>
      <c r="H193" s="3" t="str">
        <f>VLOOKUP(B193,[1]LifeList!$E$2:$I$2036,5)</f>
        <v>Accipitridae (Hawks, Eagles, and Kites)</v>
      </c>
    </row>
    <row r="194" spans="1:8" x14ac:dyDescent="0.15">
      <c r="A194" s="3" t="s">
        <v>179</v>
      </c>
      <c r="B194" s="3" t="s">
        <v>4032</v>
      </c>
      <c r="C194" s="3">
        <v>7985</v>
      </c>
      <c r="D194" s="3" t="str">
        <f>VLOOKUP(B194,[1]LifeList!$E$2:$G$2036,1)</f>
        <v>Bateleur</v>
      </c>
      <c r="E194" s="3" t="str">
        <f>VLOOKUP(B194,[1]LifeList!$E$2:$G$2036,2)</f>
        <v>Bateleur des savanes</v>
      </c>
      <c r="F194" s="3" t="str">
        <f>VLOOKUP(B194,[1]LifeList!$E$2:$G$2036,3)</f>
        <v>Terathopius ecaudatus</v>
      </c>
      <c r="G194" s="3" t="str">
        <f>VLOOKUP(B194,[1]LifeList!$E$2:$I$2036,4)</f>
        <v>Accipitriformes</v>
      </c>
      <c r="H194" s="3" t="str">
        <f>VLOOKUP(B194,[1]LifeList!$E$2:$I$2036,5)</f>
        <v>Accipitridae (Hawks, Eagles, and Kites)</v>
      </c>
    </row>
    <row r="195" spans="1:8" x14ac:dyDescent="0.15">
      <c r="A195" s="3" t="s">
        <v>196</v>
      </c>
      <c r="B195" s="3" t="s">
        <v>4033</v>
      </c>
      <c r="C195" s="3">
        <v>27541</v>
      </c>
      <c r="D195" s="3" t="str">
        <f>VLOOKUP(B195,[1]LifeList!$E$2:$G$2036,1)</f>
        <v>Bay Wren</v>
      </c>
      <c r="E195" s="3" t="str">
        <f>VLOOKUP(B195,[1]LifeList!$E$2:$G$2036,2)</f>
        <v>Troglodyte à calotte noire</v>
      </c>
      <c r="F195" s="3" t="str">
        <f>VLOOKUP(B195,[1]LifeList!$E$2:$G$2036,3)</f>
        <v>Cantorchilus nigricapillus</v>
      </c>
      <c r="G195" s="3" t="str">
        <f>VLOOKUP(B195,[1]LifeList!$E$2:$I$2036,4)</f>
        <v>Passeriformes</v>
      </c>
      <c r="H195" s="3" t="str">
        <f>VLOOKUP(B195,[1]LifeList!$E$2:$I$2036,5)</f>
        <v>Troglodytidae (Wrens)</v>
      </c>
    </row>
    <row r="196" spans="1:8" x14ac:dyDescent="0.15">
      <c r="A196" s="3" t="s">
        <v>197</v>
      </c>
      <c r="B196" s="3" t="s">
        <v>4033</v>
      </c>
      <c r="C196" s="3">
        <v>27541</v>
      </c>
      <c r="D196" s="3" t="str">
        <f>VLOOKUP(B196,[1]LifeList!$E$2:$G$2036,1)</f>
        <v>Bay Wren</v>
      </c>
      <c r="E196" s="3" t="str">
        <f>VLOOKUP(B196,[1]LifeList!$E$2:$G$2036,2)</f>
        <v>Troglodyte à calotte noire</v>
      </c>
      <c r="F196" s="3" t="str">
        <f>VLOOKUP(B196,[1]LifeList!$E$2:$G$2036,3)</f>
        <v>Cantorchilus nigricapillus</v>
      </c>
      <c r="G196" s="3" t="str">
        <f>VLOOKUP(B196,[1]LifeList!$E$2:$I$2036,4)</f>
        <v>Passeriformes</v>
      </c>
      <c r="H196" s="3" t="str">
        <f>VLOOKUP(B196,[1]LifeList!$E$2:$I$2036,5)</f>
        <v>Troglodytidae (Wrens)</v>
      </c>
    </row>
    <row r="197" spans="1:8" x14ac:dyDescent="0.15">
      <c r="A197" s="3" t="s">
        <v>181</v>
      </c>
      <c r="B197" s="3" t="s">
        <v>4034</v>
      </c>
      <c r="C197" s="3">
        <v>34083</v>
      </c>
      <c r="D197" s="3" t="str">
        <f>VLOOKUP(B197,[1]LifeList!$E$2:$G$2036,1)</f>
        <v>Bay-breasted Warbler</v>
      </c>
      <c r="E197" s="3" t="str">
        <f>VLOOKUP(B197,[1]LifeList!$E$2:$G$2036,2)</f>
        <v>Paruline à poitrine baie</v>
      </c>
      <c r="F197" s="3" t="str">
        <f>VLOOKUP(B197,[1]LifeList!$E$2:$G$2036,3)</f>
        <v>Setophaga castanea</v>
      </c>
      <c r="G197" s="3" t="str">
        <f>VLOOKUP(B197,[1]LifeList!$E$2:$I$2036,4)</f>
        <v>Passeriformes</v>
      </c>
      <c r="H197" s="3" t="str">
        <f>VLOOKUP(B197,[1]LifeList!$E$2:$I$2036,5)</f>
        <v>Parulidae (New World Warblers)</v>
      </c>
    </row>
    <row r="198" spans="1:8" x14ac:dyDescent="0.15">
      <c r="A198" s="3" t="s">
        <v>182</v>
      </c>
      <c r="B198" s="3" t="s">
        <v>4034</v>
      </c>
      <c r="C198" s="3">
        <v>34083</v>
      </c>
      <c r="D198" s="3" t="str">
        <f>VLOOKUP(B198,[1]LifeList!$E$2:$G$2036,1)</f>
        <v>Bay-breasted Warbler</v>
      </c>
      <c r="E198" s="3" t="str">
        <f>VLOOKUP(B198,[1]LifeList!$E$2:$G$2036,2)</f>
        <v>Paruline à poitrine baie</v>
      </c>
      <c r="F198" s="3" t="str">
        <f>VLOOKUP(B198,[1]LifeList!$E$2:$G$2036,3)</f>
        <v>Setophaga castanea</v>
      </c>
      <c r="G198" s="3" t="str">
        <f>VLOOKUP(B198,[1]LifeList!$E$2:$I$2036,4)</f>
        <v>Passeriformes</v>
      </c>
      <c r="H198" s="3" t="str">
        <f>VLOOKUP(B198,[1]LifeList!$E$2:$I$2036,5)</f>
        <v>Parulidae (New World Warblers)</v>
      </c>
    </row>
    <row r="199" spans="1:8" x14ac:dyDescent="0.15">
      <c r="A199" s="3" t="s">
        <v>183</v>
      </c>
      <c r="B199" s="3" t="s">
        <v>4034</v>
      </c>
      <c r="C199" s="3">
        <v>34083</v>
      </c>
      <c r="D199" s="3" t="str">
        <f>VLOOKUP(B199,[1]LifeList!$E$2:$G$2036,1)</f>
        <v>Bay-breasted Warbler</v>
      </c>
      <c r="E199" s="3" t="str">
        <f>VLOOKUP(B199,[1]LifeList!$E$2:$G$2036,2)</f>
        <v>Paruline à poitrine baie</v>
      </c>
      <c r="F199" s="3" t="str">
        <f>VLOOKUP(B199,[1]LifeList!$E$2:$G$2036,3)</f>
        <v>Setophaga castanea</v>
      </c>
      <c r="G199" s="3" t="str">
        <f>VLOOKUP(B199,[1]LifeList!$E$2:$I$2036,4)</f>
        <v>Passeriformes</v>
      </c>
      <c r="H199" s="3" t="str">
        <f>VLOOKUP(B199,[1]LifeList!$E$2:$I$2036,5)</f>
        <v>Parulidae (New World Warblers)</v>
      </c>
    </row>
    <row r="200" spans="1:8" x14ac:dyDescent="0.15">
      <c r="A200" s="3" t="s">
        <v>184</v>
      </c>
      <c r="B200" s="3" t="s">
        <v>4034</v>
      </c>
      <c r="C200" s="3">
        <v>34083</v>
      </c>
      <c r="D200" s="3" t="str">
        <f>VLOOKUP(B200,[1]LifeList!$E$2:$G$2036,1)</f>
        <v>Bay-breasted Warbler</v>
      </c>
      <c r="E200" s="3" t="str">
        <f>VLOOKUP(B200,[1]LifeList!$E$2:$G$2036,2)</f>
        <v>Paruline à poitrine baie</v>
      </c>
      <c r="F200" s="3" t="str">
        <f>VLOOKUP(B200,[1]LifeList!$E$2:$G$2036,3)</f>
        <v>Setophaga castanea</v>
      </c>
      <c r="G200" s="3" t="str">
        <f>VLOOKUP(B200,[1]LifeList!$E$2:$I$2036,4)</f>
        <v>Passeriformes</v>
      </c>
      <c r="H200" s="3" t="str">
        <f>VLOOKUP(B200,[1]LifeList!$E$2:$I$2036,5)</f>
        <v>Parulidae (New World Warblers)</v>
      </c>
    </row>
    <row r="201" spans="1:8" x14ac:dyDescent="0.15">
      <c r="A201" s="3" t="s">
        <v>193</v>
      </c>
      <c r="B201" s="3" t="s">
        <v>4034</v>
      </c>
      <c r="C201" s="3">
        <v>34083</v>
      </c>
      <c r="D201" s="3" t="str">
        <f>VLOOKUP(B201,[1]LifeList!$E$2:$G$2036,1)</f>
        <v>Bay-breasted Warbler</v>
      </c>
      <c r="E201" s="3" t="str">
        <f>VLOOKUP(B201,[1]LifeList!$E$2:$G$2036,2)</f>
        <v>Paruline à poitrine baie</v>
      </c>
      <c r="F201" s="3" t="str">
        <f>VLOOKUP(B201,[1]LifeList!$E$2:$G$2036,3)</f>
        <v>Setophaga castanea</v>
      </c>
      <c r="G201" s="3" t="str">
        <f>VLOOKUP(B201,[1]LifeList!$E$2:$I$2036,4)</f>
        <v>Passeriformes</v>
      </c>
      <c r="H201" s="3" t="str">
        <f>VLOOKUP(B201,[1]LifeList!$E$2:$I$2036,5)</f>
        <v>Parulidae (New World Warblers)</v>
      </c>
    </row>
    <row r="202" spans="1:8" x14ac:dyDescent="0.15">
      <c r="A202" s="3" t="s">
        <v>185</v>
      </c>
      <c r="B202" s="3" t="s">
        <v>4034</v>
      </c>
      <c r="C202" s="3">
        <v>34083</v>
      </c>
      <c r="D202" s="3" t="str">
        <f>VLOOKUP(B202,[1]LifeList!$E$2:$G$2036,1)</f>
        <v>Bay-breasted Warbler</v>
      </c>
      <c r="E202" s="3" t="str">
        <f>VLOOKUP(B202,[1]LifeList!$E$2:$G$2036,2)</f>
        <v>Paruline à poitrine baie</v>
      </c>
      <c r="F202" s="3" t="str">
        <f>VLOOKUP(B202,[1]LifeList!$E$2:$G$2036,3)</f>
        <v>Setophaga castanea</v>
      </c>
      <c r="G202" s="3" t="str">
        <f>VLOOKUP(B202,[1]LifeList!$E$2:$I$2036,4)</f>
        <v>Passeriformes</v>
      </c>
      <c r="H202" s="3" t="str">
        <f>VLOOKUP(B202,[1]LifeList!$E$2:$I$2036,5)</f>
        <v>Parulidae (New World Warblers)</v>
      </c>
    </row>
    <row r="203" spans="1:8" x14ac:dyDescent="0.15">
      <c r="A203" s="3" t="s">
        <v>186</v>
      </c>
      <c r="B203" s="3" t="s">
        <v>4034</v>
      </c>
      <c r="C203" s="3">
        <v>34083</v>
      </c>
      <c r="D203" s="3" t="str">
        <f>VLOOKUP(B203,[1]LifeList!$E$2:$G$2036,1)</f>
        <v>Bay-breasted Warbler</v>
      </c>
      <c r="E203" s="3" t="str">
        <f>VLOOKUP(B203,[1]LifeList!$E$2:$G$2036,2)</f>
        <v>Paruline à poitrine baie</v>
      </c>
      <c r="F203" s="3" t="str">
        <f>VLOOKUP(B203,[1]LifeList!$E$2:$G$2036,3)</f>
        <v>Setophaga castanea</v>
      </c>
      <c r="G203" s="3" t="str">
        <f>VLOOKUP(B203,[1]LifeList!$E$2:$I$2036,4)</f>
        <v>Passeriformes</v>
      </c>
      <c r="H203" s="3" t="str">
        <f>VLOOKUP(B203,[1]LifeList!$E$2:$I$2036,5)</f>
        <v>Parulidae (New World Warblers)</v>
      </c>
    </row>
    <row r="204" spans="1:8" x14ac:dyDescent="0.15">
      <c r="A204" s="3" t="s">
        <v>187</v>
      </c>
      <c r="B204" s="3" t="s">
        <v>4034</v>
      </c>
      <c r="C204" s="3">
        <v>34083</v>
      </c>
      <c r="D204" s="3" t="str">
        <f>VLOOKUP(B204,[1]LifeList!$E$2:$G$2036,1)</f>
        <v>Bay-breasted Warbler</v>
      </c>
      <c r="E204" s="3" t="str">
        <f>VLOOKUP(B204,[1]LifeList!$E$2:$G$2036,2)</f>
        <v>Paruline à poitrine baie</v>
      </c>
      <c r="F204" s="3" t="str">
        <f>VLOOKUP(B204,[1]LifeList!$E$2:$G$2036,3)</f>
        <v>Setophaga castanea</v>
      </c>
      <c r="G204" s="3" t="str">
        <f>VLOOKUP(B204,[1]LifeList!$E$2:$I$2036,4)</f>
        <v>Passeriformes</v>
      </c>
      <c r="H204" s="3" t="str">
        <f>VLOOKUP(B204,[1]LifeList!$E$2:$I$2036,5)</f>
        <v>Parulidae (New World Warblers)</v>
      </c>
    </row>
    <row r="205" spans="1:8" x14ac:dyDescent="0.15">
      <c r="A205" s="3" t="s">
        <v>188</v>
      </c>
      <c r="B205" s="3" t="s">
        <v>4034</v>
      </c>
      <c r="C205" s="3">
        <v>34083</v>
      </c>
      <c r="D205" s="3" t="str">
        <f>VLOOKUP(B205,[1]LifeList!$E$2:$G$2036,1)</f>
        <v>Bay-breasted Warbler</v>
      </c>
      <c r="E205" s="3" t="str">
        <f>VLOOKUP(B205,[1]LifeList!$E$2:$G$2036,2)</f>
        <v>Paruline à poitrine baie</v>
      </c>
      <c r="F205" s="3" t="str">
        <f>VLOOKUP(B205,[1]LifeList!$E$2:$G$2036,3)</f>
        <v>Setophaga castanea</v>
      </c>
      <c r="G205" s="3" t="str">
        <f>VLOOKUP(B205,[1]LifeList!$E$2:$I$2036,4)</f>
        <v>Passeriformes</v>
      </c>
      <c r="H205" s="3" t="str">
        <f>VLOOKUP(B205,[1]LifeList!$E$2:$I$2036,5)</f>
        <v>Parulidae (New World Warblers)</v>
      </c>
    </row>
    <row r="206" spans="1:8" x14ac:dyDescent="0.15">
      <c r="A206" s="3" t="s">
        <v>189</v>
      </c>
      <c r="B206" s="3" t="s">
        <v>4034</v>
      </c>
      <c r="C206" s="3">
        <v>34083</v>
      </c>
      <c r="D206" s="3" t="str">
        <f>VLOOKUP(B206,[1]LifeList!$E$2:$G$2036,1)</f>
        <v>Bay-breasted Warbler</v>
      </c>
      <c r="E206" s="3" t="str">
        <f>VLOOKUP(B206,[1]LifeList!$E$2:$G$2036,2)</f>
        <v>Paruline à poitrine baie</v>
      </c>
      <c r="F206" s="3" t="str">
        <f>VLOOKUP(B206,[1]LifeList!$E$2:$G$2036,3)</f>
        <v>Setophaga castanea</v>
      </c>
      <c r="G206" s="3" t="str">
        <f>VLOOKUP(B206,[1]LifeList!$E$2:$I$2036,4)</f>
        <v>Passeriformes</v>
      </c>
      <c r="H206" s="3" t="str">
        <f>VLOOKUP(B206,[1]LifeList!$E$2:$I$2036,5)</f>
        <v>Parulidae (New World Warblers)</v>
      </c>
    </row>
    <row r="207" spans="1:8" x14ac:dyDescent="0.15">
      <c r="A207" s="3" t="s">
        <v>190</v>
      </c>
      <c r="B207" s="3" t="s">
        <v>4034</v>
      </c>
      <c r="C207" s="3">
        <v>34083</v>
      </c>
      <c r="D207" s="3" t="str">
        <f>VLOOKUP(B207,[1]LifeList!$E$2:$G$2036,1)</f>
        <v>Bay-breasted Warbler</v>
      </c>
      <c r="E207" s="3" t="str">
        <f>VLOOKUP(B207,[1]LifeList!$E$2:$G$2036,2)</f>
        <v>Paruline à poitrine baie</v>
      </c>
      <c r="F207" s="3" t="str">
        <f>VLOOKUP(B207,[1]LifeList!$E$2:$G$2036,3)</f>
        <v>Setophaga castanea</v>
      </c>
      <c r="G207" s="3" t="str">
        <f>VLOOKUP(B207,[1]LifeList!$E$2:$I$2036,4)</f>
        <v>Passeriformes</v>
      </c>
      <c r="H207" s="3" t="str">
        <f>VLOOKUP(B207,[1]LifeList!$E$2:$I$2036,5)</f>
        <v>Parulidae (New World Warblers)</v>
      </c>
    </row>
    <row r="208" spans="1:8" x14ac:dyDescent="0.15">
      <c r="A208" s="3" t="s">
        <v>191</v>
      </c>
      <c r="B208" s="3" t="s">
        <v>4034</v>
      </c>
      <c r="C208" s="3">
        <v>34083</v>
      </c>
      <c r="D208" s="3" t="str">
        <f>VLOOKUP(B208,[1]LifeList!$E$2:$G$2036,1)</f>
        <v>Bay-breasted Warbler</v>
      </c>
      <c r="E208" s="3" t="str">
        <f>VLOOKUP(B208,[1]LifeList!$E$2:$G$2036,2)</f>
        <v>Paruline à poitrine baie</v>
      </c>
      <c r="F208" s="3" t="str">
        <f>VLOOKUP(B208,[1]LifeList!$E$2:$G$2036,3)</f>
        <v>Setophaga castanea</v>
      </c>
      <c r="G208" s="3" t="str">
        <f>VLOOKUP(B208,[1]LifeList!$E$2:$I$2036,4)</f>
        <v>Passeriformes</v>
      </c>
      <c r="H208" s="3" t="str">
        <f>VLOOKUP(B208,[1]LifeList!$E$2:$I$2036,5)</f>
        <v>Parulidae (New World Warblers)</v>
      </c>
    </row>
    <row r="209" spans="1:8" x14ac:dyDescent="0.15">
      <c r="A209" s="3" t="s">
        <v>192</v>
      </c>
      <c r="B209" s="3" t="s">
        <v>4034</v>
      </c>
      <c r="C209" s="3">
        <v>34083</v>
      </c>
      <c r="D209" s="3" t="str">
        <f>VLOOKUP(B209,[1]LifeList!$E$2:$G$2036,1)</f>
        <v>Bay-breasted Warbler</v>
      </c>
      <c r="E209" s="3" t="str">
        <f>VLOOKUP(B209,[1]LifeList!$E$2:$G$2036,2)</f>
        <v>Paruline à poitrine baie</v>
      </c>
      <c r="F209" s="3" t="str">
        <f>VLOOKUP(B209,[1]LifeList!$E$2:$G$2036,3)</f>
        <v>Setophaga castanea</v>
      </c>
      <c r="G209" s="3" t="str">
        <f>VLOOKUP(B209,[1]LifeList!$E$2:$I$2036,4)</f>
        <v>Passeriformes</v>
      </c>
      <c r="H209" s="3" t="str">
        <f>VLOOKUP(B209,[1]LifeList!$E$2:$I$2036,5)</f>
        <v>Parulidae (New World Warblers)</v>
      </c>
    </row>
    <row r="210" spans="1:8" x14ac:dyDescent="0.15">
      <c r="A210" s="3" t="s">
        <v>194</v>
      </c>
      <c r="B210" s="3" t="s">
        <v>4035</v>
      </c>
      <c r="C210" s="3">
        <v>35088</v>
      </c>
      <c r="D210" s="3" t="str">
        <f>VLOOKUP(B210,[1]LifeList!$E$2:$G$2036,1)</f>
        <v>Bay-headed Tanager</v>
      </c>
      <c r="E210" s="3" t="str">
        <f>VLOOKUP(B210,[1]LifeList!$E$2:$G$2036,2)</f>
        <v>Calliste rouverdin</v>
      </c>
      <c r="F210" s="3" t="str">
        <f>VLOOKUP(B210,[1]LifeList!$E$2:$G$2036,3)</f>
        <v>Tangara gyrola</v>
      </c>
      <c r="G210" s="3" t="str">
        <f>VLOOKUP(B210,[1]LifeList!$E$2:$I$2036,4)</f>
        <v>Passeriformes</v>
      </c>
      <c r="H210" s="3" t="str">
        <f>VLOOKUP(B210,[1]LifeList!$E$2:$I$2036,5)</f>
        <v>Thraupidae (Tanagers and Allies)</v>
      </c>
    </row>
    <row r="211" spans="1:8" x14ac:dyDescent="0.15">
      <c r="A211" s="3" t="s">
        <v>195</v>
      </c>
      <c r="B211" s="3" t="s">
        <v>4035</v>
      </c>
      <c r="C211" s="3">
        <v>35088</v>
      </c>
      <c r="D211" s="3" t="str">
        <f>VLOOKUP(B211,[1]LifeList!$E$2:$G$2036,1)</f>
        <v>Bay-headed Tanager</v>
      </c>
      <c r="E211" s="3" t="str">
        <f>VLOOKUP(B211,[1]LifeList!$E$2:$G$2036,2)</f>
        <v>Calliste rouverdin</v>
      </c>
      <c r="F211" s="3" t="str">
        <f>VLOOKUP(B211,[1]LifeList!$E$2:$G$2036,3)</f>
        <v>Tangara gyrola</v>
      </c>
      <c r="G211" s="3" t="str">
        <f>VLOOKUP(B211,[1]LifeList!$E$2:$I$2036,4)</f>
        <v>Passeriformes</v>
      </c>
      <c r="H211" s="3" t="str">
        <f>VLOOKUP(B211,[1]LifeList!$E$2:$I$2036,5)</f>
        <v>Thraupidae (Tanagers and Allies)</v>
      </c>
    </row>
    <row r="212" spans="1:8" x14ac:dyDescent="0.15">
      <c r="A212" s="3" t="s">
        <v>198</v>
      </c>
      <c r="B212" s="3" t="s">
        <v>4036</v>
      </c>
      <c r="C212" s="3">
        <v>17807</v>
      </c>
      <c r="D212" s="3" t="str">
        <f>VLOOKUP(B212,[1]LifeList!$E$2:$G$2036,1)</f>
        <v>Bell Miner</v>
      </c>
      <c r="E212" s="3" t="str">
        <f>VLOOKUP(B212,[1]LifeList!$E$2:$G$2036,2)</f>
        <v>Méliphage à sourcils noirs</v>
      </c>
      <c r="F212" s="3" t="str">
        <f>VLOOKUP(B212,[1]LifeList!$E$2:$G$2036,3)</f>
        <v>Manorina melanophrys</v>
      </c>
      <c r="G212" s="3" t="str">
        <f>VLOOKUP(B212,[1]LifeList!$E$2:$I$2036,4)</f>
        <v>Passeriformes</v>
      </c>
      <c r="H212" s="3" t="str">
        <f>VLOOKUP(B212,[1]LifeList!$E$2:$I$2036,5)</f>
        <v>Meliphagidae (Honeyeaters)</v>
      </c>
    </row>
    <row r="213" spans="1:8" x14ac:dyDescent="0.15">
      <c r="A213" s="3" t="s">
        <v>199</v>
      </c>
      <c r="B213" s="3" t="s">
        <v>4037</v>
      </c>
      <c r="C213" s="3">
        <v>10306</v>
      </c>
      <c r="D213" s="3" t="str">
        <f>VLOOKUP(B213,[1]LifeList!$E$2:$G$2036,1)</f>
        <v>Belted Kingfisher</v>
      </c>
      <c r="E213" s="3" t="str">
        <f>VLOOKUP(B213,[1]LifeList!$E$2:$G$2036,2)</f>
        <v>Martin-pêcheur d'Amérique</v>
      </c>
      <c r="F213" s="3" t="str">
        <f>VLOOKUP(B213,[1]LifeList!$E$2:$G$2036,3)</f>
        <v>Megaceryle alcyon</v>
      </c>
      <c r="G213" s="3" t="str">
        <f>VLOOKUP(B213,[1]LifeList!$E$2:$I$2036,4)</f>
        <v>Coraciiformes</v>
      </c>
      <c r="H213" s="3" t="str">
        <f>VLOOKUP(B213,[1]LifeList!$E$2:$I$2036,5)</f>
        <v>Alcedinidae (Kingfishers)</v>
      </c>
    </row>
    <row r="214" spans="1:8" x14ac:dyDescent="0.15">
      <c r="A214" s="3" t="s">
        <v>200</v>
      </c>
      <c r="B214" s="3" t="s">
        <v>4037</v>
      </c>
      <c r="C214" s="3">
        <v>10306</v>
      </c>
      <c r="D214" s="3" t="str">
        <f>VLOOKUP(B214,[1]LifeList!$E$2:$G$2036,1)</f>
        <v>Belted Kingfisher</v>
      </c>
      <c r="E214" s="3" t="str">
        <f>VLOOKUP(B214,[1]LifeList!$E$2:$G$2036,2)</f>
        <v>Martin-pêcheur d'Amérique</v>
      </c>
      <c r="F214" s="3" t="str">
        <f>VLOOKUP(B214,[1]LifeList!$E$2:$G$2036,3)</f>
        <v>Megaceryle alcyon</v>
      </c>
      <c r="G214" s="3" t="str">
        <f>VLOOKUP(B214,[1]LifeList!$E$2:$I$2036,4)</f>
        <v>Coraciiformes</v>
      </c>
      <c r="H214" s="3" t="str">
        <f>VLOOKUP(B214,[1]LifeList!$E$2:$I$2036,5)</f>
        <v>Alcedinidae (Kingfishers)</v>
      </c>
    </row>
    <row r="215" spans="1:8" x14ac:dyDescent="0.15">
      <c r="A215" s="3" t="s">
        <v>201</v>
      </c>
      <c r="B215" s="3" t="s">
        <v>4037</v>
      </c>
      <c r="C215" s="3">
        <v>10306</v>
      </c>
      <c r="D215" s="3" t="str">
        <f>VLOOKUP(B215,[1]LifeList!$E$2:$G$2036,1)</f>
        <v>Belted Kingfisher</v>
      </c>
      <c r="E215" s="3" t="str">
        <f>VLOOKUP(B215,[1]LifeList!$E$2:$G$2036,2)</f>
        <v>Martin-pêcheur d'Amérique</v>
      </c>
      <c r="F215" s="3" t="str">
        <f>VLOOKUP(B215,[1]LifeList!$E$2:$G$2036,3)</f>
        <v>Megaceryle alcyon</v>
      </c>
      <c r="G215" s="3" t="str">
        <f>VLOOKUP(B215,[1]LifeList!$E$2:$I$2036,4)</f>
        <v>Coraciiformes</v>
      </c>
      <c r="H215" s="3" t="str">
        <f>VLOOKUP(B215,[1]LifeList!$E$2:$I$2036,5)</f>
        <v>Alcedinidae (Kingfishers)</v>
      </c>
    </row>
    <row r="216" spans="1:8" x14ac:dyDescent="0.15">
      <c r="A216" s="3" t="s">
        <v>202</v>
      </c>
      <c r="B216" s="3" t="s">
        <v>4037</v>
      </c>
      <c r="C216" s="3">
        <v>10306</v>
      </c>
      <c r="D216" s="3" t="str">
        <f>VLOOKUP(B216,[1]LifeList!$E$2:$G$2036,1)</f>
        <v>Belted Kingfisher</v>
      </c>
      <c r="E216" s="3" t="str">
        <f>VLOOKUP(B216,[1]LifeList!$E$2:$G$2036,2)</f>
        <v>Martin-pêcheur d'Amérique</v>
      </c>
      <c r="F216" s="3" t="str">
        <f>VLOOKUP(B216,[1]LifeList!$E$2:$G$2036,3)</f>
        <v>Megaceryle alcyon</v>
      </c>
      <c r="G216" s="3" t="str">
        <f>VLOOKUP(B216,[1]LifeList!$E$2:$I$2036,4)</f>
        <v>Coraciiformes</v>
      </c>
      <c r="H216" s="3" t="str">
        <f>VLOOKUP(B216,[1]LifeList!$E$2:$I$2036,5)</f>
        <v>Alcedinidae (Kingfishers)</v>
      </c>
    </row>
    <row r="217" spans="1:8" x14ac:dyDescent="0.15">
      <c r="A217" s="3" t="s">
        <v>203</v>
      </c>
      <c r="B217" s="3" t="s">
        <v>4037</v>
      </c>
      <c r="C217" s="3">
        <v>10306</v>
      </c>
      <c r="D217" s="3" t="str">
        <f>VLOOKUP(B217,[1]LifeList!$E$2:$G$2036,1)</f>
        <v>Belted Kingfisher</v>
      </c>
      <c r="E217" s="3" t="str">
        <f>VLOOKUP(B217,[1]LifeList!$E$2:$G$2036,2)</f>
        <v>Martin-pêcheur d'Amérique</v>
      </c>
      <c r="F217" s="3" t="str">
        <f>VLOOKUP(B217,[1]LifeList!$E$2:$G$2036,3)</f>
        <v>Megaceryle alcyon</v>
      </c>
      <c r="G217" s="3" t="str">
        <f>VLOOKUP(B217,[1]LifeList!$E$2:$I$2036,4)</f>
        <v>Coraciiformes</v>
      </c>
      <c r="H217" s="3" t="str">
        <f>VLOOKUP(B217,[1]LifeList!$E$2:$I$2036,5)</f>
        <v>Alcedinidae (Kingfishers)</v>
      </c>
    </row>
    <row r="218" spans="1:8" x14ac:dyDescent="0.15">
      <c r="A218" s="3" t="s">
        <v>204</v>
      </c>
      <c r="B218" s="3" t="s">
        <v>4038</v>
      </c>
      <c r="C218" s="3">
        <v>35041</v>
      </c>
      <c r="D218" s="3" t="str">
        <f>VLOOKUP(B218,[1]LifeList!$E$2:$G$2036,1)</f>
        <v>Beryl-spangled Tanager</v>
      </c>
      <c r="E218" s="3" t="str">
        <f>VLOOKUP(B218,[1]LifeList!$E$2:$G$2036,2)</f>
        <v>Calliste béryl</v>
      </c>
      <c r="F218" s="3" t="str">
        <f>VLOOKUP(B218,[1]LifeList!$E$2:$G$2036,3)</f>
        <v>Tangara nigroviridis</v>
      </c>
      <c r="G218" s="3" t="str">
        <f>VLOOKUP(B218,[1]LifeList!$E$2:$I$2036,4)</f>
        <v>Passeriformes</v>
      </c>
      <c r="H218" s="3" t="str">
        <f>VLOOKUP(B218,[1]LifeList!$E$2:$I$2036,5)</f>
        <v>Thraupidae (Tanagers and Allies)</v>
      </c>
    </row>
    <row r="219" spans="1:8" x14ac:dyDescent="0.15">
      <c r="A219" s="3" t="s">
        <v>205</v>
      </c>
      <c r="B219" s="3" t="s">
        <v>4038</v>
      </c>
      <c r="C219" s="3">
        <v>35041</v>
      </c>
      <c r="D219" s="3" t="str">
        <f>VLOOKUP(B219,[1]LifeList!$E$2:$G$2036,1)</f>
        <v>Beryl-spangled Tanager</v>
      </c>
      <c r="E219" s="3" t="str">
        <f>VLOOKUP(B219,[1]LifeList!$E$2:$G$2036,2)</f>
        <v>Calliste béryl</v>
      </c>
      <c r="F219" s="3" t="str">
        <f>VLOOKUP(B219,[1]LifeList!$E$2:$G$2036,3)</f>
        <v>Tangara nigroviridis</v>
      </c>
      <c r="G219" s="3" t="str">
        <f>VLOOKUP(B219,[1]LifeList!$E$2:$I$2036,4)</f>
        <v>Passeriformes</v>
      </c>
      <c r="H219" s="3" t="str">
        <f>VLOOKUP(B219,[1]LifeList!$E$2:$I$2036,5)</f>
        <v>Thraupidae (Tanagers and Allies)</v>
      </c>
    </row>
    <row r="220" spans="1:8" x14ac:dyDescent="0.15">
      <c r="A220" s="3" t="s">
        <v>206</v>
      </c>
      <c r="B220" s="3" t="s">
        <v>4039</v>
      </c>
      <c r="C220" s="3">
        <v>14076</v>
      </c>
      <c r="D220" s="3" t="str">
        <f>VLOOKUP(B220,[1]LifeList!$E$2:$G$2036,1)</f>
        <v>Bicolored Antbird</v>
      </c>
      <c r="E220" s="3" t="str">
        <f>VLOOKUP(B220,[1]LifeList!$E$2:$G$2036,2)</f>
        <v>Fourmilier bicolore</v>
      </c>
      <c r="F220" s="3" t="str">
        <f>VLOOKUP(B220,[1]LifeList!$E$2:$G$2036,3)</f>
        <v>Gymnopithys bicolor</v>
      </c>
      <c r="G220" s="3" t="str">
        <f>VLOOKUP(B220,[1]LifeList!$E$2:$I$2036,4)</f>
        <v>Passeriformes</v>
      </c>
      <c r="H220" s="3" t="str">
        <f>VLOOKUP(B220,[1]LifeList!$E$2:$I$2036,5)</f>
        <v>Thamnophilidae (Typical Antbirds)</v>
      </c>
    </row>
    <row r="221" spans="1:8" x14ac:dyDescent="0.15">
      <c r="A221" s="3" t="s">
        <v>214</v>
      </c>
      <c r="B221" s="3" t="s">
        <v>4039</v>
      </c>
      <c r="C221" s="3">
        <v>14076</v>
      </c>
      <c r="D221" s="3" t="str">
        <f>VLOOKUP(B221,[1]LifeList!$E$2:$G$2036,1)</f>
        <v>Bicolored Antbird</v>
      </c>
      <c r="E221" s="3" t="str">
        <f>VLOOKUP(B221,[1]LifeList!$E$2:$G$2036,2)</f>
        <v>Fourmilier bicolore</v>
      </c>
      <c r="F221" s="3" t="str">
        <f>VLOOKUP(B221,[1]LifeList!$E$2:$G$2036,3)</f>
        <v>Gymnopithys bicolor</v>
      </c>
      <c r="G221" s="3" t="str">
        <f>VLOOKUP(B221,[1]LifeList!$E$2:$I$2036,4)</f>
        <v>Passeriformes</v>
      </c>
      <c r="H221" s="3" t="str">
        <f>VLOOKUP(B221,[1]LifeList!$E$2:$I$2036,5)</f>
        <v>Thamnophilidae (Typical Antbirds)</v>
      </c>
    </row>
    <row r="222" spans="1:8" x14ac:dyDescent="0.15">
      <c r="A222" s="3" t="s">
        <v>207</v>
      </c>
      <c r="B222" s="3" t="s">
        <v>4039</v>
      </c>
      <c r="C222" s="3">
        <v>14076</v>
      </c>
      <c r="D222" s="3" t="str">
        <f>VLOOKUP(B222,[1]LifeList!$E$2:$G$2036,1)</f>
        <v>Bicolored Antbird</v>
      </c>
      <c r="E222" s="3" t="str">
        <f>VLOOKUP(B222,[1]LifeList!$E$2:$G$2036,2)</f>
        <v>Fourmilier bicolore</v>
      </c>
      <c r="F222" s="3" t="str">
        <f>VLOOKUP(B222,[1]LifeList!$E$2:$G$2036,3)</f>
        <v>Gymnopithys bicolor</v>
      </c>
      <c r="G222" s="3" t="str">
        <f>VLOOKUP(B222,[1]LifeList!$E$2:$I$2036,4)</f>
        <v>Passeriformes</v>
      </c>
      <c r="H222" s="3" t="str">
        <f>VLOOKUP(B222,[1]LifeList!$E$2:$I$2036,5)</f>
        <v>Thamnophilidae (Typical Antbirds)</v>
      </c>
    </row>
    <row r="223" spans="1:8" x14ac:dyDescent="0.15">
      <c r="A223" s="3" t="s">
        <v>208</v>
      </c>
      <c r="B223" s="3" t="s">
        <v>4039</v>
      </c>
      <c r="C223" s="3">
        <v>14076</v>
      </c>
      <c r="D223" s="3" t="str">
        <f>VLOOKUP(B223,[1]LifeList!$E$2:$G$2036,1)</f>
        <v>Bicolored Antbird</v>
      </c>
      <c r="E223" s="3" t="str">
        <f>VLOOKUP(B223,[1]LifeList!$E$2:$G$2036,2)</f>
        <v>Fourmilier bicolore</v>
      </c>
      <c r="F223" s="3" t="str">
        <f>VLOOKUP(B223,[1]LifeList!$E$2:$G$2036,3)</f>
        <v>Gymnopithys bicolor</v>
      </c>
      <c r="G223" s="3" t="str">
        <f>VLOOKUP(B223,[1]LifeList!$E$2:$I$2036,4)</f>
        <v>Passeriformes</v>
      </c>
      <c r="H223" s="3" t="str">
        <f>VLOOKUP(B223,[1]LifeList!$E$2:$I$2036,5)</f>
        <v>Thamnophilidae (Typical Antbirds)</v>
      </c>
    </row>
    <row r="224" spans="1:8" x14ac:dyDescent="0.15">
      <c r="A224" s="3" t="s">
        <v>209</v>
      </c>
      <c r="B224" s="3" t="s">
        <v>4040</v>
      </c>
      <c r="C224" s="3">
        <v>14267</v>
      </c>
      <c r="D224" s="3" t="str">
        <f>VLOOKUP(B224,[1]LifeList!$E$2:$G$2036,1)</f>
        <v>Bicolored Antpitta</v>
      </c>
      <c r="E224" s="3" t="str">
        <f>VLOOKUP(B224,[1]LifeList!$E$2:$G$2036,2)</f>
        <v>Grallaire bicolore</v>
      </c>
      <c r="F224" s="3" t="str">
        <f>VLOOKUP(B224,[1]LifeList!$E$2:$G$2036,3)</f>
        <v>Grallaria rufocinerea</v>
      </c>
      <c r="G224" s="3" t="str">
        <f>VLOOKUP(B224,[1]LifeList!$E$2:$I$2036,4)</f>
        <v>Passeriformes</v>
      </c>
      <c r="H224" s="3" t="str">
        <f>VLOOKUP(B224,[1]LifeList!$E$2:$I$2036,5)</f>
        <v>Grallariidae (Antpittas)</v>
      </c>
    </row>
    <row r="225" spans="1:8" x14ac:dyDescent="0.15">
      <c r="A225" s="3" t="s">
        <v>210</v>
      </c>
      <c r="B225" s="3" t="s">
        <v>4040</v>
      </c>
      <c r="C225" s="3">
        <v>14267</v>
      </c>
      <c r="D225" s="3" t="str">
        <f>VLOOKUP(B225,[1]LifeList!$E$2:$G$2036,1)</f>
        <v>Bicolored Antpitta</v>
      </c>
      <c r="E225" s="3" t="str">
        <f>VLOOKUP(B225,[1]LifeList!$E$2:$G$2036,2)</f>
        <v>Grallaire bicolore</v>
      </c>
      <c r="F225" s="3" t="str">
        <f>VLOOKUP(B225,[1]LifeList!$E$2:$G$2036,3)</f>
        <v>Grallaria rufocinerea</v>
      </c>
      <c r="G225" s="3" t="str">
        <f>VLOOKUP(B225,[1]LifeList!$E$2:$I$2036,4)</f>
        <v>Passeriformes</v>
      </c>
      <c r="H225" s="3" t="str">
        <f>VLOOKUP(B225,[1]LifeList!$E$2:$I$2036,5)</f>
        <v>Grallariidae (Antpittas)</v>
      </c>
    </row>
    <row r="226" spans="1:8" x14ac:dyDescent="0.15">
      <c r="A226" s="3" t="s">
        <v>211</v>
      </c>
      <c r="B226" s="3" t="s">
        <v>4040</v>
      </c>
      <c r="C226" s="3">
        <v>14267</v>
      </c>
      <c r="D226" s="3" t="str">
        <f>VLOOKUP(B226,[1]LifeList!$E$2:$G$2036,1)</f>
        <v>Bicolored Antpitta</v>
      </c>
      <c r="E226" s="3" t="str">
        <f>VLOOKUP(B226,[1]LifeList!$E$2:$G$2036,2)</f>
        <v>Grallaire bicolore</v>
      </c>
      <c r="F226" s="3" t="str">
        <f>VLOOKUP(B226,[1]LifeList!$E$2:$G$2036,3)</f>
        <v>Grallaria rufocinerea</v>
      </c>
      <c r="G226" s="3" t="str">
        <f>VLOOKUP(B226,[1]LifeList!$E$2:$I$2036,4)</f>
        <v>Passeriformes</v>
      </c>
      <c r="H226" s="3" t="str">
        <f>VLOOKUP(B226,[1]LifeList!$E$2:$I$2036,5)</f>
        <v>Grallariidae (Antpittas)</v>
      </c>
    </row>
    <row r="227" spans="1:8" x14ac:dyDescent="0.15">
      <c r="A227" s="3" t="s">
        <v>212</v>
      </c>
      <c r="B227" s="3" t="s">
        <v>4041</v>
      </c>
      <c r="C227" s="3">
        <v>35236</v>
      </c>
      <c r="D227" s="3" t="str">
        <f>VLOOKUP(B227,[1]LifeList!$E$2:$G$2036,1)</f>
        <v>Bicolored Conebill</v>
      </c>
      <c r="E227" s="3" t="str">
        <f>VLOOKUP(B227,[1]LifeList!$E$2:$G$2036,2)</f>
        <v>Conirostre bicolore</v>
      </c>
      <c r="F227" s="3" t="str">
        <f>VLOOKUP(B227,[1]LifeList!$E$2:$G$2036,3)</f>
        <v>Conirostrum bicolor</v>
      </c>
      <c r="G227" s="3" t="str">
        <f>VLOOKUP(B227,[1]LifeList!$E$2:$I$2036,4)</f>
        <v>Passeriformes</v>
      </c>
      <c r="H227" s="3" t="str">
        <f>VLOOKUP(B227,[1]LifeList!$E$2:$I$2036,5)</f>
        <v>Thraupidae (Tanagers and Allies)</v>
      </c>
    </row>
    <row r="228" spans="1:8" x14ac:dyDescent="0.15">
      <c r="A228" s="3" t="s">
        <v>213</v>
      </c>
      <c r="B228" s="3" t="s">
        <v>4042</v>
      </c>
      <c r="C228" s="3">
        <v>27429</v>
      </c>
      <c r="D228" s="3" t="str">
        <f>VLOOKUP(B228,[1]LifeList!$E$2:$G$2036,1)</f>
        <v>Bicolored Wren</v>
      </c>
      <c r="E228" s="3" t="str">
        <f>VLOOKUP(B228,[1]LifeList!$E$2:$G$2036,2)</f>
        <v>Troglodyte bicolore</v>
      </c>
      <c r="F228" s="3" t="str">
        <f>VLOOKUP(B228,[1]LifeList!$E$2:$G$2036,3)</f>
        <v>Campylorhynchus griseus</v>
      </c>
      <c r="G228" s="3" t="str">
        <f>VLOOKUP(B228,[1]LifeList!$E$2:$I$2036,4)</f>
        <v>Passeriformes</v>
      </c>
      <c r="H228" s="3" t="str">
        <f>VLOOKUP(B228,[1]LifeList!$E$2:$I$2036,5)</f>
        <v>Troglodytidae (Wrens)</v>
      </c>
    </row>
    <row r="229" spans="1:8" x14ac:dyDescent="0.15">
      <c r="A229" s="3" t="s">
        <v>373</v>
      </c>
      <c r="B229" s="3" t="s">
        <v>4043</v>
      </c>
      <c r="C229" s="3">
        <v>5587</v>
      </c>
      <c r="D229" s="3" t="str">
        <f>VLOOKUP(B229,[1]LifeList!$E$2:$G$2036,1)</f>
        <v>Black Crake</v>
      </c>
      <c r="E229" s="3" t="str">
        <f>VLOOKUP(B229,[1]LifeList!$E$2:$G$2036,2)</f>
        <v>Marouette à bec jaune</v>
      </c>
      <c r="F229" s="3" t="str">
        <f>VLOOKUP(B229,[1]LifeList!$E$2:$G$2036,3)</f>
        <v>Zapornia flavirostra</v>
      </c>
      <c r="G229" s="3" t="str">
        <f>VLOOKUP(B229,[1]LifeList!$E$2:$I$2036,4)</f>
        <v>Gruiformes</v>
      </c>
      <c r="H229" s="3" t="str">
        <f>VLOOKUP(B229,[1]LifeList!$E$2:$I$2036,5)</f>
        <v>Rallidae (Rails, Gallinules, and Coots)</v>
      </c>
    </row>
    <row r="230" spans="1:8" x14ac:dyDescent="0.15">
      <c r="A230" s="3" t="s">
        <v>3816</v>
      </c>
      <c r="B230" s="3" t="s">
        <v>4043</v>
      </c>
      <c r="C230" s="3">
        <v>5587</v>
      </c>
      <c r="D230" s="3" t="str">
        <f>VLOOKUP(B230,[1]LifeList!$E$2:$G$2036,1)</f>
        <v>Black Crake</v>
      </c>
      <c r="E230" s="3" t="str">
        <f>VLOOKUP(B230,[1]LifeList!$E$2:$G$2036,2)</f>
        <v>Marouette à bec jaune</v>
      </c>
      <c r="F230" s="3" t="str">
        <f>VLOOKUP(B230,[1]LifeList!$E$2:$G$2036,3)</f>
        <v>Zapornia flavirostra</v>
      </c>
      <c r="G230" s="3" t="str">
        <f>VLOOKUP(B230,[1]LifeList!$E$2:$I$2036,4)</f>
        <v>Gruiformes</v>
      </c>
      <c r="H230" s="3" t="str">
        <f>VLOOKUP(B230,[1]LifeList!$E$2:$I$2036,5)</f>
        <v>Rallidae (Rails, Gallinules, and Coots)</v>
      </c>
    </row>
    <row r="231" spans="1:8" x14ac:dyDescent="0.15">
      <c r="A231" s="3" t="s">
        <v>374</v>
      </c>
      <c r="B231" s="3" t="s">
        <v>4044</v>
      </c>
      <c r="C231" s="3">
        <v>1647</v>
      </c>
      <c r="D231" s="3" t="str">
        <f>VLOOKUP(B231,[1]LifeList!$E$2:$G$2036,1)</f>
        <v>Black Francolin</v>
      </c>
      <c r="E231" s="3" t="str">
        <f>VLOOKUP(B231,[1]LifeList!$E$2:$G$2036,2)</f>
        <v>Francolin noir</v>
      </c>
      <c r="F231" s="3" t="str">
        <f>VLOOKUP(B231,[1]LifeList!$E$2:$G$2036,3)</f>
        <v>Francolinus francolinus</v>
      </c>
      <c r="G231" s="3" t="str">
        <f>VLOOKUP(B231,[1]LifeList!$E$2:$I$2036,4)</f>
        <v>Galliformes</v>
      </c>
      <c r="H231" s="3" t="str">
        <f>VLOOKUP(B231,[1]LifeList!$E$2:$I$2036,5)</f>
        <v>Phasianidae (Pheasants, Grouse, and Allies)</v>
      </c>
    </row>
    <row r="232" spans="1:8" x14ac:dyDescent="0.15">
      <c r="A232" s="3" t="s">
        <v>375</v>
      </c>
      <c r="B232" s="3" t="s">
        <v>4045</v>
      </c>
      <c r="C232" s="3">
        <v>6396</v>
      </c>
      <c r="D232" s="3" t="str">
        <f>VLOOKUP(B232,[1]LifeList!$E$2:$G$2036,1)</f>
        <v>Black Guillemot</v>
      </c>
      <c r="E232" s="3" t="str">
        <f>VLOOKUP(B232,[1]LifeList!$E$2:$G$2036,2)</f>
        <v>Guillemot à miroir</v>
      </c>
      <c r="F232" s="3" t="str">
        <f>VLOOKUP(B232,[1]LifeList!$E$2:$G$2036,3)</f>
        <v>Cepphus grylle</v>
      </c>
      <c r="G232" s="3" t="str">
        <f>VLOOKUP(B232,[1]LifeList!$E$2:$I$2036,4)</f>
        <v>Charadriiformes</v>
      </c>
      <c r="H232" s="3" t="str">
        <f>VLOOKUP(B232,[1]LifeList!$E$2:$I$2036,5)</f>
        <v>Alcidae (Auks, Murres, and Puffins)</v>
      </c>
    </row>
    <row r="233" spans="1:8" x14ac:dyDescent="0.15">
      <c r="A233" s="3" t="s">
        <v>376</v>
      </c>
      <c r="B233" s="3" t="s">
        <v>4046</v>
      </c>
      <c r="C233" s="3">
        <v>7639</v>
      </c>
      <c r="D233" s="3" t="str">
        <f>VLOOKUP(B233,[1]LifeList!$E$2:$G$2036,1)</f>
        <v>Black Heron</v>
      </c>
      <c r="E233" s="3" t="str">
        <f>VLOOKUP(B233,[1]LifeList!$E$2:$G$2036,2)</f>
        <v>Aigrette ardoisée</v>
      </c>
      <c r="F233" s="3" t="str">
        <f>VLOOKUP(B233,[1]LifeList!$E$2:$G$2036,3)</f>
        <v>Egretta ardesiaca</v>
      </c>
      <c r="G233" s="3" t="str">
        <f>VLOOKUP(B233,[1]LifeList!$E$2:$I$2036,4)</f>
        <v>Pelecaniformes</v>
      </c>
      <c r="H233" s="3" t="str">
        <f>VLOOKUP(B233,[1]LifeList!$E$2:$I$2036,5)</f>
        <v>Ardeidae (Herons, Egrets, and Bitterns)</v>
      </c>
    </row>
    <row r="234" spans="1:8" x14ac:dyDescent="0.15">
      <c r="A234" s="3" t="s">
        <v>377</v>
      </c>
      <c r="B234" s="3" t="s">
        <v>4046</v>
      </c>
      <c r="C234" s="3">
        <v>7639</v>
      </c>
      <c r="D234" s="3" t="str">
        <f>VLOOKUP(B234,[1]LifeList!$E$2:$G$2036,1)</f>
        <v>Black Heron</v>
      </c>
      <c r="E234" s="3" t="str">
        <f>VLOOKUP(B234,[1]LifeList!$E$2:$G$2036,2)</f>
        <v>Aigrette ardoisée</v>
      </c>
      <c r="F234" s="3" t="str">
        <f>VLOOKUP(B234,[1]LifeList!$E$2:$G$2036,3)</f>
        <v>Egretta ardesiaca</v>
      </c>
      <c r="G234" s="3" t="str">
        <f>VLOOKUP(B234,[1]LifeList!$E$2:$I$2036,4)</f>
        <v>Pelecaniformes</v>
      </c>
      <c r="H234" s="3" t="str">
        <f>VLOOKUP(B234,[1]LifeList!$E$2:$I$2036,5)</f>
        <v>Ardeidae (Herons, Egrets, and Bitterns)</v>
      </c>
    </row>
    <row r="235" spans="1:8" x14ac:dyDescent="0.15">
      <c r="A235" s="3" t="s">
        <v>378</v>
      </c>
      <c r="B235" s="3" t="s">
        <v>4046</v>
      </c>
      <c r="C235" s="3">
        <v>7639</v>
      </c>
      <c r="D235" s="3" t="str">
        <f>VLOOKUP(B235,[1]LifeList!$E$2:$G$2036,1)</f>
        <v>Black Heron</v>
      </c>
      <c r="E235" s="3" t="str">
        <f>VLOOKUP(B235,[1]LifeList!$E$2:$G$2036,2)</f>
        <v>Aigrette ardoisée</v>
      </c>
      <c r="F235" s="3" t="str">
        <f>VLOOKUP(B235,[1]LifeList!$E$2:$G$2036,3)</f>
        <v>Egretta ardesiaca</v>
      </c>
      <c r="G235" s="3" t="str">
        <f>VLOOKUP(B235,[1]LifeList!$E$2:$I$2036,4)</f>
        <v>Pelecaniformes</v>
      </c>
      <c r="H235" s="3" t="str">
        <f>VLOOKUP(B235,[1]LifeList!$E$2:$I$2036,5)</f>
        <v>Ardeidae (Herons, Egrets, and Bitterns)</v>
      </c>
    </row>
    <row r="236" spans="1:8" x14ac:dyDescent="0.15">
      <c r="A236" s="3" t="s">
        <v>379</v>
      </c>
      <c r="B236" s="3" t="s">
        <v>4046</v>
      </c>
      <c r="C236" s="3">
        <v>7639</v>
      </c>
      <c r="D236" s="3" t="str">
        <f>VLOOKUP(B236,[1]LifeList!$E$2:$G$2036,1)</f>
        <v>Black Heron</v>
      </c>
      <c r="E236" s="3" t="str">
        <f>VLOOKUP(B236,[1]LifeList!$E$2:$G$2036,2)</f>
        <v>Aigrette ardoisée</v>
      </c>
      <c r="F236" s="3" t="str">
        <f>VLOOKUP(B236,[1]LifeList!$E$2:$G$2036,3)</f>
        <v>Egretta ardesiaca</v>
      </c>
      <c r="G236" s="3" t="str">
        <f>VLOOKUP(B236,[1]LifeList!$E$2:$I$2036,4)</f>
        <v>Pelecaniformes</v>
      </c>
      <c r="H236" s="3" t="str">
        <f>VLOOKUP(B236,[1]LifeList!$E$2:$I$2036,5)</f>
        <v>Ardeidae (Herons, Egrets, and Bitterns)</v>
      </c>
    </row>
    <row r="237" spans="1:8" x14ac:dyDescent="0.15">
      <c r="A237" s="3" t="s">
        <v>380</v>
      </c>
      <c r="B237" s="3" t="s">
        <v>4047</v>
      </c>
      <c r="C237" s="3">
        <v>8345</v>
      </c>
      <c r="D237" s="3" t="str">
        <f>VLOOKUP(B237,[1]LifeList!$E$2:$G$2036,1)</f>
        <v>Black Kite</v>
      </c>
      <c r="E237" s="3" t="str">
        <f>VLOOKUP(B237,[1]LifeList!$E$2:$G$2036,2)</f>
        <v>Milan noir</v>
      </c>
      <c r="F237" s="3" t="str">
        <f>VLOOKUP(B237,[1]LifeList!$E$2:$G$2036,3)</f>
        <v>Milvus migrans</v>
      </c>
      <c r="G237" s="3" t="str">
        <f>VLOOKUP(B237,[1]LifeList!$E$2:$I$2036,4)</f>
        <v>Accipitriformes</v>
      </c>
      <c r="H237" s="3" t="str">
        <f>VLOOKUP(B237,[1]LifeList!$E$2:$I$2036,5)</f>
        <v>Accipitridae (Hawks, Eagles, and Kites)</v>
      </c>
    </row>
    <row r="238" spans="1:8" x14ac:dyDescent="0.15">
      <c r="A238" s="3" t="s">
        <v>381</v>
      </c>
      <c r="B238" s="3" t="s">
        <v>4047</v>
      </c>
      <c r="C238" s="3">
        <v>8345</v>
      </c>
      <c r="D238" s="3" t="str">
        <f>VLOOKUP(B238,[1]LifeList!$E$2:$G$2036,1)</f>
        <v>Black Kite</v>
      </c>
      <c r="E238" s="3" t="str">
        <f>VLOOKUP(B238,[1]LifeList!$E$2:$G$2036,2)</f>
        <v>Milan noir</v>
      </c>
      <c r="F238" s="3" t="str">
        <f>VLOOKUP(B238,[1]LifeList!$E$2:$G$2036,3)</f>
        <v>Milvus migrans</v>
      </c>
      <c r="G238" s="3" t="str">
        <f>VLOOKUP(B238,[1]LifeList!$E$2:$I$2036,4)</f>
        <v>Accipitriformes</v>
      </c>
      <c r="H238" s="3" t="str">
        <f>VLOOKUP(B238,[1]LifeList!$E$2:$I$2036,5)</f>
        <v>Accipitridae (Hawks, Eagles, and Kites)</v>
      </c>
    </row>
    <row r="239" spans="1:8" x14ac:dyDescent="0.15">
      <c r="A239" s="3" t="s">
        <v>382</v>
      </c>
      <c r="B239" s="3" t="s">
        <v>4047</v>
      </c>
      <c r="C239" s="3">
        <v>8345</v>
      </c>
      <c r="D239" s="3" t="str">
        <f>VLOOKUP(B239,[1]LifeList!$E$2:$G$2036,1)</f>
        <v>Black Kite</v>
      </c>
      <c r="E239" s="3" t="str">
        <f>VLOOKUP(B239,[1]LifeList!$E$2:$G$2036,2)</f>
        <v>Milan noir</v>
      </c>
      <c r="F239" s="3" t="str">
        <f>VLOOKUP(B239,[1]LifeList!$E$2:$G$2036,3)</f>
        <v>Milvus migrans</v>
      </c>
      <c r="G239" s="3" t="str">
        <f>VLOOKUP(B239,[1]LifeList!$E$2:$I$2036,4)</f>
        <v>Accipitriformes</v>
      </c>
      <c r="H239" s="3" t="str">
        <f>VLOOKUP(B239,[1]LifeList!$E$2:$I$2036,5)</f>
        <v>Accipitridae (Hawks, Eagles, and Kites)</v>
      </c>
    </row>
    <row r="240" spans="1:8" x14ac:dyDescent="0.15">
      <c r="A240" s="3" t="s">
        <v>383</v>
      </c>
      <c r="B240" s="3" t="s">
        <v>4047</v>
      </c>
      <c r="C240" s="3">
        <v>8345</v>
      </c>
      <c r="D240" s="3" t="str">
        <f>VLOOKUP(B240,[1]LifeList!$E$2:$G$2036,1)</f>
        <v>Black Kite</v>
      </c>
      <c r="E240" s="3" t="str">
        <f>VLOOKUP(B240,[1]LifeList!$E$2:$G$2036,2)</f>
        <v>Milan noir</v>
      </c>
      <c r="F240" s="3" t="str">
        <f>VLOOKUP(B240,[1]LifeList!$E$2:$G$2036,3)</f>
        <v>Milvus migrans</v>
      </c>
      <c r="G240" s="3" t="str">
        <f>VLOOKUP(B240,[1]LifeList!$E$2:$I$2036,4)</f>
        <v>Accipitriformes</v>
      </c>
      <c r="H240" s="3" t="str">
        <f>VLOOKUP(B240,[1]LifeList!$E$2:$I$2036,5)</f>
        <v>Accipitridae (Hawks, Eagles, and Kites)</v>
      </c>
    </row>
    <row r="241" spans="1:8" x14ac:dyDescent="0.15">
      <c r="A241" s="3" t="s">
        <v>384</v>
      </c>
      <c r="B241" s="3" t="s">
        <v>4047</v>
      </c>
      <c r="C241" s="3">
        <v>8345</v>
      </c>
      <c r="D241" s="3" t="str">
        <f>VLOOKUP(B241,[1]LifeList!$E$2:$G$2036,1)</f>
        <v>Black Kite</v>
      </c>
      <c r="E241" s="3" t="str">
        <f>VLOOKUP(B241,[1]LifeList!$E$2:$G$2036,2)</f>
        <v>Milan noir</v>
      </c>
      <c r="F241" s="3" t="str">
        <f>VLOOKUP(B241,[1]LifeList!$E$2:$G$2036,3)</f>
        <v>Milvus migrans</v>
      </c>
      <c r="G241" s="3" t="str">
        <f>VLOOKUP(B241,[1]LifeList!$E$2:$I$2036,4)</f>
        <v>Accipitriformes</v>
      </c>
      <c r="H241" s="3" t="str">
        <f>VLOOKUP(B241,[1]LifeList!$E$2:$I$2036,5)</f>
        <v>Accipitridae (Hawks, Eagles, and Kites)</v>
      </c>
    </row>
    <row r="242" spans="1:8" x14ac:dyDescent="0.15">
      <c r="A242" s="3" t="s">
        <v>385</v>
      </c>
      <c r="B242" s="3" t="s">
        <v>4047</v>
      </c>
      <c r="C242" s="3">
        <v>8345</v>
      </c>
      <c r="D242" s="3" t="str">
        <f>VLOOKUP(B242,[1]LifeList!$E$2:$G$2036,1)</f>
        <v>Black Kite</v>
      </c>
      <c r="E242" s="3" t="str">
        <f>VLOOKUP(B242,[1]LifeList!$E$2:$G$2036,2)</f>
        <v>Milan noir</v>
      </c>
      <c r="F242" s="3" t="str">
        <f>VLOOKUP(B242,[1]LifeList!$E$2:$G$2036,3)</f>
        <v>Milvus migrans</v>
      </c>
      <c r="G242" s="3" t="str">
        <f>VLOOKUP(B242,[1]LifeList!$E$2:$I$2036,4)</f>
        <v>Accipitriformes</v>
      </c>
      <c r="H242" s="3" t="str">
        <f>VLOOKUP(B242,[1]LifeList!$E$2:$I$2036,5)</f>
        <v>Accipitridae (Hawks, Eagles, and Kites)</v>
      </c>
    </row>
    <row r="243" spans="1:8" x14ac:dyDescent="0.15">
      <c r="A243" s="3" t="s">
        <v>386</v>
      </c>
      <c r="B243" s="3" t="s">
        <v>4048</v>
      </c>
      <c r="C243" s="3">
        <v>33633</v>
      </c>
      <c r="D243" s="3" t="str">
        <f>VLOOKUP(B243,[1]LifeList!$E$2:$G$2036,1)</f>
        <v>Black Oropendola</v>
      </c>
      <c r="E243" s="3" t="str">
        <f>VLOOKUP(B243,[1]LifeList!$E$2:$G$2036,2)</f>
        <v>Cassique noir</v>
      </c>
      <c r="F243" s="3" t="str">
        <f>VLOOKUP(B243,[1]LifeList!$E$2:$G$2036,3)</f>
        <v>Psarocolius guatimozinus</v>
      </c>
      <c r="G243" s="3" t="str">
        <f>VLOOKUP(B243,[1]LifeList!$E$2:$I$2036,4)</f>
        <v>Passeriformes</v>
      </c>
      <c r="H243" s="3" t="str">
        <f>VLOOKUP(B243,[1]LifeList!$E$2:$I$2036,5)</f>
        <v>Icteridae (Troupials and Allies)</v>
      </c>
    </row>
    <row r="244" spans="1:8" x14ac:dyDescent="0.15">
      <c r="A244" s="3" t="s">
        <v>387</v>
      </c>
      <c r="B244" s="3" t="s">
        <v>4049</v>
      </c>
      <c r="C244" s="3">
        <v>737</v>
      </c>
      <c r="D244" s="3" t="str">
        <f>VLOOKUP(B244,[1]LifeList!$E$2:$G$2036,1)</f>
        <v>Black Scoter</v>
      </c>
      <c r="E244" s="3" t="str">
        <f>VLOOKUP(B244,[1]LifeList!$E$2:$G$2036,2)</f>
        <v>Macreuse à bec jaune</v>
      </c>
      <c r="F244" s="3" t="str">
        <f>VLOOKUP(B244,[1]LifeList!$E$2:$G$2036,3)</f>
        <v>Melanitta americana</v>
      </c>
      <c r="G244" s="3" t="str">
        <f>VLOOKUP(B244,[1]LifeList!$E$2:$I$2036,4)</f>
        <v>Anseriformes</v>
      </c>
      <c r="H244" s="3" t="str">
        <f>VLOOKUP(B244,[1]LifeList!$E$2:$I$2036,5)</f>
        <v>Anatidae (Ducks, Geese, and Waterfowl)</v>
      </c>
    </row>
    <row r="245" spans="1:8" x14ac:dyDescent="0.15">
      <c r="A245" s="3" t="s">
        <v>388</v>
      </c>
      <c r="B245" s="3" t="s">
        <v>4050</v>
      </c>
      <c r="C245" s="3">
        <v>6622</v>
      </c>
      <c r="D245" s="3" t="str">
        <f>VLOOKUP(B245,[1]LifeList!$E$2:$G$2036,1)</f>
        <v>Black Skimmer</v>
      </c>
      <c r="E245" s="3" t="str">
        <f>VLOOKUP(B245,[1]LifeList!$E$2:$G$2036,2)</f>
        <v>Bec-en-ciseaux noir</v>
      </c>
      <c r="F245" s="3" t="str">
        <f>VLOOKUP(B245,[1]LifeList!$E$2:$G$2036,3)</f>
        <v>Rynchops niger</v>
      </c>
      <c r="G245" s="3" t="str">
        <f>VLOOKUP(B245,[1]LifeList!$E$2:$I$2036,4)</f>
        <v>Charadriiformes</v>
      </c>
      <c r="H245" s="3" t="str">
        <f>VLOOKUP(B245,[1]LifeList!$E$2:$I$2036,5)</f>
        <v>Laridae (Gulls, Terns, and Skimmers)</v>
      </c>
    </row>
    <row r="246" spans="1:8" x14ac:dyDescent="0.15">
      <c r="A246" s="3" t="s">
        <v>389</v>
      </c>
      <c r="B246" s="3" t="s">
        <v>4050</v>
      </c>
      <c r="C246" s="3">
        <v>6622</v>
      </c>
      <c r="D246" s="3" t="str">
        <f>VLOOKUP(B246,[1]LifeList!$E$2:$G$2036,1)</f>
        <v>Black Skimmer</v>
      </c>
      <c r="E246" s="3" t="str">
        <f>VLOOKUP(B246,[1]LifeList!$E$2:$G$2036,2)</f>
        <v>Bec-en-ciseaux noir</v>
      </c>
      <c r="F246" s="3" t="str">
        <f>VLOOKUP(B246,[1]LifeList!$E$2:$G$2036,3)</f>
        <v>Rynchops niger</v>
      </c>
      <c r="G246" s="3" t="str">
        <f>VLOOKUP(B246,[1]LifeList!$E$2:$I$2036,4)</f>
        <v>Charadriiformes</v>
      </c>
      <c r="H246" s="3" t="str">
        <f>VLOOKUP(B246,[1]LifeList!$E$2:$I$2036,5)</f>
        <v>Laridae (Gulls, Terns, and Skimmers)</v>
      </c>
    </row>
    <row r="247" spans="1:8" x14ac:dyDescent="0.15">
      <c r="A247" s="3" t="s">
        <v>390</v>
      </c>
      <c r="B247" s="3" t="s">
        <v>4050</v>
      </c>
      <c r="C247" s="3">
        <v>6622</v>
      </c>
      <c r="D247" s="3" t="str">
        <f>VLOOKUP(B247,[1]LifeList!$E$2:$G$2036,1)</f>
        <v>Black Skimmer</v>
      </c>
      <c r="E247" s="3" t="str">
        <f>VLOOKUP(B247,[1]LifeList!$E$2:$G$2036,2)</f>
        <v>Bec-en-ciseaux noir</v>
      </c>
      <c r="F247" s="3" t="str">
        <f>VLOOKUP(B247,[1]LifeList!$E$2:$G$2036,3)</f>
        <v>Rynchops niger</v>
      </c>
      <c r="G247" s="3" t="str">
        <f>VLOOKUP(B247,[1]LifeList!$E$2:$I$2036,4)</f>
        <v>Charadriiformes</v>
      </c>
      <c r="H247" s="3" t="str">
        <f>VLOOKUP(B247,[1]LifeList!$E$2:$I$2036,5)</f>
        <v>Laridae (Gulls, Terns, and Skimmers)</v>
      </c>
    </row>
    <row r="248" spans="1:8" x14ac:dyDescent="0.15">
      <c r="A248" s="3" t="s">
        <v>391</v>
      </c>
      <c r="B248" s="3" t="s">
        <v>4051</v>
      </c>
      <c r="C248" s="3">
        <v>379</v>
      </c>
      <c r="D248" s="3" t="str">
        <f>VLOOKUP(B248,[1]LifeList!$E$2:$G$2036,1)</f>
        <v>Black Swan</v>
      </c>
      <c r="E248" s="3" t="str">
        <f>VLOOKUP(B248,[1]LifeList!$E$2:$G$2036,2)</f>
        <v>Cygne noir</v>
      </c>
      <c r="F248" s="3" t="str">
        <f>VLOOKUP(B248,[1]LifeList!$E$2:$G$2036,3)</f>
        <v>Cygnus atratus</v>
      </c>
      <c r="G248" s="3" t="str">
        <f>VLOOKUP(B248,[1]LifeList!$E$2:$I$2036,4)</f>
        <v>Anseriformes</v>
      </c>
      <c r="H248" s="3" t="str">
        <f>VLOOKUP(B248,[1]LifeList!$E$2:$I$2036,5)</f>
        <v>Anatidae (Ducks, Geese, and Waterfowl)</v>
      </c>
    </row>
    <row r="249" spans="1:8" x14ac:dyDescent="0.15">
      <c r="A249" s="3" t="s">
        <v>392</v>
      </c>
      <c r="B249" s="3" t="s">
        <v>4051</v>
      </c>
      <c r="C249" s="3">
        <v>379</v>
      </c>
      <c r="D249" s="3" t="str">
        <f>VLOOKUP(B249,[1]LifeList!$E$2:$G$2036,1)</f>
        <v>Black Swan</v>
      </c>
      <c r="E249" s="3" t="str">
        <f>VLOOKUP(B249,[1]LifeList!$E$2:$G$2036,2)</f>
        <v>Cygne noir</v>
      </c>
      <c r="F249" s="3" t="str">
        <f>VLOOKUP(B249,[1]LifeList!$E$2:$G$2036,3)</f>
        <v>Cygnus atratus</v>
      </c>
      <c r="G249" s="3" t="str">
        <f>VLOOKUP(B249,[1]LifeList!$E$2:$I$2036,4)</f>
        <v>Anseriformes</v>
      </c>
      <c r="H249" s="3" t="str">
        <f>VLOOKUP(B249,[1]LifeList!$E$2:$I$2036,5)</f>
        <v>Anatidae (Ducks, Geese, and Waterfowl)</v>
      </c>
    </row>
    <row r="250" spans="1:8" x14ac:dyDescent="0.15">
      <c r="A250" s="3" t="s">
        <v>393</v>
      </c>
      <c r="B250" s="3" t="s">
        <v>4051</v>
      </c>
      <c r="C250" s="3">
        <v>379</v>
      </c>
      <c r="D250" s="3" t="str">
        <f>VLOOKUP(B250,[1]LifeList!$E$2:$G$2036,1)</f>
        <v>Black Swan</v>
      </c>
      <c r="E250" s="3" t="str">
        <f>VLOOKUP(B250,[1]LifeList!$E$2:$G$2036,2)</f>
        <v>Cygne noir</v>
      </c>
      <c r="F250" s="3" t="str">
        <f>VLOOKUP(B250,[1]LifeList!$E$2:$G$2036,3)</f>
        <v>Cygnus atratus</v>
      </c>
      <c r="G250" s="3" t="str">
        <f>VLOOKUP(B250,[1]LifeList!$E$2:$I$2036,4)</f>
        <v>Anseriformes</v>
      </c>
      <c r="H250" s="3" t="str">
        <f>VLOOKUP(B250,[1]LifeList!$E$2:$I$2036,5)</f>
        <v>Anatidae (Ducks, Geese, and Waterfowl)</v>
      </c>
    </row>
    <row r="251" spans="1:8" x14ac:dyDescent="0.15">
      <c r="A251" s="3" t="s">
        <v>394</v>
      </c>
      <c r="B251" s="3" t="s">
        <v>4052</v>
      </c>
      <c r="C251" s="3">
        <v>6725</v>
      </c>
      <c r="D251" s="3" t="str">
        <f>VLOOKUP(B251,[1]LifeList!$E$2:$G$2036,1)</f>
        <v>Black Tern</v>
      </c>
      <c r="E251" s="3" t="str">
        <f>VLOOKUP(B251,[1]LifeList!$E$2:$G$2036,2)</f>
        <v>Guifette noire</v>
      </c>
      <c r="F251" s="3" t="str">
        <f>VLOOKUP(B251,[1]LifeList!$E$2:$G$2036,3)</f>
        <v>Chlidonias niger</v>
      </c>
      <c r="G251" s="3" t="str">
        <f>VLOOKUP(B251,[1]LifeList!$E$2:$I$2036,4)</f>
        <v>Charadriiformes</v>
      </c>
      <c r="H251" s="3" t="str">
        <f>VLOOKUP(B251,[1]LifeList!$E$2:$I$2036,5)</f>
        <v>Laridae (Gulls, Terns, and Skimmers)</v>
      </c>
    </row>
    <row r="252" spans="1:8" x14ac:dyDescent="0.15">
      <c r="A252" s="3" t="s">
        <v>395</v>
      </c>
      <c r="B252" s="3" t="s">
        <v>4052</v>
      </c>
      <c r="C252" s="3">
        <v>6725</v>
      </c>
      <c r="D252" s="3" t="str">
        <f>VLOOKUP(B252,[1]LifeList!$E$2:$G$2036,1)</f>
        <v>Black Tern</v>
      </c>
      <c r="E252" s="3" t="str">
        <f>VLOOKUP(B252,[1]LifeList!$E$2:$G$2036,2)</f>
        <v>Guifette noire</v>
      </c>
      <c r="F252" s="3" t="str">
        <f>VLOOKUP(B252,[1]LifeList!$E$2:$G$2036,3)</f>
        <v>Chlidonias niger</v>
      </c>
      <c r="G252" s="3" t="str">
        <f>VLOOKUP(B252,[1]LifeList!$E$2:$I$2036,4)</f>
        <v>Charadriiformes</v>
      </c>
      <c r="H252" s="3" t="str">
        <f>VLOOKUP(B252,[1]LifeList!$E$2:$I$2036,5)</f>
        <v>Laridae (Gulls, Terns, and Skimmers)</v>
      </c>
    </row>
    <row r="253" spans="1:8" x14ac:dyDescent="0.15">
      <c r="A253" s="3" t="s">
        <v>396</v>
      </c>
      <c r="B253" s="3" t="s">
        <v>4052</v>
      </c>
      <c r="C253" s="3">
        <v>6725</v>
      </c>
      <c r="D253" s="3" t="str">
        <f>VLOOKUP(B253,[1]LifeList!$E$2:$G$2036,1)</f>
        <v>Black Tern</v>
      </c>
      <c r="E253" s="3" t="str">
        <f>VLOOKUP(B253,[1]LifeList!$E$2:$G$2036,2)</f>
        <v>Guifette noire</v>
      </c>
      <c r="F253" s="3" t="str">
        <f>VLOOKUP(B253,[1]LifeList!$E$2:$G$2036,3)</f>
        <v>Chlidonias niger</v>
      </c>
      <c r="G253" s="3" t="str">
        <f>VLOOKUP(B253,[1]LifeList!$E$2:$I$2036,4)</f>
        <v>Charadriiformes</v>
      </c>
      <c r="H253" s="3" t="str">
        <f>VLOOKUP(B253,[1]LifeList!$E$2:$I$2036,5)</f>
        <v>Laridae (Gulls, Terns, and Skimmers)</v>
      </c>
    </row>
    <row r="254" spans="1:8" x14ac:dyDescent="0.15">
      <c r="A254" s="3" t="s">
        <v>397</v>
      </c>
      <c r="B254" s="3" t="s">
        <v>4053</v>
      </c>
      <c r="C254" s="3">
        <v>6164</v>
      </c>
      <c r="D254" s="3" t="str">
        <f>VLOOKUP(B254,[1]LifeList!$E$2:$G$2036,1)</f>
        <v>Black Turnstone</v>
      </c>
      <c r="E254" s="3" t="str">
        <f>VLOOKUP(B254,[1]LifeList!$E$2:$G$2036,2)</f>
        <v>Tournepierre noir</v>
      </c>
      <c r="F254" s="3" t="str">
        <f>VLOOKUP(B254,[1]LifeList!$E$2:$G$2036,3)</f>
        <v>Arenaria melanocephala</v>
      </c>
      <c r="G254" s="3" t="str">
        <f>VLOOKUP(B254,[1]LifeList!$E$2:$I$2036,4)</f>
        <v>Charadriiformes</v>
      </c>
      <c r="H254" s="3" t="str">
        <f>VLOOKUP(B254,[1]LifeList!$E$2:$I$2036,5)</f>
        <v>Scolopacidae (Sandpipers and Allies)</v>
      </c>
    </row>
    <row r="255" spans="1:8" x14ac:dyDescent="0.15">
      <c r="A255" s="3" t="s">
        <v>399</v>
      </c>
      <c r="B255" s="3" t="s">
        <v>4054</v>
      </c>
      <c r="C255" s="3">
        <v>7811</v>
      </c>
      <c r="D255" s="3" t="str">
        <f>VLOOKUP(B255,[1]LifeList!$E$2:$G$2036,1)</f>
        <v>Black Vulture</v>
      </c>
      <c r="E255" s="3" t="str">
        <f>VLOOKUP(B255,[1]LifeList!$E$2:$G$2036,2)</f>
        <v>Urubu noir</v>
      </c>
      <c r="F255" s="3" t="str">
        <f>VLOOKUP(B255,[1]LifeList!$E$2:$G$2036,3)</f>
        <v>Coragyps atratus</v>
      </c>
      <c r="G255" s="3" t="str">
        <f>VLOOKUP(B255,[1]LifeList!$E$2:$I$2036,4)</f>
        <v>Cathartiformes</v>
      </c>
      <c r="H255" s="3" t="str">
        <f>VLOOKUP(B255,[1]LifeList!$E$2:$I$2036,5)</f>
        <v>Cathartidae (New World Vultures)</v>
      </c>
    </row>
    <row r="256" spans="1:8" x14ac:dyDescent="0.15">
      <c r="A256" s="3" t="s">
        <v>400</v>
      </c>
      <c r="B256" s="3" t="s">
        <v>4054</v>
      </c>
      <c r="C256" s="3">
        <v>7811</v>
      </c>
      <c r="D256" s="3" t="str">
        <f>VLOOKUP(B256,[1]LifeList!$E$2:$G$2036,1)</f>
        <v>Black Vulture</v>
      </c>
      <c r="E256" s="3" t="str">
        <f>VLOOKUP(B256,[1]LifeList!$E$2:$G$2036,2)</f>
        <v>Urubu noir</v>
      </c>
      <c r="F256" s="3" t="str">
        <f>VLOOKUP(B256,[1]LifeList!$E$2:$G$2036,3)</f>
        <v>Coragyps atratus</v>
      </c>
      <c r="G256" s="3" t="str">
        <f>VLOOKUP(B256,[1]LifeList!$E$2:$I$2036,4)</f>
        <v>Cathartiformes</v>
      </c>
      <c r="H256" s="3" t="str">
        <f>VLOOKUP(B256,[1]LifeList!$E$2:$I$2036,5)</f>
        <v>Cathartidae (New World Vultures)</v>
      </c>
    </row>
    <row r="257" spans="1:8" x14ac:dyDescent="0.15">
      <c r="A257" s="3" t="s">
        <v>401</v>
      </c>
      <c r="B257" s="3" t="s">
        <v>4054</v>
      </c>
      <c r="C257" s="3">
        <v>7811</v>
      </c>
      <c r="D257" s="3" t="str">
        <f>VLOOKUP(B257,[1]LifeList!$E$2:$G$2036,1)</f>
        <v>Black Vulture</v>
      </c>
      <c r="E257" s="3" t="str">
        <f>VLOOKUP(B257,[1]LifeList!$E$2:$G$2036,2)</f>
        <v>Urubu noir</v>
      </c>
      <c r="F257" s="3" t="str">
        <f>VLOOKUP(B257,[1]LifeList!$E$2:$G$2036,3)</f>
        <v>Coragyps atratus</v>
      </c>
      <c r="G257" s="3" t="str">
        <f>VLOOKUP(B257,[1]LifeList!$E$2:$I$2036,4)</f>
        <v>Cathartiformes</v>
      </c>
      <c r="H257" s="3" t="str">
        <f>VLOOKUP(B257,[1]LifeList!$E$2:$I$2036,5)</f>
        <v>Cathartidae (New World Vultures)</v>
      </c>
    </row>
    <row r="258" spans="1:8" x14ac:dyDescent="0.15">
      <c r="A258" s="3" t="s">
        <v>402</v>
      </c>
      <c r="B258" s="3" t="s">
        <v>4054</v>
      </c>
      <c r="C258" s="3">
        <v>7811</v>
      </c>
      <c r="D258" s="3" t="str">
        <f>VLOOKUP(B258,[1]LifeList!$E$2:$G$2036,1)</f>
        <v>Black Vulture</v>
      </c>
      <c r="E258" s="3" t="str">
        <f>VLOOKUP(B258,[1]LifeList!$E$2:$G$2036,2)</f>
        <v>Urubu noir</v>
      </c>
      <c r="F258" s="3" t="str">
        <f>VLOOKUP(B258,[1]LifeList!$E$2:$G$2036,3)</f>
        <v>Coragyps atratus</v>
      </c>
      <c r="G258" s="3" t="str">
        <f>VLOOKUP(B258,[1]LifeList!$E$2:$I$2036,4)</f>
        <v>Cathartiformes</v>
      </c>
      <c r="H258" s="3" t="str">
        <f>VLOOKUP(B258,[1]LifeList!$E$2:$I$2036,5)</f>
        <v>Cathartidae (New World Vultures)</v>
      </c>
    </row>
    <row r="259" spans="1:8" x14ac:dyDescent="0.15">
      <c r="A259" s="3" t="s">
        <v>403</v>
      </c>
      <c r="B259" s="3" t="s">
        <v>4054</v>
      </c>
      <c r="C259" s="3">
        <v>7811</v>
      </c>
      <c r="D259" s="3" t="str">
        <f>VLOOKUP(B259,[1]LifeList!$E$2:$G$2036,1)</f>
        <v>Black Vulture</v>
      </c>
      <c r="E259" s="3" t="str">
        <f>VLOOKUP(B259,[1]LifeList!$E$2:$G$2036,2)</f>
        <v>Urubu noir</v>
      </c>
      <c r="F259" s="3" t="str">
        <f>VLOOKUP(B259,[1]LifeList!$E$2:$G$2036,3)</f>
        <v>Coragyps atratus</v>
      </c>
      <c r="G259" s="3" t="str">
        <f>VLOOKUP(B259,[1]LifeList!$E$2:$I$2036,4)</f>
        <v>Cathartiformes</v>
      </c>
      <c r="H259" s="3" t="str">
        <f>VLOOKUP(B259,[1]LifeList!$E$2:$I$2036,5)</f>
        <v>Cathartidae (New World Vultures)</v>
      </c>
    </row>
    <row r="260" spans="1:8" x14ac:dyDescent="0.15">
      <c r="A260" s="3" t="s">
        <v>398</v>
      </c>
      <c r="B260" s="3" t="s">
        <v>4054</v>
      </c>
      <c r="C260" s="3">
        <v>7811</v>
      </c>
      <c r="D260" s="3" t="str">
        <f>VLOOKUP(B260,[1]LifeList!$E$2:$G$2036,1)</f>
        <v>Black Vulture</v>
      </c>
      <c r="E260" s="3" t="str">
        <f>VLOOKUP(B260,[1]LifeList!$E$2:$G$2036,2)</f>
        <v>Urubu noir</v>
      </c>
      <c r="F260" s="3" t="str">
        <f>VLOOKUP(B260,[1]LifeList!$E$2:$G$2036,3)</f>
        <v>Coragyps atratus</v>
      </c>
      <c r="G260" s="3" t="str">
        <f>VLOOKUP(B260,[1]LifeList!$E$2:$I$2036,4)</f>
        <v>Cathartiformes</v>
      </c>
      <c r="H260" s="3" t="str">
        <f>VLOOKUP(B260,[1]LifeList!$E$2:$I$2036,5)</f>
        <v>Cathartidae (New World Vultures)</v>
      </c>
    </row>
    <row r="261" spans="1:8" x14ac:dyDescent="0.15">
      <c r="A261" s="3" t="s">
        <v>215</v>
      </c>
      <c r="B261" s="3" t="s">
        <v>4055</v>
      </c>
      <c r="C261" s="3">
        <v>9167</v>
      </c>
      <c r="D261" s="3" t="str">
        <f>VLOOKUP(B261,[1]LifeList!$E$2:$G$2036,1)</f>
        <v>Black-and-white Owl</v>
      </c>
      <c r="E261" s="3" t="str">
        <f>VLOOKUP(B261,[1]LifeList!$E$2:$G$2036,2)</f>
        <v>Chouette à lignes noires</v>
      </c>
      <c r="F261" s="3" t="str">
        <f>VLOOKUP(B261,[1]LifeList!$E$2:$G$2036,3)</f>
        <v>Strix nigrolineata</v>
      </c>
      <c r="G261" s="3" t="str">
        <f>VLOOKUP(B261,[1]LifeList!$E$2:$I$2036,4)</f>
        <v>Strigiformes</v>
      </c>
      <c r="H261" s="3" t="str">
        <f>VLOOKUP(B261,[1]LifeList!$E$2:$I$2036,5)</f>
        <v>Strigidae (Owls)</v>
      </c>
    </row>
    <row r="262" spans="1:8" x14ac:dyDescent="0.15">
      <c r="A262" s="3" t="s">
        <v>216</v>
      </c>
      <c r="B262" s="3" t="s">
        <v>4056</v>
      </c>
      <c r="C262" s="3">
        <v>33962</v>
      </c>
      <c r="D262" s="3" t="str">
        <f>VLOOKUP(B262,[1]LifeList!$E$2:$G$2036,1)</f>
        <v>Black-and-white Warbler</v>
      </c>
      <c r="E262" s="3" t="str">
        <f>VLOOKUP(B262,[1]LifeList!$E$2:$G$2036,2)</f>
        <v>Paruline noir et blanc</v>
      </c>
      <c r="F262" s="3" t="str">
        <f>VLOOKUP(B262,[1]LifeList!$E$2:$G$2036,3)</f>
        <v>Mniotilta varia</v>
      </c>
      <c r="G262" s="3" t="str">
        <f>VLOOKUP(B262,[1]LifeList!$E$2:$I$2036,4)</f>
        <v>Passeriformes</v>
      </c>
      <c r="H262" s="3" t="str">
        <f>VLOOKUP(B262,[1]LifeList!$E$2:$I$2036,5)</f>
        <v>Parulidae (New World Warblers)</v>
      </c>
    </row>
    <row r="263" spans="1:8" x14ac:dyDescent="0.15">
      <c r="A263" s="3" t="s">
        <v>217</v>
      </c>
      <c r="B263" s="3" t="s">
        <v>4056</v>
      </c>
      <c r="C263" s="3">
        <v>33962</v>
      </c>
      <c r="D263" s="3" t="str">
        <f>VLOOKUP(B263,[1]LifeList!$E$2:$G$2036,1)</f>
        <v>Black-and-white Warbler</v>
      </c>
      <c r="E263" s="3" t="str">
        <f>VLOOKUP(B263,[1]LifeList!$E$2:$G$2036,2)</f>
        <v>Paruline noir et blanc</v>
      </c>
      <c r="F263" s="3" t="str">
        <f>VLOOKUP(B263,[1]LifeList!$E$2:$G$2036,3)</f>
        <v>Mniotilta varia</v>
      </c>
      <c r="G263" s="3" t="str">
        <f>VLOOKUP(B263,[1]LifeList!$E$2:$I$2036,4)</f>
        <v>Passeriformes</v>
      </c>
      <c r="H263" s="3" t="str">
        <f>VLOOKUP(B263,[1]LifeList!$E$2:$I$2036,5)</f>
        <v>Parulidae (New World Warblers)</v>
      </c>
    </row>
    <row r="264" spans="1:8" x14ac:dyDescent="0.15">
      <c r="A264" s="3" t="s">
        <v>218</v>
      </c>
      <c r="B264" s="3" t="s">
        <v>4056</v>
      </c>
      <c r="C264" s="3">
        <v>33962</v>
      </c>
      <c r="D264" s="3" t="str">
        <f>VLOOKUP(B264,[1]LifeList!$E$2:$G$2036,1)</f>
        <v>Black-and-white Warbler</v>
      </c>
      <c r="E264" s="3" t="str">
        <f>VLOOKUP(B264,[1]LifeList!$E$2:$G$2036,2)</f>
        <v>Paruline noir et blanc</v>
      </c>
      <c r="F264" s="3" t="str">
        <f>VLOOKUP(B264,[1]LifeList!$E$2:$G$2036,3)</f>
        <v>Mniotilta varia</v>
      </c>
      <c r="G264" s="3" t="str">
        <f>VLOOKUP(B264,[1]LifeList!$E$2:$I$2036,4)</f>
        <v>Passeriformes</v>
      </c>
      <c r="H264" s="3" t="str">
        <f>VLOOKUP(B264,[1]LifeList!$E$2:$I$2036,5)</f>
        <v>Parulidae (New World Warblers)</v>
      </c>
    </row>
    <row r="265" spans="1:8" x14ac:dyDescent="0.15">
      <c r="A265" s="3" t="s">
        <v>219</v>
      </c>
      <c r="B265" s="3" t="s">
        <v>4056</v>
      </c>
      <c r="C265" s="3">
        <v>33962</v>
      </c>
      <c r="D265" s="3" t="str">
        <f>VLOOKUP(B265,[1]LifeList!$E$2:$G$2036,1)</f>
        <v>Black-and-white Warbler</v>
      </c>
      <c r="E265" s="3" t="str">
        <f>VLOOKUP(B265,[1]LifeList!$E$2:$G$2036,2)</f>
        <v>Paruline noir et blanc</v>
      </c>
      <c r="F265" s="3" t="str">
        <f>VLOOKUP(B265,[1]LifeList!$E$2:$G$2036,3)</f>
        <v>Mniotilta varia</v>
      </c>
      <c r="G265" s="3" t="str">
        <f>VLOOKUP(B265,[1]LifeList!$E$2:$I$2036,4)</f>
        <v>Passeriformes</v>
      </c>
      <c r="H265" s="3" t="str">
        <f>VLOOKUP(B265,[1]LifeList!$E$2:$I$2036,5)</f>
        <v>Parulidae (New World Warblers)</v>
      </c>
    </row>
    <row r="266" spans="1:8" x14ac:dyDescent="0.15">
      <c r="A266" s="3" t="s">
        <v>220</v>
      </c>
      <c r="B266" s="3" t="s">
        <v>4056</v>
      </c>
      <c r="C266" s="3">
        <v>33962</v>
      </c>
      <c r="D266" s="3" t="str">
        <f>VLOOKUP(B266,[1]LifeList!$E$2:$G$2036,1)</f>
        <v>Black-and-white Warbler</v>
      </c>
      <c r="E266" s="3" t="str">
        <f>VLOOKUP(B266,[1]LifeList!$E$2:$G$2036,2)</f>
        <v>Paruline noir et blanc</v>
      </c>
      <c r="F266" s="3" t="str">
        <f>VLOOKUP(B266,[1]LifeList!$E$2:$G$2036,3)</f>
        <v>Mniotilta varia</v>
      </c>
      <c r="G266" s="3" t="str">
        <f>VLOOKUP(B266,[1]LifeList!$E$2:$I$2036,4)</f>
        <v>Passeriformes</v>
      </c>
      <c r="H266" s="3" t="str">
        <f>VLOOKUP(B266,[1]LifeList!$E$2:$I$2036,5)</f>
        <v>Parulidae (New World Warblers)</v>
      </c>
    </row>
    <row r="267" spans="1:8" x14ac:dyDescent="0.15">
      <c r="A267" s="3" t="s">
        <v>221</v>
      </c>
      <c r="B267" s="3" t="s">
        <v>4056</v>
      </c>
      <c r="C267" s="3">
        <v>33962</v>
      </c>
      <c r="D267" s="3" t="str">
        <f>VLOOKUP(B267,[1]LifeList!$E$2:$G$2036,1)</f>
        <v>Black-and-white Warbler</v>
      </c>
      <c r="E267" s="3" t="str">
        <f>VLOOKUP(B267,[1]LifeList!$E$2:$G$2036,2)</f>
        <v>Paruline noir et blanc</v>
      </c>
      <c r="F267" s="3" t="str">
        <f>VLOOKUP(B267,[1]LifeList!$E$2:$G$2036,3)</f>
        <v>Mniotilta varia</v>
      </c>
      <c r="G267" s="3" t="str">
        <f>VLOOKUP(B267,[1]LifeList!$E$2:$I$2036,4)</f>
        <v>Passeriformes</v>
      </c>
      <c r="H267" s="3" t="str">
        <f>VLOOKUP(B267,[1]LifeList!$E$2:$I$2036,5)</f>
        <v>Parulidae (New World Warblers)</v>
      </c>
    </row>
    <row r="268" spans="1:8" x14ac:dyDescent="0.15">
      <c r="A268" s="3" t="s">
        <v>222</v>
      </c>
      <c r="B268" s="3" t="s">
        <v>4056</v>
      </c>
      <c r="C268" s="3">
        <v>33962</v>
      </c>
      <c r="D268" s="3" t="str">
        <f>VLOOKUP(B268,[1]LifeList!$E$2:$G$2036,1)</f>
        <v>Black-and-white Warbler</v>
      </c>
      <c r="E268" s="3" t="str">
        <f>VLOOKUP(B268,[1]LifeList!$E$2:$G$2036,2)</f>
        <v>Paruline noir et blanc</v>
      </c>
      <c r="F268" s="3" t="str">
        <f>VLOOKUP(B268,[1]LifeList!$E$2:$G$2036,3)</f>
        <v>Mniotilta varia</v>
      </c>
      <c r="G268" s="3" t="str">
        <f>VLOOKUP(B268,[1]LifeList!$E$2:$I$2036,4)</f>
        <v>Passeriformes</v>
      </c>
      <c r="H268" s="3" t="str">
        <f>VLOOKUP(B268,[1]LifeList!$E$2:$I$2036,5)</f>
        <v>Parulidae (New World Warblers)</v>
      </c>
    </row>
    <row r="269" spans="1:8" x14ac:dyDescent="0.15">
      <c r="A269" s="3" t="s">
        <v>223</v>
      </c>
      <c r="B269" s="3" t="s">
        <v>4056</v>
      </c>
      <c r="C269" s="3">
        <v>33962</v>
      </c>
      <c r="D269" s="3" t="str">
        <f>VLOOKUP(B269,[1]LifeList!$E$2:$G$2036,1)</f>
        <v>Black-and-white Warbler</v>
      </c>
      <c r="E269" s="3" t="str">
        <f>VLOOKUP(B269,[1]LifeList!$E$2:$G$2036,2)</f>
        <v>Paruline noir et blanc</v>
      </c>
      <c r="F269" s="3" t="str">
        <f>VLOOKUP(B269,[1]LifeList!$E$2:$G$2036,3)</f>
        <v>Mniotilta varia</v>
      </c>
      <c r="G269" s="3" t="str">
        <f>VLOOKUP(B269,[1]LifeList!$E$2:$I$2036,4)</f>
        <v>Passeriformes</v>
      </c>
      <c r="H269" s="3" t="str">
        <f>VLOOKUP(B269,[1]LifeList!$E$2:$I$2036,5)</f>
        <v>Parulidae (New World Warblers)</v>
      </c>
    </row>
    <row r="270" spans="1:8" x14ac:dyDescent="0.15">
      <c r="A270" s="3" t="s">
        <v>224</v>
      </c>
      <c r="B270" s="3" t="s">
        <v>4056</v>
      </c>
      <c r="C270" s="3">
        <v>33962</v>
      </c>
      <c r="D270" s="3" t="str">
        <f>VLOOKUP(B270,[1]LifeList!$E$2:$G$2036,1)</f>
        <v>Black-and-white Warbler</v>
      </c>
      <c r="E270" s="3" t="str">
        <f>VLOOKUP(B270,[1]LifeList!$E$2:$G$2036,2)</f>
        <v>Paruline noir et blanc</v>
      </c>
      <c r="F270" s="3" t="str">
        <f>VLOOKUP(B270,[1]LifeList!$E$2:$G$2036,3)</f>
        <v>Mniotilta varia</v>
      </c>
      <c r="G270" s="3" t="str">
        <f>VLOOKUP(B270,[1]LifeList!$E$2:$I$2036,4)</f>
        <v>Passeriformes</v>
      </c>
      <c r="H270" s="3" t="str">
        <f>VLOOKUP(B270,[1]LifeList!$E$2:$I$2036,5)</f>
        <v>Parulidae (New World Warblers)</v>
      </c>
    </row>
    <row r="271" spans="1:8" x14ac:dyDescent="0.15">
      <c r="A271" s="3" t="s">
        <v>225</v>
      </c>
      <c r="B271" s="3" t="s">
        <v>4056</v>
      </c>
      <c r="C271" s="3">
        <v>33962</v>
      </c>
      <c r="D271" s="3" t="str">
        <f>VLOOKUP(B271,[1]LifeList!$E$2:$G$2036,1)</f>
        <v>Black-and-white Warbler</v>
      </c>
      <c r="E271" s="3" t="str">
        <f>VLOOKUP(B271,[1]LifeList!$E$2:$G$2036,2)</f>
        <v>Paruline noir et blanc</v>
      </c>
      <c r="F271" s="3" t="str">
        <f>VLOOKUP(B271,[1]LifeList!$E$2:$G$2036,3)</f>
        <v>Mniotilta varia</v>
      </c>
      <c r="G271" s="3" t="str">
        <f>VLOOKUP(B271,[1]LifeList!$E$2:$I$2036,4)</f>
        <v>Passeriformes</v>
      </c>
      <c r="H271" s="3" t="str">
        <f>VLOOKUP(B271,[1]LifeList!$E$2:$I$2036,5)</f>
        <v>Parulidae (New World Warblers)</v>
      </c>
    </row>
    <row r="272" spans="1:8" x14ac:dyDescent="0.15">
      <c r="A272" s="3" t="s">
        <v>226</v>
      </c>
      <c r="B272" s="3" t="s">
        <v>4056</v>
      </c>
      <c r="C272" s="3">
        <v>33962</v>
      </c>
      <c r="D272" s="3" t="str">
        <f>VLOOKUP(B272,[1]LifeList!$E$2:$G$2036,1)</f>
        <v>Black-and-white Warbler</v>
      </c>
      <c r="E272" s="3" t="str">
        <f>VLOOKUP(B272,[1]LifeList!$E$2:$G$2036,2)</f>
        <v>Paruline noir et blanc</v>
      </c>
      <c r="F272" s="3" t="str">
        <f>VLOOKUP(B272,[1]LifeList!$E$2:$G$2036,3)</f>
        <v>Mniotilta varia</v>
      </c>
      <c r="G272" s="3" t="str">
        <f>VLOOKUP(B272,[1]LifeList!$E$2:$I$2036,4)</f>
        <v>Passeriformes</v>
      </c>
      <c r="H272" s="3" t="str">
        <f>VLOOKUP(B272,[1]LifeList!$E$2:$I$2036,5)</f>
        <v>Parulidae (New World Warblers)</v>
      </c>
    </row>
    <row r="273" spans="1:8" x14ac:dyDescent="0.15">
      <c r="A273" s="3" t="s">
        <v>227</v>
      </c>
      <c r="B273" s="3" t="s">
        <v>4057</v>
      </c>
      <c r="C273" s="3">
        <v>29900</v>
      </c>
      <c r="D273" s="3" t="str">
        <f>VLOOKUP(B273,[1]LifeList!$E$2:$G$2036,1)</f>
        <v>Black-and-yellow Silky-flycatcher</v>
      </c>
      <c r="E273" s="3" t="str">
        <f>VLOOKUP(B273,[1]LifeList!$E$2:$G$2036,2)</f>
        <v>Phénoptile noir et jaune</v>
      </c>
      <c r="F273" s="3" t="str">
        <f>VLOOKUP(B273,[1]LifeList!$E$2:$G$2036,3)</f>
        <v>Phainoptila melanoxantha</v>
      </c>
      <c r="G273" s="3" t="str">
        <f>VLOOKUP(B273,[1]LifeList!$E$2:$I$2036,4)</f>
        <v>Passeriformes</v>
      </c>
      <c r="H273" s="3" t="str">
        <f>VLOOKUP(B273,[1]LifeList!$E$2:$I$2036,5)</f>
        <v>Ptiliogonatidae (Silky-flycatchers)</v>
      </c>
    </row>
    <row r="274" spans="1:8" x14ac:dyDescent="0.15">
      <c r="A274" s="3" t="s">
        <v>228</v>
      </c>
      <c r="B274" s="3" t="s">
        <v>4058</v>
      </c>
      <c r="C274" s="3">
        <v>13596</v>
      </c>
      <c r="D274" s="3" t="str">
        <f>VLOOKUP(B274,[1]LifeList!$E$2:$G$2036,1)</f>
        <v>Black-backed Antshrike</v>
      </c>
      <c r="E274" s="3" t="str">
        <f>VLOOKUP(B274,[1]LifeList!$E$2:$G$2036,2)</f>
        <v>Batara à dos noir</v>
      </c>
      <c r="F274" s="3" t="str">
        <f>VLOOKUP(B274,[1]LifeList!$E$2:$G$2036,3)</f>
        <v>Thamnophilus melanonotus</v>
      </c>
      <c r="G274" s="3" t="str">
        <f>VLOOKUP(B274,[1]LifeList!$E$2:$I$2036,4)</f>
        <v>Passeriformes</v>
      </c>
      <c r="H274" s="3" t="str">
        <f>VLOOKUP(B274,[1]LifeList!$E$2:$I$2036,5)</f>
        <v>Thamnophilidae (Typical Antbirds)</v>
      </c>
    </row>
    <row r="275" spans="1:8" x14ac:dyDescent="0.15">
      <c r="A275" s="3" t="s">
        <v>229</v>
      </c>
      <c r="B275" s="3" t="s">
        <v>4058</v>
      </c>
      <c r="C275" s="3">
        <v>13596</v>
      </c>
      <c r="D275" s="3" t="str">
        <f>VLOOKUP(B275,[1]LifeList!$E$2:$G$2036,1)</f>
        <v>Black-backed Antshrike</v>
      </c>
      <c r="E275" s="3" t="str">
        <f>VLOOKUP(B275,[1]LifeList!$E$2:$G$2036,2)</f>
        <v>Batara à dos noir</v>
      </c>
      <c r="F275" s="3" t="str">
        <f>VLOOKUP(B275,[1]LifeList!$E$2:$G$2036,3)</f>
        <v>Thamnophilus melanonotus</v>
      </c>
      <c r="G275" s="3" t="str">
        <f>VLOOKUP(B275,[1]LifeList!$E$2:$I$2036,4)</f>
        <v>Passeriformes</v>
      </c>
      <c r="H275" s="3" t="str">
        <f>VLOOKUP(B275,[1]LifeList!$E$2:$I$2036,5)</f>
        <v>Thamnophilidae (Typical Antbirds)</v>
      </c>
    </row>
    <row r="276" spans="1:8" x14ac:dyDescent="0.15">
      <c r="A276" s="3" t="s">
        <v>230</v>
      </c>
      <c r="B276" s="3" t="s">
        <v>4059</v>
      </c>
      <c r="C276" s="3">
        <v>34550</v>
      </c>
      <c r="D276" s="3" t="str">
        <f>VLOOKUP(B276,[1]LifeList!$E$2:$G$2036,1)</f>
        <v>Black-backed Grosbeak</v>
      </c>
      <c r="E276" s="3" t="str">
        <f>VLOOKUP(B276,[1]LifeList!$E$2:$G$2036,2)</f>
        <v>Cardinal à dos noir</v>
      </c>
      <c r="F276" s="3" t="str">
        <f>VLOOKUP(B276,[1]LifeList!$E$2:$G$2036,3)</f>
        <v>Pheucticus aureoventris</v>
      </c>
      <c r="G276" s="3" t="str">
        <f>VLOOKUP(B276,[1]LifeList!$E$2:$I$2036,4)</f>
        <v>Passeriformes</v>
      </c>
      <c r="H276" s="3" t="str">
        <f>VLOOKUP(B276,[1]LifeList!$E$2:$I$2036,5)</f>
        <v>Cardinalidae (Cardinals and Allies)</v>
      </c>
    </row>
    <row r="277" spans="1:8" x14ac:dyDescent="0.15">
      <c r="A277" s="3" t="s">
        <v>3817</v>
      </c>
      <c r="B277" s="3" t="s">
        <v>4060</v>
      </c>
      <c r="C277" s="3">
        <v>20050</v>
      </c>
      <c r="D277" s="3" t="str">
        <f>VLOOKUP(B277,[1]LifeList!$E$2:$G$2036,1)</f>
        <v>Black-backed Puffback</v>
      </c>
      <c r="E277" s="3" t="str">
        <f>VLOOKUP(B277,[1]LifeList!$E$2:$G$2036,2)</f>
        <v>Cubla boule-de-neige</v>
      </c>
      <c r="F277" s="3" t="str">
        <f>VLOOKUP(B277,[1]LifeList!$E$2:$G$2036,3)</f>
        <v>Dryoscopus cubla</v>
      </c>
      <c r="G277" s="3" t="str">
        <f>VLOOKUP(B277,[1]LifeList!$E$2:$I$2036,4)</f>
        <v>Passeriformes</v>
      </c>
      <c r="H277" s="3" t="str">
        <f>VLOOKUP(B277,[1]LifeList!$E$2:$I$2036,5)</f>
        <v>Malaconotidae (Bushshrikes and Allies)</v>
      </c>
    </row>
    <row r="278" spans="1:8" x14ac:dyDescent="0.15">
      <c r="A278" s="3" t="s">
        <v>231</v>
      </c>
      <c r="B278" s="3" t="s">
        <v>4061</v>
      </c>
      <c r="C278" s="3">
        <v>11220</v>
      </c>
      <c r="D278" s="3" t="str">
        <f>VLOOKUP(B278,[1]LifeList!$E$2:$G$2036,1)</f>
        <v>Black-backed Woodpecker</v>
      </c>
      <c r="E278" s="3" t="str">
        <f>VLOOKUP(B278,[1]LifeList!$E$2:$G$2036,2)</f>
        <v>Pic à dos noir</v>
      </c>
      <c r="F278" s="3" t="str">
        <f>VLOOKUP(B278,[1]LifeList!$E$2:$G$2036,3)</f>
        <v>Picoides arcticus</v>
      </c>
      <c r="G278" s="3" t="str">
        <f>VLOOKUP(B278,[1]LifeList!$E$2:$I$2036,4)</f>
        <v>Piciformes</v>
      </c>
      <c r="H278" s="3" t="str">
        <f>VLOOKUP(B278,[1]LifeList!$E$2:$I$2036,5)</f>
        <v>Picidae (Woodpeckers)</v>
      </c>
    </row>
    <row r="279" spans="1:8" x14ac:dyDescent="0.15">
      <c r="A279" s="3" t="s">
        <v>232</v>
      </c>
      <c r="B279" s="3" t="s">
        <v>4062</v>
      </c>
      <c r="C279" s="3">
        <v>5019</v>
      </c>
      <c r="D279" s="3" t="str">
        <f>VLOOKUP(B279,[1]LifeList!$E$2:$G$2036,1)</f>
        <v>Black-bellied Hummingbird</v>
      </c>
      <c r="E279" s="3" t="str">
        <f>VLOOKUP(B279,[1]LifeList!$E$2:$G$2036,2)</f>
        <v>Colibri à ventre noir</v>
      </c>
      <c r="F279" s="3" t="str">
        <f>VLOOKUP(B279,[1]LifeList!$E$2:$G$2036,3)</f>
        <v>Eupherusa nigriventris</v>
      </c>
      <c r="G279" s="3" t="str">
        <f>VLOOKUP(B279,[1]LifeList!$E$2:$I$2036,4)</f>
        <v>Apodiformes</v>
      </c>
      <c r="H279" s="3" t="str">
        <f>VLOOKUP(B279,[1]LifeList!$E$2:$I$2036,5)</f>
        <v>Trochilidae (Hummingbirds)</v>
      </c>
    </row>
    <row r="280" spans="1:8" x14ac:dyDescent="0.15">
      <c r="A280" s="3" t="s">
        <v>233</v>
      </c>
      <c r="B280" s="3" t="s">
        <v>4063</v>
      </c>
      <c r="C280" s="3">
        <v>5811</v>
      </c>
      <c r="D280" s="3" t="str">
        <f>VLOOKUP(B280,[1]LifeList!$E$2:$G$2036,1)</f>
        <v>Black-bellied Plover</v>
      </c>
      <c r="E280" s="3" t="str">
        <f>VLOOKUP(B280,[1]LifeList!$E$2:$G$2036,2)</f>
        <v>Pluvier argenté</v>
      </c>
      <c r="F280" s="3" t="str">
        <f>VLOOKUP(B280,[1]LifeList!$E$2:$G$2036,3)</f>
        <v>Pluvialis squatarola</v>
      </c>
      <c r="G280" s="3" t="str">
        <f>VLOOKUP(B280,[1]LifeList!$E$2:$I$2036,4)</f>
        <v>Charadriiformes</v>
      </c>
      <c r="H280" s="3" t="str">
        <f>VLOOKUP(B280,[1]LifeList!$E$2:$I$2036,5)</f>
        <v>Charadriidae (Plovers and Lapwings)</v>
      </c>
    </row>
    <row r="281" spans="1:8" x14ac:dyDescent="0.15">
      <c r="A281" s="3" t="s">
        <v>234</v>
      </c>
      <c r="B281" s="3" t="s">
        <v>4063</v>
      </c>
      <c r="C281" s="3">
        <v>5811</v>
      </c>
      <c r="D281" s="3" t="str">
        <f>VLOOKUP(B281,[1]LifeList!$E$2:$G$2036,1)</f>
        <v>Black-bellied Plover</v>
      </c>
      <c r="E281" s="3" t="str">
        <f>VLOOKUP(B281,[1]LifeList!$E$2:$G$2036,2)</f>
        <v>Pluvier argenté</v>
      </c>
      <c r="F281" s="3" t="str">
        <f>VLOOKUP(B281,[1]LifeList!$E$2:$G$2036,3)</f>
        <v>Pluvialis squatarola</v>
      </c>
      <c r="G281" s="3" t="str">
        <f>VLOOKUP(B281,[1]LifeList!$E$2:$I$2036,4)</f>
        <v>Charadriiformes</v>
      </c>
      <c r="H281" s="3" t="str">
        <f>VLOOKUP(B281,[1]LifeList!$E$2:$I$2036,5)</f>
        <v>Charadriidae (Plovers and Lapwings)</v>
      </c>
    </row>
    <row r="282" spans="1:8" x14ac:dyDescent="0.15">
      <c r="A282" s="3" t="s">
        <v>235</v>
      </c>
      <c r="B282" s="3" t="s">
        <v>4063</v>
      </c>
      <c r="C282" s="3">
        <v>5811</v>
      </c>
      <c r="D282" s="3" t="str">
        <f>VLOOKUP(B282,[1]LifeList!$E$2:$G$2036,1)</f>
        <v>Black-bellied Plover</v>
      </c>
      <c r="E282" s="3" t="str">
        <f>VLOOKUP(B282,[1]LifeList!$E$2:$G$2036,2)</f>
        <v>Pluvier argenté</v>
      </c>
      <c r="F282" s="3" t="str">
        <f>VLOOKUP(B282,[1]LifeList!$E$2:$G$2036,3)</f>
        <v>Pluvialis squatarola</v>
      </c>
      <c r="G282" s="3" t="str">
        <f>VLOOKUP(B282,[1]LifeList!$E$2:$I$2036,4)</f>
        <v>Charadriiformes</v>
      </c>
      <c r="H282" s="3" t="str">
        <f>VLOOKUP(B282,[1]LifeList!$E$2:$I$2036,5)</f>
        <v>Charadriidae (Plovers and Lapwings)</v>
      </c>
    </row>
    <row r="283" spans="1:8" x14ac:dyDescent="0.15">
      <c r="A283" s="3" t="s">
        <v>236</v>
      </c>
      <c r="B283" s="3" t="s">
        <v>4063</v>
      </c>
      <c r="C283" s="3">
        <v>5811</v>
      </c>
      <c r="D283" s="3" t="str">
        <f>VLOOKUP(B283,[1]LifeList!$E$2:$G$2036,1)</f>
        <v>Black-bellied Plover</v>
      </c>
      <c r="E283" s="3" t="str">
        <f>VLOOKUP(B283,[1]LifeList!$E$2:$G$2036,2)</f>
        <v>Pluvier argenté</v>
      </c>
      <c r="F283" s="3" t="str">
        <f>VLOOKUP(B283,[1]LifeList!$E$2:$G$2036,3)</f>
        <v>Pluvialis squatarola</v>
      </c>
      <c r="G283" s="3" t="str">
        <f>VLOOKUP(B283,[1]LifeList!$E$2:$I$2036,4)</f>
        <v>Charadriiformes</v>
      </c>
      <c r="H283" s="3" t="str">
        <f>VLOOKUP(B283,[1]LifeList!$E$2:$I$2036,5)</f>
        <v>Charadriidae (Plovers and Lapwings)</v>
      </c>
    </row>
    <row r="284" spans="1:8" x14ac:dyDescent="0.15">
      <c r="A284" s="3" t="s">
        <v>237</v>
      </c>
      <c r="B284" s="3" t="s">
        <v>4063</v>
      </c>
      <c r="C284" s="3">
        <v>5811</v>
      </c>
      <c r="D284" s="3" t="str">
        <f>VLOOKUP(B284,[1]LifeList!$E$2:$G$2036,1)</f>
        <v>Black-bellied Plover</v>
      </c>
      <c r="E284" s="3" t="str">
        <f>VLOOKUP(B284,[1]LifeList!$E$2:$G$2036,2)</f>
        <v>Pluvier argenté</v>
      </c>
      <c r="F284" s="3" t="str">
        <f>VLOOKUP(B284,[1]LifeList!$E$2:$G$2036,3)</f>
        <v>Pluvialis squatarola</v>
      </c>
      <c r="G284" s="3" t="str">
        <f>VLOOKUP(B284,[1]LifeList!$E$2:$I$2036,4)</f>
        <v>Charadriiformes</v>
      </c>
      <c r="H284" s="3" t="str">
        <f>VLOOKUP(B284,[1]LifeList!$E$2:$I$2036,5)</f>
        <v>Charadriidae (Plovers and Lapwings)</v>
      </c>
    </row>
    <row r="285" spans="1:8" x14ac:dyDescent="0.15">
      <c r="A285" s="3" t="s">
        <v>238</v>
      </c>
      <c r="B285" s="3" t="s">
        <v>4063</v>
      </c>
      <c r="C285" s="3">
        <v>5811</v>
      </c>
      <c r="D285" s="3" t="str">
        <f>VLOOKUP(B285,[1]LifeList!$E$2:$G$2036,1)</f>
        <v>Black-bellied Plover</v>
      </c>
      <c r="E285" s="3" t="str">
        <f>VLOOKUP(B285,[1]LifeList!$E$2:$G$2036,2)</f>
        <v>Pluvier argenté</v>
      </c>
      <c r="F285" s="3" t="str">
        <f>VLOOKUP(B285,[1]LifeList!$E$2:$G$2036,3)</f>
        <v>Pluvialis squatarola</v>
      </c>
      <c r="G285" s="3" t="str">
        <f>VLOOKUP(B285,[1]LifeList!$E$2:$I$2036,4)</f>
        <v>Charadriiformes</v>
      </c>
      <c r="H285" s="3" t="str">
        <f>VLOOKUP(B285,[1]LifeList!$E$2:$I$2036,5)</f>
        <v>Charadriidae (Plovers and Lapwings)</v>
      </c>
    </row>
    <row r="286" spans="1:8" x14ac:dyDescent="0.15">
      <c r="A286" s="3" t="s">
        <v>239</v>
      </c>
      <c r="B286" s="3" t="s">
        <v>4063</v>
      </c>
      <c r="C286" s="3">
        <v>5811</v>
      </c>
      <c r="D286" s="3" t="str">
        <f>VLOOKUP(B286,[1]LifeList!$E$2:$G$2036,1)</f>
        <v>Black-bellied Plover</v>
      </c>
      <c r="E286" s="3" t="str">
        <f>VLOOKUP(B286,[1]LifeList!$E$2:$G$2036,2)</f>
        <v>Pluvier argenté</v>
      </c>
      <c r="F286" s="3" t="str">
        <f>VLOOKUP(B286,[1]LifeList!$E$2:$G$2036,3)</f>
        <v>Pluvialis squatarola</v>
      </c>
      <c r="G286" s="3" t="str">
        <f>VLOOKUP(B286,[1]LifeList!$E$2:$I$2036,4)</f>
        <v>Charadriiformes</v>
      </c>
      <c r="H286" s="3" t="str">
        <f>VLOOKUP(B286,[1]LifeList!$E$2:$I$2036,5)</f>
        <v>Charadriidae (Plovers and Lapwings)</v>
      </c>
    </row>
    <row r="287" spans="1:8" x14ac:dyDescent="0.15">
      <c r="A287" s="3" t="s">
        <v>240</v>
      </c>
      <c r="B287" s="3" t="s">
        <v>4063</v>
      </c>
      <c r="C287" s="3">
        <v>5811</v>
      </c>
      <c r="D287" s="3" t="str">
        <f>VLOOKUP(B287,[1]LifeList!$E$2:$G$2036,1)</f>
        <v>Black-bellied Plover</v>
      </c>
      <c r="E287" s="3" t="str">
        <f>VLOOKUP(B287,[1]LifeList!$E$2:$G$2036,2)</f>
        <v>Pluvier argenté</v>
      </c>
      <c r="F287" s="3" t="str">
        <f>VLOOKUP(B287,[1]LifeList!$E$2:$G$2036,3)</f>
        <v>Pluvialis squatarola</v>
      </c>
      <c r="G287" s="3" t="str">
        <f>VLOOKUP(B287,[1]LifeList!$E$2:$I$2036,4)</f>
        <v>Charadriiformes</v>
      </c>
      <c r="H287" s="3" t="str">
        <f>VLOOKUP(B287,[1]LifeList!$E$2:$I$2036,5)</f>
        <v>Charadriidae (Plovers and Lapwings)</v>
      </c>
    </row>
    <row r="288" spans="1:8" x14ac:dyDescent="0.15">
      <c r="A288" s="3" t="s">
        <v>241</v>
      </c>
      <c r="B288" s="3" t="s">
        <v>4063</v>
      </c>
      <c r="C288" s="3">
        <v>5811</v>
      </c>
      <c r="D288" s="3" t="str">
        <f>VLOOKUP(B288,[1]LifeList!$E$2:$G$2036,1)</f>
        <v>Black-bellied Plover</v>
      </c>
      <c r="E288" s="3" t="str">
        <f>VLOOKUP(B288,[1]LifeList!$E$2:$G$2036,2)</f>
        <v>Pluvier argenté</v>
      </c>
      <c r="F288" s="3" t="str">
        <f>VLOOKUP(B288,[1]LifeList!$E$2:$G$2036,3)</f>
        <v>Pluvialis squatarola</v>
      </c>
      <c r="G288" s="3" t="str">
        <f>VLOOKUP(B288,[1]LifeList!$E$2:$I$2036,4)</f>
        <v>Charadriiformes</v>
      </c>
      <c r="H288" s="3" t="str">
        <f>VLOOKUP(B288,[1]LifeList!$E$2:$I$2036,5)</f>
        <v>Charadriidae (Plovers and Lapwings)</v>
      </c>
    </row>
    <row r="289" spans="1:8" x14ac:dyDescent="0.15">
      <c r="A289" s="3" t="s">
        <v>243</v>
      </c>
      <c r="B289" s="3" t="s">
        <v>4064</v>
      </c>
      <c r="C289" s="3">
        <v>243</v>
      </c>
      <c r="D289" s="3" t="str">
        <f>VLOOKUP(B289,[1]LifeList!$E$2:$G$2036,1)</f>
        <v>Black-bellied Whistling-Duck</v>
      </c>
      <c r="E289" s="3" t="str">
        <f>VLOOKUP(B289,[1]LifeList!$E$2:$G$2036,2)</f>
        <v>Dendrocygne à ventre noir</v>
      </c>
      <c r="F289" s="3" t="str">
        <f>VLOOKUP(B289,[1]LifeList!$E$2:$G$2036,3)</f>
        <v>Dendrocygna autumnalis</v>
      </c>
      <c r="G289" s="3" t="str">
        <f>VLOOKUP(B289,[1]LifeList!$E$2:$I$2036,4)</f>
        <v>Anseriformes</v>
      </c>
      <c r="H289" s="3" t="str">
        <f>VLOOKUP(B289,[1]LifeList!$E$2:$I$2036,5)</f>
        <v>Anatidae (Ducks, Geese, and Waterfowl)</v>
      </c>
    </row>
    <row r="290" spans="1:8" x14ac:dyDescent="0.15">
      <c r="A290" s="3" t="s">
        <v>244</v>
      </c>
      <c r="B290" s="3" t="s">
        <v>4064</v>
      </c>
      <c r="C290" s="3">
        <v>243</v>
      </c>
      <c r="D290" s="3" t="str">
        <f>VLOOKUP(B290,[1]LifeList!$E$2:$G$2036,1)</f>
        <v>Black-bellied Whistling-Duck</v>
      </c>
      <c r="E290" s="3" t="str">
        <f>VLOOKUP(B290,[1]LifeList!$E$2:$G$2036,2)</f>
        <v>Dendrocygne à ventre noir</v>
      </c>
      <c r="F290" s="3" t="str">
        <f>VLOOKUP(B290,[1]LifeList!$E$2:$G$2036,3)</f>
        <v>Dendrocygna autumnalis</v>
      </c>
      <c r="G290" s="3" t="str">
        <f>VLOOKUP(B290,[1]LifeList!$E$2:$I$2036,4)</f>
        <v>Anseriformes</v>
      </c>
      <c r="H290" s="3" t="str">
        <f>VLOOKUP(B290,[1]LifeList!$E$2:$I$2036,5)</f>
        <v>Anatidae (Ducks, Geese, and Waterfowl)</v>
      </c>
    </row>
    <row r="291" spans="1:8" x14ac:dyDescent="0.15">
      <c r="A291" s="3" t="s">
        <v>245</v>
      </c>
      <c r="B291" s="3" t="s">
        <v>4064</v>
      </c>
      <c r="C291" s="3">
        <v>243</v>
      </c>
      <c r="D291" s="3" t="str">
        <f>VLOOKUP(B291,[1]LifeList!$E$2:$G$2036,1)</f>
        <v>Black-bellied Whistling-Duck</v>
      </c>
      <c r="E291" s="3" t="str">
        <f>VLOOKUP(B291,[1]LifeList!$E$2:$G$2036,2)</f>
        <v>Dendrocygne à ventre noir</v>
      </c>
      <c r="F291" s="3" t="str">
        <f>VLOOKUP(B291,[1]LifeList!$E$2:$G$2036,3)</f>
        <v>Dendrocygna autumnalis</v>
      </c>
      <c r="G291" s="3" t="str">
        <f>VLOOKUP(B291,[1]LifeList!$E$2:$I$2036,4)</f>
        <v>Anseriformes</v>
      </c>
      <c r="H291" s="3" t="str">
        <f>VLOOKUP(B291,[1]LifeList!$E$2:$I$2036,5)</f>
        <v>Anatidae (Ducks, Geese, and Waterfowl)</v>
      </c>
    </row>
    <row r="292" spans="1:8" x14ac:dyDescent="0.15">
      <c r="A292" s="3" t="s">
        <v>246</v>
      </c>
      <c r="B292" s="3" t="s">
        <v>4064</v>
      </c>
      <c r="C292" s="3">
        <v>243</v>
      </c>
      <c r="D292" s="3" t="str">
        <f>VLOOKUP(B292,[1]LifeList!$E$2:$G$2036,1)</f>
        <v>Black-bellied Whistling-Duck</v>
      </c>
      <c r="E292" s="3" t="str">
        <f>VLOOKUP(B292,[1]LifeList!$E$2:$G$2036,2)</f>
        <v>Dendrocygne à ventre noir</v>
      </c>
      <c r="F292" s="3" t="str">
        <f>VLOOKUP(B292,[1]LifeList!$E$2:$G$2036,3)</f>
        <v>Dendrocygna autumnalis</v>
      </c>
      <c r="G292" s="3" t="str">
        <f>VLOOKUP(B292,[1]LifeList!$E$2:$I$2036,4)</f>
        <v>Anseriformes</v>
      </c>
      <c r="H292" s="3" t="str">
        <f>VLOOKUP(B292,[1]LifeList!$E$2:$I$2036,5)</f>
        <v>Anatidae (Ducks, Geese, and Waterfowl)</v>
      </c>
    </row>
    <row r="293" spans="1:8" x14ac:dyDescent="0.15">
      <c r="A293" s="3" t="s">
        <v>247</v>
      </c>
      <c r="B293" s="3" t="s">
        <v>4064</v>
      </c>
      <c r="C293" s="3">
        <v>243</v>
      </c>
      <c r="D293" s="3" t="str">
        <f>VLOOKUP(B293,[1]LifeList!$E$2:$G$2036,1)</f>
        <v>Black-bellied Whistling-Duck</v>
      </c>
      <c r="E293" s="3" t="str">
        <f>VLOOKUP(B293,[1]LifeList!$E$2:$G$2036,2)</f>
        <v>Dendrocygne à ventre noir</v>
      </c>
      <c r="F293" s="3" t="str">
        <f>VLOOKUP(B293,[1]LifeList!$E$2:$G$2036,3)</f>
        <v>Dendrocygna autumnalis</v>
      </c>
      <c r="G293" s="3" t="str">
        <f>VLOOKUP(B293,[1]LifeList!$E$2:$I$2036,4)</f>
        <v>Anseriformes</v>
      </c>
      <c r="H293" s="3" t="str">
        <f>VLOOKUP(B293,[1]LifeList!$E$2:$I$2036,5)</f>
        <v>Anatidae (Ducks, Geese, and Waterfowl)</v>
      </c>
    </row>
    <row r="294" spans="1:8" x14ac:dyDescent="0.15">
      <c r="A294" s="3" t="s">
        <v>242</v>
      </c>
      <c r="B294" s="3" t="s">
        <v>4064</v>
      </c>
      <c r="C294" s="3">
        <v>243</v>
      </c>
      <c r="D294" s="3" t="str">
        <f>VLOOKUP(B294,[1]LifeList!$E$2:$G$2036,1)</f>
        <v>Black-bellied Whistling-Duck</v>
      </c>
      <c r="E294" s="3" t="str">
        <f>VLOOKUP(B294,[1]LifeList!$E$2:$G$2036,2)</f>
        <v>Dendrocygne à ventre noir</v>
      </c>
      <c r="F294" s="3" t="str">
        <f>VLOOKUP(B294,[1]LifeList!$E$2:$G$2036,3)</f>
        <v>Dendrocygna autumnalis</v>
      </c>
      <c r="G294" s="3" t="str">
        <f>VLOOKUP(B294,[1]LifeList!$E$2:$I$2036,4)</f>
        <v>Anseriformes</v>
      </c>
      <c r="H294" s="3" t="str">
        <f>VLOOKUP(B294,[1]LifeList!$E$2:$I$2036,5)</f>
        <v>Anatidae (Ducks, Geese, and Waterfowl)</v>
      </c>
    </row>
    <row r="295" spans="1:8" x14ac:dyDescent="0.15">
      <c r="A295" s="3" t="s">
        <v>249</v>
      </c>
      <c r="B295" s="3" t="s">
        <v>4065</v>
      </c>
      <c r="C295" s="3">
        <v>10876</v>
      </c>
      <c r="D295" s="3" t="str">
        <f>VLOOKUP(B295,[1]LifeList!$E$2:$G$2036,1)</f>
        <v>Black-billed Mountain-Toucan</v>
      </c>
      <c r="E295" s="3" t="str">
        <f>VLOOKUP(B295,[1]LifeList!$E$2:$G$2036,2)</f>
        <v>Toucan à bec noir</v>
      </c>
      <c r="F295" s="3" t="str">
        <f>VLOOKUP(B295,[1]LifeList!$E$2:$G$2036,3)</f>
        <v>Andigena nigrirostris</v>
      </c>
      <c r="G295" s="3" t="str">
        <f>VLOOKUP(B295,[1]LifeList!$E$2:$I$2036,4)</f>
        <v>Piciformes</v>
      </c>
      <c r="H295" s="3" t="str">
        <f>VLOOKUP(B295,[1]LifeList!$E$2:$I$2036,5)</f>
        <v>Ramphastidae (Toucans)</v>
      </c>
    </row>
    <row r="296" spans="1:8" x14ac:dyDescent="0.15">
      <c r="A296" s="3" t="s">
        <v>248</v>
      </c>
      <c r="B296" s="3" t="s">
        <v>4065</v>
      </c>
      <c r="C296" s="3">
        <v>10876</v>
      </c>
      <c r="D296" s="3" t="str">
        <f>VLOOKUP(B296,[1]LifeList!$E$2:$G$2036,1)</f>
        <v>Black-billed Mountain-Toucan</v>
      </c>
      <c r="E296" s="3" t="str">
        <f>VLOOKUP(B296,[1]LifeList!$E$2:$G$2036,2)</f>
        <v>Toucan à bec noir</v>
      </c>
      <c r="F296" s="3" t="str">
        <f>VLOOKUP(B296,[1]LifeList!$E$2:$G$2036,3)</f>
        <v>Andigena nigrirostris</v>
      </c>
      <c r="G296" s="3" t="str">
        <f>VLOOKUP(B296,[1]LifeList!$E$2:$I$2036,4)</f>
        <v>Piciformes</v>
      </c>
      <c r="H296" s="3" t="str">
        <f>VLOOKUP(B296,[1]LifeList!$E$2:$I$2036,5)</f>
        <v>Ramphastidae (Toucans)</v>
      </c>
    </row>
    <row r="297" spans="1:8" x14ac:dyDescent="0.15">
      <c r="A297" s="3" t="s">
        <v>250</v>
      </c>
      <c r="B297" s="3" t="s">
        <v>4066</v>
      </c>
      <c r="C297" s="3">
        <v>28253</v>
      </c>
      <c r="D297" s="3" t="str">
        <f>VLOOKUP(B297,[1]LifeList!$E$2:$G$2036,1)</f>
        <v>Black-billed Nightingale-Thrush</v>
      </c>
      <c r="E297" s="3" t="str">
        <f>VLOOKUP(B297,[1]LifeList!$E$2:$G$2036,2)</f>
        <v>Grive à bec noir</v>
      </c>
      <c r="F297" s="3" t="str">
        <f>VLOOKUP(B297,[1]LifeList!$E$2:$G$2036,3)</f>
        <v>Catharus gracilirostris</v>
      </c>
      <c r="G297" s="3" t="str">
        <f>VLOOKUP(B297,[1]LifeList!$E$2:$I$2036,4)</f>
        <v>Passeriformes</v>
      </c>
      <c r="H297" s="3" t="str">
        <f>VLOOKUP(B297,[1]LifeList!$E$2:$I$2036,5)</f>
        <v>Turdidae (Thrushes and Allies)</v>
      </c>
    </row>
    <row r="298" spans="1:8" x14ac:dyDescent="0.15">
      <c r="A298" s="3" t="s">
        <v>251</v>
      </c>
      <c r="B298" s="3" t="s">
        <v>4067</v>
      </c>
      <c r="C298" s="3">
        <v>17130</v>
      </c>
      <c r="D298" s="3" t="str">
        <f>VLOOKUP(B298,[1]LifeList!$E$2:$G$2036,1)</f>
        <v>Black-billed Shrike-Tyrant</v>
      </c>
      <c r="E298" s="3" t="str">
        <f>VLOOKUP(B298,[1]LifeList!$E$2:$G$2036,2)</f>
        <v>Gaucho à bec noir</v>
      </c>
      <c r="F298" s="3" t="str">
        <f>VLOOKUP(B298,[1]LifeList!$E$2:$G$2036,3)</f>
        <v>Agriornis montanus</v>
      </c>
      <c r="G298" s="3" t="str">
        <f>VLOOKUP(B298,[1]LifeList!$E$2:$I$2036,4)</f>
        <v>Passeriformes</v>
      </c>
      <c r="H298" s="3" t="str">
        <f>VLOOKUP(B298,[1]LifeList!$E$2:$I$2036,5)</f>
        <v>Tyrannidae (Tyrant Flycatchers)</v>
      </c>
    </row>
    <row r="299" spans="1:8" x14ac:dyDescent="0.15">
      <c r="A299" s="3" t="s">
        <v>252</v>
      </c>
      <c r="B299" s="3" t="s">
        <v>4068</v>
      </c>
      <c r="C299" s="3">
        <v>28702</v>
      </c>
      <c r="D299" s="3" t="str">
        <f>VLOOKUP(B299,[1]LifeList!$E$2:$G$2036,1)</f>
        <v>Black-billed Thrush</v>
      </c>
      <c r="E299" s="3" t="str">
        <f>VLOOKUP(B299,[1]LifeList!$E$2:$G$2036,2)</f>
        <v>Merle à bec noir</v>
      </c>
      <c r="F299" s="3" t="str">
        <f>VLOOKUP(B299,[1]LifeList!$E$2:$G$2036,3)</f>
        <v>Turdus ignobilis</v>
      </c>
      <c r="G299" s="3" t="str">
        <f>VLOOKUP(B299,[1]LifeList!$E$2:$I$2036,4)</f>
        <v>Passeriformes</v>
      </c>
      <c r="H299" s="3" t="str">
        <f>VLOOKUP(B299,[1]LifeList!$E$2:$I$2036,5)</f>
        <v>Turdidae (Thrushes and Allies)</v>
      </c>
    </row>
    <row r="300" spans="1:8" x14ac:dyDescent="0.15">
      <c r="A300" s="3" t="s">
        <v>253</v>
      </c>
      <c r="B300" s="3" t="s">
        <v>4068</v>
      </c>
      <c r="C300" s="3">
        <v>28702</v>
      </c>
      <c r="D300" s="3" t="str">
        <f>VLOOKUP(B300,[1]LifeList!$E$2:$G$2036,1)</f>
        <v>Black-billed Thrush</v>
      </c>
      <c r="E300" s="3" t="str">
        <f>VLOOKUP(B300,[1]LifeList!$E$2:$G$2036,2)</f>
        <v>Merle à bec noir</v>
      </c>
      <c r="F300" s="3" t="str">
        <f>VLOOKUP(B300,[1]LifeList!$E$2:$G$2036,3)</f>
        <v>Turdus ignobilis</v>
      </c>
      <c r="G300" s="3" t="str">
        <f>VLOOKUP(B300,[1]LifeList!$E$2:$I$2036,4)</f>
        <v>Passeriformes</v>
      </c>
      <c r="H300" s="3" t="str">
        <f>VLOOKUP(B300,[1]LifeList!$E$2:$I$2036,5)</f>
        <v>Turdidae (Thrushes and Allies)</v>
      </c>
    </row>
    <row r="301" spans="1:8" x14ac:dyDescent="0.15">
      <c r="A301" s="3" t="s">
        <v>254</v>
      </c>
      <c r="B301" s="3" t="s">
        <v>4069</v>
      </c>
      <c r="C301" s="3">
        <v>10382</v>
      </c>
      <c r="D301" s="3" t="str">
        <f>VLOOKUP(B301,[1]LifeList!$E$2:$G$2036,1)</f>
        <v>Black-breasted Puffbird</v>
      </c>
      <c r="E301" s="3" t="str">
        <f>VLOOKUP(B301,[1]LifeList!$E$2:$G$2036,2)</f>
        <v>Tamatia à plastron</v>
      </c>
      <c r="F301" s="3" t="str">
        <f>VLOOKUP(B301,[1]LifeList!$E$2:$G$2036,3)</f>
        <v>Notharchus pectoralis</v>
      </c>
      <c r="G301" s="3" t="str">
        <f>VLOOKUP(B301,[1]LifeList!$E$2:$I$2036,4)</f>
        <v>Piciformes</v>
      </c>
      <c r="H301" s="3" t="str">
        <f>VLOOKUP(B301,[1]LifeList!$E$2:$I$2036,5)</f>
        <v>Bucconidae (Puffbirds)</v>
      </c>
    </row>
    <row r="302" spans="1:8" x14ac:dyDescent="0.15">
      <c r="A302" s="3" t="s">
        <v>255</v>
      </c>
      <c r="B302" s="3" t="s">
        <v>4069</v>
      </c>
      <c r="C302" s="3">
        <v>10382</v>
      </c>
      <c r="D302" s="3" t="str">
        <f>VLOOKUP(B302,[1]LifeList!$E$2:$G$2036,1)</f>
        <v>Black-breasted Puffbird</v>
      </c>
      <c r="E302" s="3" t="str">
        <f>VLOOKUP(B302,[1]LifeList!$E$2:$G$2036,2)</f>
        <v>Tamatia à plastron</v>
      </c>
      <c r="F302" s="3" t="str">
        <f>VLOOKUP(B302,[1]LifeList!$E$2:$G$2036,3)</f>
        <v>Notharchus pectoralis</v>
      </c>
      <c r="G302" s="3" t="str">
        <f>VLOOKUP(B302,[1]LifeList!$E$2:$I$2036,4)</f>
        <v>Piciformes</v>
      </c>
      <c r="H302" s="3" t="str">
        <f>VLOOKUP(B302,[1]LifeList!$E$2:$I$2036,5)</f>
        <v>Bucconidae (Puffbirds)</v>
      </c>
    </row>
    <row r="303" spans="1:8" x14ac:dyDescent="0.15">
      <c r="A303" s="3" t="s">
        <v>263</v>
      </c>
      <c r="B303" s="3" t="s">
        <v>4070</v>
      </c>
      <c r="C303" s="3">
        <v>22065</v>
      </c>
      <c r="D303" s="3" t="str">
        <f>VLOOKUP(B303,[1]LifeList!$E$2:$G$2036,1)</f>
        <v>Black-capped Chickadee</v>
      </c>
      <c r="E303" s="3" t="str">
        <f>VLOOKUP(B303,[1]LifeList!$E$2:$G$2036,2)</f>
        <v>Mésange à tête noire</v>
      </c>
      <c r="F303" s="3" t="str">
        <f>VLOOKUP(B303,[1]LifeList!$E$2:$G$2036,3)</f>
        <v>Poecile atricapillus</v>
      </c>
      <c r="G303" s="3" t="str">
        <f>VLOOKUP(B303,[1]LifeList!$E$2:$I$2036,4)</f>
        <v>Passeriformes</v>
      </c>
      <c r="H303" s="3" t="str">
        <f>VLOOKUP(B303,[1]LifeList!$E$2:$I$2036,5)</f>
        <v>Paridae (Tits, Chickadees, and Titmice)</v>
      </c>
    </row>
    <row r="304" spans="1:8" x14ac:dyDescent="0.15">
      <c r="A304" s="3" t="s">
        <v>264</v>
      </c>
      <c r="B304" s="3" t="s">
        <v>4070</v>
      </c>
      <c r="C304" s="3">
        <v>22065</v>
      </c>
      <c r="D304" s="3" t="str">
        <f>VLOOKUP(B304,[1]LifeList!$E$2:$G$2036,1)</f>
        <v>Black-capped Chickadee</v>
      </c>
      <c r="E304" s="3" t="str">
        <f>VLOOKUP(B304,[1]LifeList!$E$2:$G$2036,2)</f>
        <v>Mésange à tête noire</v>
      </c>
      <c r="F304" s="3" t="str">
        <f>VLOOKUP(B304,[1]LifeList!$E$2:$G$2036,3)</f>
        <v>Poecile atricapillus</v>
      </c>
      <c r="G304" s="3" t="str">
        <f>VLOOKUP(B304,[1]LifeList!$E$2:$I$2036,4)</f>
        <v>Passeriformes</v>
      </c>
      <c r="H304" s="3" t="str">
        <f>VLOOKUP(B304,[1]LifeList!$E$2:$I$2036,5)</f>
        <v>Paridae (Tits, Chickadees, and Titmice)</v>
      </c>
    </row>
    <row r="305" spans="1:8" x14ac:dyDescent="0.15">
      <c r="A305" s="3" t="s">
        <v>256</v>
      </c>
      <c r="B305" s="3" t="s">
        <v>4070</v>
      </c>
      <c r="C305" s="3">
        <v>22065</v>
      </c>
      <c r="D305" s="3" t="str">
        <f>VLOOKUP(B305,[1]LifeList!$E$2:$G$2036,1)</f>
        <v>Black-capped Chickadee</v>
      </c>
      <c r="E305" s="3" t="str">
        <f>VLOOKUP(B305,[1]LifeList!$E$2:$G$2036,2)</f>
        <v>Mésange à tête noire</v>
      </c>
      <c r="F305" s="3" t="str">
        <f>VLOOKUP(B305,[1]LifeList!$E$2:$G$2036,3)</f>
        <v>Poecile atricapillus</v>
      </c>
      <c r="G305" s="3" t="str">
        <f>VLOOKUP(B305,[1]LifeList!$E$2:$I$2036,4)</f>
        <v>Passeriformes</v>
      </c>
      <c r="H305" s="3" t="str">
        <f>VLOOKUP(B305,[1]LifeList!$E$2:$I$2036,5)</f>
        <v>Paridae (Tits, Chickadees, and Titmice)</v>
      </c>
    </row>
    <row r="306" spans="1:8" x14ac:dyDescent="0.15">
      <c r="A306" s="3" t="s">
        <v>257</v>
      </c>
      <c r="B306" s="3" t="s">
        <v>4070</v>
      </c>
      <c r="C306" s="3">
        <v>22065</v>
      </c>
      <c r="D306" s="3" t="str">
        <f>VLOOKUP(B306,[1]LifeList!$E$2:$G$2036,1)</f>
        <v>Black-capped Chickadee</v>
      </c>
      <c r="E306" s="3" t="str">
        <f>VLOOKUP(B306,[1]LifeList!$E$2:$G$2036,2)</f>
        <v>Mésange à tête noire</v>
      </c>
      <c r="F306" s="3" t="str">
        <f>VLOOKUP(B306,[1]LifeList!$E$2:$G$2036,3)</f>
        <v>Poecile atricapillus</v>
      </c>
      <c r="G306" s="3" t="str">
        <f>VLOOKUP(B306,[1]LifeList!$E$2:$I$2036,4)</f>
        <v>Passeriformes</v>
      </c>
      <c r="H306" s="3" t="str">
        <f>VLOOKUP(B306,[1]LifeList!$E$2:$I$2036,5)</f>
        <v>Paridae (Tits, Chickadees, and Titmice)</v>
      </c>
    </row>
    <row r="307" spans="1:8" x14ac:dyDescent="0.15">
      <c r="A307" s="3" t="s">
        <v>258</v>
      </c>
      <c r="B307" s="3" t="s">
        <v>4071</v>
      </c>
      <c r="C307" s="3">
        <v>23957</v>
      </c>
      <c r="D307" s="3" t="str">
        <f>VLOOKUP(B307,[1]LifeList!$E$2:$G$2036,1)</f>
        <v>Black-capped Donacobius</v>
      </c>
      <c r="E307" s="3" t="str">
        <f>VLOOKUP(B307,[1]LifeList!$E$2:$G$2036,2)</f>
        <v>Donacobe à miroir</v>
      </c>
      <c r="F307" s="3" t="str">
        <f>VLOOKUP(B307,[1]LifeList!$E$2:$G$2036,3)</f>
        <v>Donacobius atricapilla</v>
      </c>
      <c r="G307" s="3" t="str">
        <f>VLOOKUP(B307,[1]LifeList!$E$2:$I$2036,4)</f>
        <v>Passeriformes</v>
      </c>
      <c r="H307" s="3" t="str">
        <f>VLOOKUP(B307,[1]LifeList!$E$2:$I$2036,5)</f>
        <v>Donacobiidae (Donacobius)</v>
      </c>
    </row>
    <row r="308" spans="1:8" x14ac:dyDescent="0.15">
      <c r="A308" s="3" t="s">
        <v>259</v>
      </c>
      <c r="B308" s="3" t="s">
        <v>4072</v>
      </c>
      <c r="C308" s="3">
        <v>34999</v>
      </c>
      <c r="D308" s="3" t="str">
        <f>VLOOKUP(B308,[1]LifeList!$E$2:$G$2036,1)</f>
        <v>Black-capped Tanager</v>
      </c>
      <c r="E308" s="3" t="str">
        <f>VLOOKUP(B308,[1]LifeList!$E$2:$G$2036,2)</f>
        <v>Calliste à calotte noire</v>
      </c>
      <c r="F308" s="3" t="str">
        <f>VLOOKUP(B308,[1]LifeList!$E$2:$G$2036,3)</f>
        <v>Stilpnia heinei</v>
      </c>
      <c r="G308" s="3" t="str">
        <f>VLOOKUP(B308,[1]LifeList!$E$2:$I$2036,4)</f>
        <v>Passeriformes</v>
      </c>
      <c r="H308" s="3" t="str">
        <f>VLOOKUP(B308,[1]LifeList!$E$2:$I$2036,5)</f>
        <v>Thraupidae (Tanagers and Allies)</v>
      </c>
    </row>
    <row r="309" spans="1:8" x14ac:dyDescent="0.15">
      <c r="A309" s="3" t="s">
        <v>260</v>
      </c>
      <c r="B309" s="3" t="s">
        <v>4072</v>
      </c>
      <c r="C309" s="3">
        <v>34999</v>
      </c>
      <c r="D309" s="3" t="str">
        <f>VLOOKUP(B309,[1]LifeList!$E$2:$G$2036,1)</f>
        <v>Black-capped Tanager</v>
      </c>
      <c r="E309" s="3" t="str">
        <f>VLOOKUP(B309,[1]LifeList!$E$2:$G$2036,2)</f>
        <v>Calliste à calotte noire</v>
      </c>
      <c r="F309" s="3" t="str">
        <f>VLOOKUP(B309,[1]LifeList!$E$2:$G$2036,3)</f>
        <v>Stilpnia heinei</v>
      </c>
      <c r="G309" s="3" t="str">
        <f>VLOOKUP(B309,[1]LifeList!$E$2:$I$2036,4)</f>
        <v>Passeriformes</v>
      </c>
      <c r="H309" s="3" t="str">
        <f>VLOOKUP(B309,[1]LifeList!$E$2:$I$2036,5)</f>
        <v>Thraupidae (Tanagers and Allies)</v>
      </c>
    </row>
    <row r="310" spans="1:8" x14ac:dyDescent="0.15">
      <c r="A310" s="3" t="s">
        <v>261</v>
      </c>
      <c r="B310" s="3" t="s">
        <v>4072</v>
      </c>
      <c r="C310" s="3">
        <v>34999</v>
      </c>
      <c r="D310" s="3" t="str">
        <f>VLOOKUP(B310,[1]LifeList!$E$2:$G$2036,1)</f>
        <v>Black-capped Tanager</v>
      </c>
      <c r="E310" s="3" t="str">
        <f>VLOOKUP(B310,[1]LifeList!$E$2:$G$2036,2)</f>
        <v>Calliste à calotte noire</v>
      </c>
      <c r="F310" s="3" t="str">
        <f>VLOOKUP(B310,[1]LifeList!$E$2:$G$2036,3)</f>
        <v>Stilpnia heinei</v>
      </c>
      <c r="G310" s="3" t="str">
        <f>VLOOKUP(B310,[1]LifeList!$E$2:$I$2036,4)</f>
        <v>Passeriformes</v>
      </c>
      <c r="H310" s="3" t="str">
        <f>VLOOKUP(B310,[1]LifeList!$E$2:$I$2036,5)</f>
        <v>Thraupidae (Tanagers and Allies)</v>
      </c>
    </row>
    <row r="311" spans="1:8" x14ac:dyDescent="0.15">
      <c r="A311" s="3" t="s">
        <v>262</v>
      </c>
      <c r="B311" s="3" t="s">
        <v>4073</v>
      </c>
      <c r="C311" s="3">
        <v>16789</v>
      </c>
      <c r="D311" s="3" t="str">
        <f>VLOOKUP(B311,[1]LifeList!$E$2:$G$2036,1)</f>
        <v>Black-capped Tyrannulet</v>
      </c>
      <c r="E311" s="3" t="str">
        <f>VLOOKUP(B311,[1]LifeList!$E$2:$G$2036,2)</f>
        <v>Tyranneau à tête noire</v>
      </c>
      <c r="F311" s="3" t="str">
        <f>VLOOKUP(B311,[1]LifeList!$E$2:$G$2036,3)</f>
        <v>Tyranniscus nigrocapillus</v>
      </c>
      <c r="G311" s="3" t="str">
        <f>VLOOKUP(B311,[1]LifeList!$E$2:$I$2036,4)</f>
        <v>Passeriformes</v>
      </c>
      <c r="H311" s="3" t="str">
        <f>VLOOKUP(B311,[1]LifeList!$E$2:$I$2036,5)</f>
        <v>Tyrannidae (Tyrant Flycatchers)</v>
      </c>
    </row>
    <row r="312" spans="1:8" x14ac:dyDescent="0.15">
      <c r="A312" s="3" t="s">
        <v>265</v>
      </c>
      <c r="B312" s="3" t="s">
        <v>3743</v>
      </c>
      <c r="C312" s="3">
        <v>34871</v>
      </c>
      <c r="D312" s="3" t="str">
        <f>VLOOKUP(B312,[1]LifeList!$E$2:$G$2036,1)</f>
        <v>Black-cheeked Mountain Tanager</v>
      </c>
      <c r="E312" s="3" t="str">
        <f>VLOOKUP(B312,[1]LifeList!$E$2:$G$2036,2)</f>
        <v>Tangara de Santa Marta</v>
      </c>
      <c r="F312" s="3" t="str">
        <f>VLOOKUP(B312,[1]LifeList!$E$2:$G$2036,3)</f>
        <v>Anisognathus melanogenys</v>
      </c>
      <c r="G312" s="3" t="str">
        <f>VLOOKUP(B312,[1]LifeList!$E$2:$I$2036,4)</f>
        <v>Passeriformes</v>
      </c>
      <c r="H312" s="3" t="str">
        <f>VLOOKUP(B312,[1]LifeList!$E$2:$I$2036,5)</f>
        <v>Thraupidae (Tanagers and Allies)</v>
      </c>
    </row>
    <row r="313" spans="1:8" x14ac:dyDescent="0.15">
      <c r="A313" s="3" t="s">
        <v>266</v>
      </c>
      <c r="B313" s="3" t="s">
        <v>3743</v>
      </c>
      <c r="C313" s="3">
        <v>34871</v>
      </c>
      <c r="D313" s="3" t="str">
        <f>VLOOKUP(B313,[1]LifeList!$E$2:$G$2036,1)</f>
        <v>Black-cheeked Mountain Tanager</v>
      </c>
      <c r="E313" s="3" t="str">
        <f>VLOOKUP(B313,[1]LifeList!$E$2:$G$2036,2)</f>
        <v>Tangara de Santa Marta</v>
      </c>
      <c r="F313" s="3" t="str">
        <f>VLOOKUP(B313,[1]LifeList!$E$2:$G$2036,3)</f>
        <v>Anisognathus melanogenys</v>
      </c>
      <c r="G313" s="3" t="str">
        <f>VLOOKUP(B313,[1]LifeList!$E$2:$I$2036,4)</f>
        <v>Passeriformes</v>
      </c>
      <c r="H313" s="3" t="str">
        <f>VLOOKUP(B313,[1]LifeList!$E$2:$I$2036,5)</f>
        <v>Thraupidae (Tanagers and Allies)</v>
      </c>
    </row>
    <row r="314" spans="1:8" x14ac:dyDescent="0.15">
      <c r="A314" s="3" t="s">
        <v>267</v>
      </c>
      <c r="B314" s="3" t="s">
        <v>3743</v>
      </c>
      <c r="C314" s="3">
        <v>34871</v>
      </c>
      <c r="D314" s="3" t="str">
        <f>VLOOKUP(B314,[1]LifeList!$E$2:$G$2036,1)</f>
        <v>Black-cheeked Mountain Tanager</v>
      </c>
      <c r="E314" s="3" t="str">
        <f>VLOOKUP(B314,[1]LifeList!$E$2:$G$2036,2)</f>
        <v>Tangara de Santa Marta</v>
      </c>
      <c r="F314" s="3" t="str">
        <f>VLOOKUP(B314,[1]LifeList!$E$2:$G$2036,3)</f>
        <v>Anisognathus melanogenys</v>
      </c>
      <c r="G314" s="3" t="str">
        <f>VLOOKUP(B314,[1]LifeList!$E$2:$I$2036,4)</f>
        <v>Passeriformes</v>
      </c>
      <c r="H314" s="3" t="str">
        <f>VLOOKUP(B314,[1]LifeList!$E$2:$I$2036,5)</f>
        <v>Thraupidae (Tanagers and Allies)</v>
      </c>
    </row>
    <row r="315" spans="1:8" x14ac:dyDescent="0.15">
      <c r="A315" s="3" t="s">
        <v>268</v>
      </c>
      <c r="B315" s="3" t="s">
        <v>3743</v>
      </c>
      <c r="C315" s="3">
        <v>34871</v>
      </c>
      <c r="D315" s="3" t="str">
        <f>VLOOKUP(B315,[1]LifeList!$E$2:$G$2036,1)</f>
        <v>Black-cheeked Mountain Tanager</v>
      </c>
      <c r="E315" s="3" t="str">
        <f>VLOOKUP(B315,[1]LifeList!$E$2:$G$2036,2)</f>
        <v>Tangara de Santa Marta</v>
      </c>
      <c r="F315" s="3" t="str">
        <f>VLOOKUP(B315,[1]LifeList!$E$2:$G$2036,3)</f>
        <v>Anisognathus melanogenys</v>
      </c>
      <c r="G315" s="3" t="str">
        <f>VLOOKUP(B315,[1]LifeList!$E$2:$I$2036,4)</f>
        <v>Passeriformes</v>
      </c>
      <c r="H315" s="3" t="str">
        <f>VLOOKUP(B315,[1]LifeList!$E$2:$I$2036,5)</f>
        <v>Thraupidae (Tanagers and Allies)</v>
      </c>
    </row>
    <row r="316" spans="1:8" x14ac:dyDescent="0.15">
      <c r="A316" s="3" t="s">
        <v>269</v>
      </c>
      <c r="B316" s="3" t="s">
        <v>4074</v>
      </c>
      <c r="C316" s="3">
        <v>34238</v>
      </c>
      <c r="D316" s="3" t="str">
        <f>VLOOKUP(B316,[1]LifeList!$E$2:$G$2036,1)</f>
        <v>Black-cheeked Warbler</v>
      </c>
      <c r="E316" s="3" t="str">
        <f>VLOOKUP(B316,[1]LifeList!$E$2:$G$2036,2)</f>
        <v>Paruline sombre</v>
      </c>
      <c r="F316" s="3" t="str">
        <f>VLOOKUP(B316,[1]LifeList!$E$2:$G$2036,3)</f>
        <v>Basileuterus melanogenys</v>
      </c>
      <c r="G316" s="3" t="str">
        <f>VLOOKUP(B316,[1]LifeList!$E$2:$I$2036,4)</f>
        <v>Passeriformes</v>
      </c>
      <c r="H316" s="3" t="str">
        <f>VLOOKUP(B316,[1]LifeList!$E$2:$I$2036,5)</f>
        <v>Parulidae (New World Warblers)</v>
      </c>
    </row>
    <row r="317" spans="1:8" x14ac:dyDescent="0.15">
      <c r="A317" s="3" t="s">
        <v>270</v>
      </c>
      <c r="B317" s="3" t="s">
        <v>4074</v>
      </c>
      <c r="C317" s="3">
        <v>34238</v>
      </c>
      <c r="D317" s="3" t="str">
        <f>VLOOKUP(B317,[1]LifeList!$E$2:$G$2036,1)</f>
        <v>Black-cheeked Warbler</v>
      </c>
      <c r="E317" s="3" t="str">
        <f>VLOOKUP(B317,[1]LifeList!$E$2:$G$2036,2)</f>
        <v>Paruline sombre</v>
      </c>
      <c r="F317" s="3" t="str">
        <f>VLOOKUP(B317,[1]LifeList!$E$2:$G$2036,3)</f>
        <v>Basileuterus melanogenys</v>
      </c>
      <c r="G317" s="3" t="str">
        <f>VLOOKUP(B317,[1]LifeList!$E$2:$I$2036,4)</f>
        <v>Passeriformes</v>
      </c>
      <c r="H317" s="3" t="str">
        <f>VLOOKUP(B317,[1]LifeList!$E$2:$I$2036,5)</f>
        <v>Parulidae (New World Warblers)</v>
      </c>
    </row>
    <row r="318" spans="1:8" x14ac:dyDescent="0.15">
      <c r="A318" s="3" t="s">
        <v>271</v>
      </c>
      <c r="B318" s="3" t="s">
        <v>4074</v>
      </c>
      <c r="C318" s="3">
        <v>34238</v>
      </c>
      <c r="D318" s="3" t="str">
        <f>VLOOKUP(B318,[1]LifeList!$E$2:$G$2036,1)</f>
        <v>Black-cheeked Warbler</v>
      </c>
      <c r="E318" s="3" t="str">
        <f>VLOOKUP(B318,[1]LifeList!$E$2:$G$2036,2)</f>
        <v>Paruline sombre</v>
      </c>
      <c r="F318" s="3" t="str">
        <f>VLOOKUP(B318,[1]LifeList!$E$2:$G$2036,3)</f>
        <v>Basileuterus melanogenys</v>
      </c>
      <c r="G318" s="3" t="str">
        <f>VLOOKUP(B318,[1]LifeList!$E$2:$I$2036,4)</f>
        <v>Passeriformes</v>
      </c>
      <c r="H318" s="3" t="str">
        <f>VLOOKUP(B318,[1]LifeList!$E$2:$I$2036,5)</f>
        <v>Parulidae (New World Warblers)</v>
      </c>
    </row>
    <row r="319" spans="1:8" x14ac:dyDescent="0.15">
      <c r="A319" s="3" t="s">
        <v>272</v>
      </c>
      <c r="B319" s="3" t="s">
        <v>4075</v>
      </c>
      <c r="C319" s="3">
        <v>11159</v>
      </c>
      <c r="D319" s="3" t="str">
        <f>VLOOKUP(B319,[1]LifeList!$E$2:$G$2036,1)</f>
        <v>Black-cheeked Woodpecker</v>
      </c>
      <c r="E319" s="3" t="str">
        <f>VLOOKUP(B319,[1]LifeList!$E$2:$G$2036,2)</f>
        <v>Pic de Pucheran</v>
      </c>
      <c r="F319" s="3" t="str">
        <f>VLOOKUP(B319,[1]LifeList!$E$2:$G$2036,3)</f>
        <v>Melanerpes pucherani</v>
      </c>
      <c r="G319" s="3" t="str">
        <f>VLOOKUP(B319,[1]LifeList!$E$2:$I$2036,4)</f>
        <v>Piciformes</v>
      </c>
      <c r="H319" s="3" t="str">
        <f>VLOOKUP(B319,[1]LifeList!$E$2:$I$2036,5)</f>
        <v>Picidae (Woodpeckers)</v>
      </c>
    </row>
    <row r="320" spans="1:8" x14ac:dyDescent="0.15">
      <c r="A320" s="3" t="s">
        <v>273</v>
      </c>
      <c r="B320" s="3" t="s">
        <v>4075</v>
      </c>
      <c r="C320" s="3">
        <v>11159</v>
      </c>
      <c r="D320" s="3" t="str">
        <f>VLOOKUP(B320,[1]LifeList!$E$2:$G$2036,1)</f>
        <v>Black-cheeked Woodpecker</v>
      </c>
      <c r="E320" s="3" t="str">
        <f>VLOOKUP(B320,[1]LifeList!$E$2:$G$2036,2)</f>
        <v>Pic de Pucheran</v>
      </c>
      <c r="F320" s="3" t="str">
        <f>VLOOKUP(B320,[1]LifeList!$E$2:$G$2036,3)</f>
        <v>Melanerpes pucherani</v>
      </c>
      <c r="G320" s="3" t="str">
        <f>VLOOKUP(B320,[1]LifeList!$E$2:$I$2036,4)</f>
        <v>Piciformes</v>
      </c>
      <c r="H320" s="3" t="str">
        <f>VLOOKUP(B320,[1]LifeList!$E$2:$I$2036,5)</f>
        <v>Picidae (Woodpeckers)</v>
      </c>
    </row>
    <row r="321" spans="1:8" x14ac:dyDescent="0.15">
      <c r="A321" s="3" t="s">
        <v>274</v>
      </c>
      <c r="B321" s="3" t="s">
        <v>4075</v>
      </c>
      <c r="C321" s="3">
        <v>11159</v>
      </c>
      <c r="D321" s="3" t="str">
        <f>VLOOKUP(B321,[1]LifeList!$E$2:$G$2036,1)</f>
        <v>Black-cheeked Woodpecker</v>
      </c>
      <c r="E321" s="3" t="str">
        <f>VLOOKUP(B321,[1]LifeList!$E$2:$G$2036,2)</f>
        <v>Pic de Pucheran</v>
      </c>
      <c r="F321" s="3" t="str">
        <f>VLOOKUP(B321,[1]LifeList!$E$2:$G$2036,3)</f>
        <v>Melanerpes pucherani</v>
      </c>
      <c r="G321" s="3" t="str">
        <f>VLOOKUP(B321,[1]LifeList!$E$2:$I$2036,4)</f>
        <v>Piciformes</v>
      </c>
      <c r="H321" s="3" t="str">
        <f>VLOOKUP(B321,[1]LifeList!$E$2:$I$2036,5)</f>
        <v>Picidae (Woodpeckers)</v>
      </c>
    </row>
    <row r="322" spans="1:8" x14ac:dyDescent="0.15">
      <c r="A322" s="3" t="s">
        <v>275</v>
      </c>
      <c r="B322" s="3" t="s">
        <v>4075</v>
      </c>
      <c r="C322" s="3">
        <v>11159</v>
      </c>
      <c r="D322" s="3" t="str">
        <f>VLOOKUP(B322,[1]LifeList!$E$2:$G$2036,1)</f>
        <v>Black-cheeked Woodpecker</v>
      </c>
      <c r="E322" s="3" t="str">
        <f>VLOOKUP(B322,[1]LifeList!$E$2:$G$2036,2)</f>
        <v>Pic de Pucheran</v>
      </c>
      <c r="F322" s="3" t="str">
        <f>VLOOKUP(B322,[1]LifeList!$E$2:$G$2036,3)</f>
        <v>Melanerpes pucherani</v>
      </c>
      <c r="G322" s="3" t="str">
        <f>VLOOKUP(B322,[1]LifeList!$E$2:$I$2036,4)</f>
        <v>Piciformes</v>
      </c>
      <c r="H322" s="3" t="str">
        <f>VLOOKUP(B322,[1]LifeList!$E$2:$I$2036,5)</f>
        <v>Picidae (Woodpeckers)</v>
      </c>
    </row>
    <row r="323" spans="1:8" x14ac:dyDescent="0.15">
      <c r="A323" s="3" t="s">
        <v>277</v>
      </c>
      <c r="B323" s="3" t="s">
        <v>4076</v>
      </c>
      <c r="C323" s="3">
        <v>8458</v>
      </c>
      <c r="D323" s="3" t="str">
        <f>VLOOKUP(B323,[1]LifeList!$E$2:$G$2036,1)</f>
        <v>Black-chested Buzzard-Eagle</v>
      </c>
      <c r="E323" s="3" t="str">
        <f>VLOOKUP(B323,[1]LifeList!$E$2:$G$2036,2)</f>
        <v>Buse aguia</v>
      </c>
      <c r="F323" s="3" t="str">
        <f>VLOOKUP(B323,[1]LifeList!$E$2:$G$2036,3)</f>
        <v>Geranoaetus melanoleucus</v>
      </c>
      <c r="G323" s="3" t="str">
        <f>VLOOKUP(B323,[1]LifeList!$E$2:$I$2036,4)</f>
        <v>Accipitriformes</v>
      </c>
      <c r="H323" s="3" t="str">
        <f>VLOOKUP(B323,[1]LifeList!$E$2:$I$2036,5)</f>
        <v>Accipitridae (Hawks, Eagles, and Kites)</v>
      </c>
    </row>
    <row r="324" spans="1:8" x14ac:dyDescent="0.15">
      <c r="A324" s="3" t="s">
        <v>276</v>
      </c>
      <c r="B324" s="3" t="s">
        <v>4076</v>
      </c>
      <c r="C324" s="3">
        <v>8458</v>
      </c>
      <c r="D324" s="3" t="str">
        <f>VLOOKUP(B324,[1]LifeList!$E$2:$G$2036,1)</f>
        <v>Black-chested Buzzard-Eagle</v>
      </c>
      <c r="E324" s="3" t="str">
        <f>VLOOKUP(B324,[1]LifeList!$E$2:$G$2036,2)</f>
        <v>Buse aguia</v>
      </c>
      <c r="F324" s="3" t="str">
        <f>VLOOKUP(B324,[1]LifeList!$E$2:$G$2036,3)</f>
        <v>Geranoaetus melanoleucus</v>
      </c>
      <c r="G324" s="3" t="str">
        <f>VLOOKUP(B324,[1]LifeList!$E$2:$I$2036,4)</f>
        <v>Accipitriformes</v>
      </c>
      <c r="H324" s="3" t="str">
        <f>VLOOKUP(B324,[1]LifeList!$E$2:$I$2036,5)</f>
        <v>Accipitridae (Hawks, Eagles, and Kites)</v>
      </c>
    </row>
    <row r="325" spans="1:8" x14ac:dyDescent="0.15">
      <c r="A325" s="3" t="s">
        <v>279</v>
      </c>
      <c r="B325" s="3" t="s">
        <v>4077</v>
      </c>
      <c r="C325" s="3">
        <v>21259</v>
      </c>
      <c r="D325" s="3" t="str">
        <f>VLOOKUP(B325,[1]LifeList!$E$2:$G$2036,1)</f>
        <v>Black-chested Jay</v>
      </c>
      <c r="E325" s="3" t="str">
        <f>VLOOKUP(B325,[1]LifeList!$E$2:$G$2036,2)</f>
        <v>Geai à poitrine noire</v>
      </c>
      <c r="F325" s="3" t="str">
        <f>VLOOKUP(B325,[1]LifeList!$E$2:$G$2036,3)</f>
        <v>Cyanocorax affinis</v>
      </c>
      <c r="G325" s="3" t="str">
        <f>VLOOKUP(B325,[1]LifeList!$E$2:$I$2036,4)</f>
        <v>Passeriformes</v>
      </c>
      <c r="H325" s="3" t="str">
        <f>VLOOKUP(B325,[1]LifeList!$E$2:$I$2036,5)</f>
        <v>Corvidae (Crows, Jays, and Magpies)</v>
      </c>
    </row>
    <row r="326" spans="1:8" x14ac:dyDescent="0.15">
      <c r="A326" s="3" t="s">
        <v>280</v>
      </c>
      <c r="B326" s="3" t="s">
        <v>4077</v>
      </c>
      <c r="C326" s="3">
        <v>21259</v>
      </c>
      <c r="D326" s="3" t="str">
        <f>VLOOKUP(B326,[1]LifeList!$E$2:$G$2036,1)</f>
        <v>Black-chested Jay</v>
      </c>
      <c r="E326" s="3" t="str">
        <f>VLOOKUP(B326,[1]LifeList!$E$2:$G$2036,2)</f>
        <v>Geai à poitrine noire</v>
      </c>
      <c r="F326" s="3" t="str">
        <f>VLOOKUP(B326,[1]LifeList!$E$2:$G$2036,3)</f>
        <v>Cyanocorax affinis</v>
      </c>
      <c r="G326" s="3" t="str">
        <f>VLOOKUP(B326,[1]LifeList!$E$2:$I$2036,4)</f>
        <v>Passeriformes</v>
      </c>
      <c r="H326" s="3" t="str">
        <f>VLOOKUP(B326,[1]LifeList!$E$2:$I$2036,5)</f>
        <v>Corvidae (Crows, Jays, and Magpies)</v>
      </c>
    </row>
    <row r="327" spans="1:8" x14ac:dyDescent="0.15">
      <c r="A327" s="3" t="s">
        <v>278</v>
      </c>
      <c r="B327" s="3" t="s">
        <v>4077</v>
      </c>
      <c r="C327" s="3">
        <v>21259</v>
      </c>
      <c r="D327" s="3" t="str">
        <f>VLOOKUP(B327,[1]LifeList!$E$2:$G$2036,1)</f>
        <v>Black-chested Jay</v>
      </c>
      <c r="E327" s="3" t="str">
        <f>VLOOKUP(B327,[1]LifeList!$E$2:$G$2036,2)</f>
        <v>Geai à poitrine noire</v>
      </c>
      <c r="F327" s="3" t="str">
        <f>VLOOKUP(B327,[1]LifeList!$E$2:$G$2036,3)</f>
        <v>Cyanocorax affinis</v>
      </c>
      <c r="G327" s="3" t="str">
        <f>VLOOKUP(B327,[1]LifeList!$E$2:$I$2036,4)</f>
        <v>Passeriformes</v>
      </c>
      <c r="H327" s="3" t="str">
        <f>VLOOKUP(B327,[1]LifeList!$E$2:$I$2036,5)</f>
        <v>Corvidae (Crows, Jays, and Magpies)</v>
      </c>
    </row>
    <row r="328" spans="1:8" x14ac:dyDescent="0.15">
      <c r="A328" s="3" t="s">
        <v>281</v>
      </c>
      <c r="B328" s="3" t="s">
        <v>4078</v>
      </c>
      <c r="C328" s="3">
        <v>10666</v>
      </c>
      <c r="D328" s="3" t="str">
        <f>VLOOKUP(B328,[1]LifeList!$E$2:$G$2036,1)</f>
        <v>Black-collared Barbet</v>
      </c>
      <c r="E328" s="3" t="str">
        <f>VLOOKUP(B328,[1]LifeList!$E$2:$G$2036,2)</f>
        <v>Barbican à collier</v>
      </c>
      <c r="F328" s="3" t="str">
        <f>VLOOKUP(B328,[1]LifeList!$E$2:$G$2036,3)</f>
        <v>Lybius torquatus</v>
      </c>
      <c r="G328" s="3" t="str">
        <f>VLOOKUP(B328,[1]LifeList!$E$2:$I$2036,4)</f>
        <v>Piciformes</v>
      </c>
      <c r="H328" s="3" t="str">
        <f>VLOOKUP(B328,[1]LifeList!$E$2:$I$2036,5)</f>
        <v>Lybiidae (African Barbets)</v>
      </c>
    </row>
    <row r="329" spans="1:8" x14ac:dyDescent="0.15">
      <c r="A329" s="3" t="s">
        <v>282</v>
      </c>
      <c r="B329" s="3" t="s">
        <v>4079</v>
      </c>
      <c r="C329" s="3">
        <v>8400</v>
      </c>
      <c r="D329" s="3" t="str">
        <f>VLOOKUP(B329,[1]LifeList!$E$2:$G$2036,1)</f>
        <v>Black-collared Hawk</v>
      </c>
      <c r="E329" s="3" t="str">
        <f>VLOOKUP(B329,[1]LifeList!$E$2:$G$2036,2)</f>
        <v>Buse à tête blanche</v>
      </c>
      <c r="F329" s="3" t="str">
        <f>VLOOKUP(B329,[1]LifeList!$E$2:$G$2036,3)</f>
        <v>Busarellus nigricollis</v>
      </c>
      <c r="G329" s="3" t="str">
        <f>VLOOKUP(B329,[1]LifeList!$E$2:$I$2036,4)</f>
        <v>Accipitriformes</v>
      </c>
      <c r="H329" s="3" t="str">
        <f>VLOOKUP(B329,[1]LifeList!$E$2:$I$2036,5)</f>
        <v>Accipitridae (Hawks, Eagles, and Kites)</v>
      </c>
    </row>
    <row r="330" spans="1:8" x14ac:dyDescent="0.15">
      <c r="A330" s="3" t="s">
        <v>283</v>
      </c>
      <c r="B330" s="3" t="s">
        <v>4079</v>
      </c>
      <c r="C330" s="3">
        <v>8400</v>
      </c>
      <c r="D330" s="3" t="str">
        <f>VLOOKUP(B330,[1]LifeList!$E$2:$G$2036,1)</f>
        <v>Black-collared Hawk</v>
      </c>
      <c r="E330" s="3" t="str">
        <f>VLOOKUP(B330,[1]LifeList!$E$2:$G$2036,2)</f>
        <v>Buse à tête blanche</v>
      </c>
      <c r="F330" s="3" t="str">
        <f>VLOOKUP(B330,[1]LifeList!$E$2:$G$2036,3)</f>
        <v>Busarellus nigricollis</v>
      </c>
      <c r="G330" s="3" t="str">
        <f>VLOOKUP(B330,[1]LifeList!$E$2:$I$2036,4)</f>
        <v>Accipitriformes</v>
      </c>
      <c r="H330" s="3" t="str">
        <f>VLOOKUP(B330,[1]LifeList!$E$2:$I$2036,5)</f>
        <v>Accipitridae (Hawks, Eagles, and Kites)</v>
      </c>
    </row>
    <row r="331" spans="1:8" x14ac:dyDescent="0.15">
      <c r="A331" s="3" t="s">
        <v>284</v>
      </c>
      <c r="B331" s="3" t="s">
        <v>4080</v>
      </c>
      <c r="C331" s="3">
        <v>33676</v>
      </c>
      <c r="D331" s="3" t="str">
        <f>VLOOKUP(B331,[1]LifeList!$E$2:$G$2036,1)</f>
        <v>Black-cowled Oriole</v>
      </c>
      <c r="E331" s="3" t="str">
        <f>VLOOKUP(B331,[1]LifeList!$E$2:$G$2036,2)</f>
        <v>Oriole monacal</v>
      </c>
      <c r="F331" s="3" t="str">
        <f>VLOOKUP(B331,[1]LifeList!$E$2:$G$2036,3)</f>
        <v>Icterus prosthemelas</v>
      </c>
      <c r="G331" s="3" t="str">
        <f>VLOOKUP(B331,[1]LifeList!$E$2:$I$2036,4)</f>
        <v>Passeriformes</v>
      </c>
      <c r="H331" s="3" t="str">
        <f>VLOOKUP(B331,[1]LifeList!$E$2:$I$2036,5)</f>
        <v>Icteridae (Troupials and Allies)</v>
      </c>
    </row>
    <row r="332" spans="1:8" x14ac:dyDescent="0.15">
      <c r="A332" s="3" t="s">
        <v>285</v>
      </c>
      <c r="B332" s="3" t="s">
        <v>4081</v>
      </c>
      <c r="C332" s="3">
        <v>13475</v>
      </c>
      <c r="D332" s="3" t="str">
        <f>VLOOKUP(B332,[1]LifeList!$E$2:$G$2036,1)</f>
        <v>Black-crested Antshrike</v>
      </c>
      <c r="E332" s="3" t="str">
        <f>VLOOKUP(B332,[1]LifeList!$E$2:$G$2036,2)</f>
        <v>Batara huppé</v>
      </c>
      <c r="F332" s="3" t="str">
        <f>VLOOKUP(B332,[1]LifeList!$E$2:$G$2036,3)</f>
        <v>Sakesphorus canadensis</v>
      </c>
      <c r="G332" s="3" t="str">
        <f>VLOOKUP(B332,[1]LifeList!$E$2:$I$2036,4)</f>
        <v>Passeriformes</v>
      </c>
      <c r="H332" s="3" t="str">
        <f>VLOOKUP(B332,[1]LifeList!$E$2:$I$2036,5)</f>
        <v>Thamnophilidae (Typical Antbirds)</v>
      </c>
    </row>
    <row r="333" spans="1:8" x14ac:dyDescent="0.15">
      <c r="A333" s="3" t="s">
        <v>286</v>
      </c>
      <c r="B333" s="3" t="s">
        <v>4081</v>
      </c>
      <c r="C333" s="3">
        <v>13475</v>
      </c>
      <c r="D333" s="3" t="str">
        <f>VLOOKUP(B333,[1]LifeList!$E$2:$G$2036,1)</f>
        <v>Black-crested Antshrike</v>
      </c>
      <c r="E333" s="3" t="str">
        <f>VLOOKUP(B333,[1]LifeList!$E$2:$G$2036,2)</f>
        <v>Batara huppé</v>
      </c>
      <c r="F333" s="3" t="str">
        <f>VLOOKUP(B333,[1]LifeList!$E$2:$G$2036,3)</f>
        <v>Sakesphorus canadensis</v>
      </c>
      <c r="G333" s="3" t="str">
        <f>VLOOKUP(B333,[1]LifeList!$E$2:$I$2036,4)</f>
        <v>Passeriformes</v>
      </c>
      <c r="H333" s="3" t="str">
        <f>VLOOKUP(B333,[1]LifeList!$E$2:$I$2036,5)</f>
        <v>Thamnophilidae (Typical Antbirds)</v>
      </c>
    </row>
    <row r="334" spans="1:8" x14ac:dyDescent="0.15">
      <c r="A334" s="3" t="s">
        <v>287</v>
      </c>
      <c r="B334" s="3" t="s">
        <v>4081</v>
      </c>
      <c r="C334" s="3">
        <v>13475</v>
      </c>
      <c r="D334" s="3" t="str">
        <f>VLOOKUP(B334,[1]LifeList!$E$2:$G$2036,1)</f>
        <v>Black-crested Antshrike</v>
      </c>
      <c r="E334" s="3" t="str">
        <f>VLOOKUP(B334,[1]LifeList!$E$2:$G$2036,2)</f>
        <v>Batara huppé</v>
      </c>
      <c r="F334" s="3" t="str">
        <f>VLOOKUP(B334,[1]LifeList!$E$2:$G$2036,3)</f>
        <v>Sakesphorus canadensis</v>
      </c>
      <c r="G334" s="3" t="str">
        <f>VLOOKUP(B334,[1]LifeList!$E$2:$I$2036,4)</f>
        <v>Passeriformes</v>
      </c>
      <c r="H334" s="3" t="str">
        <f>VLOOKUP(B334,[1]LifeList!$E$2:$I$2036,5)</f>
        <v>Thamnophilidae (Typical Antbirds)</v>
      </c>
    </row>
    <row r="335" spans="1:8" x14ac:dyDescent="0.15">
      <c r="A335" s="3" t="s">
        <v>288</v>
      </c>
      <c r="B335" s="3" t="s">
        <v>4082</v>
      </c>
      <c r="C335" s="3">
        <v>4455</v>
      </c>
      <c r="D335" s="3" t="str">
        <f>VLOOKUP(B335,[1]LifeList!$E$2:$G$2036,1)</f>
        <v>Black-crested Coquette</v>
      </c>
      <c r="E335" s="3" t="str">
        <f>VLOOKUP(B335,[1]LifeList!$E$2:$G$2036,2)</f>
        <v>Coquette d'Hélène</v>
      </c>
      <c r="F335" s="3" t="str">
        <f>VLOOKUP(B335,[1]LifeList!$E$2:$G$2036,3)</f>
        <v>Lophornis helenae</v>
      </c>
      <c r="G335" s="3" t="str">
        <f>VLOOKUP(B335,[1]LifeList!$E$2:$I$2036,4)</f>
        <v>Apodiformes</v>
      </c>
      <c r="H335" s="3" t="str">
        <f>VLOOKUP(B335,[1]LifeList!$E$2:$I$2036,5)</f>
        <v>Trochilidae (Hummingbirds)</v>
      </c>
    </row>
    <row r="336" spans="1:8" x14ac:dyDescent="0.15">
      <c r="A336" s="3" t="s">
        <v>289</v>
      </c>
      <c r="B336" s="3" t="s">
        <v>4082</v>
      </c>
      <c r="C336" s="3">
        <v>4455</v>
      </c>
      <c r="D336" s="3" t="str">
        <f>VLOOKUP(B336,[1]LifeList!$E$2:$G$2036,1)</f>
        <v>Black-crested Coquette</v>
      </c>
      <c r="E336" s="3" t="str">
        <f>VLOOKUP(B336,[1]LifeList!$E$2:$G$2036,2)</f>
        <v>Coquette d'Hélène</v>
      </c>
      <c r="F336" s="3" t="str">
        <f>VLOOKUP(B336,[1]LifeList!$E$2:$G$2036,3)</f>
        <v>Lophornis helenae</v>
      </c>
      <c r="G336" s="3" t="str">
        <f>VLOOKUP(B336,[1]LifeList!$E$2:$I$2036,4)</f>
        <v>Apodiformes</v>
      </c>
      <c r="H336" s="3" t="str">
        <f>VLOOKUP(B336,[1]LifeList!$E$2:$I$2036,5)</f>
        <v>Trochilidae (Hummingbirds)</v>
      </c>
    </row>
    <row r="337" spans="1:8" x14ac:dyDescent="0.15">
      <c r="A337" s="3" t="s">
        <v>3818</v>
      </c>
      <c r="B337" s="3" t="s">
        <v>4082</v>
      </c>
      <c r="C337" s="3">
        <v>4455</v>
      </c>
      <c r="D337" s="3" t="str">
        <f>VLOOKUP(B337,[1]LifeList!$E$2:$G$2036,1)</f>
        <v>Black-crested Coquette</v>
      </c>
      <c r="E337" s="3" t="str">
        <f>VLOOKUP(B337,[1]LifeList!$E$2:$G$2036,2)</f>
        <v>Coquette d'Hélène</v>
      </c>
      <c r="F337" s="3" t="str">
        <f>VLOOKUP(B337,[1]LifeList!$E$2:$G$2036,3)</f>
        <v>Lophornis helenae</v>
      </c>
      <c r="G337" s="3" t="str">
        <f>VLOOKUP(B337,[1]LifeList!$E$2:$I$2036,4)</f>
        <v>Apodiformes</v>
      </c>
      <c r="H337" s="3" t="str">
        <f>VLOOKUP(B337,[1]LifeList!$E$2:$I$2036,5)</f>
        <v>Trochilidae (Hummingbirds)</v>
      </c>
    </row>
    <row r="338" spans="1:8" x14ac:dyDescent="0.15">
      <c r="A338" s="3" t="s">
        <v>290</v>
      </c>
      <c r="B338" s="3" t="s">
        <v>4082</v>
      </c>
      <c r="C338" s="3">
        <v>4455</v>
      </c>
      <c r="D338" s="3" t="str">
        <f>VLOOKUP(B338,[1]LifeList!$E$2:$G$2036,1)</f>
        <v>Black-crested Coquette</v>
      </c>
      <c r="E338" s="3" t="str">
        <f>VLOOKUP(B338,[1]LifeList!$E$2:$G$2036,2)</f>
        <v>Coquette d'Hélène</v>
      </c>
      <c r="F338" s="3" t="str">
        <f>VLOOKUP(B338,[1]LifeList!$E$2:$G$2036,3)</f>
        <v>Lophornis helenae</v>
      </c>
      <c r="G338" s="3" t="str">
        <f>VLOOKUP(B338,[1]LifeList!$E$2:$I$2036,4)</f>
        <v>Apodiformes</v>
      </c>
      <c r="H338" s="3" t="str">
        <f>VLOOKUP(B338,[1]LifeList!$E$2:$I$2036,5)</f>
        <v>Trochilidae (Hummingbirds)</v>
      </c>
    </row>
    <row r="339" spans="1:8" x14ac:dyDescent="0.15">
      <c r="A339" s="3" t="s">
        <v>291</v>
      </c>
      <c r="B339" s="3" t="s">
        <v>4083</v>
      </c>
      <c r="C339" s="3">
        <v>34307</v>
      </c>
      <c r="D339" s="3" t="str">
        <f>VLOOKUP(B339,[1]LifeList!$E$2:$G$2036,1)</f>
        <v>Black-crested Warbler</v>
      </c>
      <c r="E339" s="3" t="str">
        <f>VLOOKUP(B339,[1]LifeList!$E$2:$G$2036,2)</f>
        <v>Paruline à cimier noir</v>
      </c>
      <c r="F339" s="3" t="str">
        <f>VLOOKUP(B339,[1]LifeList!$E$2:$G$2036,3)</f>
        <v>Myiothlypis nigrocristata</v>
      </c>
      <c r="G339" s="3" t="str">
        <f>VLOOKUP(B339,[1]LifeList!$E$2:$I$2036,4)</f>
        <v>Passeriformes</v>
      </c>
      <c r="H339" s="3" t="str">
        <f>VLOOKUP(B339,[1]LifeList!$E$2:$I$2036,5)</f>
        <v>Parulidae (New World Warblers)</v>
      </c>
    </row>
    <row r="340" spans="1:8" x14ac:dyDescent="0.15">
      <c r="A340" s="3" t="s">
        <v>292</v>
      </c>
      <c r="B340" s="3" t="s">
        <v>4084</v>
      </c>
      <c r="C340" s="3">
        <v>13536</v>
      </c>
      <c r="D340" s="3" t="str">
        <f>VLOOKUP(B340,[1]LifeList!$E$2:$G$2036,1)</f>
        <v>Black-crowned Antshrike</v>
      </c>
      <c r="E340" s="3" t="str">
        <f>VLOOKUP(B340,[1]LifeList!$E$2:$G$2036,2)</f>
        <v>Batara à nuque noire</v>
      </c>
      <c r="F340" s="3" t="str">
        <f>VLOOKUP(B340,[1]LifeList!$E$2:$G$2036,3)</f>
        <v>Thamnophilus atrinucha</v>
      </c>
      <c r="G340" s="3" t="str">
        <f>VLOOKUP(B340,[1]LifeList!$E$2:$I$2036,4)</f>
        <v>Passeriformes</v>
      </c>
      <c r="H340" s="3" t="str">
        <f>VLOOKUP(B340,[1]LifeList!$E$2:$I$2036,5)</f>
        <v>Thamnophilidae (Typical Antbirds)</v>
      </c>
    </row>
    <row r="341" spans="1:8" x14ac:dyDescent="0.15">
      <c r="A341" s="3" t="s">
        <v>293</v>
      </c>
      <c r="B341" s="3" t="s">
        <v>4084</v>
      </c>
      <c r="C341" s="3">
        <v>13536</v>
      </c>
      <c r="D341" s="3" t="str">
        <f>VLOOKUP(B341,[1]LifeList!$E$2:$G$2036,1)</f>
        <v>Black-crowned Antshrike</v>
      </c>
      <c r="E341" s="3" t="str">
        <f>VLOOKUP(B341,[1]LifeList!$E$2:$G$2036,2)</f>
        <v>Batara à nuque noire</v>
      </c>
      <c r="F341" s="3" t="str">
        <f>VLOOKUP(B341,[1]LifeList!$E$2:$G$2036,3)</f>
        <v>Thamnophilus atrinucha</v>
      </c>
      <c r="G341" s="3" t="str">
        <f>VLOOKUP(B341,[1]LifeList!$E$2:$I$2036,4)</f>
        <v>Passeriformes</v>
      </c>
      <c r="H341" s="3" t="str">
        <f>VLOOKUP(B341,[1]LifeList!$E$2:$I$2036,5)</f>
        <v>Thamnophilidae (Typical Antbirds)</v>
      </c>
    </row>
    <row r="342" spans="1:8" x14ac:dyDescent="0.15">
      <c r="A342" s="3" t="s">
        <v>295</v>
      </c>
      <c r="B342" s="3" t="s">
        <v>3744</v>
      </c>
      <c r="C342" s="3">
        <v>7600</v>
      </c>
      <c r="D342" s="3" t="str">
        <f>VLOOKUP(B342,[1]LifeList!$E$2:$G$2036,1)</f>
        <v>Black-crowned Night Heron</v>
      </c>
      <c r="E342" s="3" t="str">
        <f>VLOOKUP(B342,[1]LifeList!$E$2:$G$2036,2)</f>
        <v>Bihoreau gris</v>
      </c>
      <c r="F342" s="3" t="str">
        <f>VLOOKUP(B342,[1]LifeList!$E$2:$G$2036,3)</f>
        <v>Nycticorax nycticorax</v>
      </c>
      <c r="G342" s="3" t="str">
        <f>VLOOKUP(B342,[1]LifeList!$E$2:$I$2036,4)</f>
        <v>Pelecaniformes</v>
      </c>
      <c r="H342" s="3" t="str">
        <f>VLOOKUP(B342,[1]LifeList!$E$2:$I$2036,5)</f>
        <v>Ardeidae (Herons, Egrets, and Bitterns)</v>
      </c>
    </row>
    <row r="343" spans="1:8" x14ac:dyDescent="0.15">
      <c r="A343" s="3" t="s">
        <v>296</v>
      </c>
      <c r="B343" s="3" t="s">
        <v>3744</v>
      </c>
      <c r="C343" s="3">
        <v>7600</v>
      </c>
      <c r="D343" s="3" t="str">
        <f>VLOOKUP(B343,[1]LifeList!$E$2:$G$2036,1)</f>
        <v>Black-crowned Night Heron</v>
      </c>
      <c r="E343" s="3" t="str">
        <f>VLOOKUP(B343,[1]LifeList!$E$2:$G$2036,2)</f>
        <v>Bihoreau gris</v>
      </c>
      <c r="F343" s="3" t="str">
        <f>VLOOKUP(B343,[1]LifeList!$E$2:$G$2036,3)</f>
        <v>Nycticorax nycticorax</v>
      </c>
      <c r="G343" s="3" t="str">
        <f>VLOOKUP(B343,[1]LifeList!$E$2:$I$2036,4)</f>
        <v>Pelecaniformes</v>
      </c>
      <c r="H343" s="3" t="str">
        <f>VLOOKUP(B343,[1]LifeList!$E$2:$I$2036,5)</f>
        <v>Ardeidae (Herons, Egrets, and Bitterns)</v>
      </c>
    </row>
    <row r="344" spans="1:8" x14ac:dyDescent="0.15">
      <c r="A344" s="3" t="s">
        <v>297</v>
      </c>
      <c r="B344" s="3" t="s">
        <v>3744</v>
      </c>
      <c r="C344" s="3">
        <v>7600</v>
      </c>
      <c r="D344" s="3" t="str">
        <f>VLOOKUP(B344,[1]LifeList!$E$2:$G$2036,1)</f>
        <v>Black-crowned Night Heron</v>
      </c>
      <c r="E344" s="3" t="str">
        <f>VLOOKUP(B344,[1]LifeList!$E$2:$G$2036,2)</f>
        <v>Bihoreau gris</v>
      </c>
      <c r="F344" s="3" t="str">
        <f>VLOOKUP(B344,[1]LifeList!$E$2:$G$2036,3)</f>
        <v>Nycticorax nycticorax</v>
      </c>
      <c r="G344" s="3" t="str">
        <f>VLOOKUP(B344,[1]LifeList!$E$2:$I$2036,4)</f>
        <v>Pelecaniformes</v>
      </c>
      <c r="H344" s="3" t="str">
        <f>VLOOKUP(B344,[1]LifeList!$E$2:$I$2036,5)</f>
        <v>Ardeidae (Herons, Egrets, and Bitterns)</v>
      </c>
    </row>
    <row r="345" spans="1:8" x14ac:dyDescent="0.15">
      <c r="A345" s="3" t="s">
        <v>298</v>
      </c>
      <c r="B345" s="3" t="s">
        <v>3744</v>
      </c>
      <c r="C345" s="3">
        <v>7600</v>
      </c>
      <c r="D345" s="3" t="str">
        <f>VLOOKUP(B345,[1]LifeList!$E$2:$G$2036,1)</f>
        <v>Black-crowned Night Heron</v>
      </c>
      <c r="E345" s="3" t="str">
        <f>VLOOKUP(B345,[1]LifeList!$E$2:$G$2036,2)</f>
        <v>Bihoreau gris</v>
      </c>
      <c r="F345" s="3" t="str">
        <f>VLOOKUP(B345,[1]LifeList!$E$2:$G$2036,3)</f>
        <v>Nycticorax nycticorax</v>
      </c>
      <c r="G345" s="3" t="str">
        <f>VLOOKUP(B345,[1]LifeList!$E$2:$I$2036,4)</f>
        <v>Pelecaniformes</v>
      </c>
      <c r="H345" s="3" t="str">
        <f>VLOOKUP(B345,[1]LifeList!$E$2:$I$2036,5)</f>
        <v>Ardeidae (Herons, Egrets, and Bitterns)</v>
      </c>
    </row>
    <row r="346" spans="1:8" x14ac:dyDescent="0.15">
      <c r="A346" s="3" t="s">
        <v>299</v>
      </c>
      <c r="B346" s="3" t="s">
        <v>3744</v>
      </c>
      <c r="C346" s="3">
        <v>7600</v>
      </c>
      <c r="D346" s="3" t="str">
        <f>VLOOKUP(B346,[1]LifeList!$E$2:$G$2036,1)</f>
        <v>Black-crowned Night Heron</v>
      </c>
      <c r="E346" s="3" t="str">
        <f>VLOOKUP(B346,[1]LifeList!$E$2:$G$2036,2)</f>
        <v>Bihoreau gris</v>
      </c>
      <c r="F346" s="3" t="str">
        <f>VLOOKUP(B346,[1]LifeList!$E$2:$G$2036,3)</f>
        <v>Nycticorax nycticorax</v>
      </c>
      <c r="G346" s="3" t="str">
        <f>VLOOKUP(B346,[1]LifeList!$E$2:$I$2036,4)</f>
        <v>Pelecaniformes</v>
      </c>
      <c r="H346" s="3" t="str">
        <f>VLOOKUP(B346,[1]LifeList!$E$2:$I$2036,5)</f>
        <v>Ardeidae (Herons, Egrets, and Bitterns)</v>
      </c>
    </row>
    <row r="347" spans="1:8" x14ac:dyDescent="0.15">
      <c r="A347" s="3" t="s">
        <v>300</v>
      </c>
      <c r="B347" s="3" t="s">
        <v>3744</v>
      </c>
      <c r="C347" s="3">
        <v>7600</v>
      </c>
      <c r="D347" s="3" t="str">
        <f>VLOOKUP(B347,[1]LifeList!$E$2:$G$2036,1)</f>
        <v>Black-crowned Night Heron</v>
      </c>
      <c r="E347" s="3" t="str">
        <f>VLOOKUP(B347,[1]LifeList!$E$2:$G$2036,2)</f>
        <v>Bihoreau gris</v>
      </c>
      <c r="F347" s="3" t="str">
        <f>VLOOKUP(B347,[1]LifeList!$E$2:$G$2036,3)</f>
        <v>Nycticorax nycticorax</v>
      </c>
      <c r="G347" s="3" t="str">
        <f>VLOOKUP(B347,[1]LifeList!$E$2:$I$2036,4)</f>
        <v>Pelecaniformes</v>
      </c>
      <c r="H347" s="3" t="str">
        <f>VLOOKUP(B347,[1]LifeList!$E$2:$I$2036,5)</f>
        <v>Ardeidae (Herons, Egrets, and Bitterns)</v>
      </c>
    </row>
    <row r="348" spans="1:8" x14ac:dyDescent="0.15">
      <c r="A348" s="3" t="s">
        <v>294</v>
      </c>
      <c r="B348" s="3" t="s">
        <v>3744</v>
      </c>
      <c r="C348" s="3">
        <v>7600</v>
      </c>
      <c r="D348" s="3" t="str">
        <f>VLOOKUP(B348,[1]LifeList!$E$2:$G$2036,1)</f>
        <v>Black-crowned Night Heron</v>
      </c>
      <c r="E348" s="3" t="str">
        <f>VLOOKUP(B348,[1]LifeList!$E$2:$G$2036,2)</f>
        <v>Bihoreau gris</v>
      </c>
      <c r="F348" s="3" t="str">
        <f>VLOOKUP(B348,[1]LifeList!$E$2:$G$2036,3)</f>
        <v>Nycticorax nycticorax</v>
      </c>
      <c r="G348" s="3" t="str">
        <f>VLOOKUP(B348,[1]LifeList!$E$2:$I$2036,4)</f>
        <v>Pelecaniformes</v>
      </c>
      <c r="H348" s="3" t="str">
        <f>VLOOKUP(B348,[1]LifeList!$E$2:$I$2036,5)</f>
        <v>Ardeidae (Herons, Egrets, and Bitterns)</v>
      </c>
    </row>
    <row r="349" spans="1:8" x14ac:dyDescent="0.15">
      <c r="A349" s="3" t="s">
        <v>301</v>
      </c>
      <c r="B349" s="3" t="s">
        <v>4085</v>
      </c>
      <c r="C349" s="3">
        <v>15961</v>
      </c>
      <c r="D349" s="3" t="str">
        <f>VLOOKUP(B349,[1]LifeList!$E$2:$G$2036,1)</f>
        <v>Black-crowned Tityra</v>
      </c>
      <c r="E349" s="3" t="str">
        <f>VLOOKUP(B349,[1]LifeList!$E$2:$G$2036,2)</f>
        <v>Tityre à tête noire</v>
      </c>
      <c r="F349" s="3" t="str">
        <f>VLOOKUP(B349,[1]LifeList!$E$2:$G$2036,3)</f>
        <v>Tityra inquisitor</v>
      </c>
      <c r="G349" s="3" t="str">
        <f>VLOOKUP(B349,[1]LifeList!$E$2:$I$2036,4)</f>
        <v>Passeriformes</v>
      </c>
      <c r="H349" s="3" t="str">
        <f>VLOOKUP(B349,[1]LifeList!$E$2:$I$2036,5)</f>
        <v>Tityridae (Tityras and Allies)</v>
      </c>
    </row>
    <row r="350" spans="1:8" x14ac:dyDescent="0.15">
      <c r="A350" s="3" t="s">
        <v>302</v>
      </c>
      <c r="B350" s="3" t="s">
        <v>4085</v>
      </c>
      <c r="C350" s="3">
        <v>15961</v>
      </c>
      <c r="D350" s="3" t="str">
        <f>VLOOKUP(B350,[1]LifeList!$E$2:$G$2036,1)</f>
        <v>Black-crowned Tityra</v>
      </c>
      <c r="E350" s="3" t="str">
        <f>VLOOKUP(B350,[1]LifeList!$E$2:$G$2036,2)</f>
        <v>Tityre à tête noire</v>
      </c>
      <c r="F350" s="3" t="str">
        <f>VLOOKUP(B350,[1]LifeList!$E$2:$G$2036,3)</f>
        <v>Tityra inquisitor</v>
      </c>
      <c r="G350" s="3" t="str">
        <f>VLOOKUP(B350,[1]LifeList!$E$2:$I$2036,4)</f>
        <v>Passeriformes</v>
      </c>
      <c r="H350" s="3" t="str">
        <f>VLOOKUP(B350,[1]LifeList!$E$2:$I$2036,5)</f>
        <v>Tityridae (Tityras and Allies)</v>
      </c>
    </row>
    <row r="351" spans="1:8" x14ac:dyDescent="0.15">
      <c r="A351" s="3" t="s">
        <v>3819</v>
      </c>
      <c r="B351" s="3" t="s">
        <v>4085</v>
      </c>
      <c r="C351" s="3">
        <v>15961</v>
      </c>
      <c r="D351" s="3" t="str">
        <f>VLOOKUP(B351,[1]LifeList!$E$2:$G$2036,1)</f>
        <v>Black-crowned Tityra</v>
      </c>
      <c r="E351" s="3" t="str">
        <f>VLOOKUP(B351,[1]LifeList!$E$2:$G$2036,2)</f>
        <v>Tityre à tête noire</v>
      </c>
      <c r="F351" s="3" t="str">
        <f>VLOOKUP(B351,[1]LifeList!$E$2:$G$2036,3)</f>
        <v>Tityra inquisitor</v>
      </c>
      <c r="G351" s="3" t="str">
        <f>VLOOKUP(B351,[1]LifeList!$E$2:$I$2036,4)</f>
        <v>Passeriformes</v>
      </c>
      <c r="H351" s="3" t="str">
        <f>VLOOKUP(B351,[1]LifeList!$E$2:$I$2036,5)</f>
        <v>Tityridae (Tityras and Allies)</v>
      </c>
    </row>
    <row r="352" spans="1:8" x14ac:dyDescent="0.15">
      <c r="A352" s="3" t="s">
        <v>303</v>
      </c>
      <c r="B352" s="3" t="s">
        <v>4086</v>
      </c>
      <c r="C352" s="3">
        <v>18686</v>
      </c>
      <c r="D352" s="3" t="str">
        <f>VLOOKUP(B352,[1]LifeList!$E$2:$G$2036,1)</f>
        <v>Black-faced Cuckooshrike</v>
      </c>
      <c r="E352" s="3" t="str">
        <f>VLOOKUP(B352,[1]LifeList!$E$2:$G$2036,2)</f>
        <v>Échenilleur à masque noir</v>
      </c>
      <c r="F352" s="3" t="str">
        <f>VLOOKUP(B352,[1]LifeList!$E$2:$G$2036,3)</f>
        <v>Coracina novaehollandiae</v>
      </c>
      <c r="G352" s="3" t="str">
        <f>VLOOKUP(B352,[1]LifeList!$E$2:$I$2036,4)</f>
        <v>Passeriformes</v>
      </c>
      <c r="H352" s="3" t="str">
        <f>VLOOKUP(B352,[1]LifeList!$E$2:$I$2036,5)</f>
        <v>Campephagidae (Cuckooshrikes)</v>
      </c>
    </row>
    <row r="353" spans="1:8" x14ac:dyDescent="0.15">
      <c r="A353" s="3" t="s">
        <v>304</v>
      </c>
      <c r="B353" s="3" t="s">
        <v>4087</v>
      </c>
      <c r="C353" s="3">
        <v>35722</v>
      </c>
      <c r="D353" s="3" t="str">
        <f>VLOOKUP(B353,[1]LifeList!$E$2:$G$2036,1)</f>
        <v>Black-faced Grassquit</v>
      </c>
      <c r="E353" s="3" t="str">
        <f>VLOOKUP(B353,[1]LifeList!$E$2:$G$2036,2)</f>
        <v>Cici verdinère</v>
      </c>
      <c r="F353" s="3" t="str">
        <f>VLOOKUP(B353,[1]LifeList!$E$2:$G$2036,3)</f>
        <v>Melanospiza bicolor</v>
      </c>
      <c r="G353" s="3" t="str">
        <f>VLOOKUP(B353,[1]LifeList!$E$2:$I$2036,4)</f>
        <v>Passeriformes</v>
      </c>
      <c r="H353" s="3" t="str">
        <f>VLOOKUP(B353,[1]LifeList!$E$2:$I$2036,5)</f>
        <v>Thraupidae (Tanagers and Allies)</v>
      </c>
    </row>
    <row r="354" spans="1:8" x14ac:dyDescent="0.15">
      <c r="A354" s="3" t="s">
        <v>305</v>
      </c>
      <c r="B354" s="3" t="s">
        <v>4087</v>
      </c>
      <c r="C354" s="3">
        <v>35722</v>
      </c>
      <c r="D354" s="3" t="str">
        <f>VLOOKUP(B354,[1]LifeList!$E$2:$G$2036,1)</f>
        <v>Black-faced Grassquit</v>
      </c>
      <c r="E354" s="3" t="str">
        <f>VLOOKUP(B354,[1]LifeList!$E$2:$G$2036,2)</f>
        <v>Cici verdinère</v>
      </c>
      <c r="F354" s="3" t="str">
        <f>VLOOKUP(B354,[1]LifeList!$E$2:$G$2036,3)</f>
        <v>Melanospiza bicolor</v>
      </c>
      <c r="G354" s="3" t="str">
        <f>VLOOKUP(B354,[1]LifeList!$E$2:$I$2036,4)</f>
        <v>Passeriformes</v>
      </c>
      <c r="H354" s="3" t="str">
        <f>VLOOKUP(B354,[1]LifeList!$E$2:$I$2036,5)</f>
        <v>Thraupidae (Tanagers and Allies)</v>
      </c>
    </row>
    <row r="355" spans="1:8" x14ac:dyDescent="0.15">
      <c r="A355" s="3" t="s">
        <v>306</v>
      </c>
      <c r="B355" s="3" t="s">
        <v>4088</v>
      </c>
      <c r="C355" s="3">
        <v>34505</v>
      </c>
      <c r="D355" s="3" t="str">
        <f>VLOOKUP(B355,[1]LifeList!$E$2:$G$2036,1)</f>
        <v>Black-faced Grosbeak</v>
      </c>
      <c r="E355" s="3" t="str">
        <f>VLOOKUP(B355,[1]LifeList!$E$2:$G$2036,2)</f>
        <v>Cardinal à ventre blanc</v>
      </c>
      <c r="F355" s="3" t="str">
        <f>VLOOKUP(B355,[1]LifeList!$E$2:$G$2036,3)</f>
        <v>Caryothraustes poliogaster</v>
      </c>
      <c r="G355" s="3" t="str">
        <f>VLOOKUP(B355,[1]LifeList!$E$2:$I$2036,4)</f>
        <v>Passeriformes</v>
      </c>
      <c r="H355" s="3" t="str">
        <f>VLOOKUP(B355,[1]LifeList!$E$2:$I$2036,5)</f>
        <v>Cardinalidae (Cardinals and Allies)</v>
      </c>
    </row>
    <row r="356" spans="1:8" x14ac:dyDescent="0.15">
      <c r="A356" s="3" t="s">
        <v>307</v>
      </c>
      <c r="B356" s="3" t="s">
        <v>4089</v>
      </c>
      <c r="C356" s="3">
        <v>28181</v>
      </c>
      <c r="D356" s="3" t="str">
        <f>VLOOKUP(B356,[1]LifeList!$E$2:$G$2036,1)</f>
        <v>Black-faced Solitaire</v>
      </c>
      <c r="E356" s="3" t="str">
        <f>VLOOKUP(B356,[1]LifeList!$E$2:$G$2036,2)</f>
        <v>Solitaire masqué</v>
      </c>
      <c r="F356" s="3" t="str">
        <f>VLOOKUP(B356,[1]LifeList!$E$2:$G$2036,3)</f>
        <v>Myadestes melanops</v>
      </c>
      <c r="G356" s="3" t="str">
        <f>VLOOKUP(B356,[1]LifeList!$E$2:$I$2036,4)</f>
        <v>Passeriformes</v>
      </c>
      <c r="H356" s="3" t="str">
        <f>VLOOKUP(B356,[1]LifeList!$E$2:$I$2036,5)</f>
        <v>Turdidae (Thrushes and Allies)</v>
      </c>
    </row>
    <row r="357" spans="1:8" x14ac:dyDescent="0.15">
      <c r="A357" s="3" t="s">
        <v>308</v>
      </c>
      <c r="B357" s="3" t="s">
        <v>4089</v>
      </c>
      <c r="C357" s="3">
        <v>28181</v>
      </c>
      <c r="D357" s="3" t="str">
        <f>VLOOKUP(B357,[1]LifeList!$E$2:$G$2036,1)</f>
        <v>Black-faced Solitaire</v>
      </c>
      <c r="E357" s="3" t="str">
        <f>VLOOKUP(B357,[1]LifeList!$E$2:$G$2036,2)</f>
        <v>Solitaire masqué</v>
      </c>
      <c r="F357" s="3" t="str">
        <f>VLOOKUP(B357,[1]LifeList!$E$2:$G$2036,3)</f>
        <v>Myadestes melanops</v>
      </c>
      <c r="G357" s="3" t="str">
        <f>VLOOKUP(B357,[1]LifeList!$E$2:$I$2036,4)</f>
        <v>Passeriformes</v>
      </c>
      <c r="H357" s="3" t="str">
        <f>VLOOKUP(B357,[1]LifeList!$E$2:$I$2036,5)</f>
        <v>Turdidae (Thrushes and Allies)</v>
      </c>
    </row>
    <row r="358" spans="1:8" x14ac:dyDescent="0.15">
      <c r="A358" s="3" t="s">
        <v>309</v>
      </c>
      <c r="B358" s="3" t="s">
        <v>4090</v>
      </c>
      <c r="C358" s="3">
        <v>24782</v>
      </c>
      <c r="D358" s="3" t="str">
        <f>VLOOKUP(B358,[1]LifeList!$E$2:$G$2036,1)</f>
        <v>Black-fronted Bulbul</v>
      </c>
      <c r="E358" s="3" t="str">
        <f>VLOOKUP(B358,[1]LifeList!$E$2:$G$2036,2)</f>
        <v>Bulbul brunoir</v>
      </c>
      <c r="F358" s="3" t="str">
        <f>VLOOKUP(B358,[1]LifeList!$E$2:$G$2036,3)</f>
        <v>Pycnonotus nigricans</v>
      </c>
      <c r="G358" s="3" t="str">
        <f>VLOOKUP(B358,[1]LifeList!$E$2:$I$2036,4)</f>
        <v>Passeriformes</v>
      </c>
      <c r="H358" s="3" t="str">
        <f>VLOOKUP(B358,[1]LifeList!$E$2:$I$2036,5)</f>
        <v>Pycnonotidae (Bulbuls)</v>
      </c>
    </row>
    <row r="359" spans="1:8" x14ac:dyDescent="0.15">
      <c r="A359" s="3" t="s">
        <v>310</v>
      </c>
      <c r="B359" s="3" t="s">
        <v>4090</v>
      </c>
      <c r="C359" s="3">
        <v>24782</v>
      </c>
      <c r="D359" s="3" t="str">
        <f>VLOOKUP(B359,[1]LifeList!$E$2:$G$2036,1)</f>
        <v>Black-fronted Bulbul</v>
      </c>
      <c r="E359" s="3" t="str">
        <f>VLOOKUP(B359,[1]LifeList!$E$2:$G$2036,2)</f>
        <v>Bulbul brunoir</v>
      </c>
      <c r="F359" s="3" t="str">
        <f>VLOOKUP(B359,[1]LifeList!$E$2:$G$2036,3)</f>
        <v>Pycnonotus nigricans</v>
      </c>
      <c r="G359" s="3" t="str">
        <f>VLOOKUP(B359,[1]LifeList!$E$2:$I$2036,4)</f>
        <v>Passeriformes</v>
      </c>
      <c r="H359" s="3" t="str">
        <f>VLOOKUP(B359,[1]LifeList!$E$2:$I$2036,5)</f>
        <v>Pycnonotidae (Bulbuls)</v>
      </c>
    </row>
    <row r="360" spans="1:8" x14ac:dyDescent="0.15">
      <c r="A360" s="3" t="s">
        <v>311</v>
      </c>
      <c r="B360" s="3" t="s">
        <v>4091</v>
      </c>
      <c r="C360" s="3">
        <v>5840</v>
      </c>
      <c r="D360" s="3" t="str">
        <f>VLOOKUP(B360,[1]LifeList!$E$2:$G$2036,1)</f>
        <v>Black-fronted Dotterel</v>
      </c>
      <c r="E360" s="3" t="str">
        <f>VLOOKUP(B360,[1]LifeList!$E$2:$G$2036,2)</f>
        <v>Pluvier à face noire</v>
      </c>
      <c r="F360" s="3" t="str">
        <f>VLOOKUP(B360,[1]LifeList!$E$2:$G$2036,3)</f>
        <v>Thinornis melanops</v>
      </c>
      <c r="G360" s="3" t="str">
        <f>VLOOKUP(B360,[1]LifeList!$E$2:$I$2036,4)</f>
        <v>Charadriiformes</v>
      </c>
      <c r="H360" s="3" t="str">
        <f>VLOOKUP(B360,[1]LifeList!$E$2:$I$2036,5)</f>
        <v>Charadriidae (Plovers and Lapwings)</v>
      </c>
    </row>
    <row r="361" spans="1:8" x14ac:dyDescent="0.15">
      <c r="A361" s="3" t="s">
        <v>312</v>
      </c>
      <c r="B361" s="3" t="s">
        <v>4091</v>
      </c>
      <c r="C361" s="3">
        <v>5840</v>
      </c>
      <c r="D361" s="3" t="str">
        <f>VLOOKUP(B361,[1]LifeList!$E$2:$G$2036,1)</f>
        <v>Black-fronted Dotterel</v>
      </c>
      <c r="E361" s="3" t="str">
        <f>VLOOKUP(B361,[1]LifeList!$E$2:$G$2036,2)</f>
        <v>Pluvier à face noire</v>
      </c>
      <c r="F361" s="3" t="str">
        <f>VLOOKUP(B361,[1]LifeList!$E$2:$G$2036,3)</f>
        <v>Thinornis melanops</v>
      </c>
      <c r="G361" s="3" t="str">
        <f>VLOOKUP(B361,[1]LifeList!$E$2:$I$2036,4)</f>
        <v>Charadriiformes</v>
      </c>
      <c r="H361" s="3" t="str">
        <f>VLOOKUP(B361,[1]LifeList!$E$2:$I$2036,5)</f>
        <v>Charadriidae (Plovers and Lapwings)</v>
      </c>
    </row>
    <row r="362" spans="1:8" x14ac:dyDescent="0.15">
      <c r="A362" s="3" t="s">
        <v>313</v>
      </c>
      <c r="B362" s="3" t="s">
        <v>4091</v>
      </c>
      <c r="C362" s="3">
        <v>5840</v>
      </c>
      <c r="D362" s="3" t="str">
        <f>VLOOKUP(B362,[1]LifeList!$E$2:$G$2036,1)</f>
        <v>Black-fronted Dotterel</v>
      </c>
      <c r="E362" s="3" t="str">
        <f>VLOOKUP(B362,[1]LifeList!$E$2:$G$2036,2)</f>
        <v>Pluvier à face noire</v>
      </c>
      <c r="F362" s="3" t="str">
        <f>VLOOKUP(B362,[1]LifeList!$E$2:$G$2036,3)</f>
        <v>Thinornis melanops</v>
      </c>
      <c r="G362" s="3" t="str">
        <f>VLOOKUP(B362,[1]LifeList!$E$2:$I$2036,4)</f>
        <v>Charadriiformes</v>
      </c>
      <c r="H362" s="3" t="str">
        <f>VLOOKUP(B362,[1]LifeList!$E$2:$I$2036,5)</f>
        <v>Charadriidae (Plovers and Lapwings)</v>
      </c>
    </row>
    <row r="363" spans="1:8" x14ac:dyDescent="0.15">
      <c r="A363" s="3" t="s">
        <v>314</v>
      </c>
      <c r="B363" s="3" t="s">
        <v>4092</v>
      </c>
      <c r="C363" s="3">
        <v>10458</v>
      </c>
      <c r="D363" s="3" t="str">
        <f>VLOOKUP(B363,[1]LifeList!$E$2:$G$2036,1)</f>
        <v>Black-fronted Nunbird</v>
      </c>
      <c r="E363" s="3" t="str">
        <f>VLOOKUP(B363,[1]LifeList!$E$2:$G$2036,2)</f>
        <v>Barbacou unicolore</v>
      </c>
      <c r="F363" s="3" t="str">
        <f>VLOOKUP(B363,[1]LifeList!$E$2:$G$2036,3)</f>
        <v>Monasa nigrifrons</v>
      </c>
      <c r="G363" s="3" t="str">
        <f>VLOOKUP(B363,[1]LifeList!$E$2:$I$2036,4)</f>
        <v>Piciformes</v>
      </c>
      <c r="H363" s="3" t="str">
        <f>VLOOKUP(B363,[1]LifeList!$E$2:$I$2036,5)</f>
        <v>Bucconidae (Puffbirds)</v>
      </c>
    </row>
    <row r="364" spans="1:8" x14ac:dyDescent="0.15">
      <c r="A364" s="3" t="s">
        <v>315</v>
      </c>
      <c r="B364" s="3" t="s">
        <v>4093</v>
      </c>
      <c r="C364" s="3">
        <v>7779</v>
      </c>
      <c r="D364" s="3" t="str">
        <f>VLOOKUP(B364,[1]LifeList!$E$2:$G$2036,1)</f>
        <v>Black-headed Heron</v>
      </c>
      <c r="E364" s="3" t="str">
        <f>VLOOKUP(B364,[1]LifeList!$E$2:$G$2036,2)</f>
        <v>Héron mélanocéphale</v>
      </c>
      <c r="F364" s="3" t="str">
        <f>VLOOKUP(B364,[1]LifeList!$E$2:$G$2036,3)</f>
        <v>Ardea melanocephala</v>
      </c>
      <c r="G364" s="3" t="str">
        <f>VLOOKUP(B364,[1]LifeList!$E$2:$I$2036,4)</f>
        <v>Pelecaniformes</v>
      </c>
      <c r="H364" s="3" t="str">
        <f>VLOOKUP(B364,[1]LifeList!$E$2:$I$2036,5)</f>
        <v>Ardeidae (Herons, Egrets, and Bitterns)</v>
      </c>
    </row>
    <row r="365" spans="1:8" x14ac:dyDescent="0.15">
      <c r="A365" s="3" t="s">
        <v>316</v>
      </c>
      <c r="B365" s="3" t="s">
        <v>4093</v>
      </c>
      <c r="C365" s="3">
        <v>7779</v>
      </c>
      <c r="D365" s="3" t="str">
        <f>VLOOKUP(B365,[1]LifeList!$E$2:$G$2036,1)</f>
        <v>Black-headed Heron</v>
      </c>
      <c r="E365" s="3" t="str">
        <f>VLOOKUP(B365,[1]LifeList!$E$2:$G$2036,2)</f>
        <v>Héron mélanocéphale</v>
      </c>
      <c r="F365" s="3" t="str">
        <f>VLOOKUP(B365,[1]LifeList!$E$2:$G$2036,3)</f>
        <v>Ardea melanocephala</v>
      </c>
      <c r="G365" s="3" t="str">
        <f>VLOOKUP(B365,[1]LifeList!$E$2:$I$2036,4)</f>
        <v>Pelecaniformes</v>
      </c>
      <c r="H365" s="3" t="str">
        <f>VLOOKUP(B365,[1]LifeList!$E$2:$I$2036,5)</f>
        <v>Ardeidae (Herons, Egrets, and Bitterns)</v>
      </c>
    </row>
    <row r="366" spans="1:8" x14ac:dyDescent="0.15">
      <c r="A366" s="3" t="s">
        <v>317</v>
      </c>
      <c r="B366" s="3" t="s">
        <v>4094</v>
      </c>
      <c r="C366" s="3">
        <v>18131</v>
      </c>
      <c r="D366" s="3" t="str">
        <f>VLOOKUP(B366,[1]LifeList!$E$2:$G$2036,1)</f>
        <v>Black-headed Honeyeater</v>
      </c>
      <c r="E366" s="3" t="str">
        <f>VLOOKUP(B366,[1]LifeList!$E$2:$G$2036,2)</f>
        <v>Méliphage à tête noire</v>
      </c>
      <c r="F366" s="3" t="str">
        <f>VLOOKUP(B366,[1]LifeList!$E$2:$G$2036,3)</f>
        <v>Melithreptus affinis</v>
      </c>
      <c r="G366" s="3" t="str">
        <f>VLOOKUP(B366,[1]LifeList!$E$2:$I$2036,4)</f>
        <v>Passeriformes</v>
      </c>
      <c r="H366" s="3" t="str">
        <f>VLOOKUP(B366,[1]LifeList!$E$2:$I$2036,5)</f>
        <v>Meliphagidae (Honeyeaters)</v>
      </c>
    </row>
    <row r="367" spans="1:8" x14ac:dyDescent="0.15">
      <c r="A367" s="3" t="s">
        <v>318</v>
      </c>
      <c r="B367" s="3" t="s">
        <v>4095</v>
      </c>
      <c r="C367" s="3">
        <v>28303</v>
      </c>
      <c r="D367" s="3" t="str">
        <f>VLOOKUP(B367,[1]LifeList!$E$2:$G$2036,1)</f>
        <v>Black-headed Nightingale-Thrush</v>
      </c>
      <c r="E367" s="3" t="str">
        <f>VLOOKUP(B367,[1]LifeList!$E$2:$G$2036,2)</f>
        <v>Grive à tête noire</v>
      </c>
      <c r="F367" s="3" t="str">
        <f>VLOOKUP(B367,[1]LifeList!$E$2:$G$2036,3)</f>
        <v>Catharus mexicanus</v>
      </c>
      <c r="G367" s="3" t="str">
        <f>VLOOKUP(B367,[1]LifeList!$E$2:$I$2036,4)</f>
        <v>Passeriformes</v>
      </c>
      <c r="H367" s="3" t="str">
        <f>VLOOKUP(B367,[1]LifeList!$E$2:$I$2036,5)</f>
        <v>Turdidae (Thrushes and Allies)</v>
      </c>
    </row>
    <row r="368" spans="1:8" x14ac:dyDescent="0.15">
      <c r="A368" s="3" t="s">
        <v>320</v>
      </c>
      <c r="B368" s="3" t="s">
        <v>4096</v>
      </c>
      <c r="C368" s="3">
        <v>35792</v>
      </c>
      <c r="D368" s="3" t="str">
        <f>VLOOKUP(B368,[1]LifeList!$E$2:$G$2036,1)</f>
        <v>Black-headed Saltator</v>
      </c>
      <c r="E368" s="3" t="str">
        <f>VLOOKUP(B368,[1]LifeList!$E$2:$G$2036,2)</f>
        <v>Saltator à tête noire</v>
      </c>
      <c r="F368" s="3" t="str">
        <f>VLOOKUP(B368,[1]LifeList!$E$2:$G$2036,3)</f>
        <v>Saltator atriceps</v>
      </c>
      <c r="G368" s="3" t="str">
        <f>VLOOKUP(B368,[1]LifeList!$E$2:$I$2036,4)</f>
        <v>Passeriformes</v>
      </c>
      <c r="H368" s="3" t="str">
        <f>VLOOKUP(B368,[1]LifeList!$E$2:$I$2036,5)</f>
        <v>Thraupidae (Tanagers and Allies)</v>
      </c>
    </row>
    <row r="369" spans="1:8" x14ac:dyDescent="0.15">
      <c r="A369" s="3" t="s">
        <v>319</v>
      </c>
      <c r="B369" s="3" t="s">
        <v>4096</v>
      </c>
      <c r="C369" s="3">
        <v>35792</v>
      </c>
      <c r="D369" s="3" t="str">
        <f>VLOOKUP(B369,[1]LifeList!$E$2:$G$2036,1)</f>
        <v>Black-headed Saltator</v>
      </c>
      <c r="E369" s="3" t="str">
        <f>VLOOKUP(B369,[1]LifeList!$E$2:$G$2036,2)</f>
        <v>Saltator à tête noire</v>
      </c>
      <c r="F369" s="3" t="str">
        <f>VLOOKUP(B369,[1]LifeList!$E$2:$G$2036,3)</f>
        <v>Saltator atriceps</v>
      </c>
      <c r="G369" s="3" t="str">
        <f>VLOOKUP(B369,[1]LifeList!$E$2:$I$2036,4)</f>
        <v>Passeriformes</v>
      </c>
      <c r="H369" s="3" t="str">
        <f>VLOOKUP(B369,[1]LifeList!$E$2:$I$2036,5)</f>
        <v>Thraupidae (Tanagers and Allies)</v>
      </c>
    </row>
    <row r="370" spans="1:8" x14ac:dyDescent="0.15">
      <c r="A370" s="3" t="s">
        <v>321</v>
      </c>
      <c r="B370" s="3" t="s">
        <v>4097</v>
      </c>
      <c r="C370" s="3">
        <v>16440</v>
      </c>
      <c r="D370" s="3" t="str">
        <f>VLOOKUP(B370,[1]LifeList!$E$2:$G$2036,1)</f>
        <v>Black-headed Tody-Flycatcher</v>
      </c>
      <c r="E370" s="3" t="str">
        <f>VLOOKUP(B370,[1]LifeList!$E$2:$G$2036,2)</f>
        <v>Todirostre à tête noire</v>
      </c>
      <c r="F370" s="3" t="str">
        <f>VLOOKUP(B370,[1]LifeList!$E$2:$G$2036,3)</f>
        <v>Todirostrum nigriceps</v>
      </c>
      <c r="G370" s="3" t="str">
        <f>VLOOKUP(B370,[1]LifeList!$E$2:$I$2036,4)</f>
        <v>Passeriformes</v>
      </c>
      <c r="H370" s="3" t="str">
        <f>VLOOKUP(B370,[1]LifeList!$E$2:$I$2036,5)</f>
        <v>Tyrannidae (Tyrant Flycatchers)</v>
      </c>
    </row>
    <row r="371" spans="1:8" x14ac:dyDescent="0.15">
      <c r="A371" s="3" t="s">
        <v>322</v>
      </c>
      <c r="B371" s="3" t="s">
        <v>4097</v>
      </c>
      <c r="C371" s="3">
        <v>16440</v>
      </c>
      <c r="D371" s="3" t="str">
        <f>VLOOKUP(B371,[1]LifeList!$E$2:$G$2036,1)</f>
        <v>Black-headed Tody-Flycatcher</v>
      </c>
      <c r="E371" s="3" t="str">
        <f>VLOOKUP(B371,[1]LifeList!$E$2:$G$2036,2)</f>
        <v>Todirostre à tête noire</v>
      </c>
      <c r="F371" s="3" t="str">
        <f>VLOOKUP(B371,[1]LifeList!$E$2:$G$2036,3)</f>
        <v>Todirostrum nigriceps</v>
      </c>
      <c r="G371" s="3" t="str">
        <f>VLOOKUP(B371,[1]LifeList!$E$2:$I$2036,4)</f>
        <v>Passeriformes</v>
      </c>
      <c r="H371" s="3" t="str">
        <f>VLOOKUP(B371,[1]LifeList!$E$2:$I$2036,5)</f>
        <v>Tyrannidae (Tyrant Flycatchers)</v>
      </c>
    </row>
    <row r="372" spans="1:8" x14ac:dyDescent="0.15">
      <c r="A372" s="3" t="s">
        <v>323</v>
      </c>
      <c r="B372" s="3" t="s">
        <v>4098</v>
      </c>
      <c r="C372" s="3">
        <v>28667</v>
      </c>
      <c r="D372" s="3" t="str">
        <f>VLOOKUP(B372,[1]LifeList!$E$2:$G$2036,1)</f>
        <v>Black-hooded Thrush</v>
      </c>
      <c r="E372" s="3" t="str">
        <f>VLOOKUP(B372,[1]LifeList!$E$2:$G$2036,2)</f>
        <v>Merle à froc noir</v>
      </c>
      <c r="F372" s="3" t="str">
        <f>VLOOKUP(B372,[1]LifeList!$E$2:$G$2036,3)</f>
        <v>Turdus olivater</v>
      </c>
      <c r="G372" s="3" t="str">
        <f>VLOOKUP(B372,[1]LifeList!$E$2:$I$2036,4)</f>
        <v>Passeriformes</v>
      </c>
      <c r="H372" s="3" t="str">
        <f>VLOOKUP(B372,[1]LifeList!$E$2:$I$2036,5)</f>
        <v>Turdidae (Thrushes and Allies)</v>
      </c>
    </row>
    <row r="373" spans="1:8" x14ac:dyDescent="0.15">
      <c r="A373" s="3" t="s">
        <v>324</v>
      </c>
      <c r="B373" s="3" t="s">
        <v>4099</v>
      </c>
      <c r="C373" s="3">
        <v>6449</v>
      </c>
      <c r="D373" s="3" t="str">
        <f>VLOOKUP(B373,[1]LifeList!$E$2:$G$2036,1)</f>
        <v>Black-legged Kittiwake</v>
      </c>
      <c r="E373" s="3" t="str">
        <f>VLOOKUP(B373,[1]LifeList!$E$2:$G$2036,2)</f>
        <v>Mouette tridactyle</v>
      </c>
      <c r="F373" s="3" t="str">
        <f>VLOOKUP(B373,[1]LifeList!$E$2:$G$2036,3)</f>
        <v>Rissa tridactyla</v>
      </c>
      <c r="G373" s="3" t="str">
        <f>VLOOKUP(B373,[1]LifeList!$E$2:$I$2036,4)</f>
        <v>Charadriiformes</v>
      </c>
      <c r="H373" s="3" t="str">
        <f>VLOOKUP(B373,[1]LifeList!$E$2:$I$2036,5)</f>
        <v>Laridae (Gulls, Terns, and Skimmers)</v>
      </c>
    </row>
    <row r="374" spans="1:8" x14ac:dyDescent="0.15">
      <c r="A374" s="3" t="s">
        <v>325</v>
      </c>
      <c r="B374" s="3" t="s">
        <v>4100</v>
      </c>
      <c r="C374" s="3">
        <v>5770</v>
      </c>
      <c r="D374" s="3" t="str">
        <f>VLOOKUP(B374,[1]LifeList!$E$2:$G$2036,1)</f>
        <v>Black-necked Stilt</v>
      </c>
      <c r="E374" s="3" t="str">
        <f>VLOOKUP(B374,[1]LifeList!$E$2:$G$2036,2)</f>
        <v>Échasse d'Amérique</v>
      </c>
      <c r="F374" s="3" t="str">
        <f>VLOOKUP(B374,[1]LifeList!$E$2:$G$2036,3)</f>
        <v>Himantopus mexicanus</v>
      </c>
      <c r="G374" s="3" t="str">
        <f>VLOOKUP(B374,[1]LifeList!$E$2:$I$2036,4)</f>
        <v>Charadriiformes</v>
      </c>
      <c r="H374" s="3" t="str">
        <f>VLOOKUP(B374,[1]LifeList!$E$2:$I$2036,5)</f>
        <v>Recurvirostridae (Stilts and Avocets)</v>
      </c>
    </row>
    <row r="375" spans="1:8" x14ac:dyDescent="0.15">
      <c r="A375" s="3" t="s">
        <v>326</v>
      </c>
      <c r="B375" s="3" t="s">
        <v>4100</v>
      </c>
      <c r="C375" s="3">
        <v>5770</v>
      </c>
      <c r="D375" s="3" t="str">
        <f>VLOOKUP(B375,[1]LifeList!$E$2:$G$2036,1)</f>
        <v>Black-necked Stilt</v>
      </c>
      <c r="E375" s="3" t="str">
        <f>VLOOKUP(B375,[1]LifeList!$E$2:$G$2036,2)</f>
        <v>Échasse d'Amérique</v>
      </c>
      <c r="F375" s="3" t="str">
        <f>VLOOKUP(B375,[1]LifeList!$E$2:$G$2036,3)</f>
        <v>Himantopus mexicanus</v>
      </c>
      <c r="G375" s="3" t="str">
        <f>VLOOKUP(B375,[1]LifeList!$E$2:$I$2036,4)</f>
        <v>Charadriiformes</v>
      </c>
      <c r="H375" s="3" t="str">
        <f>VLOOKUP(B375,[1]LifeList!$E$2:$I$2036,5)</f>
        <v>Recurvirostridae (Stilts and Avocets)</v>
      </c>
    </row>
    <row r="376" spans="1:8" x14ac:dyDescent="0.15">
      <c r="A376" s="3" t="s">
        <v>327</v>
      </c>
      <c r="B376" s="3" t="s">
        <v>4100</v>
      </c>
      <c r="C376" s="3">
        <v>5770</v>
      </c>
      <c r="D376" s="3" t="str">
        <f>VLOOKUP(B376,[1]LifeList!$E$2:$G$2036,1)</f>
        <v>Black-necked Stilt</v>
      </c>
      <c r="E376" s="3" t="str">
        <f>VLOOKUP(B376,[1]LifeList!$E$2:$G$2036,2)</f>
        <v>Échasse d'Amérique</v>
      </c>
      <c r="F376" s="3" t="str">
        <f>VLOOKUP(B376,[1]LifeList!$E$2:$G$2036,3)</f>
        <v>Himantopus mexicanus</v>
      </c>
      <c r="G376" s="3" t="str">
        <f>VLOOKUP(B376,[1]LifeList!$E$2:$I$2036,4)</f>
        <v>Charadriiformes</v>
      </c>
      <c r="H376" s="3" t="str">
        <f>VLOOKUP(B376,[1]LifeList!$E$2:$I$2036,5)</f>
        <v>Recurvirostridae (Stilts and Avocets)</v>
      </c>
    </row>
    <row r="377" spans="1:8" x14ac:dyDescent="0.15">
      <c r="A377" s="3" t="s">
        <v>328</v>
      </c>
      <c r="B377" s="3" t="s">
        <v>4100</v>
      </c>
      <c r="C377" s="3">
        <v>5770</v>
      </c>
      <c r="D377" s="3" t="str">
        <f>VLOOKUP(B377,[1]LifeList!$E$2:$G$2036,1)</f>
        <v>Black-necked Stilt</v>
      </c>
      <c r="E377" s="3" t="str">
        <f>VLOOKUP(B377,[1]LifeList!$E$2:$G$2036,2)</f>
        <v>Échasse d'Amérique</v>
      </c>
      <c r="F377" s="3" t="str">
        <f>VLOOKUP(B377,[1]LifeList!$E$2:$G$2036,3)</f>
        <v>Himantopus mexicanus</v>
      </c>
      <c r="G377" s="3" t="str">
        <f>VLOOKUP(B377,[1]LifeList!$E$2:$I$2036,4)</f>
        <v>Charadriiformes</v>
      </c>
      <c r="H377" s="3" t="str">
        <f>VLOOKUP(B377,[1]LifeList!$E$2:$I$2036,5)</f>
        <v>Recurvirostridae (Stilts and Avocets)</v>
      </c>
    </row>
    <row r="378" spans="1:8" x14ac:dyDescent="0.15">
      <c r="A378" s="3" t="s">
        <v>329</v>
      </c>
      <c r="B378" s="3" t="s">
        <v>4100</v>
      </c>
      <c r="C378" s="3">
        <v>5770</v>
      </c>
      <c r="D378" s="3" t="str">
        <f>VLOOKUP(B378,[1]LifeList!$E$2:$G$2036,1)</f>
        <v>Black-necked Stilt</v>
      </c>
      <c r="E378" s="3" t="str">
        <f>VLOOKUP(B378,[1]LifeList!$E$2:$G$2036,2)</f>
        <v>Échasse d'Amérique</v>
      </c>
      <c r="F378" s="3" t="str">
        <f>VLOOKUP(B378,[1]LifeList!$E$2:$G$2036,3)</f>
        <v>Himantopus mexicanus</v>
      </c>
      <c r="G378" s="3" t="str">
        <f>VLOOKUP(B378,[1]LifeList!$E$2:$I$2036,4)</f>
        <v>Charadriiformes</v>
      </c>
      <c r="H378" s="3" t="str">
        <f>VLOOKUP(B378,[1]LifeList!$E$2:$I$2036,5)</f>
        <v>Recurvirostridae (Stilts and Avocets)</v>
      </c>
    </row>
    <row r="379" spans="1:8" x14ac:dyDescent="0.15">
      <c r="A379" s="3" t="s">
        <v>330</v>
      </c>
      <c r="B379" s="3" t="s">
        <v>4100</v>
      </c>
      <c r="C379" s="3">
        <v>5770</v>
      </c>
      <c r="D379" s="3" t="str">
        <f>VLOOKUP(B379,[1]LifeList!$E$2:$G$2036,1)</f>
        <v>Black-necked Stilt</v>
      </c>
      <c r="E379" s="3" t="str">
        <f>VLOOKUP(B379,[1]LifeList!$E$2:$G$2036,2)</f>
        <v>Échasse d'Amérique</v>
      </c>
      <c r="F379" s="3" t="str">
        <f>VLOOKUP(B379,[1]LifeList!$E$2:$G$2036,3)</f>
        <v>Himantopus mexicanus</v>
      </c>
      <c r="G379" s="3" t="str">
        <f>VLOOKUP(B379,[1]LifeList!$E$2:$I$2036,4)</f>
        <v>Charadriiformes</v>
      </c>
      <c r="H379" s="3" t="str">
        <f>VLOOKUP(B379,[1]LifeList!$E$2:$I$2036,5)</f>
        <v>Recurvirostridae (Stilts and Avocets)</v>
      </c>
    </row>
    <row r="380" spans="1:8" x14ac:dyDescent="0.15">
      <c r="A380" s="3" t="s">
        <v>331</v>
      </c>
      <c r="B380" s="3" t="s">
        <v>4100</v>
      </c>
      <c r="C380" s="3">
        <v>5770</v>
      </c>
      <c r="D380" s="3" t="str">
        <f>VLOOKUP(B380,[1]LifeList!$E$2:$G$2036,1)</f>
        <v>Black-necked Stilt</v>
      </c>
      <c r="E380" s="3" t="str">
        <f>VLOOKUP(B380,[1]LifeList!$E$2:$G$2036,2)</f>
        <v>Échasse d'Amérique</v>
      </c>
      <c r="F380" s="3" t="str">
        <f>VLOOKUP(B380,[1]LifeList!$E$2:$G$2036,3)</f>
        <v>Himantopus mexicanus</v>
      </c>
      <c r="G380" s="3" t="str">
        <f>VLOOKUP(B380,[1]LifeList!$E$2:$I$2036,4)</f>
        <v>Charadriiformes</v>
      </c>
      <c r="H380" s="3" t="str">
        <f>VLOOKUP(B380,[1]LifeList!$E$2:$I$2036,5)</f>
        <v>Recurvirostridae (Stilts and Avocets)</v>
      </c>
    </row>
    <row r="381" spans="1:8" x14ac:dyDescent="0.15">
      <c r="A381" s="3" t="s">
        <v>332</v>
      </c>
      <c r="B381" s="3" t="s">
        <v>4101</v>
      </c>
      <c r="C381" s="3">
        <v>7852</v>
      </c>
      <c r="D381" s="3" t="str">
        <f>VLOOKUP(B381,[1]LifeList!$E$2:$G$2036,1)</f>
        <v>Black-shouldered Kite</v>
      </c>
      <c r="E381" s="3" t="str">
        <f>VLOOKUP(B381,[1]LifeList!$E$2:$G$2036,2)</f>
        <v>Élanion d'Australie</v>
      </c>
      <c r="F381" s="3" t="str">
        <f>VLOOKUP(B381,[1]LifeList!$E$2:$G$2036,3)</f>
        <v>Elanus axillaris</v>
      </c>
      <c r="G381" s="3" t="str">
        <f>VLOOKUP(B381,[1]LifeList!$E$2:$I$2036,4)</f>
        <v>Accipitriformes</v>
      </c>
      <c r="H381" s="3" t="str">
        <f>VLOOKUP(B381,[1]LifeList!$E$2:$I$2036,5)</f>
        <v>Accipitridae (Hawks, Eagles, and Kites)</v>
      </c>
    </row>
    <row r="382" spans="1:8" x14ac:dyDescent="0.15">
      <c r="A382" s="3" t="s">
        <v>333</v>
      </c>
      <c r="B382" s="3" t="s">
        <v>4102</v>
      </c>
      <c r="C382" s="3">
        <v>32982</v>
      </c>
      <c r="D382" s="3" t="str">
        <f>VLOOKUP(B382,[1]LifeList!$E$2:$G$2036,1)</f>
        <v>Black-striped Sparrow</v>
      </c>
      <c r="E382" s="3" t="str">
        <f>VLOOKUP(B382,[1]LifeList!$E$2:$G$2036,2)</f>
        <v>Tohi ligné</v>
      </c>
      <c r="F382" s="3" t="str">
        <f>VLOOKUP(B382,[1]LifeList!$E$2:$G$2036,3)</f>
        <v>Arremonops conirostris</v>
      </c>
      <c r="G382" s="3" t="str">
        <f>VLOOKUP(B382,[1]LifeList!$E$2:$I$2036,4)</f>
        <v>Passeriformes</v>
      </c>
      <c r="H382" s="3" t="str">
        <f>VLOOKUP(B382,[1]LifeList!$E$2:$I$2036,5)</f>
        <v>Passerellidae (New World Sparrows)</v>
      </c>
    </row>
    <row r="383" spans="1:8" x14ac:dyDescent="0.15">
      <c r="A383" s="3" t="s">
        <v>334</v>
      </c>
      <c r="B383" s="3" t="s">
        <v>4102</v>
      </c>
      <c r="C383" s="3">
        <v>32982</v>
      </c>
      <c r="D383" s="3" t="str">
        <f>VLOOKUP(B383,[1]LifeList!$E$2:$G$2036,1)</f>
        <v>Black-striped Sparrow</v>
      </c>
      <c r="E383" s="3" t="str">
        <f>VLOOKUP(B383,[1]LifeList!$E$2:$G$2036,2)</f>
        <v>Tohi ligné</v>
      </c>
      <c r="F383" s="3" t="str">
        <f>VLOOKUP(B383,[1]LifeList!$E$2:$G$2036,3)</f>
        <v>Arremonops conirostris</v>
      </c>
      <c r="G383" s="3" t="str">
        <f>VLOOKUP(B383,[1]LifeList!$E$2:$I$2036,4)</f>
        <v>Passeriformes</v>
      </c>
      <c r="H383" s="3" t="str">
        <f>VLOOKUP(B383,[1]LifeList!$E$2:$I$2036,5)</f>
        <v>Passerellidae (New World Sparrows)</v>
      </c>
    </row>
    <row r="384" spans="1:8" x14ac:dyDescent="0.15">
      <c r="A384" s="3" t="s">
        <v>335</v>
      </c>
      <c r="B384" s="3" t="s">
        <v>4102</v>
      </c>
      <c r="C384" s="3">
        <v>32982</v>
      </c>
      <c r="D384" s="3" t="str">
        <f>VLOOKUP(B384,[1]LifeList!$E$2:$G$2036,1)</f>
        <v>Black-striped Sparrow</v>
      </c>
      <c r="E384" s="3" t="str">
        <f>VLOOKUP(B384,[1]LifeList!$E$2:$G$2036,2)</f>
        <v>Tohi ligné</v>
      </c>
      <c r="F384" s="3" t="str">
        <f>VLOOKUP(B384,[1]LifeList!$E$2:$G$2036,3)</f>
        <v>Arremonops conirostris</v>
      </c>
      <c r="G384" s="3" t="str">
        <f>VLOOKUP(B384,[1]LifeList!$E$2:$I$2036,4)</f>
        <v>Passeriformes</v>
      </c>
      <c r="H384" s="3" t="str">
        <f>VLOOKUP(B384,[1]LifeList!$E$2:$I$2036,5)</f>
        <v>Passerellidae (New World Sparrows)</v>
      </c>
    </row>
    <row r="385" spans="1:8" x14ac:dyDescent="0.15">
      <c r="A385" s="3" t="s">
        <v>336</v>
      </c>
      <c r="B385" s="3" t="s">
        <v>4103</v>
      </c>
      <c r="C385" s="3">
        <v>14853</v>
      </c>
      <c r="D385" s="3" t="str">
        <f>VLOOKUP(B385,[1]LifeList!$E$2:$G$2036,1)</f>
        <v>Black-striped Woodcreeper</v>
      </c>
      <c r="E385" s="3" t="str">
        <f>VLOOKUP(B385,[1]LifeList!$E$2:$G$2036,2)</f>
        <v>Grimpar maillé</v>
      </c>
      <c r="F385" s="3" t="str">
        <f>VLOOKUP(B385,[1]LifeList!$E$2:$G$2036,3)</f>
        <v>Xiphorhynchus lachrymosus</v>
      </c>
      <c r="G385" s="3" t="str">
        <f>VLOOKUP(B385,[1]LifeList!$E$2:$I$2036,4)</f>
        <v>Passeriformes</v>
      </c>
      <c r="H385" s="3" t="str">
        <f>VLOOKUP(B385,[1]LifeList!$E$2:$I$2036,5)</f>
        <v>Furnariidae (Ovenbirds and Woodcreepers)</v>
      </c>
    </row>
    <row r="386" spans="1:8" x14ac:dyDescent="0.15">
      <c r="A386" s="3" t="s">
        <v>337</v>
      </c>
      <c r="B386" s="3" t="s">
        <v>4104</v>
      </c>
      <c r="C386" s="3">
        <v>4502</v>
      </c>
      <c r="D386" s="3" t="str">
        <f>VLOOKUP(B386,[1]LifeList!$E$2:$G$2036,1)</f>
        <v>Black-tailed Trainbearer</v>
      </c>
      <c r="E386" s="3" t="str">
        <f>VLOOKUP(B386,[1]LifeList!$E$2:$G$2036,2)</f>
        <v>Porte-traîne lesbie</v>
      </c>
      <c r="F386" s="3" t="str">
        <f>VLOOKUP(B386,[1]LifeList!$E$2:$G$2036,3)</f>
        <v>Lesbia victoriae</v>
      </c>
      <c r="G386" s="3" t="str">
        <f>VLOOKUP(B386,[1]LifeList!$E$2:$I$2036,4)</f>
        <v>Apodiformes</v>
      </c>
      <c r="H386" s="3" t="str">
        <f>VLOOKUP(B386,[1]LifeList!$E$2:$I$2036,5)</f>
        <v>Trochilidae (Hummingbirds)</v>
      </c>
    </row>
    <row r="387" spans="1:8" x14ac:dyDescent="0.15">
      <c r="A387" s="3" t="s">
        <v>338</v>
      </c>
      <c r="B387" s="3" t="s">
        <v>4105</v>
      </c>
      <c r="C387" s="3">
        <v>9529</v>
      </c>
      <c r="D387" s="3" t="str">
        <f>VLOOKUP(B387,[1]LifeList!$E$2:$G$2036,1)</f>
        <v>Black-tailed Trogon</v>
      </c>
      <c r="E387" s="3" t="str">
        <f>VLOOKUP(B387,[1]LifeList!$E$2:$G$2036,2)</f>
        <v>Trogon à queue noire</v>
      </c>
      <c r="F387" s="3" t="str">
        <f>VLOOKUP(B387,[1]LifeList!$E$2:$G$2036,3)</f>
        <v>Trogon melanurus</v>
      </c>
      <c r="G387" s="3" t="str">
        <f>VLOOKUP(B387,[1]LifeList!$E$2:$I$2036,4)</f>
        <v>Trogoniformes</v>
      </c>
      <c r="H387" s="3" t="str">
        <f>VLOOKUP(B387,[1]LifeList!$E$2:$I$2036,5)</f>
        <v>Trogonidae (Trogons)</v>
      </c>
    </row>
    <row r="388" spans="1:8" x14ac:dyDescent="0.15">
      <c r="A388" s="3" t="s">
        <v>339</v>
      </c>
      <c r="B388" s="3" t="s">
        <v>4105</v>
      </c>
      <c r="C388" s="3">
        <v>9529</v>
      </c>
      <c r="D388" s="3" t="str">
        <f>VLOOKUP(B388,[1]LifeList!$E$2:$G$2036,1)</f>
        <v>Black-tailed Trogon</v>
      </c>
      <c r="E388" s="3" t="str">
        <f>VLOOKUP(B388,[1]LifeList!$E$2:$G$2036,2)</f>
        <v>Trogon à queue noire</v>
      </c>
      <c r="F388" s="3" t="str">
        <f>VLOOKUP(B388,[1]LifeList!$E$2:$G$2036,3)</f>
        <v>Trogon melanurus</v>
      </c>
      <c r="G388" s="3" t="str">
        <f>VLOOKUP(B388,[1]LifeList!$E$2:$I$2036,4)</f>
        <v>Trogoniformes</v>
      </c>
      <c r="H388" s="3" t="str">
        <f>VLOOKUP(B388,[1]LifeList!$E$2:$I$2036,5)</f>
        <v>Trogonidae (Trogons)</v>
      </c>
    </row>
    <row r="389" spans="1:8" x14ac:dyDescent="0.15">
      <c r="A389" s="3" t="s">
        <v>340</v>
      </c>
      <c r="B389" s="3" t="s">
        <v>4106</v>
      </c>
      <c r="C389" s="3">
        <v>34549</v>
      </c>
      <c r="D389" s="3" t="str">
        <f>VLOOKUP(B389,[1]LifeList!$E$2:$G$2036,1)</f>
        <v>Black-thighed Grosbeak</v>
      </c>
      <c r="E389" s="3" t="str">
        <f>VLOOKUP(B389,[1]LifeList!$E$2:$G$2036,2)</f>
        <v>Cardinal à cuisses noires</v>
      </c>
      <c r="F389" s="3" t="str">
        <f>VLOOKUP(B389,[1]LifeList!$E$2:$G$2036,3)</f>
        <v>Pheucticus tibialis</v>
      </c>
      <c r="G389" s="3" t="str">
        <f>VLOOKUP(B389,[1]LifeList!$E$2:$I$2036,4)</f>
        <v>Passeriformes</v>
      </c>
      <c r="H389" s="3" t="str">
        <f>VLOOKUP(B389,[1]LifeList!$E$2:$I$2036,5)</f>
        <v>Cardinalidae (Cardinals and Allies)</v>
      </c>
    </row>
    <row r="390" spans="1:8" x14ac:dyDescent="0.15">
      <c r="A390" s="3" t="s">
        <v>341</v>
      </c>
      <c r="B390" s="3" t="s">
        <v>4106</v>
      </c>
      <c r="C390" s="3">
        <v>34549</v>
      </c>
      <c r="D390" s="3" t="str">
        <f>VLOOKUP(B390,[1]LifeList!$E$2:$G$2036,1)</f>
        <v>Black-thighed Grosbeak</v>
      </c>
      <c r="E390" s="3" t="str">
        <f>VLOOKUP(B390,[1]LifeList!$E$2:$G$2036,2)</f>
        <v>Cardinal à cuisses noires</v>
      </c>
      <c r="F390" s="3" t="str">
        <f>VLOOKUP(B390,[1]LifeList!$E$2:$G$2036,3)</f>
        <v>Pheucticus tibialis</v>
      </c>
      <c r="G390" s="3" t="str">
        <f>VLOOKUP(B390,[1]LifeList!$E$2:$I$2036,4)</f>
        <v>Passeriformes</v>
      </c>
      <c r="H390" s="3" t="str">
        <f>VLOOKUP(B390,[1]LifeList!$E$2:$I$2036,5)</f>
        <v>Cardinalidae (Cardinals and Allies)</v>
      </c>
    </row>
    <row r="391" spans="1:8" x14ac:dyDescent="0.15">
      <c r="A391" s="3" t="s">
        <v>342</v>
      </c>
      <c r="B391" s="3" t="s">
        <v>3745</v>
      </c>
      <c r="C391" s="3">
        <v>34141</v>
      </c>
      <c r="D391" s="3" t="str">
        <f>VLOOKUP(B391,[1]LifeList!$E$2:$G$2036,1)</f>
        <v>Black-throated Blue Warbler</v>
      </c>
      <c r="E391" s="3" t="str">
        <f>VLOOKUP(B391,[1]LifeList!$E$2:$G$2036,2)</f>
        <v>Paruline bleue</v>
      </c>
      <c r="F391" s="3" t="str">
        <f>VLOOKUP(B391,[1]LifeList!$E$2:$G$2036,3)</f>
        <v>Setophaga caerulescens</v>
      </c>
      <c r="G391" s="3" t="str">
        <f>VLOOKUP(B391,[1]LifeList!$E$2:$I$2036,4)</f>
        <v>Passeriformes</v>
      </c>
      <c r="H391" s="3" t="str">
        <f>VLOOKUP(B391,[1]LifeList!$E$2:$I$2036,5)</f>
        <v>Parulidae (New World Warblers)</v>
      </c>
    </row>
    <row r="392" spans="1:8" x14ac:dyDescent="0.15">
      <c r="A392" s="3" t="s">
        <v>343</v>
      </c>
      <c r="B392" s="3" t="s">
        <v>3745</v>
      </c>
      <c r="C392" s="3">
        <v>34141</v>
      </c>
      <c r="D392" s="3" t="str">
        <f>VLOOKUP(B392,[1]LifeList!$E$2:$G$2036,1)</f>
        <v>Black-throated Blue Warbler</v>
      </c>
      <c r="E392" s="3" t="str">
        <f>VLOOKUP(B392,[1]LifeList!$E$2:$G$2036,2)</f>
        <v>Paruline bleue</v>
      </c>
      <c r="F392" s="3" t="str">
        <f>VLOOKUP(B392,[1]LifeList!$E$2:$G$2036,3)</f>
        <v>Setophaga caerulescens</v>
      </c>
      <c r="G392" s="3" t="str">
        <f>VLOOKUP(B392,[1]LifeList!$E$2:$I$2036,4)</f>
        <v>Passeriformes</v>
      </c>
      <c r="H392" s="3" t="str">
        <f>VLOOKUP(B392,[1]LifeList!$E$2:$I$2036,5)</f>
        <v>Parulidae (New World Warblers)</v>
      </c>
    </row>
    <row r="393" spans="1:8" x14ac:dyDescent="0.15">
      <c r="A393" s="3" t="s">
        <v>344</v>
      </c>
      <c r="B393" s="3" t="s">
        <v>3745</v>
      </c>
      <c r="C393" s="3">
        <v>34141</v>
      </c>
      <c r="D393" s="3" t="str">
        <f>VLOOKUP(B393,[1]LifeList!$E$2:$G$2036,1)</f>
        <v>Black-throated Blue Warbler</v>
      </c>
      <c r="E393" s="3" t="str">
        <f>VLOOKUP(B393,[1]LifeList!$E$2:$G$2036,2)</f>
        <v>Paruline bleue</v>
      </c>
      <c r="F393" s="3" t="str">
        <f>VLOOKUP(B393,[1]LifeList!$E$2:$G$2036,3)</f>
        <v>Setophaga caerulescens</v>
      </c>
      <c r="G393" s="3" t="str">
        <f>VLOOKUP(B393,[1]LifeList!$E$2:$I$2036,4)</f>
        <v>Passeriformes</v>
      </c>
      <c r="H393" s="3" t="str">
        <f>VLOOKUP(B393,[1]LifeList!$E$2:$I$2036,5)</f>
        <v>Parulidae (New World Warblers)</v>
      </c>
    </row>
    <row r="394" spans="1:8" x14ac:dyDescent="0.15">
      <c r="A394" s="3" t="s">
        <v>345</v>
      </c>
      <c r="B394" s="3" t="s">
        <v>3745</v>
      </c>
      <c r="C394" s="3">
        <v>34141</v>
      </c>
      <c r="D394" s="3" t="str">
        <f>VLOOKUP(B394,[1]LifeList!$E$2:$G$2036,1)</f>
        <v>Black-throated Blue Warbler</v>
      </c>
      <c r="E394" s="3" t="str">
        <f>VLOOKUP(B394,[1]LifeList!$E$2:$G$2036,2)</f>
        <v>Paruline bleue</v>
      </c>
      <c r="F394" s="3" t="str">
        <f>VLOOKUP(B394,[1]LifeList!$E$2:$G$2036,3)</f>
        <v>Setophaga caerulescens</v>
      </c>
      <c r="G394" s="3" t="str">
        <f>VLOOKUP(B394,[1]LifeList!$E$2:$I$2036,4)</f>
        <v>Passeriformes</v>
      </c>
      <c r="H394" s="3" t="str">
        <f>VLOOKUP(B394,[1]LifeList!$E$2:$I$2036,5)</f>
        <v>Parulidae (New World Warblers)</v>
      </c>
    </row>
    <row r="395" spans="1:8" x14ac:dyDescent="0.15">
      <c r="A395" s="3" t="s">
        <v>346</v>
      </c>
      <c r="B395" s="3" t="s">
        <v>3745</v>
      </c>
      <c r="C395" s="3">
        <v>34141</v>
      </c>
      <c r="D395" s="3" t="str">
        <f>VLOOKUP(B395,[1]LifeList!$E$2:$G$2036,1)</f>
        <v>Black-throated Blue Warbler</v>
      </c>
      <c r="E395" s="3" t="str">
        <f>VLOOKUP(B395,[1]LifeList!$E$2:$G$2036,2)</f>
        <v>Paruline bleue</v>
      </c>
      <c r="F395" s="3" t="str">
        <f>VLOOKUP(B395,[1]LifeList!$E$2:$G$2036,3)</f>
        <v>Setophaga caerulescens</v>
      </c>
      <c r="G395" s="3" t="str">
        <f>VLOOKUP(B395,[1]LifeList!$E$2:$I$2036,4)</f>
        <v>Passeriformes</v>
      </c>
      <c r="H395" s="3" t="str">
        <f>VLOOKUP(B395,[1]LifeList!$E$2:$I$2036,5)</f>
        <v>Parulidae (New World Warblers)</v>
      </c>
    </row>
    <row r="396" spans="1:8" x14ac:dyDescent="0.15">
      <c r="A396" s="3" t="s">
        <v>347</v>
      </c>
      <c r="B396" s="3" t="s">
        <v>3745</v>
      </c>
      <c r="C396" s="3">
        <v>34141</v>
      </c>
      <c r="D396" s="3" t="str">
        <f>VLOOKUP(B396,[1]LifeList!$E$2:$G$2036,1)</f>
        <v>Black-throated Blue Warbler</v>
      </c>
      <c r="E396" s="3" t="str">
        <f>VLOOKUP(B396,[1]LifeList!$E$2:$G$2036,2)</f>
        <v>Paruline bleue</v>
      </c>
      <c r="F396" s="3" t="str">
        <f>VLOOKUP(B396,[1]LifeList!$E$2:$G$2036,3)</f>
        <v>Setophaga caerulescens</v>
      </c>
      <c r="G396" s="3" t="str">
        <f>VLOOKUP(B396,[1]LifeList!$E$2:$I$2036,4)</f>
        <v>Passeriformes</v>
      </c>
      <c r="H396" s="3" t="str">
        <f>VLOOKUP(B396,[1]LifeList!$E$2:$I$2036,5)</f>
        <v>Parulidae (New World Warblers)</v>
      </c>
    </row>
    <row r="397" spans="1:8" x14ac:dyDescent="0.15">
      <c r="A397" s="3" t="s">
        <v>348</v>
      </c>
      <c r="B397" s="3" t="s">
        <v>3745</v>
      </c>
      <c r="C397" s="3">
        <v>34141</v>
      </c>
      <c r="D397" s="3" t="str">
        <f>VLOOKUP(B397,[1]LifeList!$E$2:$G$2036,1)</f>
        <v>Black-throated Blue Warbler</v>
      </c>
      <c r="E397" s="3" t="str">
        <f>VLOOKUP(B397,[1]LifeList!$E$2:$G$2036,2)</f>
        <v>Paruline bleue</v>
      </c>
      <c r="F397" s="3" t="str">
        <f>VLOOKUP(B397,[1]LifeList!$E$2:$G$2036,3)</f>
        <v>Setophaga caerulescens</v>
      </c>
      <c r="G397" s="3" t="str">
        <f>VLOOKUP(B397,[1]LifeList!$E$2:$I$2036,4)</f>
        <v>Passeriformes</v>
      </c>
      <c r="H397" s="3" t="str">
        <f>VLOOKUP(B397,[1]LifeList!$E$2:$I$2036,5)</f>
        <v>Parulidae (New World Warblers)</v>
      </c>
    </row>
    <row r="398" spans="1:8" x14ac:dyDescent="0.15">
      <c r="A398" s="3" t="s">
        <v>349</v>
      </c>
      <c r="B398" s="3" t="s">
        <v>3745</v>
      </c>
      <c r="C398" s="3">
        <v>34141</v>
      </c>
      <c r="D398" s="3" t="str">
        <f>VLOOKUP(B398,[1]LifeList!$E$2:$G$2036,1)</f>
        <v>Black-throated Blue Warbler</v>
      </c>
      <c r="E398" s="3" t="str">
        <f>VLOOKUP(B398,[1]LifeList!$E$2:$G$2036,2)</f>
        <v>Paruline bleue</v>
      </c>
      <c r="F398" s="3" t="str">
        <f>VLOOKUP(B398,[1]LifeList!$E$2:$G$2036,3)</f>
        <v>Setophaga caerulescens</v>
      </c>
      <c r="G398" s="3" t="str">
        <f>VLOOKUP(B398,[1]LifeList!$E$2:$I$2036,4)</f>
        <v>Passeriformes</v>
      </c>
      <c r="H398" s="3" t="str">
        <f>VLOOKUP(B398,[1]LifeList!$E$2:$I$2036,5)</f>
        <v>Parulidae (New World Warblers)</v>
      </c>
    </row>
    <row r="399" spans="1:8" x14ac:dyDescent="0.15">
      <c r="A399" s="3" t="s">
        <v>350</v>
      </c>
      <c r="B399" s="3" t="s">
        <v>3745</v>
      </c>
      <c r="C399" s="3">
        <v>34141</v>
      </c>
      <c r="D399" s="3" t="str">
        <f>VLOOKUP(B399,[1]LifeList!$E$2:$G$2036,1)</f>
        <v>Black-throated Blue Warbler</v>
      </c>
      <c r="E399" s="3" t="str">
        <f>VLOOKUP(B399,[1]LifeList!$E$2:$G$2036,2)</f>
        <v>Paruline bleue</v>
      </c>
      <c r="F399" s="3" t="str">
        <f>VLOOKUP(B399,[1]LifeList!$E$2:$G$2036,3)</f>
        <v>Setophaga caerulescens</v>
      </c>
      <c r="G399" s="3" t="str">
        <f>VLOOKUP(B399,[1]LifeList!$E$2:$I$2036,4)</f>
        <v>Passeriformes</v>
      </c>
      <c r="H399" s="3" t="str">
        <f>VLOOKUP(B399,[1]LifeList!$E$2:$I$2036,5)</f>
        <v>Parulidae (New World Warblers)</v>
      </c>
    </row>
    <row r="400" spans="1:8" x14ac:dyDescent="0.15">
      <c r="A400" s="3" t="s">
        <v>351</v>
      </c>
      <c r="B400" s="3" t="s">
        <v>3745</v>
      </c>
      <c r="C400" s="3">
        <v>34141</v>
      </c>
      <c r="D400" s="3" t="str">
        <f>VLOOKUP(B400,[1]LifeList!$E$2:$G$2036,1)</f>
        <v>Black-throated Blue Warbler</v>
      </c>
      <c r="E400" s="3" t="str">
        <f>VLOOKUP(B400,[1]LifeList!$E$2:$G$2036,2)</f>
        <v>Paruline bleue</v>
      </c>
      <c r="F400" s="3" t="str">
        <f>VLOOKUP(B400,[1]LifeList!$E$2:$G$2036,3)</f>
        <v>Setophaga caerulescens</v>
      </c>
      <c r="G400" s="3" t="str">
        <f>VLOOKUP(B400,[1]LifeList!$E$2:$I$2036,4)</f>
        <v>Passeriformes</v>
      </c>
      <c r="H400" s="3" t="str">
        <f>VLOOKUP(B400,[1]LifeList!$E$2:$I$2036,5)</f>
        <v>Parulidae (New World Warblers)</v>
      </c>
    </row>
    <row r="401" spans="1:8" x14ac:dyDescent="0.15">
      <c r="A401" s="3" t="s">
        <v>352</v>
      </c>
      <c r="B401" s="3" t="s">
        <v>3746</v>
      </c>
      <c r="C401" s="3">
        <v>34200</v>
      </c>
      <c r="D401" s="3" t="str">
        <f>VLOOKUP(B401,[1]LifeList!$E$2:$G$2036,1)</f>
        <v>Black-throated Gray Warbler</v>
      </c>
      <c r="E401" s="3" t="str">
        <f>VLOOKUP(B401,[1]LifeList!$E$2:$G$2036,2)</f>
        <v>Paruline grise</v>
      </c>
      <c r="F401" s="3" t="str">
        <f>VLOOKUP(B401,[1]LifeList!$E$2:$G$2036,3)</f>
        <v>Setophaga nigrescens</v>
      </c>
      <c r="G401" s="3" t="str">
        <f>VLOOKUP(B401,[1]LifeList!$E$2:$I$2036,4)</f>
        <v>Passeriformes</v>
      </c>
      <c r="H401" s="3" t="str">
        <f>VLOOKUP(B401,[1]LifeList!$E$2:$I$2036,5)</f>
        <v>Parulidae (New World Warblers)</v>
      </c>
    </row>
    <row r="402" spans="1:8" x14ac:dyDescent="0.15">
      <c r="A402" s="3" t="s">
        <v>353</v>
      </c>
      <c r="B402" s="3" t="s">
        <v>3746</v>
      </c>
      <c r="C402" s="3">
        <v>34200</v>
      </c>
      <c r="D402" s="3" t="str">
        <f>VLOOKUP(B402,[1]LifeList!$E$2:$G$2036,1)</f>
        <v>Black-throated Gray Warbler</v>
      </c>
      <c r="E402" s="3" t="str">
        <f>VLOOKUP(B402,[1]LifeList!$E$2:$G$2036,2)</f>
        <v>Paruline grise</v>
      </c>
      <c r="F402" s="3" t="str">
        <f>VLOOKUP(B402,[1]LifeList!$E$2:$G$2036,3)</f>
        <v>Setophaga nigrescens</v>
      </c>
      <c r="G402" s="3" t="str">
        <f>VLOOKUP(B402,[1]LifeList!$E$2:$I$2036,4)</f>
        <v>Passeriformes</v>
      </c>
      <c r="H402" s="3" t="str">
        <f>VLOOKUP(B402,[1]LifeList!$E$2:$I$2036,5)</f>
        <v>Parulidae (New World Warblers)</v>
      </c>
    </row>
    <row r="403" spans="1:8" x14ac:dyDescent="0.15">
      <c r="A403" s="3" t="s">
        <v>354</v>
      </c>
      <c r="B403" s="3" t="s">
        <v>3747</v>
      </c>
      <c r="C403" s="3">
        <v>34218</v>
      </c>
      <c r="D403" s="3" t="str">
        <f>VLOOKUP(B403,[1]LifeList!$E$2:$G$2036,1)</f>
        <v>Black-throated Green Warbler</v>
      </c>
      <c r="E403" s="3" t="str">
        <f>VLOOKUP(B403,[1]LifeList!$E$2:$G$2036,2)</f>
        <v>Paruline à gorge noire</v>
      </c>
      <c r="F403" s="3" t="str">
        <f>VLOOKUP(B403,[1]LifeList!$E$2:$G$2036,3)</f>
        <v>Setophaga virens</v>
      </c>
      <c r="G403" s="3" t="str">
        <f>VLOOKUP(B403,[1]LifeList!$E$2:$I$2036,4)</f>
        <v>Passeriformes</v>
      </c>
      <c r="H403" s="3" t="str">
        <f>VLOOKUP(B403,[1]LifeList!$E$2:$I$2036,5)</f>
        <v>Parulidae (New World Warblers)</v>
      </c>
    </row>
    <row r="404" spans="1:8" x14ac:dyDescent="0.15">
      <c r="A404" s="3" t="s">
        <v>355</v>
      </c>
      <c r="B404" s="3" t="s">
        <v>3747</v>
      </c>
      <c r="C404" s="3">
        <v>34218</v>
      </c>
      <c r="D404" s="3" t="str">
        <f>VLOOKUP(B404,[1]LifeList!$E$2:$G$2036,1)</f>
        <v>Black-throated Green Warbler</v>
      </c>
      <c r="E404" s="3" t="str">
        <f>VLOOKUP(B404,[1]LifeList!$E$2:$G$2036,2)</f>
        <v>Paruline à gorge noire</v>
      </c>
      <c r="F404" s="3" t="str">
        <f>VLOOKUP(B404,[1]LifeList!$E$2:$G$2036,3)</f>
        <v>Setophaga virens</v>
      </c>
      <c r="G404" s="3" t="str">
        <f>VLOOKUP(B404,[1]LifeList!$E$2:$I$2036,4)</f>
        <v>Passeriformes</v>
      </c>
      <c r="H404" s="3" t="str">
        <f>VLOOKUP(B404,[1]LifeList!$E$2:$I$2036,5)</f>
        <v>Parulidae (New World Warblers)</v>
      </c>
    </row>
    <row r="405" spans="1:8" x14ac:dyDescent="0.15">
      <c r="A405" s="3" t="s">
        <v>356</v>
      </c>
      <c r="B405" s="3" t="s">
        <v>3747</v>
      </c>
      <c r="C405" s="3">
        <v>34218</v>
      </c>
      <c r="D405" s="3" t="str">
        <f>VLOOKUP(B405,[1]LifeList!$E$2:$G$2036,1)</f>
        <v>Black-throated Green Warbler</v>
      </c>
      <c r="E405" s="3" t="str">
        <f>VLOOKUP(B405,[1]LifeList!$E$2:$G$2036,2)</f>
        <v>Paruline à gorge noire</v>
      </c>
      <c r="F405" s="3" t="str">
        <f>VLOOKUP(B405,[1]LifeList!$E$2:$G$2036,3)</f>
        <v>Setophaga virens</v>
      </c>
      <c r="G405" s="3" t="str">
        <f>VLOOKUP(B405,[1]LifeList!$E$2:$I$2036,4)</f>
        <v>Passeriformes</v>
      </c>
      <c r="H405" s="3" t="str">
        <f>VLOOKUP(B405,[1]LifeList!$E$2:$I$2036,5)</f>
        <v>Parulidae (New World Warblers)</v>
      </c>
    </row>
    <row r="406" spans="1:8" x14ac:dyDescent="0.15">
      <c r="A406" s="3" t="s">
        <v>357</v>
      </c>
      <c r="B406" s="3" t="s">
        <v>3747</v>
      </c>
      <c r="C406" s="3">
        <v>34218</v>
      </c>
      <c r="D406" s="3" t="str">
        <f>VLOOKUP(B406,[1]LifeList!$E$2:$G$2036,1)</f>
        <v>Black-throated Green Warbler</v>
      </c>
      <c r="E406" s="3" t="str">
        <f>VLOOKUP(B406,[1]LifeList!$E$2:$G$2036,2)</f>
        <v>Paruline à gorge noire</v>
      </c>
      <c r="F406" s="3" t="str">
        <f>VLOOKUP(B406,[1]LifeList!$E$2:$G$2036,3)</f>
        <v>Setophaga virens</v>
      </c>
      <c r="G406" s="3" t="str">
        <f>VLOOKUP(B406,[1]LifeList!$E$2:$I$2036,4)</f>
        <v>Passeriformes</v>
      </c>
      <c r="H406" s="3" t="str">
        <f>VLOOKUP(B406,[1]LifeList!$E$2:$I$2036,5)</f>
        <v>Parulidae (New World Warblers)</v>
      </c>
    </row>
    <row r="407" spans="1:8" x14ac:dyDescent="0.15">
      <c r="A407" s="3" t="s">
        <v>358</v>
      </c>
      <c r="B407" s="3" t="s">
        <v>3747</v>
      </c>
      <c r="C407" s="3">
        <v>34218</v>
      </c>
      <c r="D407" s="3" t="str">
        <f>VLOOKUP(B407,[1]LifeList!$E$2:$G$2036,1)</f>
        <v>Black-throated Green Warbler</v>
      </c>
      <c r="E407" s="3" t="str">
        <f>VLOOKUP(B407,[1]LifeList!$E$2:$G$2036,2)</f>
        <v>Paruline à gorge noire</v>
      </c>
      <c r="F407" s="3" t="str">
        <f>VLOOKUP(B407,[1]LifeList!$E$2:$G$2036,3)</f>
        <v>Setophaga virens</v>
      </c>
      <c r="G407" s="3" t="str">
        <f>VLOOKUP(B407,[1]LifeList!$E$2:$I$2036,4)</f>
        <v>Passeriformes</v>
      </c>
      <c r="H407" s="3" t="str">
        <f>VLOOKUP(B407,[1]LifeList!$E$2:$I$2036,5)</f>
        <v>Parulidae (New World Warblers)</v>
      </c>
    </row>
    <row r="408" spans="1:8" x14ac:dyDescent="0.15">
      <c r="A408" s="3" t="s">
        <v>359</v>
      </c>
      <c r="B408" s="3" t="s">
        <v>3747</v>
      </c>
      <c r="C408" s="3">
        <v>34218</v>
      </c>
      <c r="D408" s="3" t="str">
        <f>VLOOKUP(B408,[1]LifeList!$E$2:$G$2036,1)</f>
        <v>Black-throated Green Warbler</v>
      </c>
      <c r="E408" s="3" t="str">
        <f>VLOOKUP(B408,[1]LifeList!$E$2:$G$2036,2)</f>
        <v>Paruline à gorge noire</v>
      </c>
      <c r="F408" s="3" t="str">
        <f>VLOOKUP(B408,[1]LifeList!$E$2:$G$2036,3)</f>
        <v>Setophaga virens</v>
      </c>
      <c r="G408" s="3" t="str">
        <f>VLOOKUP(B408,[1]LifeList!$E$2:$I$2036,4)</f>
        <v>Passeriformes</v>
      </c>
      <c r="H408" s="3" t="str">
        <f>VLOOKUP(B408,[1]LifeList!$E$2:$I$2036,5)</f>
        <v>Parulidae (New World Warblers)</v>
      </c>
    </row>
    <row r="409" spans="1:8" x14ac:dyDescent="0.15">
      <c r="A409" s="3" t="s">
        <v>3820</v>
      </c>
      <c r="B409" s="3" t="s">
        <v>3747</v>
      </c>
      <c r="C409" s="3">
        <v>34218</v>
      </c>
      <c r="D409" s="3" t="str">
        <f>VLOOKUP(B409,[1]LifeList!$E$2:$G$2036,1)</f>
        <v>Black-throated Green Warbler</v>
      </c>
      <c r="E409" s="3" t="str">
        <f>VLOOKUP(B409,[1]LifeList!$E$2:$G$2036,2)</f>
        <v>Paruline à gorge noire</v>
      </c>
      <c r="F409" s="3" t="str">
        <f>VLOOKUP(B409,[1]LifeList!$E$2:$G$2036,3)</f>
        <v>Setophaga virens</v>
      </c>
      <c r="G409" s="3" t="str">
        <f>VLOOKUP(B409,[1]LifeList!$E$2:$I$2036,4)</f>
        <v>Passeriformes</v>
      </c>
      <c r="H409" s="3" t="str">
        <f>VLOOKUP(B409,[1]LifeList!$E$2:$I$2036,5)</f>
        <v>Parulidae (New World Warblers)</v>
      </c>
    </row>
    <row r="410" spans="1:8" x14ac:dyDescent="0.15">
      <c r="A410" s="3" t="s">
        <v>360</v>
      </c>
      <c r="B410" s="3" t="s">
        <v>3747</v>
      </c>
      <c r="C410" s="3">
        <v>34218</v>
      </c>
      <c r="D410" s="3" t="str">
        <f>VLOOKUP(B410,[1]LifeList!$E$2:$G$2036,1)</f>
        <v>Black-throated Green Warbler</v>
      </c>
      <c r="E410" s="3" t="str">
        <f>VLOOKUP(B410,[1]LifeList!$E$2:$G$2036,2)</f>
        <v>Paruline à gorge noire</v>
      </c>
      <c r="F410" s="3" t="str">
        <f>VLOOKUP(B410,[1]LifeList!$E$2:$G$2036,3)</f>
        <v>Setophaga virens</v>
      </c>
      <c r="G410" s="3" t="str">
        <f>VLOOKUP(B410,[1]LifeList!$E$2:$I$2036,4)</f>
        <v>Passeriformes</v>
      </c>
      <c r="H410" s="3" t="str">
        <f>VLOOKUP(B410,[1]LifeList!$E$2:$I$2036,5)</f>
        <v>Parulidae (New World Warblers)</v>
      </c>
    </row>
    <row r="411" spans="1:8" x14ac:dyDescent="0.15">
      <c r="A411" s="3" t="s">
        <v>361</v>
      </c>
      <c r="B411" s="3" t="s">
        <v>4107</v>
      </c>
      <c r="C411" s="3">
        <v>4384</v>
      </c>
      <c r="D411" s="3" t="str">
        <f>VLOOKUP(B411,[1]LifeList!$E$2:$G$2036,1)</f>
        <v>Black-throated Mango</v>
      </c>
      <c r="E411" s="3" t="str">
        <f>VLOOKUP(B411,[1]LifeList!$E$2:$G$2036,2)</f>
        <v>Mango à cravate noire</v>
      </c>
      <c r="F411" s="3" t="str">
        <f>VLOOKUP(B411,[1]LifeList!$E$2:$G$2036,3)</f>
        <v>Anthracothorax nigricollis</v>
      </c>
      <c r="G411" s="3" t="str">
        <f>VLOOKUP(B411,[1]LifeList!$E$2:$I$2036,4)</f>
        <v>Apodiformes</v>
      </c>
      <c r="H411" s="3" t="str">
        <f>VLOOKUP(B411,[1]LifeList!$E$2:$I$2036,5)</f>
        <v>Trochilidae (Hummingbirds)</v>
      </c>
    </row>
    <row r="412" spans="1:8" x14ac:dyDescent="0.15">
      <c r="A412" s="3" t="s">
        <v>362</v>
      </c>
      <c r="B412" s="3" t="s">
        <v>4107</v>
      </c>
      <c r="C412" s="3">
        <v>4384</v>
      </c>
      <c r="D412" s="3" t="str">
        <f>VLOOKUP(B412,[1]LifeList!$E$2:$G$2036,1)</f>
        <v>Black-throated Mango</v>
      </c>
      <c r="E412" s="3" t="str">
        <f>VLOOKUP(B412,[1]LifeList!$E$2:$G$2036,2)</f>
        <v>Mango à cravate noire</v>
      </c>
      <c r="F412" s="3" t="str">
        <f>VLOOKUP(B412,[1]LifeList!$E$2:$G$2036,3)</f>
        <v>Anthracothorax nigricollis</v>
      </c>
      <c r="G412" s="3" t="str">
        <f>VLOOKUP(B412,[1]LifeList!$E$2:$I$2036,4)</f>
        <v>Apodiformes</v>
      </c>
      <c r="H412" s="3" t="str">
        <f>VLOOKUP(B412,[1]LifeList!$E$2:$I$2036,5)</f>
        <v>Trochilidae (Hummingbirds)</v>
      </c>
    </row>
    <row r="413" spans="1:8" x14ac:dyDescent="0.15">
      <c r="A413" s="3" t="s">
        <v>363</v>
      </c>
      <c r="B413" s="3" t="s">
        <v>4107</v>
      </c>
      <c r="C413" s="3">
        <v>4384</v>
      </c>
      <c r="D413" s="3" t="str">
        <f>VLOOKUP(B413,[1]LifeList!$E$2:$G$2036,1)</f>
        <v>Black-throated Mango</v>
      </c>
      <c r="E413" s="3" t="str">
        <f>VLOOKUP(B413,[1]LifeList!$E$2:$G$2036,2)</f>
        <v>Mango à cravate noire</v>
      </c>
      <c r="F413" s="3" t="str">
        <f>VLOOKUP(B413,[1]LifeList!$E$2:$G$2036,3)</f>
        <v>Anthracothorax nigricollis</v>
      </c>
      <c r="G413" s="3" t="str">
        <f>VLOOKUP(B413,[1]LifeList!$E$2:$I$2036,4)</f>
        <v>Apodiformes</v>
      </c>
      <c r="H413" s="3" t="str">
        <f>VLOOKUP(B413,[1]LifeList!$E$2:$I$2036,5)</f>
        <v>Trochilidae (Hummingbirds)</v>
      </c>
    </row>
    <row r="414" spans="1:8" x14ac:dyDescent="0.15">
      <c r="A414" s="3" t="s">
        <v>364</v>
      </c>
      <c r="B414" s="3" t="s">
        <v>4107</v>
      </c>
      <c r="C414" s="3">
        <v>4384</v>
      </c>
      <c r="D414" s="3" t="str">
        <f>VLOOKUP(B414,[1]LifeList!$E$2:$G$2036,1)</f>
        <v>Black-throated Mango</v>
      </c>
      <c r="E414" s="3" t="str">
        <f>VLOOKUP(B414,[1]LifeList!$E$2:$G$2036,2)</f>
        <v>Mango à cravate noire</v>
      </c>
      <c r="F414" s="3" t="str">
        <f>VLOOKUP(B414,[1]LifeList!$E$2:$G$2036,3)</f>
        <v>Anthracothorax nigricollis</v>
      </c>
      <c r="G414" s="3" t="str">
        <f>VLOOKUP(B414,[1]LifeList!$E$2:$I$2036,4)</f>
        <v>Apodiformes</v>
      </c>
      <c r="H414" s="3" t="str">
        <f>VLOOKUP(B414,[1]LifeList!$E$2:$I$2036,5)</f>
        <v>Trochilidae (Hummingbirds)</v>
      </c>
    </row>
    <row r="415" spans="1:8" x14ac:dyDescent="0.15">
      <c r="A415" s="3" t="s">
        <v>365</v>
      </c>
      <c r="B415" s="3" t="s">
        <v>4108</v>
      </c>
      <c r="C415" s="3">
        <v>27509</v>
      </c>
      <c r="D415" s="3" t="str">
        <f>VLOOKUP(B415,[1]LifeList!$E$2:$G$2036,1)</f>
        <v>Black-throated Wren</v>
      </c>
      <c r="E415" s="3" t="str">
        <f>VLOOKUP(B415,[1]LifeList!$E$2:$G$2036,2)</f>
        <v>Troglodyte à gorge noire</v>
      </c>
      <c r="F415" s="3" t="str">
        <f>VLOOKUP(B415,[1]LifeList!$E$2:$G$2036,3)</f>
        <v>Pheugopedius atrogularis</v>
      </c>
      <c r="G415" s="3" t="str">
        <f>VLOOKUP(B415,[1]LifeList!$E$2:$I$2036,4)</f>
        <v>Passeriformes</v>
      </c>
      <c r="H415" s="3" t="str">
        <f>VLOOKUP(B415,[1]LifeList!$E$2:$I$2036,5)</f>
        <v>Troglodytidae (Wrens)</v>
      </c>
    </row>
    <row r="416" spans="1:8" x14ac:dyDescent="0.15">
      <c r="A416" s="3" t="s">
        <v>366</v>
      </c>
      <c r="B416" s="3" t="s">
        <v>4109</v>
      </c>
      <c r="C416" s="3">
        <v>7846</v>
      </c>
      <c r="D416" s="3" t="str">
        <f>VLOOKUP(B416,[1]LifeList!$E$2:$G$2036,1)</f>
        <v>Black-winged Kite</v>
      </c>
      <c r="E416" s="3" t="str">
        <f>VLOOKUP(B416,[1]LifeList!$E$2:$G$2036,2)</f>
        <v>Élanion blanc</v>
      </c>
      <c r="F416" s="3" t="str">
        <f>VLOOKUP(B416,[1]LifeList!$E$2:$G$2036,3)</f>
        <v>Elanus caeruleus</v>
      </c>
      <c r="G416" s="3" t="str">
        <f>VLOOKUP(B416,[1]LifeList!$E$2:$I$2036,4)</f>
        <v>Accipitriformes</v>
      </c>
      <c r="H416" s="3" t="str">
        <f>VLOOKUP(B416,[1]LifeList!$E$2:$I$2036,5)</f>
        <v>Accipitridae (Hawks, Eagles, and Kites)</v>
      </c>
    </row>
    <row r="417" spans="1:8" x14ac:dyDescent="0.15">
      <c r="A417" s="3" t="s">
        <v>367</v>
      </c>
      <c r="B417" s="3" t="s">
        <v>4110</v>
      </c>
      <c r="C417" s="3">
        <v>35789</v>
      </c>
      <c r="D417" s="3" t="str">
        <f>VLOOKUP(B417,[1]LifeList!$E$2:$G$2036,1)</f>
        <v>Black-winged Saltator</v>
      </c>
      <c r="E417" s="3" t="str">
        <f>VLOOKUP(B417,[1]LifeList!$E$2:$G$2036,2)</f>
        <v>Saltator à ailes noires</v>
      </c>
      <c r="F417" s="3" t="str">
        <f>VLOOKUP(B417,[1]LifeList!$E$2:$G$2036,3)</f>
        <v>Saltator atripennis</v>
      </c>
      <c r="G417" s="3" t="str">
        <f>VLOOKUP(B417,[1]LifeList!$E$2:$I$2036,4)</f>
        <v>Passeriformes</v>
      </c>
      <c r="H417" s="3" t="str">
        <f>VLOOKUP(B417,[1]LifeList!$E$2:$I$2036,5)</f>
        <v>Thraupidae (Tanagers and Allies)</v>
      </c>
    </row>
    <row r="418" spans="1:8" x14ac:dyDescent="0.15">
      <c r="A418" s="3" t="s">
        <v>368</v>
      </c>
      <c r="B418" s="3" t="s">
        <v>4111</v>
      </c>
      <c r="C418" s="3">
        <v>5763</v>
      </c>
      <c r="D418" s="3" t="str">
        <f>VLOOKUP(B418,[1]LifeList!$E$2:$G$2036,1)</f>
        <v>Black-winged Stilt</v>
      </c>
      <c r="E418" s="3" t="str">
        <f>VLOOKUP(B418,[1]LifeList!$E$2:$G$2036,2)</f>
        <v>Échasse blanche</v>
      </c>
      <c r="F418" s="3" t="str">
        <f>VLOOKUP(B418,[1]LifeList!$E$2:$G$2036,3)</f>
        <v>Himantopus himantopus</v>
      </c>
      <c r="G418" s="3" t="str">
        <f>VLOOKUP(B418,[1]LifeList!$E$2:$I$2036,4)</f>
        <v>Charadriiformes</v>
      </c>
      <c r="H418" s="3" t="str">
        <f>VLOOKUP(B418,[1]LifeList!$E$2:$I$2036,5)</f>
        <v>Recurvirostridae (Stilts and Avocets)</v>
      </c>
    </row>
    <row r="419" spans="1:8" x14ac:dyDescent="0.15">
      <c r="A419" s="3" t="s">
        <v>369</v>
      </c>
      <c r="B419" s="3" t="s">
        <v>4111</v>
      </c>
      <c r="C419" s="3">
        <v>5763</v>
      </c>
      <c r="D419" s="3" t="str">
        <f>VLOOKUP(B419,[1]LifeList!$E$2:$G$2036,1)</f>
        <v>Black-winged Stilt</v>
      </c>
      <c r="E419" s="3" t="str">
        <f>VLOOKUP(B419,[1]LifeList!$E$2:$G$2036,2)</f>
        <v>Échasse blanche</v>
      </c>
      <c r="F419" s="3" t="str">
        <f>VLOOKUP(B419,[1]LifeList!$E$2:$G$2036,3)</f>
        <v>Himantopus himantopus</v>
      </c>
      <c r="G419" s="3" t="str">
        <f>VLOOKUP(B419,[1]LifeList!$E$2:$I$2036,4)</f>
        <v>Charadriiformes</v>
      </c>
      <c r="H419" s="3" t="str">
        <f>VLOOKUP(B419,[1]LifeList!$E$2:$I$2036,5)</f>
        <v>Recurvirostridae (Stilts and Avocets)</v>
      </c>
    </row>
    <row r="420" spans="1:8" x14ac:dyDescent="0.15">
      <c r="A420" s="3" t="s">
        <v>370</v>
      </c>
      <c r="B420" s="3" t="s">
        <v>4111</v>
      </c>
      <c r="C420" s="3">
        <v>5763</v>
      </c>
      <c r="D420" s="3" t="str">
        <f>VLOOKUP(B420,[1]LifeList!$E$2:$G$2036,1)</f>
        <v>Black-winged Stilt</v>
      </c>
      <c r="E420" s="3" t="str">
        <f>VLOOKUP(B420,[1]LifeList!$E$2:$G$2036,2)</f>
        <v>Échasse blanche</v>
      </c>
      <c r="F420" s="3" t="str">
        <f>VLOOKUP(B420,[1]LifeList!$E$2:$G$2036,3)</f>
        <v>Himantopus himantopus</v>
      </c>
      <c r="G420" s="3" t="str">
        <f>VLOOKUP(B420,[1]LifeList!$E$2:$I$2036,4)</f>
        <v>Charadriiformes</v>
      </c>
      <c r="H420" s="3" t="str">
        <f>VLOOKUP(B420,[1]LifeList!$E$2:$I$2036,5)</f>
        <v>Recurvirostridae (Stilts and Avocets)</v>
      </c>
    </row>
    <row r="421" spans="1:8" x14ac:dyDescent="0.15">
      <c r="A421" s="3" t="s">
        <v>371</v>
      </c>
      <c r="B421" s="3" t="s">
        <v>4111</v>
      </c>
      <c r="C421" s="3">
        <v>5763</v>
      </c>
      <c r="D421" s="3" t="str">
        <f>VLOOKUP(B421,[1]LifeList!$E$2:$G$2036,1)</f>
        <v>Black-winged Stilt</v>
      </c>
      <c r="E421" s="3" t="str">
        <f>VLOOKUP(B421,[1]LifeList!$E$2:$G$2036,2)</f>
        <v>Échasse blanche</v>
      </c>
      <c r="F421" s="3" t="str">
        <f>VLOOKUP(B421,[1]LifeList!$E$2:$G$2036,3)</f>
        <v>Himantopus himantopus</v>
      </c>
      <c r="G421" s="3" t="str">
        <f>VLOOKUP(B421,[1]LifeList!$E$2:$I$2036,4)</f>
        <v>Charadriiformes</v>
      </c>
      <c r="H421" s="3" t="str">
        <f>VLOOKUP(B421,[1]LifeList!$E$2:$I$2036,5)</f>
        <v>Recurvirostridae (Stilts and Avocets)</v>
      </c>
    </row>
    <row r="422" spans="1:8" x14ac:dyDescent="0.15">
      <c r="A422" s="3" t="s">
        <v>372</v>
      </c>
      <c r="B422" s="3" t="s">
        <v>4111</v>
      </c>
      <c r="C422" s="3">
        <v>5763</v>
      </c>
      <c r="D422" s="3" t="str">
        <f>VLOOKUP(B422,[1]LifeList!$E$2:$G$2036,1)</f>
        <v>Black-winged Stilt</v>
      </c>
      <c r="E422" s="3" t="str">
        <f>VLOOKUP(B422,[1]LifeList!$E$2:$G$2036,2)</f>
        <v>Échasse blanche</v>
      </c>
      <c r="F422" s="3" t="str">
        <f>VLOOKUP(B422,[1]LifeList!$E$2:$G$2036,3)</f>
        <v>Himantopus himantopus</v>
      </c>
      <c r="G422" s="3" t="str">
        <f>VLOOKUP(B422,[1]LifeList!$E$2:$I$2036,4)</f>
        <v>Charadriiformes</v>
      </c>
      <c r="H422" s="3" t="str">
        <f>VLOOKUP(B422,[1]LifeList!$E$2:$I$2036,5)</f>
        <v>Recurvirostridae (Stilts and Avocets)</v>
      </c>
    </row>
    <row r="423" spans="1:8" x14ac:dyDescent="0.15">
      <c r="A423" s="3" t="s">
        <v>404</v>
      </c>
      <c r="B423" s="3" t="s">
        <v>4112</v>
      </c>
      <c r="C423" s="3">
        <v>34084</v>
      </c>
      <c r="D423" s="3" t="str">
        <f>VLOOKUP(B423,[1]LifeList!$E$2:$G$2036,1)</f>
        <v>Blackburnian Warbler</v>
      </c>
      <c r="E423" s="3" t="str">
        <f>VLOOKUP(B423,[1]LifeList!$E$2:$G$2036,2)</f>
        <v>Paruline à gorge orangée</v>
      </c>
      <c r="F423" s="3" t="str">
        <f>VLOOKUP(B423,[1]LifeList!$E$2:$G$2036,3)</f>
        <v>Setophaga fusca</v>
      </c>
      <c r="G423" s="3" t="str">
        <f>VLOOKUP(B423,[1]LifeList!$E$2:$I$2036,4)</f>
        <v>Passeriformes</v>
      </c>
      <c r="H423" s="3" t="str">
        <f>VLOOKUP(B423,[1]LifeList!$E$2:$I$2036,5)</f>
        <v>Parulidae (New World Warblers)</v>
      </c>
    </row>
    <row r="424" spans="1:8" x14ac:dyDescent="0.15">
      <c r="A424" s="3" t="s">
        <v>405</v>
      </c>
      <c r="B424" s="3" t="s">
        <v>4112</v>
      </c>
      <c r="C424" s="3">
        <v>34084</v>
      </c>
      <c r="D424" s="3" t="str">
        <f>VLOOKUP(B424,[1]LifeList!$E$2:$G$2036,1)</f>
        <v>Blackburnian Warbler</v>
      </c>
      <c r="E424" s="3" t="str">
        <f>VLOOKUP(B424,[1]LifeList!$E$2:$G$2036,2)</f>
        <v>Paruline à gorge orangée</v>
      </c>
      <c r="F424" s="3" t="str">
        <f>VLOOKUP(B424,[1]LifeList!$E$2:$G$2036,3)</f>
        <v>Setophaga fusca</v>
      </c>
      <c r="G424" s="3" t="str">
        <f>VLOOKUP(B424,[1]LifeList!$E$2:$I$2036,4)</f>
        <v>Passeriformes</v>
      </c>
      <c r="H424" s="3" t="str">
        <f>VLOOKUP(B424,[1]LifeList!$E$2:$I$2036,5)</f>
        <v>Parulidae (New World Warblers)</v>
      </c>
    </row>
    <row r="425" spans="1:8" x14ac:dyDescent="0.15">
      <c r="A425" s="3" t="s">
        <v>406</v>
      </c>
      <c r="B425" s="3" t="s">
        <v>4112</v>
      </c>
      <c r="C425" s="3">
        <v>34084</v>
      </c>
      <c r="D425" s="3" t="str">
        <f>VLOOKUP(B425,[1]LifeList!$E$2:$G$2036,1)</f>
        <v>Blackburnian Warbler</v>
      </c>
      <c r="E425" s="3" t="str">
        <f>VLOOKUP(B425,[1]LifeList!$E$2:$G$2036,2)</f>
        <v>Paruline à gorge orangée</v>
      </c>
      <c r="F425" s="3" t="str">
        <f>VLOOKUP(B425,[1]LifeList!$E$2:$G$2036,3)</f>
        <v>Setophaga fusca</v>
      </c>
      <c r="G425" s="3" t="str">
        <f>VLOOKUP(B425,[1]LifeList!$E$2:$I$2036,4)</f>
        <v>Passeriformes</v>
      </c>
      <c r="H425" s="3" t="str">
        <f>VLOOKUP(B425,[1]LifeList!$E$2:$I$2036,5)</f>
        <v>Parulidae (New World Warblers)</v>
      </c>
    </row>
    <row r="426" spans="1:8" x14ac:dyDescent="0.15">
      <c r="A426" s="3" t="s">
        <v>407</v>
      </c>
      <c r="B426" s="3" t="s">
        <v>4112</v>
      </c>
      <c r="C426" s="3">
        <v>34084</v>
      </c>
      <c r="D426" s="3" t="str">
        <f>VLOOKUP(B426,[1]LifeList!$E$2:$G$2036,1)</f>
        <v>Blackburnian Warbler</v>
      </c>
      <c r="E426" s="3" t="str">
        <f>VLOOKUP(B426,[1]LifeList!$E$2:$G$2036,2)</f>
        <v>Paruline à gorge orangée</v>
      </c>
      <c r="F426" s="3" t="str">
        <f>VLOOKUP(B426,[1]LifeList!$E$2:$G$2036,3)</f>
        <v>Setophaga fusca</v>
      </c>
      <c r="G426" s="3" t="str">
        <f>VLOOKUP(B426,[1]LifeList!$E$2:$I$2036,4)</f>
        <v>Passeriformes</v>
      </c>
      <c r="H426" s="3" t="str">
        <f>VLOOKUP(B426,[1]LifeList!$E$2:$I$2036,5)</f>
        <v>Parulidae (New World Warblers)</v>
      </c>
    </row>
    <row r="427" spans="1:8" x14ac:dyDescent="0.15">
      <c r="A427" s="3" t="s">
        <v>408</v>
      </c>
      <c r="B427" s="3" t="s">
        <v>4112</v>
      </c>
      <c r="C427" s="3">
        <v>34084</v>
      </c>
      <c r="D427" s="3" t="str">
        <f>VLOOKUP(B427,[1]LifeList!$E$2:$G$2036,1)</f>
        <v>Blackburnian Warbler</v>
      </c>
      <c r="E427" s="3" t="str">
        <f>VLOOKUP(B427,[1]LifeList!$E$2:$G$2036,2)</f>
        <v>Paruline à gorge orangée</v>
      </c>
      <c r="F427" s="3" t="str">
        <f>VLOOKUP(B427,[1]LifeList!$E$2:$G$2036,3)</f>
        <v>Setophaga fusca</v>
      </c>
      <c r="G427" s="3" t="str">
        <f>VLOOKUP(B427,[1]LifeList!$E$2:$I$2036,4)</f>
        <v>Passeriformes</v>
      </c>
      <c r="H427" s="3" t="str">
        <f>VLOOKUP(B427,[1]LifeList!$E$2:$I$2036,5)</f>
        <v>Parulidae (New World Warblers)</v>
      </c>
    </row>
    <row r="428" spans="1:8" x14ac:dyDescent="0.15">
      <c r="A428" s="3" t="s">
        <v>409</v>
      </c>
      <c r="B428" s="3" t="s">
        <v>4112</v>
      </c>
      <c r="C428" s="3">
        <v>34084</v>
      </c>
      <c r="D428" s="3" t="str">
        <f>VLOOKUP(B428,[1]LifeList!$E$2:$G$2036,1)</f>
        <v>Blackburnian Warbler</v>
      </c>
      <c r="E428" s="3" t="str">
        <f>VLOOKUP(B428,[1]LifeList!$E$2:$G$2036,2)</f>
        <v>Paruline à gorge orangée</v>
      </c>
      <c r="F428" s="3" t="str">
        <f>VLOOKUP(B428,[1]LifeList!$E$2:$G$2036,3)</f>
        <v>Setophaga fusca</v>
      </c>
      <c r="G428" s="3" t="str">
        <f>VLOOKUP(B428,[1]LifeList!$E$2:$I$2036,4)</f>
        <v>Passeriformes</v>
      </c>
      <c r="H428" s="3" t="str">
        <f>VLOOKUP(B428,[1]LifeList!$E$2:$I$2036,5)</f>
        <v>Parulidae (New World Warblers)</v>
      </c>
    </row>
    <row r="429" spans="1:8" x14ac:dyDescent="0.15">
      <c r="A429" s="3" t="s">
        <v>410</v>
      </c>
      <c r="B429" s="3" t="s">
        <v>4112</v>
      </c>
      <c r="C429" s="3">
        <v>34084</v>
      </c>
      <c r="D429" s="3" t="str">
        <f>VLOOKUP(B429,[1]LifeList!$E$2:$G$2036,1)</f>
        <v>Blackburnian Warbler</v>
      </c>
      <c r="E429" s="3" t="str">
        <f>VLOOKUP(B429,[1]LifeList!$E$2:$G$2036,2)</f>
        <v>Paruline à gorge orangée</v>
      </c>
      <c r="F429" s="3" t="str">
        <f>VLOOKUP(B429,[1]LifeList!$E$2:$G$2036,3)</f>
        <v>Setophaga fusca</v>
      </c>
      <c r="G429" s="3" t="str">
        <f>VLOOKUP(B429,[1]LifeList!$E$2:$I$2036,4)</f>
        <v>Passeriformes</v>
      </c>
      <c r="H429" s="3" t="str">
        <f>VLOOKUP(B429,[1]LifeList!$E$2:$I$2036,5)</f>
        <v>Parulidae (New World Warblers)</v>
      </c>
    </row>
    <row r="430" spans="1:8" x14ac:dyDescent="0.15">
      <c r="A430" s="3" t="s">
        <v>411</v>
      </c>
      <c r="B430" s="3" t="s">
        <v>4112</v>
      </c>
      <c r="C430" s="3">
        <v>34084</v>
      </c>
      <c r="D430" s="3" t="str">
        <f>VLOOKUP(B430,[1]LifeList!$E$2:$G$2036,1)</f>
        <v>Blackburnian Warbler</v>
      </c>
      <c r="E430" s="3" t="str">
        <f>VLOOKUP(B430,[1]LifeList!$E$2:$G$2036,2)</f>
        <v>Paruline à gorge orangée</v>
      </c>
      <c r="F430" s="3" t="str">
        <f>VLOOKUP(B430,[1]LifeList!$E$2:$G$2036,3)</f>
        <v>Setophaga fusca</v>
      </c>
      <c r="G430" s="3" t="str">
        <f>VLOOKUP(B430,[1]LifeList!$E$2:$I$2036,4)</f>
        <v>Passeriformes</v>
      </c>
      <c r="H430" s="3" t="str">
        <f>VLOOKUP(B430,[1]LifeList!$E$2:$I$2036,5)</f>
        <v>Parulidae (New World Warblers)</v>
      </c>
    </row>
    <row r="431" spans="1:8" x14ac:dyDescent="0.15">
      <c r="A431" s="3" t="s">
        <v>412</v>
      </c>
      <c r="B431" s="3" t="s">
        <v>4113</v>
      </c>
      <c r="C431" s="3">
        <v>34138</v>
      </c>
      <c r="D431" s="3" t="str">
        <f>VLOOKUP(B431,[1]LifeList!$E$2:$G$2036,1)</f>
        <v>Blackpoll Warbler</v>
      </c>
      <c r="E431" s="3" t="str">
        <f>VLOOKUP(B431,[1]LifeList!$E$2:$G$2036,2)</f>
        <v>Paruline rayée</v>
      </c>
      <c r="F431" s="3" t="str">
        <f>VLOOKUP(B431,[1]LifeList!$E$2:$G$2036,3)</f>
        <v>Setophaga striata</v>
      </c>
      <c r="G431" s="3" t="str">
        <f>VLOOKUP(B431,[1]LifeList!$E$2:$I$2036,4)</f>
        <v>Passeriformes</v>
      </c>
      <c r="H431" s="3" t="str">
        <f>VLOOKUP(B431,[1]LifeList!$E$2:$I$2036,5)</f>
        <v>Parulidae (New World Warblers)</v>
      </c>
    </row>
    <row r="432" spans="1:8" x14ac:dyDescent="0.15">
      <c r="A432" s="3" t="s">
        <v>413</v>
      </c>
      <c r="B432" s="3" t="s">
        <v>4113</v>
      </c>
      <c r="C432" s="3">
        <v>34138</v>
      </c>
      <c r="D432" s="3" t="str">
        <f>VLOOKUP(B432,[1]LifeList!$E$2:$G$2036,1)</f>
        <v>Blackpoll Warbler</v>
      </c>
      <c r="E432" s="3" t="str">
        <f>VLOOKUP(B432,[1]LifeList!$E$2:$G$2036,2)</f>
        <v>Paruline rayée</v>
      </c>
      <c r="F432" s="3" t="str">
        <f>VLOOKUP(B432,[1]LifeList!$E$2:$G$2036,3)</f>
        <v>Setophaga striata</v>
      </c>
      <c r="G432" s="3" t="str">
        <f>VLOOKUP(B432,[1]LifeList!$E$2:$I$2036,4)</f>
        <v>Passeriformes</v>
      </c>
      <c r="H432" s="3" t="str">
        <f>VLOOKUP(B432,[1]LifeList!$E$2:$I$2036,5)</f>
        <v>Parulidae (New World Warblers)</v>
      </c>
    </row>
    <row r="433" spans="1:8" x14ac:dyDescent="0.15">
      <c r="A433" s="3" t="s">
        <v>414</v>
      </c>
      <c r="B433" s="3" t="s">
        <v>4113</v>
      </c>
      <c r="C433" s="3">
        <v>34138</v>
      </c>
      <c r="D433" s="3" t="str">
        <f>VLOOKUP(B433,[1]LifeList!$E$2:$G$2036,1)</f>
        <v>Blackpoll Warbler</v>
      </c>
      <c r="E433" s="3" t="str">
        <f>VLOOKUP(B433,[1]LifeList!$E$2:$G$2036,2)</f>
        <v>Paruline rayée</v>
      </c>
      <c r="F433" s="3" t="str">
        <f>VLOOKUP(B433,[1]LifeList!$E$2:$G$2036,3)</f>
        <v>Setophaga striata</v>
      </c>
      <c r="G433" s="3" t="str">
        <f>VLOOKUP(B433,[1]LifeList!$E$2:$I$2036,4)</f>
        <v>Passeriformes</v>
      </c>
      <c r="H433" s="3" t="str">
        <f>VLOOKUP(B433,[1]LifeList!$E$2:$I$2036,5)</f>
        <v>Parulidae (New World Warblers)</v>
      </c>
    </row>
    <row r="434" spans="1:8" x14ac:dyDescent="0.15">
      <c r="A434" s="3" t="s">
        <v>415</v>
      </c>
      <c r="B434" s="3" t="s">
        <v>4113</v>
      </c>
      <c r="C434" s="3">
        <v>34138</v>
      </c>
      <c r="D434" s="3" t="str">
        <f>VLOOKUP(B434,[1]LifeList!$E$2:$G$2036,1)</f>
        <v>Blackpoll Warbler</v>
      </c>
      <c r="E434" s="3" t="str">
        <f>VLOOKUP(B434,[1]LifeList!$E$2:$G$2036,2)</f>
        <v>Paruline rayée</v>
      </c>
      <c r="F434" s="3" t="str">
        <f>VLOOKUP(B434,[1]LifeList!$E$2:$G$2036,3)</f>
        <v>Setophaga striata</v>
      </c>
      <c r="G434" s="3" t="str">
        <f>VLOOKUP(B434,[1]LifeList!$E$2:$I$2036,4)</f>
        <v>Passeriformes</v>
      </c>
      <c r="H434" s="3" t="str">
        <f>VLOOKUP(B434,[1]LifeList!$E$2:$I$2036,5)</f>
        <v>Parulidae (New World Warblers)</v>
      </c>
    </row>
    <row r="435" spans="1:8" x14ac:dyDescent="0.15">
      <c r="A435" s="3" t="s">
        <v>416</v>
      </c>
      <c r="B435" s="3" t="s">
        <v>4113</v>
      </c>
      <c r="C435" s="3">
        <v>34138</v>
      </c>
      <c r="D435" s="3" t="str">
        <f>VLOOKUP(B435,[1]LifeList!$E$2:$G$2036,1)</f>
        <v>Blackpoll Warbler</v>
      </c>
      <c r="E435" s="3" t="str">
        <f>VLOOKUP(B435,[1]LifeList!$E$2:$G$2036,2)</f>
        <v>Paruline rayée</v>
      </c>
      <c r="F435" s="3" t="str">
        <f>VLOOKUP(B435,[1]LifeList!$E$2:$G$2036,3)</f>
        <v>Setophaga striata</v>
      </c>
      <c r="G435" s="3" t="str">
        <f>VLOOKUP(B435,[1]LifeList!$E$2:$I$2036,4)</f>
        <v>Passeriformes</v>
      </c>
      <c r="H435" s="3" t="str">
        <f>VLOOKUP(B435,[1]LifeList!$E$2:$I$2036,5)</f>
        <v>Parulidae (New World Warblers)</v>
      </c>
    </row>
    <row r="436" spans="1:8" x14ac:dyDescent="0.15">
      <c r="A436" s="3" t="s">
        <v>417</v>
      </c>
      <c r="B436" s="3" t="s">
        <v>4114</v>
      </c>
      <c r="C436" s="3">
        <v>5860</v>
      </c>
      <c r="D436" s="3" t="str">
        <f>VLOOKUP(B436,[1]LifeList!$E$2:$G$2036,1)</f>
        <v>Blacksmith Lapwing</v>
      </c>
      <c r="E436" s="3" t="str">
        <f>VLOOKUP(B436,[1]LifeList!$E$2:$G$2036,2)</f>
        <v>Vanneau armé</v>
      </c>
      <c r="F436" s="3" t="str">
        <f>VLOOKUP(B436,[1]LifeList!$E$2:$G$2036,3)</f>
        <v>Vanellus armatus</v>
      </c>
      <c r="G436" s="3" t="str">
        <f>VLOOKUP(B436,[1]LifeList!$E$2:$I$2036,4)</f>
        <v>Charadriiformes</v>
      </c>
      <c r="H436" s="3" t="str">
        <f>VLOOKUP(B436,[1]LifeList!$E$2:$I$2036,5)</f>
        <v>Charadriidae (Plovers and Lapwings)</v>
      </c>
    </row>
    <row r="437" spans="1:8" x14ac:dyDescent="0.15">
      <c r="A437" s="3" t="s">
        <v>418</v>
      </c>
      <c r="B437" s="3" t="s">
        <v>4114</v>
      </c>
      <c r="C437" s="3">
        <v>5860</v>
      </c>
      <c r="D437" s="3" t="str">
        <f>VLOOKUP(B437,[1]LifeList!$E$2:$G$2036,1)</f>
        <v>Blacksmith Lapwing</v>
      </c>
      <c r="E437" s="3" t="str">
        <f>VLOOKUP(B437,[1]LifeList!$E$2:$G$2036,2)</f>
        <v>Vanneau armé</v>
      </c>
      <c r="F437" s="3" t="str">
        <f>VLOOKUP(B437,[1]LifeList!$E$2:$G$2036,3)</f>
        <v>Vanellus armatus</v>
      </c>
      <c r="G437" s="3" t="str">
        <f>VLOOKUP(B437,[1]LifeList!$E$2:$I$2036,4)</f>
        <v>Charadriiformes</v>
      </c>
      <c r="H437" s="3" t="str">
        <f>VLOOKUP(B437,[1]LifeList!$E$2:$I$2036,5)</f>
        <v>Charadriidae (Plovers and Lapwings)</v>
      </c>
    </row>
    <row r="438" spans="1:8" x14ac:dyDescent="0.15">
      <c r="A438" s="3" t="s">
        <v>419</v>
      </c>
      <c r="B438" s="3" t="s">
        <v>4114</v>
      </c>
      <c r="C438" s="3">
        <v>5860</v>
      </c>
      <c r="D438" s="3" t="str">
        <f>VLOOKUP(B438,[1]LifeList!$E$2:$G$2036,1)</f>
        <v>Blacksmith Lapwing</v>
      </c>
      <c r="E438" s="3" t="str">
        <f>VLOOKUP(B438,[1]LifeList!$E$2:$G$2036,2)</f>
        <v>Vanneau armé</v>
      </c>
      <c r="F438" s="3" t="str">
        <f>VLOOKUP(B438,[1]LifeList!$E$2:$G$2036,3)</f>
        <v>Vanellus armatus</v>
      </c>
      <c r="G438" s="3" t="str">
        <f>VLOOKUP(B438,[1]LifeList!$E$2:$I$2036,4)</f>
        <v>Charadriiformes</v>
      </c>
      <c r="H438" s="3" t="str">
        <f>VLOOKUP(B438,[1]LifeList!$E$2:$I$2036,5)</f>
        <v>Charadriidae (Plovers and Lapwings)</v>
      </c>
    </row>
    <row r="439" spans="1:8" x14ac:dyDescent="0.15">
      <c r="A439" s="3" t="s">
        <v>420</v>
      </c>
      <c r="B439" s="3" t="s">
        <v>4114</v>
      </c>
      <c r="C439" s="3">
        <v>5860</v>
      </c>
      <c r="D439" s="3" t="str">
        <f>VLOOKUP(B439,[1]LifeList!$E$2:$G$2036,1)</f>
        <v>Blacksmith Lapwing</v>
      </c>
      <c r="E439" s="3" t="str">
        <f>VLOOKUP(B439,[1]LifeList!$E$2:$G$2036,2)</f>
        <v>Vanneau armé</v>
      </c>
      <c r="F439" s="3" t="str">
        <f>VLOOKUP(B439,[1]LifeList!$E$2:$G$2036,3)</f>
        <v>Vanellus armatus</v>
      </c>
      <c r="G439" s="3" t="str">
        <f>VLOOKUP(B439,[1]LifeList!$E$2:$I$2036,4)</f>
        <v>Charadriiformes</v>
      </c>
      <c r="H439" s="3" t="str">
        <f>VLOOKUP(B439,[1]LifeList!$E$2:$I$2036,5)</f>
        <v>Charadriidae (Plovers and Lapwings)</v>
      </c>
    </row>
    <row r="440" spans="1:8" x14ac:dyDescent="0.15">
      <c r="A440" s="3" t="s">
        <v>469</v>
      </c>
      <c r="B440" s="3" t="s">
        <v>4115</v>
      </c>
      <c r="C440" s="3">
        <v>15923</v>
      </c>
      <c r="D440" s="3" t="str">
        <f>VLOOKUP(B440,[1]LifeList!$E$2:$G$2036,1)</f>
        <v>Blue Cotinga</v>
      </c>
      <c r="E440" s="3" t="str">
        <f>VLOOKUP(B440,[1]LifeList!$E$2:$G$2036,2)</f>
        <v>Cotinga bleu</v>
      </c>
      <c r="F440" s="3" t="str">
        <f>VLOOKUP(B440,[1]LifeList!$E$2:$G$2036,3)</f>
        <v>Cotinga nattererii</v>
      </c>
      <c r="G440" s="3" t="str">
        <f>VLOOKUP(B440,[1]LifeList!$E$2:$I$2036,4)</f>
        <v>Passeriformes</v>
      </c>
      <c r="H440" s="3" t="str">
        <f>VLOOKUP(B440,[1]LifeList!$E$2:$I$2036,5)</f>
        <v>Cotingidae (Cotingas)</v>
      </c>
    </row>
    <row r="441" spans="1:8" x14ac:dyDescent="0.15">
      <c r="A441" s="3" t="s">
        <v>470</v>
      </c>
      <c r="B441" s="3" t="s">
        <v>4116</v>
      </c>
      <c r="C441" s="3">
        <v>3066</v>
      </c>
      <c r="D441" s="3" t="str">
        <f>VLOOKUP(B441,[1]LifeList!$E$2:$G$2036,1)</f>
        <v>Blue Coua</v>
      </c>
      <c r="E441" s="3" t="str">
        <f>VLOOKUP(B441,[1]LifeList!$E$2:$G$2036,2)</f>
        <v>Coua bleu</v>
      </c>
      <c r="F441" s="3" t="str">
        <f>VLOOKUP(B441,[1]LifeList!$E$2:$G$2036,3)</f>
        <v>Coua caerulea</v>
      </c>
      <c r="G441" s="3" t="str">
        <f>VLOOKUP(B441,[1]LifeList!$E$2:$I$2036,4)</f>
        <v>Cuculiformes</v>
      </c>
      <c r="H441" s="3" t="str">
        <f>VLOOKUP(B441,[1]LifeList!$E$2:$I$2036,5)</f>
        <v>Cuculidae (Cuckoos)</v>
      </c>
    </row>
    <row r="442" spans="1:8" x14ac:dyDescent="0.15">
      <c r="A442" s="3" t="s">
        <v>471</v>
      </c>
      <c r="B442" s="3" t="s">
        <v>4117</v>
      </c>
      <c r="C442" s="3">
        <v>5714</v>
      </c>
      <c r="D442" s="3" t="str">
        <f>VLOOKUP(B442,[1]LifeList!$E$2:$G$2036,1)</f>
        <v>Blue Crane</v>
      </c>
      <c r="E442" s="3" t="str">
        <f>VLOOKUP(B442,[1]LifeList!$E$2:$G$2036,2)</f>
        <v>Grue de paradis</v>
      </c>
      <c r="F442" s="3" t="str">
        <f>VLOOKUP(B442,[1]LifeList!$E$2:$G$2036,3)</f>
        <v>Grus paradiseus</v>
      </c>
      <c r="G442" s="3" t="str">
        <f>VLOOKUP(B442,[1]LifeList!$E$2:$I$2036,4)</f>
        <v>Gruiformes</v>
      </c>
      <c r="H442" s="3" t="str">
        <f>VLOOKUP(B442,[1]LifeList!$E$2:$I$2036,5)</f>
        <v>Gruidae (Cranes)</v>
      </c>
    </row>
    <row r="443" spans="1:8" x14ac:dyDescent="0.15">
      <c r="A443" s="3" t="s">
        <v>472</v>
      </c>
      <c r="B443" s="3" t="s">
        <v>4118</v>
      </c>
      <c r="C443" s="3">
        <v>35152</v>
      </c>
      <c r="D443" s="3" t="str">
        <f>VLOOKUP(B443,[1]LifeList!$E$2:$G$2036,1)</f>
        <v>Blue Dacnis</v>
      </c>
      <c r="E443" s="3" t="str">
        <f>VLOOKUP(B443,[1]LifeList!$E$2:$G$2036,2)</f>
        <v>Dacnis bleu</v>
      </c>
      <c r="F443" s="3" t="str">
        <f>VLOOKUP(B443,[1]LifeList!$E$2:$G$2036,3)</f>
        <v>Dacnis cayana</v>
      </c>
      <c r="G443" s="3" t="str">
        <f>VLOOKUP(B443,[1]LifeList!$E$2:$I$2036,4)</f>
        <v>Passeriformes</v>
      </c>
      <c r="H443" s="3" t="str">
        <f>VLOOKUP(B443,[1]LifeList!$E$2:$I$2036,5)</f>
        <v>Thraupidae (Tanagers and Allies)</v>
      </c>
    </row>
    <row r="444" spans="1:8" x14ac:dyDescent="0.15">
      <c r="A444" s="3" t="s">
        <v>3821</v>
      </c>
      <c r="B444" s="3" t="s">
        <v>4118</v>
      </c>
      <c r="C444" s="3">
        <v>35152</v>
      </c>
      <c r="D444" s="3" t="str">
        <f>VLOOKUP(B444,[1]LifeList!$E$2:$G$2036,1)</f>
        <v>Blue Dacnis</v>
      </c>
      <c r="E444" s="3" t="str">
        <f>VLOOKUP(B444,[1]LifeList!$E$2:$G$2036,2)</f>
        <v>Dacnis bleu</v>
      </c>
      <c r="F444" s="3" t="str">
        <f>VLOOKUP(B444,[1]LifeList!$E$2:$G$2036,3)</f>
        <v>Dacnis cayana</v>
      </c>
      <c r="G444" s="3" t="str">
        <f>VLOOKUP(B444,[1]LifeList!$E$2:$I$2036,4)</f>
        <v>Passeriformes</v>
      </c>
      <c r="H444" s="3" t="str">
        <f>VLOOKUP(B444,[1]LifeList!$E$2:$I$2036,5)</f>
        <v>Thraupidae (Tanagers and Allies)</v>
      </c>
    </row>
    <row r="445" spans="1:8" x14ac:dyDescent="0.15">
      <c r="A445" s="3" t="s">
        <v>473</v>
      </c>
      <c r="B445" s="3" t="s">
        <v>4119</v>
      </c>
      <c r="C445" s="3">
        <v>34598</v>
      </c>
      <c r="D445" s="3" t="str">
        <f>VLOOKUP(B445,[1]LifeList!$E$2:$G$2036,1)</f>
        <v>Blue Grosbeak</v>
      </c>
      <c r="E445" s="3" t="str">
        <f>VLOOKUP(B445,[1]LifeList!$E$2:$G$2036,2)</f>
        <v>Guiraca bleu</v>
      </c>
      <c r="F445" s="3" t="str">
        <f>VLOOKUP(B445,[1]LifeList!$E$2:$G$2036,3)</f>
        <v>Passerina caerulea</v>
      </c>
      <c r="G445" s="3" t="str">
        <f>VLOOKUP(B445,[1]LifeList!$E$2:$I$2036,4)</f>
        <v>Passeriformes</v>
      </c>
      <c r="H445" s="3" t="str">
        <f>VLOOKUP(B445,[1]LifeList!$E$2:$I$2036,5)</f>
        <v>Cardinalidae (Cardinals and Allies)</v>
      </c>
    </row>
    <row r="446" spans="1:8" x14ac:dyDescent="0.15">
      <c r="A446" s="3" t="s">
        <v>474</v>
      </c>
      <c r="B446" s="3" t="s">
        <v>4120</v>
      </c>
      <c r="C446" s="3">
        <v>21294</v>
      </c>
      <c r="D446" s="3" t="str">
        <f>VLOOKUP(B446,[1]LifeList!$E$2:$G$2036,1)</f>
        <v>Blue Jay</v>
      </c>
      <c r="E446" s="3" t="str">
        <f>VLOOKUP(B446,[1]LifeList!$E$2:$G$2036,2)</f>
        <v>Geai bleu</v>
      </c>
      <c r="F446" s="3" t="str">
        <f>VLOOKUP(B446,[1]LifeList!$E$2:$G$2036,3)</f>
        <v>Cyanocitta cristata</v>
      </c>
      <c r="G446" s="3" t="str">
        <f>VLOOKUP(B446,[1]LifeList!$E$2:$I$2036,4)</f>
        <v>Passeriformes</v>
      </c>
      <c r="H446" s="3" t="str">
        <f>VLOOKUP(B446,[1]LifeList!$E$2:$I$2036,5)</f>
        <v>Corvidae (Crows, Jays, and Magpies)</v>
      </c>
    </row>
    <row r="447" spans="1:8" x14ac:dyDescent="0.15">
      <c r="A447" s="3" t="s">
        <v>475</v>
      </c>
      <c r="B447" s="3" t="s">
        <v>4120</v>
      </c>
      <c r="C447" s="3">
        <v>21294</v>
      </c>
      <c r="D447" s="3" t="str">
        <f>VLOOKUP(B447,[1]LifeList!$E$2:$G$2036,1)</f>
        <v>Blue Jay</v>
      </c>
      <c r="E447" s="3" t="str">
        <f>VLOOKUP(B447,[1]LifeList!$E$2:$G$2036,2)</f>
        <v>Geai bleu</v>
      </c>
      <c r="F447" s="3" t="str">
        <f>VLOOKUP(B447,[1]LifeList!$E$2:$G$2036,3)</f>
        <v>Cyanocitta cristata</v>
      </c>
      <c r="G447" s="3" t="str">
        <f>VLOOKUP(B447,[1]LifeList!$E$2:$I$2036,4)</f>
        <v>Passeriformes</v>
      </c>
      <c r="H447" s="3" t="str">
        <f>VLOOKUP(B447,[1]LifeList!$E$2:$I$2036,5)</f>
        <v>Corvidae (Crows, Jays, and Magpies)</v>
      </c>
    </row>
    <row r="448" spans="1:8" x14ac:dyDescent="0.15">
      <c r="A448" s="3" t="s">
        <v>426</v>
      </c>
      <c r="B448" s="3" t="s">
        <v>4121</v>
      </c>
      <c r="C448" s="3">
        <v>35036</v>
      </c>
      <c r="D448" s="3" t="str">
        <f>VLOOKUP(B448,[1]LifeList!$E$2:$G$2036,1)</f>
        <v>Blue-and-black Tanager</v>
      </c>
      <c r="E448" s="3" t="str">
        <f>VLOOKUP(B448,[1]LifeList!$E$2:$G$2036,2)</f>
        <v>Calliste bleu et noir</v>
      </c>
      <c r="F448" s="3" t="str">
        <f>VLOOKUP(B448,[1]LifeList!$E$2:$G$2036,3)</f>
        <v>Tangara vassorii</v>
      </c>
      <c r="G448" s="3" t="str">
        <f>VLOOKUP(B448,[1]LifeList!$E$2:$I$2036,4)</f>
        <v>Passeriformes</v>
      </c>
      <c r="H448" s="3" t="str">
        <f>VLOOKUP(B448,[1]LifeList!$E$2:$I$2036,5)</f>
        <v>Thraupidae (Tanagers and Allies)</v>
      </c>
    </row>
    <row r="449" spans="1:8" x14ac:dyDescent="0.15">
      <c r="A449" s="3" t="s">
        <v>425</v>
      </c>
      <c r="B449" s="3" t="s">
        <v>4122</v>
      </c>
      <c r="C449" s="3">
        <v>13140</v>
      </c>
      <c r="D449" s="3" t="str">
        <f>VLOOKUP(B449,[1]LifeList!$E$2:$G$2036,1)</f>
        <v>Blue-and-yellow Macaw</v>
      </c>
      <c r="E449" s="3" t="str">
        <f>VLOOKUP(B449,[1]LifeList!$E$2:$G$2036,2)</f>
        <v>Ara bleu</v>
      </c>
      <c r="F449" s="3" t="str">
        <f>VLOOKUP(B449,[1]LifeList!$E$2:$G$2036,3)</f>
        <v>Ara ararauna</v>
      </c>
      <c r="G449" s="3" t="str">
        <f>VLOOKUP(B449,[1]LifeList!$E$2:$I$2036,4)</f>
        <v>Psittaciformes</v>
      </c>
      <c r="H449" s="3" t="str">
        <f>VLOOKUP(B449,[1]LifeList!$E$2:$I$2036,5)</f>
        <v>Psittacidae (New World and African Parrots)</v>
      </c>
    </row>
    <row r="450" spans="1:8" x14ac:dyDescent="0.15">
      <c r="A450" s="3" t="s">
        <v>427</v>
      </c>
      <c r="B450" s="3" t="s">
        <v>4123</v>
      </c>
      <c r="C450" s="3">
        <v>480</v>
      </c>
      <c r="D450" s="3" t="str">
        <f>VLOOKUP(B450,[1]LifeList!$E$2:$G$2036,1)</f>
        <v>Blue-billed Teal</v>
      </c>
      <c r="E450" s="3" t="str">
        <f>VLOOKUP(B450,[1]LifeList!$E$2:$G$2036,2)</f>
        <v>Sarcelle à bec bleu</v>
      </c>
      <c r="F450" s="3" t="str">
        <f>VLOOKUP(B450,[1]LifeList!$E$2:$G$2036,3)</f>
        <v>Spatula hottentota</v>
      </c>
      <c r="G450" s="3" t="str">
        <f>VLOOKUP(B450,[1]LifeList!$E$2:$I$2036,4)</f>
        <v>Anseriformes</v>
      </c>
      <c r="H450" s="3" t="str">
        <f>VLOOKUP(B450,[1]LifeList!$E$2:$I$2036,5)</f>
        <v>Anatidae (Ducks, Geese, and Waterfowl)</v>
      </c>
    </row>
    <row r="451" spans="1:8" x14ac:dyDescent="0.15">
      <c r="A451" s="3" t="s">
        <v>429</v>
      </c>
      <c r="B451" s="3" t="s">
        <v>4124</v>
      </c>
      <c r="C451" s="3">
        <v>35510</v>
      </c>
      <c r="D451" s="3" t="str">
        <f>VLOOKUP(B451,[1]LifeList!$E$2:$G$2036,1)</f>
        <v>Blue-black Grassquit</v>
      </c>
      <c r="E451" s="3" t="str">
        <f>VLOOKUP(B451,[1]LifeList!$E$2:$G$2036,2)</f>
        <v>Jacarini noir</v>
      </c>
      <c r="F451" s="3" t="str">
        <f>VLOOKUP(B451,[1]LifeList!$E$2:$G$2036,3)</f>
        <v>Volatinia jacarina</v>
      </c>
      <c r="G451" s="3" t="str">
        <f>VLOOKUP(B451,[1]LifeList!$E$2:$I$2036,4)</f>
        <v>Passeriformes</v>
      </c>
      <c r="H451" s="3" t="str">
        <f>VLOOKUP(B451,[1]LifeList!$E$2:$I$2036,5)</f>
        <v>Thraupidae (Tanagers and Allies)</v>
      </c>
    </row>
    <row r="452" spans="1:8" x14ac:dyDescent="0.15">
      <c r="A452" s="3" t="s">
        <v>430</v>
      </c>
      <c r="B452" s="3" t="s">
        <v>4124</v>
      </c>
      <c r="C452" s="3">
        <v>35510</v>
      </c>
      <c r="D452" s="3" t="str">
        <f>VLOOKUP(B452,[1]LifeList!$E$2:$G$2036,1)</f>
        <v>Blue-black Grassquit</v>
      </c>
      <c r="E452" s="3" t="str">
        <f>VLOOKUP(B452,[1]LifeList!$E$2:$G$2036,2)</f>
        <v>Jacarini noir</v>
      </c>
      <c r="F452" s="3" t="str">
        <f>VLOOKUP(B452,[1]LifeList!$E$2:$G$2036,3)</f>
        <v>Volatinia jacarina</v>
      </c>
      <c r="G452" s="3" t="str">
        <f>VLOOKUP(B452,[1]LifeList!$E$2:$I$2036,4)</f>
        <v>Passeriformes</v>
      </c>
      <c r="H452" s="3" t="str">
        <f>VLOOKUP(B452,[1]LifeList!$E$2:$I$2036,5)</f>
        <v>Thraupidae (Tanagers and Allies)</v>
      </c>
    </row>
    <row r="453" spans="1:8" x14ac:dyDescent="0.15">
      <c r="A453" s="3" t="s">
        <v>428</v>
      </c>
      <c r="B453" s="3" t="s">
        <v>4124</v>
      </c>
      <c r="C453" s="3">
        <v>35510</v>
      </c>
      <c r="D453" s="3" t="str">
        <f>VLOOKUP(B453,[1]LifeList!$E$2:$G$2036,1)</f>
        <v>Blue-black Grassquit</v>
      </c>
      <c r="E453" s="3" t="str">
        <f>VLOOKUP(B453,[1]LifeList!$E$2:$G$2036,2)</f>
        <v>Jacarini noir</v>
      </c>
      <c r="F453" s="3" t="str">
        <f>VLOOKUP(B453,[1]LifeList!$E$2:$G$2036,3)</f>
        <v>Volatinia jacarina</v>
      </c>
      <c r="G453" s="3" t="str">
        <f>VLOOKUP(B453,[1]LifeList!$E$2:$I$2036,4)</f>
        <v>Passeriformes</v>
      </c>
      <c r="H453" s="3" t="str">
        <f>VLOOKUP(B453,[1]LifeList!$E$2:$I$2036,5)</f>
        <v>Thraupidae (Tanagers and Allies)</v>
      </c>
    </row>
    <row r="454" spans="1:8" x14ac:dyDescent="0.15">
      <c r="A454" s="3" t="s">
        <v>431</v>
      </c>
      <c r="B454" s="3" t="s">
        <v>4125</v>
      </c>
      <c r="C454" s="3">
        <v>5190</v>
      </c>
      <c r="D454" s="3" t="str">
        <f>VLOOKUP(B454,[1]LifeList!$E$2:$G$2036,1)</f>
        <v>Blue-chested Hummingbird</v>
      </c>
      <c r="E454" s="3" t="str">
        <f>VLOOKUP(B454,[1]LifeList!$E$2:$G$2036,2)</f>
        <v>Ariane aimable</v>
      </c>
      <c r="F454" s="3" t="str">
        <f>VLOOKUP(B454,[1]LifeList!$E$2:$G$2036,3)</f>
        <v>Polyerata amabilis</v>
      </c>
      <c r="G454" s="3" t="str">
        <f>VLOOKUP(B454,[1]LifeList!$E$2:$I$2036,4)</f>
        <v>Apodiformes</v>
      </c>
      <c r="H454" s="3" t="str">
        <f>VLOOKUP(B454,[1]LifeList!$E$2:$I$2036,5)</f>
        <v>Trochilidae (Hummingbirds)</v>
      </c>
    </row>
    <row r="455" spans="1:8" x14ac:dyDescent="0.15">
      <c r="A455" s="3" t="s">
        <v>432</v>
      </c>
      <c r="B455" s="3" t="s">
        <v>4125</v>
      </c>
      <c r="C455" s="3">
        <v>5190</v>
      </c>
      <c r="D455" s="3" t="str">
        <f>VLOOKUP(B455,[1]LifeList!$E$2:$G$2036,1)</f>
        <v>Blue-chested Hummingbird</v>
      </c>
      <c r="E455" s="3" t="str">
        <f>VLOOKUP(B455,[1]LifeList!$E$2:$G$2036,2)</f>
        <v>Ariane aimable</v>
      </c>
      <c r="F455" s="3" t="str">
        <f>VLOOKUP(B455,[1]LifeList!$E$2:$G$2036,3)</f>
        <v>Polyerata amabilis</v>
      </c>
      <c r="G455" s="3" t="str">
        <f>VLOOKUP(B455,[1]LifeList!$E$2:$I$2036,4)</f>
        <v>Apodiformes</v>
      </c>
      <c r="H455" s="3" t="str">
        <f>VLOOKUP(B455,[1]LifeList!$E$2:$I$2036,5)</f>
        <v>Trochilidae (Hummingbirds)</v>
      </c>
    </row>
    <row r="456" spans="1:8" x14ac:dyDescent="0.15">
      <c r="A456" s="3" t="s">
        <v>433</v>
      </c>
      <c r="B456" s="3" t="s">
        <v>4126</v>
      </c>
      <c r="C456" s="3">
        <v>13164</v>
      </c>
      <c r="D456" s="3" t="str">
        <f>VLOOKUP(B456,[1]LifeList!$E$2:$G$2036,1)</f>
        <v>Blue-crowned Parakeet</v>
      </c>
      <c r="E456" s="3" t="str">
        <f>VLOOKUP(B456,[1]LifeList!$E$2:$G$2036,2)</f>
        <v>Conure à tête bleue</v>
      </c>
      <c r="F456" s="3" t="str">
        <f>VLOOKUP(B456,[1]LifeList!$E$2:$G$2036,3)</f>
        <v>Thectocercus acuticaudatus</v>
      </c>
      <c r="G456" s="3" t="str">
        <f>VLOOKUP(B456,[1]LifeList!$E$2:$I$2036,4)</f>
        <v>Psittaciformes</v>
      </c>
      <c r="H456" s="3" t="str">
        <f>VLOOKUP(B456,[1]LifeList!$E$2:$I$2036,5)</f>
        <v>Psittacidae (New World and African Parrots)</v>
      </c>
    </row>
    <row r="457" spans="1:8" x14ac:dyDescent="0.15">
      <c r="A457" s="3" t="s">
        <v>434</v>
      </c>
      <c r="B457" s="3" t="s">
        <v>4126</v>
      </c>
      <c r="C457" s="3">
        <v>13164</v>
      </c>
      <c r="D457" s="3" t="str">
        <f>VLOOKUP(B457,[1]LifeList!$E$2:$G$2036,1)</f>
        <v>Blue-crowned Parakeet</v>
      </c>
      <c r="E457" s="3" t="str">
        <f>VLOOKUP(B457,[1]LifeList!$E$2:$G$2036,2)</f>
        <v>Conure à tête bleue</v>
      </c>
      <c r="F457" s="3" t="str">
        <f>VLOOKUP(B457,[1]LifeList!$E$2:$G$2036,3)</f>
        <v>Thectocercus acuticaudatus</v>
      </c>
      <c r="G457" s="3" t="str">
        <f>VLOOKUP(B457,[1]LifeList!$E$2:$I$2036,4)</f>
        <v>Psittaciformes</v>
      </c>
      <c r="H457" s="3" t="str">
        <f>VLOOKUP(B457,[1]LifeList!$E$2:$I$2036,5)</f>
        <v>Psittacidae (New World and African Parrots)</v>
      </c>
    </row>
    <row r="458" spans="1:8" x14ac:dyDescent="0.15">
      <c r="A458" s="3" t="s">
        <v>435</v>
      </c>
      <c r="B458" s="3" t="s">
        <v>4126</v>
      </c>
      <c r="C458" s="3">
        <v>13164</v>
      </c>
      <c r="D458" s="3" t="str">
        <f>VLOOKUP(B458,[1]LifeList!$E$2:$G$2036,1)</f>
        <v>Blue-crowned Parakeet</v>
      </c>
      <c r="E458" s="3" t="str">
        <f>VLOOKUP(B458,[1]LifeList!$E$2:$G$2036,2)</f>
        <v>Conure à tête bleue</v>
      </c>
      <c r="F458" s="3" t="str">
        <f>VLOOKUP(B458,[1]LifeList!$E$2:$G$2036,3)</f>
        <v>Thectocercus acuticaudatus</v>
      </c>
      <c r="G458" s="3" t="str">
        <f>VLOOKUP(B458,[1]LifeList!$E$2:$I$2036,4)</f>
        <v>Psittaciformes</v>
      </c>
      <c r="H458" s="3" t="str">
        <f>VLOOKUP(B458,[1]LifeList!$E$2:$I$2036,5)</f>
        <v>Psittacidae (New World and African Parrots)</v>
      </c>
    </row>
    <row r="459" spans="1:8" x14ac:dyDescent="0.15">
      <c r="A459" s="3" t="s">
        <v>436</v>
      </c>
      <c r="B459" s="3" t="s">
        <v>4127</v>
      </c>
      <c r="C459" s="3">
        <v>7358</v>
      </c>
      <c r="D459" s="3" t="str">
        <f>VLOOKUP(B459,[1]LifeList!$E$2:$G$2036,1)</f>
        <v>Blue-footed Booby</v>
      </c>
      <c r="E459" s="3" t="str">
        <f>VLOOKUP(B459,[1]LifeList!$E$2:$G$2036,2)</f>
        <v>Fou à pieds bleus</v>
      </c>
      <c r="F459" s="3" t="str">
        <f>VLOOKUP(B459,[1]LifeList!$E$2:$G$2036,3)</f>
        <v>Sula nebouxii</v>
      </c>
      <c r="G459" s="3" t="str">
        <f>VLOOKUP(B459,[1]LifeList!$E$2:$I$2036,4)</f>
        <v>Suliformes</v>
      </c>
      <c r="H459" s="3" t="str">
        <f>VLOOKUP(B459,[1]LifeList!$E$2:$I$2036,5)</f>
        <v>Sulidae (Boobies and Gannets)</v>
      </c>
    </row>
    <row r="460" spans="1:8" x14ac:dyDescent="0.15">
      <c r="A460" s="3" t="s">
        <v>437</v>
      </c>
      <c r="B460" s="3" t="s">
        <v>4127</v>
      </c>
      <c r="C460" s="3">
        <v>7358</v>
      </c>
      <c r="D460" s="3" t="str">
        <f>VLOOKUP(B460,[1]LifeList!$E$2:$G$2036,1)</f>
        <v>Blue-footed Booby</v>
      </c>
      <c r="E460" s="3" t="str">
        <f>VLOOKUP(B460,[1]LifeList!$E$2:$G$2036,2)</f>
        <v>Fou à pieds bleus</v>
      </c>
      <c r="F460" s="3" t="str">
        <f>VLOOKUP(B460,[1]LifeList!$E$2:$G$2036,3)</f>
        <v>Sula nebouxii</v>
      </c>
      <c r="G460" s="3" t="str">
        <f>VLOOKUP(B460,[1]LifeList!$E$2:$I$2036,4)</f>
        <v>Suliformes</v>
      </c>
      <c r="H460" s="3" t="str">
        <f>VLOOKUP(B460,[1]LifeList!$E$2:$I$2036,5)</f>
        <v>Sulidae (Boobies and Gannets)</v>
      </c>
    </row>
    <row r="461" spans="1:8" x14ac:dyDescent="0.15">
      <c r="A461" s="3" t="s">
        <v>438</v>
      </c>
      <c r="B461" s="3" t="s">
        <v>4128</v>
      </c>
      <c r="C461" s="3">
        <v>12797</v>
      </c>
      <c r="D461" s="3" t="str">
        <f>VLOOKUP(B461,[1]LifeList!$E$2:$G$2036,1)</f>
        <v>Blue-fronted Parrotlet</v>
      </c>
      <c r="E461" s="3" t="str">
        <f>VLOOKUP(B461,[1]LifeList!$E$2:$G$2036,2)</f>
        <v>Toui à front bleu</v>
      </c>
      <c r="F461" s="3" t="str">
        <f>VLOOKUP(B461,[1]LifeList!$E$2:$G$2036,3)</f>
        <v>Touit dilectissimus</v>
      </c>
      <c r="G461" s="3" t="str">
        <f>VLOOKUP(B461,[1]LifeList!$E$2:$I$2036,4)</f>
        <v>Psittaciformes</v>
      </c>
      <c r="H461" s="3" t="str">
        <f>VLOOKUP(B461,[1]LifeList!$E$2:$I$2036,5)</f>
        <v>Psittacidae (New World and African Parrots)</v>
      </c>
    </row>
    <row r="462" spans="1:8" x14ac:dyDescent="0.15">
      <c r="A462" s="3" t="s">
        <v>439</v>
      </c>
      <c r="B462" s="3" t="s">
        <v>4128</v>
      </c>
      <c r="C462" s="3">
        <v>12797</v>
      </c>
      <c r="D462" s="3" t="str">
        <f>VLOOKUP(B462,[1]LifeList!$E$2:$G$2036,1)</f>
        <v>Blue-fronted Parrotlet</v>
      </c>
      <c r="E462" s="3" t="str">
        <f>VLOOKUP(B462,[1]LifeList!$E$2:$G$2036,2)</f>
        <v>Toui à front bleu</v>
      </c>
      <c r="F462" s="3" t="str">
        <f>VLOOKUP(B462,[1]LifeList!$E$2:$G$2036,3)</f>
        <v>Touit dilectissimus</v>
      </c>
      <c r="G462" s="3" t="str">
        <f>VLOOKUP(B462,[1]LifeList!$E$2:$I$2036,4)</f>
        <v>Psittaciformes</v>
      </c>
      <c r="H462" s="3" t="str">
        <f>VLOOKUP(B462,[1]LifeList!$E$2:$I$2036,5)</f>
        <v>Psittacidae (New World and African Parrots)</v>
      </c>
    </row>
    <row r="463" spans="1:8" x14ac:dyDescent="0.15">
      <c r="A463" s="3" t="s">
        <v>441</v>
      </c>
      <c r="B463" s="3" t="s">
        <v>4129</v>
      </c>
      <c r="C463" s="3">
        <v>27123</v>
      </c>
      <c r="D463" s="3" t="str">
        <f>VLOOKUP(B463,[1]LifeList!$E$2:$G$2036,1)</f>
        <v>Blue-gray Gnatcatcher</v>
      </c>
      <c r="E463" s="3" t="str">
        <f>VLOOKUP(B463,[1]LifeList!$E$2:$G$2036,2)</f>
        <v>Gobemoucheron gris-bleu</v>
      </c>
      <c r="F463" s="3" t="str">
        <f>VLOOKUP(B463,[1]LifeList!$E$2:$G$2036,3)</f>
        <v>Polioptila caerulea</v>
      </c>
      <c r="G463" s="3" t="str">
        <f>VLOOKUP(B463,[1]LifeList!$E$2:$I$2036,4)</f>
        <v>Passeriformes</v>
      </c>
      <c r="H463" s="3" t="str">
        <f>VLOOKUP(B463,[1]LifeList!$E$2:$I$2036,5)</f>
        <v>Polioptilidae (Gnatcatchers)</v>
      </c>
    </row>
    <row r="464" spans="1:8" x14ac:dyDescent="0.15">
      <c r="A464" s="3" t="s">
        <v>442</v>
      </c>
      <c r="B464" s="3" t="s">
        <v>4129</v>
      </c>
      <c r="C464" s="3">
        <v>27123</v>
      </c>
      <c r="D464" s="3" t="str">
        <f>VLOOKUP(B464,[1]LifeList!$E$2:$G$2036,1)</f>
        <v>Blue-gray Gnatcatcher</v>
      </c>
      <c r="E464" s="3" t="str">
        <f>VLOOKUP(B464,[1]LifeList!$E$2:$G$2036,2)</f>
        <v>Gobemoucheron gris-bleu</v>
      </c>
      <c r="F464" s="3" t="str">
        <f>VLOOKUP(B464,[1]LifeList!$E$2:$G$2036,3)</f>
        <v>Polioptila caerulea</v>
      </c>
      <c r="G464" s="3" t="str">
        <f>VLOOKUP(B464,[1]LifeList!$E$2:$I$2036,4)</f>
        <v>Passeriformes</v>
      </c>
      <c r="H464" s="3" t="str">
        <f>VLOOKUP(B464,[1]LifeList!$E$2:$I$2036,5)</f>
        <v>Polioptilidae (Gnatcatchers)</v>
      </c>
    </row>
    <row r="465" spans="1:8" x14ac:dyDescent="0.15">
      <c r="A465" s="3" t="s">
        <v>443</v>
      </c>
      <c r="B465" s="3" t="s">
        <v>4129</v>
      </c>
      <c r="C465" s="3">
        <v>27123</v>
      </c>
      <c r="D465" s="3" t="str">
        <f>VLOOKUP(B465,[1]LifeList!$E$2:$G$2036,1)</f>
        <v>Blue-gray Gnatcatcher</v>
      </c>
      <c r="E465" s="3" t="str">
        <f>VLOOKUP(B465,[1]LifeList!$E$2:$G$2036,2)</f>
        <v>Gobemoucheron gris-bleu</v>
      </c>
      <c r="F465" s="3" t="str">
        <f>VLOOKUP(B465,[1]LifeList!$E$2:$G$2036,3)</f>
        <v>Polioptila caerulea</v>
      </c>
      <c r="G465" s="3" t="str">
        <f>VLOOKUP(B465,[1]LifeList!$E$2:$I$2036,4)</f>
        <v>Passeriformes</v>
      </c>
      <c r="H465" s="3" t="str">
        <f>VLOOKUP(B465,[1]LifeList!$E$2:$I$2036,5)</f>
        <v>Polioptilidae (Gnatcatchers)</v>
      </c>
    </row>
    <row r="466" spans="1:8" x14ac:dyDescent="0.15">
      <c r="A466" s="3" t="s">
        <v>444</v>
      </c>
      <c r="B466" s="3" t="s">
        <v>4129</v>
      </c>
      <c r="C466" s="3">
        <v>27123</v>
      </c>
      <c r="D466" s="3" t="str">
        <f>VLOOKUP(B466,[1]LifeList!$E$2:$G$2036,1)</f>
        <v>Blue-gray Gnatcatcher</v>
      </c>
      <c r="E466" s="3" t="str">
        <f>VLOOKUP(B466,[1]LifeList!$E$2:$G$2036,2)</f>
        <v>Gobemoucheron gris-bleu</v>
      </c>
      <c r="F466" s="3" t="str">
        <f>VLOOKUP(B466,[1]LifeList!$E$2:$G$2036,3)</f>
        <v>Polioptila caerulea</v>
      </c>
      <c r="G466" s="3" t="str">
        <f>VLOOKUP(B466,[1]LifeList!$E$2:$I$2036,4)</f>
        <v>Passeriformes</v>
      </c>
      <c r="H466" s="3" t="str">
        <f>VLOOKUP(B466,[1]LifeList!$E$2:$I$2036,5)</f>
        <v>Polioptilidae (Gnatcatchers)</v>
      </c>
    </row>
    <row r="467" spans="1:8" x14ac:dyDescent="0.15">
      <c r="A467" s="3" t="s">
        <v>440</v>
      </c>
      <c r="B467" s="3" t="s">
        <v>4129</v>
      </c>
      <c r="C467" s="3">
        <v>27123</v>
      </c>
      <c r="D467" s="3" t="str">
        <f>VLOOKUP(B467,[1]LifeList!$E$2:$G$2036,1)</f>
        <v>Blue-gray Gnatcatcher</v>
      </c>
      <c r="E467" s="3" t="str">
        <f>VLOOKUP(B467,[1]LifeList!$E$2:$G$2036,2)</f>
        <v>Gobemoucheron gris-bleu</v>
      </c>
      <c r="F467" s="3" t="str">
        <f>VLOOKUP(B467,[1]LifeList!$E$2:$G$2036,3)</f>
        <v>Polioptila caerulea</v>
      </c>
      <c r="G467" s="3" t="str">
        <f>VLOOKUP(B467,[1]LifeList!$E$2:$I$2036,4)</f>
        <v>Passeriformes</v>
      </c>
      <c r="H467" s="3" t="str">
        <f>VLOOKUP(B467,[1]LifeList!$E$2:$I$2036,5)</f>
        <v>Polioptilidae (Gnatcatchers)</v>
      </c>
    </row>
    <row r="468" spans="1:8" x14ac:dyDescent="0.15">
      <c r="A468" s="3" t="s">
        <v>422</v>
      </c>
      <c r="B468" s="3" t="s">
        <v>4130</v>
      </c>
      <c r="C468" s="3">
        <v>34933</v>
      </c>
      <c r="D468" s="3" t="str">
        <f>VLOOKUP(B468,[1]LifeList!$E$2:$G$2036,1)</f>
        <v>Blue-gray Tanager</v>
      </c>
      <c r="E468" s="3" t="str">
        <f>VLOOKUP(B468,[1]LifeList!$E$2:$G$2036,2)</f>
        <v>Tangara évêque</v>
      </c>
      <c r="F468" s="3" t="str">
        <f>VLOOKUP(B468,[1]LifeList!$E$2:$G$2036,3)</f>
        <v>Thraupis episcopus</v>
      </c>
      <c r="G468" s="3" t="str">
        <f>VLOOKUP(B468,[1]LifeList!$E$2:$I$2036,4)</f>
        <v>Passeriformes</v>
      </c>
      <c r="H468" s="3" t="str">
        <f>VLOOKUP(B468,[1]LifeList!$E$2:$I$2036,5)</f>
        <v>Thraupidae (Tanagers and Allies)</v>
      </c>
    </row>
    <row r="469" spans="1:8" x14ac:dyDescent="0.15">
      <c r="A469" s="3" t="s">
        <v>423</v>
      </c>
      <c r="B469" s="3" t="s">
        <v>4130</v>
      </c>
      <c r="C469" s="3">
        <v>34933</v>
      </c>
      <c r="D469" s="3" t="str">
        <f>VLOOKUP(B469,[1]LifeList!$E$2:$G$2036,1)</f>
        <v>Blue-gray Tanager</v>
      </c>
      <c r="E469" s="3" t="str">
        <f>VLOOKUP(B469,[1]LifeList!$E$2:$G$2036,2)</f>
        <v>Tangara évêque</v>
      </c>
      <c r="F469" s="3" t="str">
        <f>VLOOKUP(B469,[1]LifeList!$E$2:$G$2036,3)</f>
        <v>Thraupis episcopus</v>
      </c>
      <c r="G469" s="3" t="str">
        <f>VLOOKUP(B469,[1]LifeList!$E$2:$I$2036,4)</f>
        <v>Passeriformes</v>
      </c>
      <c r="H469" s="3" t="str">
        <f>VLOOKUP(B469,[1]LifeList!$E$2:$I$2036,5)</f>
        <v>Thraupidae (Tanagers and Allies)</v>
      </c>
    </row>
    <row r="470" spans="1:8" x14ac:dyDescent="0.15">
      <c r="A470" s="3" t="s">
        <v>424</v>
      </c>
      <c r="B470" s="3" t="s">
        <v>4130</v>
      </c>
      <c r="C470" s="3">
        <v>34933</v>
      </c>
      <c r="D470" s="3" t="str">
        <f>VLOOKUP(B470,[1]LifeList!$E$2:$G$2036,1)</f>
        <v>Blue-gray Tanager</v>
      </c>
      <c r="E470" s="3" t="str">
        <f>VLOOKUP(B470,[1]LifeList!$E$2:$G$2036,2)</f>
        <v>Tangara évêque</v>
      </c>
      <c r="F470" s="3" t="str">
        <f>VLOOKUP(B470,[1]LifeList!$E$2:$G$2036,3)</f>
        <v>Thraupis episcopus</v>
      </c>
      <c r="G470" s="3" t="str">
        <f>VLOOKUP(B470,[1]LifeList!$E$2:$I$2036,4)</f>
        <v>Passeriformes</v>
      </c>
      <c r="H470" s="3" t="str">
        <f>VLOOKUP(B470,[1]LifeList!$E$2:$I$2036,5)</f>
        <v>Thraupidae (Tanagers and Allies)</v>
      </c>
    </row>
    <row r="471" spans="1:8" x14ac:dyDescent="0.15">
      <c r="A471" s="3" t="s">
        <v>421</v>
      </c>
      <c r="B471" s="3" t="s">
        <v>4130</v>
      </c>
      <c r="C471" s="3">
        <v>34933</v>
      </c>
      <c r="D471" s="3" t="str">
        <f>VLOOKUP(B471,[1]LifeList!$E$2:$G$2036,1)</f>
        <v>Blue-gray Tanager</v>
      </c>
      <c r="E471" s="3" t="str">
        <f>VLOOKUP(B471,[1]LifeList!$E$2:$G$2036,2)</f>
        <v>Tangara évêque</v>
      </c>
      <c r="F471" s="3" t="str">
        <f>VLOOKUP(B471,[1]LifeList!$E$2:$G$2036,3)</f>
        <v>Thraupis episcopus</v>
      </c>
      <c r="G471" s="3" t="str">
        <f>VLOOKUP(B471,[1]LifeList!$E$2:$I$2036,4)</f>
        <v>Passeriformes</v>
      </c>
      <c r="H471" s="3" t="str">
        <f>VLOOKUP(B471,[1]LifeList!$E$2:$I$2036,5)</f>
        <v>Thraupidae (Tanagers and Allies)</v>
      </c>
    </row>
    <row r="472" spans="1:8" x14ac:dyDescent="0.15">
      <c r="A472" s="3" t="s">
        <v>445</v>
      </c>
      <c r="B472" s="3" t="s">
        <v>4131</v>
      </c>
      <c r="C472" s="3">
        <v>12889</v>
      </c>
      <c r="D472" s="3" t="str">
        <f>VLOOKUP(B472,[1]LifeList!$E$2:$G$2036,1)</f>
        <v>Blue-headed Parrot</v>
      </c>
      <c r="E472" s="3" t="str">
        <f>VLOOKUP(B472,[1]LifeList!$E$2:$G$2036,2)</f>
        <v>Pione à tête bleue</v>
      </c>
      <c r="F472" s="3" t="str">
        <f>VLOOKUP(B472,[1]LifeList!$E$2:$G$2036,3)</f>
        <v>Pionus menstruus</v>
      </c>
      <c r="G472" s="3" t="str">
        <f>VLOOKUP(B472,[1]LifeList!$E$2:$I$2036,4)</f>
        <v>Psittaciformes</v>
      </c>
      <c r="H472" s="3" t="str">
        <f>VLOOKUP(B472,[1]LifeList!$E$2:$I$2036,5)</f>
        <v>Psittacidae (New World and African Parrots)</v>
      </c>
    </row>
    <row r="473" spans="1:8" x14ac:dyDescent="0.15">
      <c r="A473" s="3" t="s">
        <v>446</v>
      </c>
      <c r="B473" s="3" t="s">
        <v>4132</v>
      </c>
      <c r="C473" s="3">
        <v>19226</v>
      </c>
      <c r="D473" s="3" t="str">
        <f>VLOOKUP(B473,[1]LifeList!$E$2:$G$2036,1)</f>
        <v>Blue-headed Vireo</v>
      </c>
      <c r="E473" s="3" t="str">
        <f>VLOOKUP(B473,[1]LifeList!$E$2:$G$2036,2)</f>
        <v>Viréo à tête bleue</v>
      </c>
      <c r="F473" s="3" t="str">
        <f>VLOOKUP(B473,[1]LifeList!$E$2:$G$2036,3)</f>
        <v>Vireo solitarius</v>
      </c>
      <c r="G473" s="3" t="str">
        <f>VLOOKUP(B473,[1]LifeList!$E$2:$I$2036,4)</f>
        <v>Passeriformes</v>
      </c>
      <c r="H473" s="3" t="str">
        <f>VLOOKUP(B473,[1]LifeList!$E$2:$I$2036,5)</f>
        <v>Vireonidae (Vireos, Shrike-Babblers, and Erpornis)</v>
      </c>
    </row>
    <row r="474" spans="1:8" x14ac:dyDescent="0.15">
      <c r="A474" s="3" t="s">
        <v>447</v>
      </c>
      <c r="B474" s="3" t="s">
        <v>4132</v>
      </c>
      <c r="C474" s="3">
        <v>19226</v>
      </c>
      <c r="D474" s="3" t="str">
        <f>VLOOKUP(B474,[1]LifeList!$E$2:$G$2036,1)</f>
        <v>Blue-headed Vireo</v>
      </c>
      <c r="E474" s="3" t="str">
        <f>VLOOKUP(B474,[1]LifeList!$E$2:$G$2036,2)</f>
        <v>Viréo à tête bleue</v>
      </c>
      <c r="F474" s="3" t="str">
        <f>VLOOKUP(B474,[1]LifeList!$E$2:$G$2036,3)</f>
        <v>Vireo solitarius</v>
      </c>
      <c r="G474" s="3" t="str">
        <f>VLOOKUP(B474,[1]LifeList!$E$2:$I$2036,4)</f>
        <v>Passeriformes</v>
      </c>
      <c r="H474" s="3" t="str">
        <f>VLOOKUP(B474,[1]LifeList!$E$2:$I$2036,5)</f>
        <v>Vireonidae (Vireos, Shrike-Babblers, and Erpornis)</v>
      </c>
    </row>
    <row r="475" spans="1:8" x14ac:dyDescent="0.15">
      <c r="A475" s="3" t="s">
        <v>448</v>
      </c>
      <c r="B475" s="3" t="s">
        <v>4132</v>
      </c>
      <c r="C475" s="3">
        <v>19226</v>
      </c>
      <c r="D475" s="3" t="str">
        <f>VLOOKUP(B475,[1]LifeList!$E$2:$G$2036,1)</f>
        <v>Blue-headed Vireo</v>
      </c>
      <c r="E475" s="3" t="str">
        <f>VLOOKUP(B475,[1]LifeList!$E$2:$G$2036,2)</f>
        <v>Viréo à tête bleue</v>
      </c>
      <c r="F475" s="3" t="str">
        <f>VLOOKUP(B475,[1]LifeList!$E$2:$G$2036,3)</f>
        <v>Vireo solitarius</v>
      </c>
      <c r="G475" s="3" t="str">
        <f>VLOOKUP(B475,[1]LifeList!$E$2:$I$2036,4)</f>
        <v>Passeriformes</v>
      </c>
      <c r="H475" s="3" t="str">
        <f>VLOOKUP(B475,[1]LifeList!$E$2:$I$2036,5)</f>
        <v>Vireonidae (Vireos, Shrike-Babblers, and Erpornis)</v>
      </c>
    </row>
    <row r="476" spans="1:8" x14ac:dyDescent="0.15">
      <c r="A476" s="3" t="s">
        <v>449</v>
      </c>
      <c r="B476" s="3" t="s">
        <v>4133</v>
      </c>
      <c r="C476" s="3">
        <v>31988</v>
      </c>
      <c r="D476" s="3" t="str">
        <f>VLOOKUP(B476,[1]LifeList!$E$2:$G$2036,1)</f>
        <v>Blue-naped Chlorophonia</v>
      </c>
      <c r="E476" s="3" t="str">
        <f>VLOOKUP(B476,[1]LifeList!$E$2:$G$2036,2)</f>
        <v>Organiste à nuque bleue</v>
      </c>
      <c r="F476" s="3" t="str">
        <f>VLOOKUP(B476,[1]LifeList!$E$2:$G$2036,3)</f>
        <v>Chlorophonia cyanea</v>
      </c>
      <c r="G476" s="3" t="str">
        <f>VLOOKUP(B476,[1]LifeList!$E$2:$I$2036,4)</f>
        <v>Passeriformes</v>
      </c>
      <c r="H476" s="3" t="str">
        <f>VLOOKUP(B476,[1]LifeList!$E$2:$I$2036,5)</f>
        <v>Fringillidae (Finches, Euphonias, and Allies)</v>
      </c>
    </row>
    <row r="477" spans="1:8" x14ac:dyDescent="0.15">
      <c r="A477" s="3" t="s">
        <v>450</v>
      </c>
      <c r="B477" s="3" t="s">
        <v>4133</v>
      </c>
      <c r="C477" s="3">
        <v>31988</v>
      </c>
      <c r="D477" s="3" t="str">
        <f>VLOOKUP(B477,[1]LifeList!$E$2:$G$2036,1)</f>
        <v>Blue-naped Chlorophonia</v>
      </c>
      <c r="E477" s="3" t="str">
        <f>VLOOKUP(B477,[1]LifeList!$E$2:$G$2036,2)</f>
        <v>Organiste à nuque bleue</v>
      </c>
      <c r="F477" s="3" t="str">
        <f>VLOOKUP(B477,[1]LifeList!$E$2:$G$2036,3)</f>
        <v>Chlorophonia cyanea</v>
      </c>
      <c r="G477" s="3" t="str">
        <f>VLOOKUP(B477,[1]LifeList!$E$2:$I$2036,4)</f>
        <v>Passeriformes</v>
      </c>
      <c r="H477" s="3" t="str">
        <f>VLOOKUP(B477,[1]LifeList!$E$2:$I$2036,5)</f>
        <v>Fringillidae (Finches, Euphonias, and Allies)</v>
      </c>
    </row>
    <row r="478" spans="1:8" x14ac:dyDescent="0.15">
      <c r="A478" s="3" t="s">
        <v>451</v>
      </c>
      <c r="B478" s="3" t="s">
        <v>4134</v>
      </c>
      <c r="C478" s="3">
        <v>35027</v>
      </c>
      <c r="D478" s="3" t="str">
        <f>VLOOKUP(B478,[1]LifeList!$E$2:$G$2036,1)</f>
        <v>Blue-necked Tanager</v>
      </c>
      <c r="E478" s="3" t="str">
        <f>VLOOKUP(B478,[1]LifeList!$E$2:$G$2036,2)</f>
        <v>Calliste à cou bleu</v>
      </c>
      <c r="F478" s="3" t="str">
        <f>VLOOKUP(B478,[1]LifeList!$E$2:$G$2036,3)</f>
        <v>Stilpnia cyanicollis</v>
      </c>
      <c r="G478" s="3" t="str">
        <f>VLOOKUP(B478,[1]LifeList!$E$2:$I$2036,4)</f>
        <v>Passeriformes</v>
      </c>
      <c r="H478" s="3" t="str">
        <f>VLOOKUP(B478,[1]LifeList!$E$2:$I$2036,5)</f>
        <v>Thraupidae (Tanagers and Allies)</v>
      </c>
    </row>
    <row r="479" spans="1:8" x14ac:dyDescent="0.15">
      <c r="A479" s="3" t="s">
        <v>452</v>
      </c>
      <c r="B479" s="3" t="s">
        <v>4134</v>
      </c>
      <c r="C479" s="3">
        <v>35027</v>
      </c>
      <c r="D479" s="3" t="str">
        <f>VLOOKUP(B479,[1]LifeList!$E$2:$G$2036,1)</f>
        <v>Blue-necked Tanager</v>
      </c>
      <c r="E479" s="3" t="str">
        <f>VLOOKUP(B479,[1]LifeList!$E$2:$G$2036,2)</f>
        <v>Calliste à cou bleu</v>
      </c>
      <c r="F479" s="3" t="str">
        <f>VLOOKUP(B479,[1]LifeList!$E$2:$G$2036,3)</f>
        <v>Stilpnia cyanicollis</v>
      </c>
      <c r="G479" s="3" t="str">
        <f>VLOOKUP(B479,[1]LifeList!$E$2:$I$2036,4)</f>
        <v>Passeriformes</v>
      </c>
      <c r="H479" s="3" t="str">
        <f>VLOOKUP(B479,[1]LifeList!$E$2:$I$2036,5)</f>
        <v>Thraupidae (Tanagers and Allies)</v>
      </c>
    </row>
    <row r="480" spans="1:8" x14ac:dyDescent="0.15">
      <c r="A480" s="3" t="s">
        <v>453</v>
      </c>
      <c r="B480" s="3" t="s">
        <v>4135</v>
      </c>
      <c r="C480" s="3">
        <v>5056</v>
      </c>
      <c r="D480" s="3" t="str">
        <f>VLOOKUP(B480,[1]LifeList!$E$2:$G$2036,1)</f>
        <v>Blue-vented Hummingbird</v>
      </c>
      <c r="E480" s="3" t="str">
        <f>VLOOKUP(B480,[1]LifeList!$E$2:$G$2036,2)</f>
        <v>Ariane de Hoffmann</v>
      </c>
      <c r="F480" s="3" t="str">
        <f>VLOOKUP(B480,[1]LifeList!$E$2:$G$2036,3)</f>
        <v>Saucerottia hoffmanni</v>
      </c>
      <c r="G480" s="3" t="str">
        <f>VLOOKUP(B480,[1]LifeList!$E$2:$I$2036,4)</f>
        <v>Apodiformes</v>
      </c>
      <c r="H480" s="3" t="str">
        <f>VLOOKUP(B480,[1]LifeList!$E$2:$I$2036,5)</f>
        <v>Trochilidae (Hummingbirds)</v>
      </c>
    </row>
    <row r="481" spans="1:8" x14ac:dyDescent="0.15">
      <c r="A481" s="3" t="s">
        <v>454</v>
      </c>
      <c r="B481" s="3" t="s">
        <v>4135</v>
      </c>
      <c r="C481" s="3">
        <v>5056</v>
      </c>
      <c r="D481" s="3" t="str">
        <f>VLOOKUP(B481,[1]LifeList!$E$2:$G$2036,1)</f>
        <v>Blue-vented Hummingbird</v>
      </c>
      <c r="E481" s="3" t="str">
        <f>VLOOKUP(B481,[1]LifeList!$E$2:$G$2036,2)</f>
        <v>Ariane de Hoffmann</v>
      </c>
      <c r="F481" s="3" t="str">
        <f>VLOOKUP(B481,[1]LifeList!$E$2:$G$2036,3)</f>
        <v>Saucerottia hoffmanni</v>
      </c>
      <c r="G481" s="3" t="str">
        <f>VLOOKUP(B481,[1]LifeList!$E$2:$I$2036,4)</f>
        <v>Apodiformes</v>
      </c>
      <c r="H481" s="3" t="str">
        <f>VLOOKUP(B481,[1]LifeList!$E$2:$I$2036,5)</f>
        <v>Trochilidae (Hummingbirds)</v>
      </c>
    </row>
    <row r="482" spans="1:8" x14ac:dyDescent="0.15">
      <c r="A482" s="3" t="s">
        <v>455</v>
      </c>
      <c r="B482" s="3" t="s">
        <v>4135</v>
      </c>
      <c r="C482" s="3">
        <v>5056</v>
      </c>
      <c r="D482" s="3" t="str">
        <f>VLOOKUP(B482,[1]LifeList!$E$2:$G$2036,1)</f>
        <v>Blue-vented Hummingbird</v>
      </c>
      <c r="E482" s="3" t="str">
        <f>VLOOKUP(B482,[1]LifeList!$E$2:$G$2036,2)</f>
        <v>Ariane de Hoffmann</v>
      </c>
      <c r="F482" s="3" t="str">
        <f>VLOOKUP(B482,[1]LifeList!$E$2:$G$2036,3)</f>
        <v>Saucerottia hoffmanni</v>
      </c>
      <c r="G482" s="3" t="str">
        <f>VLOOKUP(B482,[1]LifeList!$E$2:$I$2036,4)</f>
        <v>Apodiformes</v>
      </c>
      <c r="H482" s="3" t="str">
        <f>VLOOKUP(B482,[1]LifeList!$E$2:$I$2036,5)</f>
        <v>Trochilidae (Hummingbirds)</v>
      </c>
    </row>
    <row r="483" spans="1:8" x14ac:dyDescent="0.15">
      <c r="A483" s="3" t="s">
        <v>456</v>
      </c>
      <c r="B483" s="3" t="s">
        <v>4135</v>
      </c>
      <c r="C483" s="3">
        <v>5056</v>
      </c>
      <c r="D483" s="3" t="str">
        <f>VLOOKUP(B483,[1]LifeList!$E$2:$G$2036,1)</f>
        <v>Blue-vented Hummingbird</v>
      </c>
      <c r="E483" s="3" t="str">
        <f>VLOOKUP(B483,[1]LifeList!$E$2:$G$2036,2)</f>
        <v>Ariane de Hoffmann</v>
      </c>
      <c r="F483" s="3" t="str">
        <f>VLOOKUP(B483,[1]LifeList!$E$2:$G$2036,3)</f>
        <v>Saucerottia hoffmanni</v>
      </c>
      <c r="G483" s="3" t="str">
        <f>VLOOKUP(B483,[1]LifeList!$E$2:$I$2036,4)</f>
        <v>Apodiformes</v>
      </c>
      <c r="H483" s="3" t="str">
        <f>VLOOKUP(B483,[1]LifeList!$E$2:$I$2036,5)</f>
        <v>Trochilidae (Hummingbirds)</v>
      </c>
    </row>
    <row r="484" spans="1:8" x14ac:dyDescent="0.15">
      <c r="A484" s="3" t="s">
        <v>457</v>
      </c>
      <c r="B484" s="3" t="s">
        <v>4135</v>
      </c>
      <c r="C484" s="3">
        <v>5056</v>
      </c>
      <c r="D484" s="3" t="str">
        <f>VLOOKUP(B484,[1]LifeList!$E$2:$G$2036,1)</f>
        <v>Blue-vented Hummingbird</v>
      </c>
      <c r="E484" s="3" t="str">
        <f>VLOOKUP(B484,[1]LifeList!$E$2:$G$2036,2)</f>
        <v>Ariane de Hoffmann</v>
      </c>
      <c r="F484" s="3" t="str">
        <f>VLOOKUP(B484,[1]LifeList!$E$2:$G$2036,3)</f>
        <v>Saucerottia hoffmanni</v>
      </c>
      <c r="G484" s="3" t="str">
        <f>VLOOKUP(B484,[1]LifeList!$E$2:$I$2036,4)</f>
        <v>Apodiformes</v>
      </c>
      <c r="H484" s="3" t="str">
        <f>VLOOKUP(B484,[1]LifeList!$E$2:$I$2036,5)</f>
        <v>Trochilidae (Hummingbirds)</v>
      </c>
    </row>
    <row r="485" spans="1:8" x14ac:dyDescent="0.15">
      <c r="A485" s="3" t="s">
        <v>458</v>
      </c>
      <c r="B485" s="3" t="s">
        <v>3748</v>
      </c>
      <c r="C485" s="3">
        <v>34889</v>
      </c>
      <c r="D485" s="3" t="str">
        <f>VLOOKUP(B485,[1]LifeList!$E$2:$G$2036,1)</f>
        <v>Blue-winged Mountain Tanager</v>
      </c>
      <c r="E485" s="3" t="str">
        <f>VLOOKUP(B485,[1]LifeList!$E$2:$G$2036,2)</f>
        <v>Tangara somptueux</v>
      </c>
      <c r="F485" s="3" t="str">
        <f>VLOOKUP(B485,[1]LifeList!$E$2:$G$2036,3)</f>
        <v>Anisognathus somptuosus</v>
      </c>
      <c r="G485" s="3" t="str">
        <f>VLOOKUP(B485,[1]LifeList!$E$2:$I$2036,4)</f>
        <v>Passeriformes</v>
      </c>
      <c r="H485" s="3" t="str">
        <f>VLOOKUP(B485,[1]LifeList!$E$2:$I$2036,5)</f>
        <v>Thraupidae (Tanagers and Allies)</v>
      </c>
    </row>
    <row r="486" spans="1:8" x14ac:dyDescent="0.15">
      <c r="A486" s="3" t="s">
        <v>459</v>
      </c>
      <c r="B486" s="3" t="s">
        <v>4136</v>
      </c>
      <c r="C486" s="3">
        <v>12438</v>
      </c>
      <c r="D486" s="3" t="str">
        <f>VLOOKUP(B486,[1]LifeList!$E$2:$G$2036,1)</f>
        <v>Blue-winged Parrot</v>
      </c>
      <c r="E486" s="3" t="str">
        <f>VLOOKUP(B486,[1]LifeList!$E$2:$G$2036,2)</f>
        <v>Perruche à bouche d'or</v>
      </c>
      <c r="F486" s="3" t="str">
        <f>VLOOKUP(B486,[1]LifeList!$E$2:$G$2036,3)</f>
        <v>Neophema chrysostoma</v>
      </c>
      <c r="G486" s="3" t="str">
        <f>VLOOKUP(B486,[1]LifeList!$E$2:$I$2036,4)</f>
        <v>Psittaciformes</v>
      </c>
      <c r="H486" s="3" t="str">
        <f>VLOOKUP(B486,[1]LifeList!$E$2:$I$2036,5)</f>
        <v>Psittaculidae (Old World Parrots)</v>
      </c>
    </row>
    <row r="487" spans="1:8" x14ac:dyDescent="0.15">
      <c r="A487" s="3" t="s">
        <v>460</v>
      </c>
      <c r="B487" s="3" t="s">
        <v>4137</v>
      </c>
      <c r="C487" s="3">
        <v>485</v>
      </c>
      <c r="D487" s="3" t="str">
        <f>VLOOKUP(B487,[1]LifeList!$E$2:$G$2036,1)</f>
        <v>Blue-winged Teal</v>
      </c>
      <c r="E487" s="3" t="str">
        <f>VLOOKUP(B487,[1]LifeList!$E$2:$G$2036,2)</f>
        <v>Sarcelle à ailes bleues</v>
      </c>
      <c r="F487" s="3" t="str">
        <f>VLOOKUP(B487,[1]LifeList!$E$2:$G$2036,3)</f>
        <v>Spatula discors</v>
      </c>
      <c r="G487" s="3" t="str">
        <f>VLOOKUP(B487,[1]LifeList!$E$2:$I$2036,4)</f>
        <v>Anseriformes</v>
      </c>
      <c r="H487" s="3" t="str">
        <f>VLOOKUP(B487,[1]LifeList!$E$2:$I$2036,5)</f>
        <v>Anatidae (Ducks, Geese, and Waterfowl)</v>
      </c>
    </row>
    <row r="488" spans="1:8" x14ac:dyDescent="0.15">
      <c r="A488" s="3" t="s">
        <v>461</v>
      </c>
      <c r="B488" s="3" t="s">
        <v>4137</v>
      </c>
      <c r="C488" s="3">
        <v>485</v>
      </c>
      <c r="D488" s="3" t="str">
        <f>VLOOKUP(B488,[1]LifeList!$E$2:$G$2036,1)</f>
        <v>Blue-winged Teal</v>
      </c>
      <c r="E488" s="3" t="str">
        <f>VLOOKUP(B488,[1]LifeList!$E$2:$G$2036,2)</f>
        <v>Sarcelle à ailes bleues</v>
      </c>
      <c r="F488" s="3" t="str">
        <f>VLOOKUP(B488,[1]LifeList!$E$2:$G$2036,3)</f>
        <v>Spatula discors</v>
      </c>
      <c r="G488" s="3" t="str">
        <f>VLOOKUP(B488,[1]LifeList!$E$2:$I$2036,4)</f>
        <v>Anseriformes</v>
      </c>
      <c r="H488" s="3" t="str">
        <f>VLOOKUP(B488,[1]LifeList!$E$2:$I$2036,5)</f>
        <v>Anatidae (Ducks, Geese, and Waterfowl)</v>
      </c>
    </row>
    <row r="489" spans="1:8" x14ac:dyDescent="0.15">
      <c r="A489" s="3" t="s">
        <v>462</v>
      </c>
      <c r="B489" s="3" t="s">
        <v>4137</v>
      </c>
      <c r="C489" s="3">
        <v>485</v>
      </c>
      <c r="D489" s="3" t="str">
        <f>VLOOKUP(B489,[1]LifeList!$E$2:$G$2036,1)</f>
        <v>Blue-winged Teal</v>
      </c>
      <c r="E489" s="3" t="str">
        <f>VLOOKUP(B489,[1]LifeList!$E$2:$G$2036,2)</f>
        <v>Sarcelle à ailes bleues</v>
      </c>
      <c r="F489" s="3" t="str">
        <f>VLOOKUP(B489,[1]LifeList!$E$2:$G$2036,3)</f>
        <v>Spatula discors</v>
      </c>
      <c r="G489" s="3" t="str">
        <f>VLOOKUP(B489,[1]LifeList!$E$2:$I$2036,4)</f>
        <v>Anseriformes</v>
      </c>
      <c r="H489" s="3" t="str">
        <f>VLOOKUP(B489,[1]LifeList!$E$2:$I$2036,5)</f>
        <v>Anatidae (Ducks, Geese, and Waterfowl)</v>
      </c>
    </row>
    <row r="490" spans="1:8" x14ac:dyDescent="0.15">
      <c r="A490" s="3" t="s">
        <v>463</v>
      </c>
      <c r="B490" s="3" t="s">
        <v>4137</v>
      </c>
      <c r="C490" s="3">
        <v>485</v>
      </c>
      <c r="D490" s="3" t="str">
        <f>VLOOKUP(B490,[1]LifeList!$E$2:$G$2036,1)</f>
        <v>Blue-winged Teal</v>
      </c>
      <c r="E490" s="3" t="str">
        <f>VLOOKUP(B490,[1]LifeList!$E$2:$G$2036,2)</f>
        <v>Sarcelle à ailes bleues</v>
      </c>
      <c r="F490" s="3" t="str">
        <f>VLOOKUP(B490,[1]LifeList!$E$2:$G$2036,3)</f>
        <v>Spatula discors</v>
      </c>
      <c r="G490" s="3" t="str">
        <f>VLOOKUP(B490,[1]LifeList!$E$2:$I$2036,4)</f>
        <v>Anseriformes</v>
      </c>
      <c r="H490" s="3" t="str">
        <f>VLOOKUP(B490,[1]LifeList!$E$2:$I$2036,5)</f>
        <v>Anatidae (Ducks, Geese, and Waterfowl)</v>
      </c>
    </row>
    <row r="491" spans="1:8" x14ac:dyDescent="0.15">
      <c r="A491" s="3" t="s">
        <v>464</v>
      </c>
      <c r="B491" s="3" t="s">
        <v>4137</v>
      </c>
      <c r="C491" s="3">
        <v>485</v>
      </c>
      <c r="D491" s="3" t="str">
        <f>VLOOKUP(B491,[1]LifeList!$E$2:$G$2036,1)</f>
        <v>Blue-winged Teal</v>
      </c>
      <c r="E491" s="3" t="str">
        <f>VLOOKUP(B491,[1]LifeList!$E$2:$G$2036,2)</f>
        <v>Sarcelle à ailes bleues</v>
      </c>
      <c r="F491" s="3" t="str">
        <f>VLOOKUP(B491,[1]LifeList!$E$2:$G$2036,3)</f>
        <v>Spatula discors</v>
      </c>
      <c r="G491" s="3" t="str">
        <f>VLOOKUP(B491,[1]LifeList!$E$2:$I$2036,4)</f>
        <v>Anseriformes</v>
      </c>
      <c r="H491" s="3" t="str">
        <f>VLOOKUP(B491,[1]LifeList!$E$2:$I$2036,5)</f>
        <v>Anatidae (Ducks, Geese, and Waterfowl)</v>
      </c>
    </row>
    <row r="492" spans="1:8" x14ac:dyDescent="0.15">
      <c r="A492" s="3" t="s">
        <v>465</v>
      </c>
      <c r="B492" s="3" t="s">
        <v>4137</v>
      </c>
      <c r="C492" s="3">
        <v>485</v>
      </c>
      <c r="D492" s="3" t="str">
        <f>VLOOKUP(B492,[1]LifeList!$E$2:$G$2036,1)</f>
        <v>Blue-winged Teal</v>
      </c>
      <c r="E492" s="3" t="str">
        <f>VLOOKUP(B492,[1]LifeList!$E$2:$G$2036,2)</f>
        <v>Sarcelle à ailes bleues</v>
      </c>
      <c r="F492" s="3" t="str">
        <f>VLOOKUP(B492,[1]LifeList!$E$2:$G$2036,3)</f>
        <v>Spatula discors</v>
      </c>
      <c r="G492" s="3" t="str">
        <f>VLOOKUP(B492,[1]LifeList!$E$2:$I$2036,4)</f>
        <v>Anseriformes</v>
      </c>
      <c r="H492" s="3" t="str">
        <f>VLOOKUP(B492,[1]LifeList!$E$2:$I$2036,5)</f>
        <v>Anatidae (Ducks, Geese, and Waterfowl)</v>
      </c>
    </row>
    <row r="493" spans="1:8" x14ac:dyDescent="0.15">
      <c r="A493" s="3" t="s">
        <v>466</v>
      </c>
      <c r="B493" s="3" t="s">
        <v>4138</v>
      </c>
      <c r="C493" s="3">
        <v>33957</v>
      </c>
      <c r="D493" s="3" t="str">
        <f>VLOOKUP(B493,[1]LifeList!$E$2:$G$2036,1)</f>
        <v>Blue-winged Warbler</v>
      </c>
      <c r="E493" s="3" t="str">
        <f>VLOOKUP(B493,[1]LifeList!$E$2:$G$2036,2)</f>
        <v>Paruline à ailes bleues</v>
      </c>
      <c r="F493" s="3" t="str">
        <f>VLOOKUP(B493,[1]LifeList!$E$2:$G$2036,3)</f>
        <v>Vermivora cyanoptera</v>
      </c>
      <c r="G493" s="3" t="str">
        <f>VLOOKUP(B493,[1]LifeList!$E$2:$I$2036,4)</f>
        <v>Passeriformes</v>
      </c>
      <c r="H493" s="3" t="str">
        <f>VLOOKUP(B493,[1]LifeList!$E$2:$I$2036,5)</f>
        <v>Parulidae (New World Warblers)</v>
      </c>
    </row>
    <row r="494" spans="1:8" x14ac:dyDescent="0.15">
      <c r="A494" s="3" t="s">
        <v>467</v>
      </c>
      <c r="B494" s="3" t="s">
        <v>4138</v>
      </c>
      <c r="C494" s="3">
        <v>33957</v>
      </c>
      <c r="D494" s="3" t="str">
        <f>VLOOKUP(B494,[1]LifeList!$E$2:$G$2036,1)</f>
        <v>Blue-winged Warbler</v>
      </c>
      <c r="E494" s="3" t="str">
        <f>VLOOKUP(B494,[1]LifeList!$E$2:$G$2036,2)</f>
        <v>Paruline à ailes bleues</v>
      </c>
      <c r="F494" s="3" t="str">
        <f>VLOOKUP(B494,[1]LifeList!$E$2:$G$2036,3)</f>
        <v>Vermivora cyanoptera</v>
      </c>
      <c r="G494" s="3" t="str">
        <f>VLOOKUP(B494,[1]LifeList!$E$2:$I$2036,4)</f>
        <v>Passeriformes</v>
      </c>
      <c r="H494" s="3" t="str">
        <f>VLOOKUP(B494,[1]LifeList!$E$2:$I$2036,5)</f>
        <v>Parulidae (New World Warblers)</v>
      </c>
    </row>
    <row r="495" spans="1:8" x14ac:dyDescent="0.15">
      <c r="A495" s="3" t="s">
        <v>468</v>
      </c>
      <c r="B495" s="3" t="s">
        <v>4138</v>
      </c>
      <c r="C495" s="3">
        <v>33957</v>
      </c>
      <c r="D495" s="3" t="str">
        <f>VLOOKUP(B495,[1]LifeList!$E$2:$G$2036,1)</f>
        <v>Blue-winged Warbler</v>
      </c>
      <c r="E495" s="3" t="str">
        <f>VLOOKUP(B495,[1]LifeList!$E$2:$G$2036,2)</f>
        <v>Paruline à ailes bleues</v>
      </c>
      <c r="F495" s="3" t="str">
        <f>VLOOKUP(B495,[1]LifeList!$E$2:$G$2036,3)</f>
        <v>Vermivora cyanoptera</v>
      </c>
      <c r="G495" s="3" t="str">
        <f>VLOOKUP(B495,[1]LifeList!$E$2:$I$2036,4)</f>
        <v>Passeriformes</v>
      </c>
      <c r="H495" s="3" t="str">
        <f>VLOOKUP(B495,[1]LifeList!$E$2:$I$2036,5)</f>
        <v>Parulidae (New World Warblers)</v>
      </c>
    </row>
    <row r="496" spans="1:8" x14ac:dyDescent="0.15">
      <c r="A496" s="3" t="s">
        <v>476</v>
      </c>
      <c r="B496" s="3" t="s">
        <v>4139</v>
      </c>
      <c r="C496" s="3">
        <v>17379</v>
      </c>
      <c r="D496" s="3" t="str">
        <f>VLOOKUP(B496,[1]LifeList!$E$2:$G$2036,1)</f>
        <v>Boat-billed Flycatcher</v>
      </c>
      <c r="E496" s="3" t="str">
        <f>VLOOKUP(B496,[1]LifeList!$E$2:$G$2036,2)</f>
        <v>Tyran pitangua</v>
      </c>
      <c r="F496" s="3" t="str">
        <f>VLOOKUP(B496,[1]LifeList!$E$2:$G$2036,3)</f>
        <v>Megarynchus pitangua</v>
      </c>
      <c r="G496" s="3" t="str">
        <f>VLOOKUP(B496,[1]LifeList!$E$2:$I$2036,4)</f>
        <v>Passeriformes</v>
      </c>
      <c r="H496" s="3" t="str">
        <f>VLOOKUP(B496,[1]LifeList!$E$2:$I$2036,5)</f>
        <v>Tyrannidae (Tyrant Flycatchers)</v>
      </c>
    </row>
    <row r="497" spans="1:8" x14ac:dyDescent="0.15">
      <c r="A497" s="3" t="s">
        <v>477</v>
      </c>
      <c r="B497" s="3" t="s">
        <v>4139</v>
      </c>
      <c r="C497" s="3">
        <v>17379</v>
      </c>
      <c r="D497" s="3" t="str">
        <f>VLOOKUP(B497,[1]LifeList!$E$2:$G$2036,1)</f>
        <v>Boat-billed Flycatcher</v>
      </c>
      <c r="E497" s="3" t="str">
        <f>VLOOKUP(B497,[1]LifeList!$E$2:$G$2036,2)</f>
        <v>Tyran pitangua</v>
      </c>
      <c r="F497" s="3" t="str">
        <f>VLOOKUP(B497,[1]LifeList!$E$2:$G$2036,3)</f>
        <v>Megarynchus pitangua</v>
      </c>
      <c r="G497" s="3" t="str">
        <f>VLOOKUP(B497,[1]LifeList!$E$2:$I$2036,4)</f>
        <v>Passeriformes</v>
      </c>
      <c r="H497" s="3" t="str">
        <f>VLOOKUP(B497,[1]LifeList!$E$2:$I$2036,5)</f>
        <v>Tyrannidae (Tyrant Flycatchers)</v>
      </c>
    </row>
    <row r="498" spans="1:8" x14ac:dyDescent="0.15">
      <c r="A498" s="3" t="s">
        <v>478</v>
      </c>
      <c r="B498" s="3" t="s">
        <v>4139</v>
      </c>
      <c r="C498" s="3">
        <v>17379</v>
      </c>
      <c r="D498" s="3" t="str">
        <f>VLOOKUP(B498,[1]LifeList!$E$2:$G$2036,1)</f>
        <v>Boat-billed Flycatcher</v>
      </c>
      <c r="E498" s="3" t="str">
        <f>VLOOKUP(B498,[1]LifeList!$E$2:$G$2036,2)</f>
        <v>Tyran pitangua</v>
      </c>
      <c r="F498" s="3" t="str">
        <f>VLOOKUP(B498,[1]LifeList!$E$2:$G$2036,3)</f>
        <v>Megarynchus pitangua</v>
      </c>
      <c r="G498" s="3" t="str">
        <f>VLOOKUP(B498,[1]LifeList!$E$2:$I$2036,4)</f>
        <v>Passeriformes</v>
      </c>
      <c r="H498" s="3" t="str">
        <f>VLOOKUP(B498,[1]LifeList!$E$2:$I$2036,5)</f>
        <v>Tyrannidae (Tyrant Flycatchers)</v>
      </c>
    </row>
    <row r="499" spans="1:8" x14ac:dyDescent="0.15">
      <c r="A499" s="3" t="s">
        <v>479</v>
      </c>
      <c r="B499" s="3" t="s">
        <v>4139</v>
      </c>
      <c r="C499" s="3">
        <v>17379</v>
      </c>
      <c r="D499" s="3" t="str">
        <f>VLOOKUP(B499,[1]LifeList!$E$2:$G$2036,1)</f>
        <v>Boat-billed Flycatcher</v>
      </c>
      <c r="E499" s="3" t="str">
        <f>VLOOKUP(B499,[1]LifeList!$E$2:$G$2036,2)</f>
        <v>Tyran pitangua</v>
      </c>
      <c r="F499" s="3" t="str">
        <f>VLOOKUP(B499,[1]LifeList!$E$2:$G$2036,3)</f>
        <v>Megarynchus pitangua</v>
      </c>
      <c r="G499" s="3" t="str">
        <f>VLOOKUP(B499,[1]LifeList!$E$2:$I$2036,4)</f>
        <v>Passeriformes</v>
      </c>
      <c r="H499" s="3" t="str">
        <f>VLOOKUP(B499,[1]LifeList!$E$2:$I$2036,5)</f>
        <v>Tyrannidae (Tyrant Flycatchers)</v>
      </c>
    </row>
    <row r="500" spans="1:8" x14ac:dyDescent="0.15">
      <c r="A500" s="3" t="s">
        <v>480</v>
      </c>
      <c r="B500" s="3" t="s">
        <v>4139</v>
      </c>
      <c r="C500" s="3">
        <v>17379</v>
      </c>
      <c r="D500" s="3" t="str">
        <f>VLOOKUP(B500,[1]LifeList!$E$2:$G$2036,1)</f>
        <v>Boat-billed Flycatcher</v>
      </c>
      <c r="E500" s="3" t="str">
        <f>VLOOKUP(B500,[1]LifeList!$E$2:$G$2036,2)</f>
        <v>Tyran pitangua</v>
      </c>
      <c r="F500" s="3" t="str">
        <f>VLOOKUP(B500,[1]LifeList!$E$2:$G$2036,3)</f>
        <v>Megarynchus pitangua</v>
      </c>
      <c r="G500" s="3" t="str">
        <f>VLOOKUP(B500,[1]LifeList!$E$2:$I$2036,4)</f>
        <v>Passeriformes</v>
      </c>
      <c r="H500" s="3" t="str">
        <f>VLOOKUP(B500,[1]LifeList!$E$2:$I$2036,5)</f>
        <v>Tyrannidae (Tyrant Flycatchers)</v>
      </c>
    </row>
    <row r="501" spans="1:8" x14ac:dyDescent="0.15">
      <c r="A501" s="3" t="s">
        <v>481</v>
      </c>
      <c r="B501" s="3" t="s">
        <v>4140</v>
      </c>
      <c r="C501" s="3">
        <v>7546</v>
      </c>
      <c r="D501" s="3" t="str">
        <f>VLOOKUP(B501,[1]LifeList!$E$2:$G$2036,1)</f>
        <v>Boat-billed Heron</v>
      </c>
      <c r="E501" s="3" t="str">
        <f>VLOOKUP(B501,[1]LifeList!$E$2:$G$2036,2)</f>
        <v>Savacou huppé</v>
      </c>
      <c r="F501" s="3" t="str">
        <f>VLOOKUP(B501,[1]LifeList!$E$2:$G$2036,3)</f>
        <v>Cochlearius cochlearius</v>
      </c>
      <c r="G501" s="3" t="str">
        <f>VLOOKUP(B501,[1]LifeList!$E$2:$I$2036,4)</f>
        <v>Pelecaniformes</v>
      </c>
      <c r="H501" s="3" t="str">
        <f>VLOOKUP(B501,[1]LifeList!$E$2:$I$2036,5)</f>
        <v>Ardeidae (Herons, Egrets, and Bitterns)</v>
      </c>
    </row>
    <row r="502" spans="1:8" x14ac:dyDescent="0.15">
      <c r="A502" s="3" t="s">
        <v>482</v>
      </c>
      <c r="B502" s="3" t="s">
        <v>4140</v>
      </c>
      <c r="C502" s="3">
        <v>7546</v>
      </c>
      <c r="D502" s="3" t="str">
        <f>VLOOKUP(B502,[1]LifeList!$E$2:$G$2036,1)</f>
        <v>Boat-billed Heron</v>
      </c>
      <c r="E502" s="3" t="str">
        <f>VLOOKUP(B502,[1]LifeList!$E$2:$G$2036,2)</f>
        <v>Savacou huppé</v>
      </c>
      <c r="F502" s="3" t="str">
        <f>VLOOKUP(B502,[1]LifeList!$E$2:$G$2036,3)</f>
        <v>Cochlearius cochlearius</v>
      </c>
      <c r="G502" s="3" t="str">
        <f>VLOOKUP(B502,[1]LifeList!$E$2:$I$2036,4)</f>
        <v>Pelecaniformes</v>
      </c>
      <c r="H502" s="3" t="str">
        <f>VLOOKUP(B502,[1]LifeList!$E$2:$I$2036,5)</f>
        <v>Ardeidae (Herons, Egrets, and Bitterns)</v>
      </c>
    </row>
    <row r="503" spans="1:8" x14ac:dyDescent="0.15">
      <c r="A503" s="3" t="s">
        <v>483</v>
      </c>
      <c r="B503" s="3" t="s">
        <v>4141</v>
      </c>
      <c r="C503" s="3">
        <v>33858</v>
      </c>
      <c r="D503" s="3" t="str">
        <f>VLOOKUP(B503,[1]LifeList!$E$2:$G$2036,1)</f>
        <v>Boat-tailed Grackle</v>
      </c>
      <c r="E503" s="3" t="str">
        <f>VLOOKUP(B503,[1]LifeList!$E$2:$G$2036,2)</f>
        <v>Quiscale des marais</v>
      </c>
      <c r="F503" s="3" t="str">
        <f>VLOOKUP(B503,[1]LifeList!$E$2:$G$2036,3)</f>
        <v>Quiscalus major</v>
      </c>
      <c r="G503" s="3" t="str">
        <f>VLOOKUP(B503,[1]LifeList!$E$2:$I$2036,4)</f>
        <v>Passeriformes</v>
      </c>
      <c r="H503" s="3" t="str">
        <f>VLOOKUP(B503,[1]LifeList!$E$2:$I$2036,5)</f>
        <v>Icteridae (Troupials and Allies)</v>
      </c>
    </row>
    <row r="504" spans="1:8" x14ac:dyDescent="0.15">
      <c r="A504" s="3" t="s">
        <v>484</v>
      </c>
      <c r="B504" s="3" t="s">
        <v>4141</v>
      </c>
      <c r="C504" s="3">
        <v>33858</v>
      </c>
      <c r="D504" s="3" t="str">
        <f>VLOOKUP(B504,[1]LifeList!$E$2:$G$2036,1)</f>
        <v>Boat-tailed Grackle</v>
      </c>
      <c r="E504" s="3" t="str">
        <f>VLOOKUP(B504,[1]LifeList!$E$2:$G$2036,2)</f>
        <v>Quiscale des marais</v>
      </c>
      <c r="F504" s="3" t="str">
        <f>VLOOKUP(B504,[1]LifeList!$E$2:$G$2036,3)</f>
        <v>Quiscalus major</v>
      </c>
      <c r="G504" s="3" t="str">
        <f>VLOOKUP(B504,[1]LifeList!$E$2:$I$2036,4)</f>
        <v>Passeriformes</v>
      </c>
      <c r="H504" s="3" t="str">
        <f>VLOOKUP(B504,[1]LifeList!$E$2:$I$2036,5)</f>
        <v>Icteridae (Troupials and Allies)</v>
      </c>
    </row>
    <row r="505" spans="1:8" x14ac:dyDescent="0.15">
      <c r="A505" s="3" t="s">
        <v>485</v>
      </c>
      <c r="B505" s="3" t="s">
        <v>4142</v>
      </c>
      <c r="C505" s="3">
        <v>33564</v>
      </c>
      <c r="D505" s="3" t="str">
        <f>VLOOKUP(B505,[1]LifeList!$E$2:$G$2036,1)</f>
        <v>Bobolink</v>
      </c>
      <c r="E505" s="3" t="str">
        <f>VLOOKUP(B505,[1]LifeList!$E$2:$G$2036,2)</f>
        <v>Goglu des prés</v>
      </c>
      <c r="F505" s="3" t="str">
        <f>VLOOKUP(B505,[1]LifeList!$E$2:$G$2036,3)</f>
        <v>Dolichonyx oryzivorus</v>
      </c>
      <c r="G505" s="3" t="str">
        <f>VLOOKUP(B505,[1]LifeList!$E$2:$I$2036,4)</f>
        <v>Passeriformes</v>
      </c>
      <c r="H505" s="3" t="str">
        <f>VLOOKUP(B505,[1]LifeList!$E$2:$I$2036,5)</f>
        <v>Icteridae (Troupials and Allies)</v>
      </c>
    </row>
    <row r="506" spans="1:8" x14ac:dyDescent="0.15">
      <c r="A506" s="3" t="s">
        <v>486</v>
      </c>
      <c r="B506" s="3" t="s">
        <v>4142</v>
      </c>
      <c r="C506" s="3">
        <v>33564</v>
      </c>
      <c r="D506" s="3" t="str">
        <f>VLOOKUP(B506,[1]LifeList!$E$2:$G$2036,1)</f>
        <v>Bobolink</v>
      </c>
      <c r="E506" s="3" t="str">
        <f>VLOOKUP(B506,[1]LifeList!$E$2:$G$2036,2)</f>
        <v>Goglu des prés</v>
      </c>
      <c r="F506" s="3" t="str">
        <f>VLOOKUP(B506,[1]LifeList!$E$2:$G$2036,3)</f>
        <v>Dolichonyx oryzivorus</v>
      </c>
      <c r="G506" s="3" t="str">
        <f>VLOOKUP(B506,[1]LifeList!$E$2:$I$2036,4)</f>
        <v>Passeriformes</v>
      </c>
      <c r="H506" s="3" t="str">
        <f>VLOOKUP(B506,[1]LifeList!$E$2:$I$2036,5)</f>
        <v>Icteridae (Troupials and Allies)</v>
      </c>
    </row>
    <row r="507" spans="1:8" x14ac:dyDescent="0.15">
      <c r="A507" s="3" t="s">
        <v>487</v>
      </c>
      <c r="B507" s="3" t="s">
        <v>4142</v>
      </c>
      <c r="C507" s="3">
        <v>33564</v>
      </c>
      <c r="D507" s="3" t="str">
        <f>VLOOKUP(B507,[1]LifeList!$E$2:$G$2036,1)</f>
        <v>Bobolink</v>
      </c>
      <c r="E507" s="3" t="str">
        <f>VLOOKUP(B507,[1]LifeList!$E$2:$G$2036,2)</f>
        <v>Goglu des prés</v>
      </c>
      <c r="F507" s="3" t="str">
        <f>VLOOKUP(B507,[1]LifeList!$E$2:$G$2036,3)</f>
        <v>Dolichonyx oryzivorus</v>
      </c>
      <c r="G507" s="3" t="str">
        <f>VLOOKUP(B507,[1]LifeList!$E$2:$I$2036,4)</f>
        <v>Passeriformes</v>
      </c>
      <c r="H507" s="3" t="str">
        <f>VLOOKUP(B507,[1]LifeList!$E$2:$I$2036,5)</f>
        <v>Icteridae (Troupials and Allies)</v>
      </c>
    </row>
    <row r="508" spans="1:8" x14ac:dyDescent="0.15">
      <c r="A508" s="3" t="s">
        <v>3822</v>
      </c>
      <c r="B508" s="3" t="s">
        <v>5214</v>
      </c>
      <c r="C508" s="3">
        <v>17808</v>
      </c>
      <c r="D508" s="3" t="str">
        <f>VLOOKUP(B508,[1]LifeList!$E$2:$G$2036,1)</f>
        <v>Bonaparte's Gull</v>
      </c>
      <c r="E508" s="3" t="str">
        <f>VLOOKUP(B508,[1]LifeList!$E$2:$G$2036,2)</f>
        <v>Mouette de Bonaparte</v>
      </c>
      <c r="F508" s="3" t="str">
        <f>VLOOKUP(B508,[1]LifeList!$E$2:$G$2036,3)</f>
        <v>Chroicocephalus philadelphia</v>
      </c>
      <c r="G508" s="3" t="str">
        <f>VLOOKUP(B508,[1]LifeList!$E$2:$I$2036,4)</f>
        <v>Charadriiformes</v>
      </c>
      <c r="H508" s="3" t="str">
        <f>VLOOKUP(B508,[1]LifeList!$E$2:$I$2036,5)</f>
        <v>Laridae (Gulls, Terns, and Skimmers)</v>
      </c>
    </row>
    <row r="509" spans="1:8" x14ac:dyDescent="0.15">
      <c r="A509" s="3" t="s">
        <v>3823</v>
      </c>
      <c r="B509" s="3" t="s">
        <v>5214</v>
      </c>
      <c r="C509" s="3">
        <v>17808</v>
      </c>
      <c r="D509" s="3" t="str">
        <f>VLOOKUP(B509,[1]LifeList!$E$2:$G$2036,1)</f>
        <v>Bonaparte's Gull</v>
      </c>
      <c r="E509" s="3" t="str">
        <f>VLOOKUP(B509,[1]LifeList!$E$2:$G$2036,2)</f>
        <v>Mouette de Bonaparte</v>
      </c>
      <c r="F509" s="3" t="str">
        <f>VLOOKUP(B509,[1]LifeList!$E$2:$G$2036,3)</f>
        <v>Chroicocephalus philadelphia</v>
      </c>
      <c r="G509" s="3" t="str">
        <f>VLOOKUP(B509,[1]LifeList!$E$2:$I$2036,4)</f>
        <v>Charadriiformes</v>
      </c>
      <c r="H509" s="3" t="str">
        <f>VLOOKUP(B509,[1]LifeList!$E$2:$I$2036,5)</f>
        <v>Laridae (Gulls, Terns, and Skimmers)</v>
      </c>
    </row>
    <row r="510" spans="1:8" x14ac:dyDescent="0.15">
      <c r="A510" s="3" t="s">
        <v>3824</v>
      </c>
      <c r="B510" s="3" t="s">
        <v>5214</v>
      </c>
      <c r="C510" s="3">
        <v>17808</v>
      </c>
      <c r="D510" s="3" t="str">
        <f>VLOOKUP(B510,[1]LifeList!$E$2:$G$2036,1)</f>
        <v>Bonaparte's Gull</v>
      </c>
      <c r="E510" s="3" t="str">
        <f>VLOOKUP(B510,[1]LifeList!$E$2:$G$2036,2)</f>
        <v>Mouette de Bonaparte</v>
      </c>
      <c r="F510" s="3" t="str">
        <f>VLOOKUP(B510,[1]LifeList!$E$2:$G$2036,3)</f>
        <v>Chroicocephalus philadelphia</v>
      </c>
      <c r="G510" s="3" t="str">
        <f>VLOOKUP(B510,[1]LifeList!$E$2:$I$2036,4)</f>
        <v>Charadriiformes</v>
      </c>
      <c r="H510" s="3" t="str">
        <f>VLOOKUP(B510,[1]LifeList!$E$2:$I$2036,5)</f>
        <v>Laridae (Gulls, Terns, and Skimmers)</v>
      </c>
    </row>
    <row r="511" spans="1:8" x14ac:dyDescent="0.15">
      <c r="A511" s="3" t="s">
        <v>3825</v>
      </c>
      <c r="B511" s="3" t="s">
        <v>5214</v>
      </c>
      <c r="C511" s="3">
        <v>17808</v>
      </c>
      <c r="D511" s="3" t="str">
        <f>VLOOKUP(B511,[1]LifeList!$E$2:$G$2036,1)</f>
        <v>Bonaparte's Gull</v>
      </c>
      <c r="E511" s="3" t="str">
        <f>VLOOKUP(B511,[1]LifeList!$E$2:$G$2036,2)</f>
        <v>Mouette de Bonaparte</v>
      </c>
      <c r="F511" s="3" t="str">
        <f>VLOOKUP(B511,[1]LifeList!$E$2:$G$2036,3)</f>
        <v>Chroicocephalus philadelphia</v>
      </c>
      <c r="G511" s="3" t="str">
        <f>VLOOKUP(B511,[1]LifeList!$E$2:$I$2036,4)</f>
        <v>Charadriiformes</v>
      </c>
      <c r="H511" s="3" t="str">
        <f>VLOOKUP(B511,[1]LifeList!$E$2:$I$2036,5)</f>
        <v>Laridae (Gulls, Terns, and Skimmers)</v>
      </c>
    </row>
    <row r="512" spans="1:8" x14ac:dyDescent="0.15">
      <c r="A512" s="3" t="s">
        <v>3826</v>
      </c>
      <c r="B512" s="3" t="s">
        <v>5214</v>
      </c>
      <c r="C512" s="3">
        <v>17808</v>
      </c>
      <c r="D512" s="3" t="str">
        <f>VLOOKUP(B512,[1]LifeList!$E$2:$G$2036,1)</f>
        <v>Bonaparte's Gull</v>
      </c>
      <c r="E512" s="3" t="str">
        <f>VLOOKUP(B512,[1]LifeList!$E$2:$G$2036,2)</f>
        <v>Mouette de Bonaparte</v>
      </c>
      <c r="F512" s="3" t="str">
        <f>VLOOKUP(B512,[1]LifeList!$E$2:$G$2036,3)</f>
        <v>Chroicocephalus philadelphia</v>
      </c>
      <c r="G512" s="3" t="str">
        <f>VLOOKUP(B512,[1]LifeList!$E$2:$I$2036,4)</f>
        <v>Charadriiformes</v>
      </c>
      <c r="H512" s="3" t="str">
        <f>VLOOKUP(B512,[1]LifeList!$E$2:$I$2036,5)</f>
        <v>Laridae (Gulls, Terns, and Skimmers)</v>
      </c>
    </row>
    <row r="513" spans="1:8" x14ac:dyDescent="0.15">
      <c r="A513" s="3" t="s">
        <v>3827</v>
      </c>
      <c r="B513" s="3" t="s">
        <v>5214</v>
      </c>
      <c r="C513" s="3">
        <v>17808</v>
      </c>
      <c r="D513" s="3" t="str">
        <f>VLOOKUP(B513,[1]LifeList!$E$2:$G$2036,1)</f>
        <v>Bonaparte's Gull</v>
      </c>
      <c r="E513" s="3" t="str">
        <f>VLOOKUP(B513,[1]LifeList!$E$2:$G$2036,2)</f>
        <v>Mouette de Bonaparte</v>
      </c>
      <c r="F513" s="3" t="str">
        <f>VLOOKUP(B513,[1]LifeList!$E$2:$G$2036,3)</f>
        <v>Chroicocephalus philadelphia</v>
      </c>
      <c r="G513" s="3" t="str">
        <f>VLOOKUP(B513,[1]LifeList!$E$2:$I$2036,4)</f>
        <v>Charadriiformes</v>
      </c>
      <c r="H513" s="3" t="str">
        <f>VLOOKUP(B513,[1]LifeList!$E$2:$I$2036,5)</f>
        <v>Laridae (Gulls, Terns, and Skimmers)</v>
      </c>
    </row>
    <row r="514" spans="1:8" x14ac:dyDescent="0.15">
      <c r="A514" s="3" t="s">
        <v>3828</v>
      </c>
      <c r="B514" s="3" t="s">
        <v>5218</v>
      </c>
      <c r="C514" s="3">
        <v>17808</v>
      </c>
      <c r="D514" s="3" t="str">
        <f>VLOOKUP(B514,[1]LifeList!$E$2:$G$2036,1)</f>
        <v>Bradfield's Hornbill</v>
      </c>
      <c r="E514" s="3" t="str">
        <f>VLOOKUP(B514,[1]LifeList!$E$2:$G$2036,2)</f>
        <v>Calao de Bradfield</v>
      </c>
      <c r="F514" s="3" t="str">
        <f>VLOOKUP(B514,[1]LifeList!$E$2:$G$2036,3)</f>
        <v>Lophoceros bradfieldi</v>
      </c>
      <c r="G514" s="3" t="str">
        <f>VLOOKUP(B514,[1]LifeList!$E$2:$I$2036,4)</f>
        <v>Bucerotiformes</v>
      </c>
      <c r="H514" s="3" t="str">
        <f>VLOOKUP(B514,[1]LifeList!$E$2:$I$2036,5)</f>
        <v>Bucerotidae (Hornbills)</v>
      </c>
    </row>
    <row r="515" spans="1:8" x14ac:dyDescent="0.15">
      <c r="A515" s="3" t="s">
        <v>488</v>
      </c>
      <c r="B515" s="3" t="s">
        <v>4143</v>
      </c>
      <c r="C515" s="3">
        <v>314</v>
      </c>
      <c r="D515" s="3" t="str">
        <f>VLOOKUP(B515,[1]LifeList!$E$2:$G$2036,1)</f>
        <v>Brant</v>
      </c>
      <c r="E515" s="3" t="str">
        <f>VLOOKUP(B515,[1]LifeList!$E$2:$G$2036,2)</f>
        <v>Bernache cravant</v>
      </c>
      <c r="F515" s="3" t="str">
        <f>VLOOKUP(B515,[1]LifeList!$E$2:$G$2036,3)</f>
        <v>Branta bernicla</v>
      </c>
      <c r="G515" s="3" t="str">
        <f>VLOOKUP(B515,[1]LifeList!$E$2:$I$2036,4)</f>
        <v>Anseriformes</v>
      </c>
      <c r="H515" s="3" t="str">
        <f>VLOOKUP(B515,[1]LifeList!$E$2:$I$2036,5)</f>
        <v>Anatidae (Ducks, Geese, and Waterfowl)</v>
      </c>
    </row>
    <row r="516" spans="1:8" x14ac:dyDescent="0.15">
      <c r="A516" s="3" t="s">
        <v>490</v>
      </c>
      <c r="B516" s="3" t="s">
        <v>4144</v>
      </c>
      <c r="C516" s="3">
        <v>17246</v>
      </c>
      <c r="D516" s="3" t="str">
        <f>VLOOKUP(B516,[1]LifeList!$E$2:$G$2036,1)</f>
        <v>Bright-rumped Attila</v>
      </c>
      <c r="E516" s="3" t="str">
        <f>VLOOKUP(B516,[1]LifeList!$E$2:$G$2036,2)</f>
        <v>Attila à croupion jaune</v>
      </c>
      <c r="F516" s="3" t="str">
        <f>VLOOKUP(B516,[1]LifeList!$E$2:$G$2036,3)</f>
        <v>Attila spadiceus</v>
      </c>
      <c r="G516" s="3" t="str">
        <f>VLOOKUP(B516,[1]LifeList!$E$2:$I$2036,4)</f>
        <v>Passeriformes</v>
      </c>
      <c r="H516" s="3" t="str">
        <f>VLOOKUP(B516,[1]LifeList!$E$2:$I$2036,5)</f>
        <v>Tyrannidae (Tyrant Flycatchers)</v>
      </c>
    </row>
    <row r="517" spans="1:8" x14ac:dyDescent="0.15">
      <c r="A517" s="3" t="s">
        <v>489</v>
      </c>
      <c r="B517" s="3" t="s">
        <v>4144</v>
      </c>
      <c r="C517" s="3">
        <v>17246</v>
      </c>
      <c r="D517" s="3" t="str">
        <f>VLOOKUP(B517,[1]LifeList!$E$2:$G$2036,1)</f>
        <v>Bright-rumped Attila</v>
      </c>
      <c r="E517" s="3" t="str">
        <f>VLOOKUP(B517,[1]LifeList!$E$2:$G$2036,2)</f>
        <v>Attila à croupion jaune</v>
      </c>
      <c r="F517" s="3" t="str">
        <f>VLOOKUP(B517,[1]LifeList!$E$2:$G$2036,3)</f>
        <v>Attila spadiceus</v>
      </c>
      <c r="G517" s="3" t="str">
        <f>VLOOKUP(B517,[1]LifeList!$E$2:$I$2036,4)</f>
        <v>Passeriformes</v>
      </c>
      <c r="H517" s="3" t="str">
        <f>VLOOKUP(B517,[1]LifeList!$E$2:$I$2036,5)</f>
        <v>Tyrannidae (Tyrant Flycatchers)</v>
      </c>
    </row>
    <row r="518" spans="1:8" x14ac:dyDescent="0.15">
      <c r="A518" s="3" t="s">
        <v>491</v>
      </c>
      <c r="B518" s="3" t="s">
        <v>4145</v>
      </c>
      <c r="C518" s="3">
        <v>9891</v>
      </c>
      <c r="D518" s="3" t="str">
        <f>VLOOKUP(B518,[1]LifeList!$E$2:$G$2036,1)</f>
        <v>Broad-billed Motmot</v>
      </c>
      <c r="E518" s="3" t="str">
        <f>VLOOKUP(B518,[1]LifeList!$E$2:$G$2036,2)</f>
        <v>Motmot à bec large</v>
      </c>
      <c r="F518" s="3" t="str">
        <f>VLOOKUP(B518,[1]LifeList!$E$2:$G$2036,3)</f>
        <v>Electron platyrhynchum</v>
      </c>
      <c r="G518" s="3" t="str">
        <f>VLOOKUP(B518,[1]LifeList!$E$2:$I$2036,4)</f>
        <v>Coraciiformes</v>
      </c>
      <c r="H518" s="3" t="str">
        <f>VLOOKUP(B518,[1]LifeList!$E$2:$I$2036,5)</f>
        <v>Momotidae (Motmots)</v>
      </c>
    </row>
    <row r="519" spans="1:8" x14ac:dyDescent="0.15">
      <c r="A519" s="3" t="s">
        <v>493</v>
      </c>
      <c r="B519" s="3" t="s">
        <v>4145</v>
      </c>
      <c r="C519" s="3">
        <v>9891</v>
      </c>
      <c r="D519" s="3" t="str">
        <f>VLOOKUP(B519,[1]LifeList!$E$2:$G$2036,1)</f>
        <v>Broad-billed Motmot</v>
      </c>
      <c r="E519" s="3" t="str">
        <f>VLOOKUP(B519,[1]LifeList!$E$2:$G$2036,2)</f>
        <v>Motmot à bec large</v>
      </c>
      <c r="F519" s="3" t="str">
        <f>VLOOKUP(B519,[1]LifeList!$E$2:$G$2036,3)</f>
        <v>Electron platyrhynchum</v>
      </c>
      <c r="G519" s="3" t="str">
        <f>VLOOKUP(B519,[1]LifeList!$E$2:$I$2036,4)</f>
        <v>Coraciiformes</v>
      </c>
      <c r="H519" s="3" t="str">
        <f>VLOOKUP(B519,[1]LifeList!$E$2:$I$2036,5)</f>
        <v>Momotidae (Motmots)</v>
      </c>
    </row>
    <row r="520" spans="1:8" x14ac:dyDescent="0.15">
      <c r="A520" s="3" t="s">
        <v>494</v>
      </c>
      <c r="B520" s="3" t="s">
        <v>4145</v>
      </c>
      <c r="C520" s="3">
        <v>9891</v>
      </c>
      <c r="D520" s="3" t="str">
        <f>VLOOKUP(B520,[1]LifeList!$E$2:$G$2036,1)</f>
        <v>Broad-billed Motmot</v>
      </c>
      <c r="E520" s="3" t="str">
        <f>VLOOKUP(B520,[1]LifeList!$E$2:$G$2036,2)</f>
        <v>Motmot à bec large</v>
      </c>
      <c r="F520" s="3" t="str">
        <f>VLOOKUP(B520,[1]LifeList!$E$2:$G$2036,3)</f>
        <v>Electron platyrhynchum</v>
      </c>
      <c r="G520" s="3" t="str">
        <f>VLOOKUP(B520,[1]LifeList!$E$2:$I$2036,4)</f>
        <v>Coraciiformes</v>
      </c>
      <c r="H520" s="3" t="str">
        <f>VLOOKUP(B520,[1]LifeList!$E$2:$I$2036,5)</f>
        <v>Momotidae (Motmots)</v>
      </c>
    </row>
    <row r="521" spans="1:8" x14ac:dyDescent="0.15">
      <c r="A521" s="3" t="s">
        <v>492</v>
      </c>
      <c r="B521" s="3" t="s">
        <v>4146</v>
      </c>
      <c r="C521" s="3">
        <v>10349</v>
      </c>
      <c r="D521" s="3" t="str">
        <f>VLOOKUP(B521,[1]LifeList!$E$2:$G$2036,1)</f>
        <v>Broad-billed Roller</v>
      </c>
      <c r="E521" s="3" t="str">
        <f>VLOOKUP(B521,[1]LifeList!$E$2:$G$2036,2)</f>
        <v>Rolle violet</v>
      </c>
      <c r="F521" s="3" t="str">
        <f>VLOOKUP(B521,[1]LifeList!$E$2:$G$2036,3)</f>
        <v>Eurystomus glaucurus</v>
      </c>
      <c r="G521" s="3" t="str">
        <f>VLOOKUP(B521,[1]LifeList!$E$2:$I$2036,4)</f>
        <v>Coraciiformes</v>
      </c>
      <c r="H521" s="3" t="str">
        <f>VLOOKUP(B521,[1]LifeList!$E$2:$I$2036,5)</f>
        <v>Coraciidae (Rollers)</v>
      </c>
    </row>
    <row r="522" spans="1:8" x14ac:dyDescent="0.15">
      <c r="A522" s="3" t="s">
        <v>495</v>
      </c>
      <c r="B522" s="3" t="s">
        <v>4147</v>
      </c>
      <c r="C522" s="3">
        <v>8479</v>
      </c>
      <c r="D522" s="3" t="str">
        <f>VLOOKUP(B522,[1]LifeList!$E$2:$G$2036,1)</f>
        <v>Broad-winged Hawk</v>
      </c>
      <c r="E522" s="3" t="str">
        <f>VLOOKUP(B522,[1]LifeList!$E$2:$G$2036,2)</f>
        <v>Petite Buse</v>
      </c>
      <c r="F522" s="3" t="str">
        <f>VLOOKUP(B522,[1]LifeList!$E$2:$G$2036,3)</f>
        <v>Buteo platypterus</v>
      </c>
      <c r="G522" s="3" t="str">
        <f>VLOOKUP(B522,[1]LifeList!$E$2:$I$2036,4)</f>
        <v>Accipitriformes</v>
      </c>
      <c r="H522" s="3" t="str">
        <f>VLOOKUP(B522,[1]LifeList!$E$2:$I$2036,5)</f>
        <v>Accipitridae (Hawks, Eagles, and Kites)</v>
      </c>
    </row>
    <row r="523" spans="1:8" x14ac:dyDescent="0.15">
      <c r="A523" s="3" t="s">
        <v>496</v>
      </c>
      <c r="B523" s="3" t="s">
        <v>4147</v>
      </c>
      <c r="C523" s="3">
        <v>8479</v>
      </c>
      <c r="D523" s="3" t="str">
        <f>VLOOKUP(B523,[1]LifeList!$E$2:$G$2036,1)</f>
        <v>Broad-winged Hawk</v>
      </c>
      <c r="E523" s="3" t="str">
        <f>VLOOKUP(B523,[1]LifeList!$E$2:$G$2036,2)</f>
        <v>Petite Buse</v>
      </c>
      <c r="F523" s="3" t="str">
        <f>VLOOKUP(B523,[1]LifeList!$E$2:$G$2036,3)</f>
        <v>Buteo platypterus</v>
      </c>
      <c r="G523" s="3" t="str">
        <f>VLOOKUP(B523,[1]LifeList!$E$2:$I$2036,4)</f>
        <v>Accipitriformes</v>
      </c>
      <c r="H523" s="3" t="str">
        <f>VLOOKUP(B523,[1]LifeList!$E$2:$I$2036,5)</f>
        <v>Accipitridae (Hawks, Eagles, and Kites)</v>
      </c>
    </row>
    <row r="524" spans="1:8" x14ac:dyDescent="0.15">
      <c r="A524" s="3" t="s">
        <v>497</v>
      </c>
      <c r="B524" s="3" t="s">
        <v>4147</v>
      </c>
      <c r="C524" s="3">
        <v>8479</v>
      </c>
      <c r="D524" s="3" t="str">
        <f>VLOOKUP(B524,[1]LifeList!$E$2:$G$2036,1)</f>
        <v>Broad-winged Hawk</v>
      </c>
      <c r="E524" s="3" t="str">
        <f>VLOOKUP(B524,[1]LifeList!$E$2:$G$2036,2)</f>
        <v>Petite Buse</v>
      </c>
      <c r="F524" s="3" t="str">
        <f>VLOOKUP(B524,[1]LifeList!$E$2:$G$2036,3)</f>
        <v>Buteo platypterus</v>
      </c>
      <c r="G524" s="3" t="str">
        <f>VLOOKUP(B524,[1]LifeList!$E$2:$I$2036,4)</f>
        <v>Accipitriformes</v>
      </c>
      <c r="H524" s="3" t="str">
        <f>VLOOKUP(B524,[1]LifeList!$E$2:$I$2036,5)</f>
        <v>Accipitridae (Hawks, Eagles, and Kites)</v>
      </c>
    </row>
    <row r="525" spans="1:8" x14ac:dyDescent="0.15">
      <c r="A525" s="3" t="s">
        <v>498</v>
      </c>
      <c r="B525" s="3" t="s">
        <v>4148</v>
      </c>
      <c r="C525" s="3">
        <v>4963</v>
      </c>
      <c r="D525" s="3" t="str">
        <f>VLOOKUP(B525,[1]LifeList!$E$2:$G$2036,1)</f>
        <v>Bronze-tailed Plumeleteer</v>
      </c>
      <c r="E525" s="3" t="str">
        <f>VLOOKUP(B525,[1]LifeList!$E$2:$G$2036,2)</f>
        <v>Colibri à queue bronzée</v>
      </c>
      <c r="F525" s="3" t="str">
        <f>VLOOKUP(B525,[1]LifeList!$E$2:$G$2036,3)</f>
        <v>Chalybura urochrysia</v>
      </c>
      <c r="G525" s="3" t="str">
        <f>VLOOKUP(B525,[1]LifeList!$E$2:$I$2036,4)</f>
        <v>Apodiformes</v>
      </c>
      <c r="H525" s="3" t="str">
        <f>VLOOKUP(B525,[1]LifeList!$E$2:$I$2036,5)</f>
        <v>Trochilidae (Hummingbirds)</v>
      </c>
    </row>
    <row r="526" spans="1:8" x14ac:dyDescent="0.15">
      <c r="A526" s="3" t="s">
        <v>499</v>
      </c>
      <c r="B526" s="3" t="s">
        <v>4148</v>
      </c>
      <c r="C526" s="3">
        <v>4963</v>
      </c>
      <c r="D526" s="3" t="str">
        <f>VLOOKUP(B526,[1]LifeList!$E$2:$G$2036,1)</f>
        <v>Bronze-tailed Plumeleteer</v>
      </c>
      <c r="E526" s="3" t="str">
        <f>VLOOKUP(B526,[1]LifeList!$E$2:$G$2036,2)</f>
        <v>Colibri à queue bronzée</v>
      </c>
      <c r="F526" s="3" t="str">
        <f>VLOOKUP(B526,[1]LifeList!$E$2:$G$2036,3)</f>
        <v>Chalybura urochrysia</v>
      </c>
      <c r="G526" s="3" t="str">
        <f>VLOOKUP(B526,[1]LifeList!$E$2:$I$2036,4)</f>
        <v>Apodiformes</v>
      </c>
      <c r="H526" s="3" t="str">
        <f>VLOOKUP(B526,[1]LifeList!$E$2:$I$2036,5)</f>
        <v>Trochilidae (Hummingbirds)</v>
      </c>
    </row>
    <row r="527" spans="1:8" x14ac:dyDescent="0.15">
      <c r="A527" s="3" t="s">
        <v>500</v>
      </c>
      <c r="B527" s="3" t="s">
        <v>4149</v>
      </c>
      <c r="C527" s="3">
        <v>4529</v>
      </c>
      <c r="D527" s="3" t="str">
        <f>VLOOKUP(B527,[1]LifeList!$E$2:$G$2036,1)</f>
        <v>Bronze-tailed Thornbill</v>
      </c>
      <c r="E527" s="3" t="str">
        <f>VLOOKUP(B527,[1]LifeList!$E$2:$G$2036,2)</f>
        <v>Métallure à queue bronzée</v>
      </c>
      <c r="F527" s="3" t="str">
        <f>VLOOKUP(B527,[1]LifeList!$E$2:$G$2036,3)</f>
        <v>Chalcostigma heteropogon</v>
      </c>
      <c r="G527" s="3" t="str">
        <f>VLOOKUP(B527,[1]LifeList!$E$2:$I$2036,4)</f>
        <v>Apodiformes</v>
      </c>
      <c r="H527" s="3" t="str">
        <f>VLOOKUP(B527,[1]LifeList!$E$2:$I$2036,5)</f>
        <v>Trochilidae (Hummingbirds)</v>
      </c>
    </row>
    <row r="528" spans="1:8" x14ac:dyDescent="0.15">
      <c r="A528" s="3" t="s">
        <v>501</v>
      </c>
      <c r="B528" s="3" t="s">
        <v>4149</v>
      </c>
      <c r="C528" s="3">
        <v>4529</v>
      </c>
      <c r="D528" s="3" t="str">
        <f>VLOOKUP(B528,[1]LifeList!$E$2:$G$2036,1)</f>
        <v>Bronze-tailed Thornbill</v>
      </c>
      <c r="E528" s="3" t="str">
        <f>VLOOKUP(B528,[1]LifeList!$E$2:$G$2036,2)</f>
        <v>Métallure à queue bronzée</v>
      </c>
      <c r="F528" s="3" t="str">
        <f>VLOOKUP(B528,[1]LifeList!$E$2:$G$2036,3)</f>
        <v>Chalcostigma heteropogon</v>
      </c>
      <c r="G528" s="3" t="str">
        <f>VLOOKUP(B528,[1]LifeList!$E$2:$I$2036,4)</f>
        <v>Apodiformes</v>
      </c>
      <c r="H528" s="3" t="str">
        <f>VLOOKUP(B528,[1]LifeList!$E$2:$I$2036,5)</f>
        <v>Trochilidae (Hummingbirds)</v>
      </c>
    </row>
    <row r="529" spans="1:8" x14ac:dyDescent="0.15">
      <c r="A529" s="3" t="s">
        <v>502</v>
      </c>
      <c r="B529" s="3" t="s">
        <v>4150</v>
      </c>
      <c r="C529" s="3">
        <v>12895</v>
      </c>
      <c r="D529" s="3" t="str">
        <f>VLOOKUP(B529,[1]LifeList!$E$2:$G$2036,1)</f>
        <v>Bronze-winged Parrot</v>
      </c>
      <c r="E529" s="3" t="str">
        <f>VLOOKUP(B529,[1]LifeList!$E$2:$G$2036,2)</f>
        <v>Pione noire</v>
      </c>
      <c r="F529" s="3" t="str">
        <f>VLOOKUP(B529,[1]LifeList!$E$2:$G$2036,3)</f>
        <v>Pionus chalcopterus</v>
      </c>
      <c r="G529" s="3" t="str">
        <f>VLOOKUP(B529,[1]LifeList!$E$2:$I$2036,4)</f>
        <v>Psittaciformes</v>
      </c>
      <c r="H529" s="3" t="str">
        <f>VLOOKUP(B529,[1]LifeList!$E$2:$I$2036,5)</f>
        <v>Psittacidae (New World and African Parrots)</v>
      </c>
    </row>
    <row r="530" spans="1:8" x14ac:dyDescent="0.15">
      <c r="A530" s="3" t="s">
        <v>503</v>
      </c>
      <c r="B530" s="3" t="s">
        <v>4151</v>
      </c>
      <c r="C530" s="3">
        <v>33826</v>
      </c>
      <c r="D530" s="3" t="str">
        <f>VLOOKUP(B530,[1]LifeList!$E$2:$G$2036,1)</f>
        <v>Bronzed Cowbird</v>
      </c>
      <c r="E530" s="3" t="str">
        <f>VLOOKUP(B530,[1]LifeList!$E$2:$G$2036,2)</f>
        <v>Vacher bronzé</v>
      </c>
      <c r="F530" s="3" t="str">
        <f>VLOOKUP(B530,[1]LifeList!$E$2:$G$2036,3)</f>
        <v>Molothrus aeneus</v>
      </c>
      <c r="G530" s="3" t="str">
        <f>VLOOKUP(B530,[1]LifeList!$E$2:$I$2036,4)</f>
        <v>Passeriformes</v>
      </c>
      <c r="H530" s="3" t="str">
        <f>VLOOKUP(B530,[1]LifeList!$E$2:$I$2036,5)</f>
        <v>Icteridae (Troupials and Allies)</v>
      </c>
    </row>
    <row r="531" spans="1:8" x14ac:dyDescent="0.15">
      <c r="A531" s="3" t="s">
        <v>530</v>
      </c>
      <c r="B531" s="3" t="s">
        <v>4152</v>
      </c>
      <c r="C531" s="3">
        <v>7342</v>
      </c>
      <c r="D531" s="3" t="str">
        <f>VLOOKUP(B531,[1]LifeList!$E$2:$G$2036,1)</f>
        <v>Brown Booby</v>
      </c>
      <c r="E531" s="3" t="str">
        <f>VLOOKUP(B531,[1]LifeList!$E$2:$G$2036,2)</f>
        <v>Fou brun</v>
      </c>
      <c r="F531" s="3" t="str">
        <f>VLOOKUP(B531,[1]LifeList!$E$2:$G$2036,3)</f>
        <v>Sula leucogaster</v>
      </c>
      <c r="G531" s="3" t="str">
        <f>VLOOKUP(B531,[1]LifeList!$E$2:$I$2036,4)</f>
        <v>Suliformes</v>
      </c>
      <c r="H531" s="3" t="str">
        <f>VLOOKUP(B531,[1]LifeList!$E$2:$I$2036,5)</f>
        <v>Sulidae (Boobies and Gannets)</v>
      </c>
    </row>
    <row r="532" spans="1:8" x14ac:dyDescent="0.15">
      <c r="A532" s="3" t="s">
        <v>531</v>
      </c>
      <c r="B532" s="3" t="s">
        <v>4153</v>
      </c>
      <c r="C532" s="3">
        <v>27026</v>
      </c>
      <c r="D532" s="3" t="str">
        <f>VLOOKUP(B532,[1]LifeList!$E$2:$G$2036,1)</f>
        <v>Brown Creeper</v>
      </c>
      <c r="E532" s="3" t="str">
        <f>VLOOKUP(B532,[1]LifeList!$E$2:$G$2036,2)</f>
        <v>Grimpereau brun</v>
      </c>
      <c r="F532" s="3" t="str">
        <f>VLOOKUP(B532,[1]LifeList!$E$2:$G$2036,3)</f>
        <v>Certhia americana</v>
      </c>
      <c r="G532" s="3" t="str">
        <f>VLOOKUP(B532,[1]LifeList!$E$2:$I$2036,4)</f>
        <v>Passeriformes</v>
      </c>
      <c r="H532" s="3" t="str">
        <f>VLOOKUP(B532,[1]LifeList!$E$2:$I$2036,5)</f>
        <v>Certhiidae (Treecreepers)</v>
      </c>
    </row>
    <row r="533" spans="1:8" x14ac:dyDescent="0.15">
      <c r="A533" s="3" t="s">
        <v>532</v>
      </c>
      <c r="B533" s="3" t="s">
        <v>4153</v>
      </c>
      <c r="C533" s="3">
        <v>27026</v>
      </c>
      <c r="D533" s="3" t="str">
        <f>VLOOKUP(B533,[1]LifeList!$E$2:$G$2036,1)</f>
        <v>Brown Creeper</v>
      </c>
      <c r="E533" s="3" t="str">
        <f>VLOOKUP(B533,[1]LifeList!$E$2:$G$2036,2)</f>
        <v>Grimpereau brun</v>
      </c>
      <c r="F533" s="3" t="str">
        <f>VLOOKUP(B533,[1]LifeList!$E$2:$G$2036,3)</f>
        <v>Certhia americana</v>
      </c>
      <c r="G533" s="3" t="str">
        <f>VLOOKUP(B533,[1]LifeList!$E$2:$I$2036,4)</f>
        <v>Passeriformes</v>
      </c>
      <c r="H533" s="3" t="str">
        <f>VLOOKUP(B533,[1]LifeList!$E$2:$I$2036,5)</f>
        <v>Certhiidae (Treecreepers)</v>
      </c>
    </row>
    <row r="534" spans="1:8" x14ac:dyDescent="0.15">
      <c r="A534" s="3" t="s">
        <v>561</v>
      </c>
      <c r="B534" s="3" t="s">
        <v>4153</v>
      </c>
      <c r="C534" s="3">
        <v>27026</v>
      </c>
      <c r="D534" s="3" t="str">
        <f>VLOOKUP(B534,[1]LifeList!$E$2:$G$2036,1)</f>
        <v>Brown Creeper</v>
      </c>
      <c r="E534" s="3" t="str">
        <f>VLOOKUP(B534,[1]LifeList!$E$2:$G$2036,2)</f>
        <v>Grimpereau brun</v>
      </c>
      <c r="F534" s="3" t="str">
        <f>VLOOKUP(B534,[1]LifeList!$E$2:$G$2036,3)</f>
        <v>Certhia americana</v>
      </c>
      <c r="G534" s="3" t="str">
        <f>VLOOKUP(B534,[1]LifeList!$E$2:$I$2036,4)</f>
        <v>Passeriformes</v>
      </c>
      <c r="H534" s="3" t="str">
        <f>VLOOKUP(B534,[1]LifeList!$E$2:$I$2036,5)</f>
        <v>Certhiidae (Treecreepers)</v>
      </c>
    </row>
    <row r="535" spans="1:8" x14ac:dyDescent="0.15">
      <c r="A535" s="3" t="s">
        <v>533</v>
      </c>
      <c r="B535" s="3" t="s">
        <v>4154</v>
      </c>
      <c r="C535" s="3">
        <v>2082</v>
      </c>
      <c r="D535" s="3" t="str">
        <f>VLOOKUP(B535,[1]LifeList!$E$2:$G$2036,1)</f>
        <v>Brown Cuckoo-Dove</v>
      </c>
      <c r="E535" s="3" t="str">
        <f>VLOOKUP(B535,[1]LifeList!$E$2:$G$2036,2)</f>
        <v>Phasianelle brune</v>
      </c>
      <c r="F535" s="3" t="str">
        <f>VLOOKUP(B535,[1]LifeList!$E$2:$G$2036,3)</f>
        <v>Macropygia phasianella</v>
      </c>
      <c r="G535" s="3" t="str">
        <f>VLOOKUP(B535,[1]LifeList!$E$2:$I$2036,4)</f>
        <v>Columbiformes</v>
      </c>
      <c r="H535" s="3" t="str">
        <f>VLOOKUP(B535,[1]LifeList!$E$2:$I$2036,5)</f>
        <v>Columbidae (Pigeons and Doves)</v>
      </c>
    </row>
    <row r="536" spans="1:8" x14ac:dyDescent="0.15">
      <c r="A536" s="3" t="s">
        <v>534</v>
      </c>
      <c r="B536" s="3" t="s">
        <v>4155</v>
      </c>
      <c r="C536" s="3">
        <v>12086</v>
      </c>
      <c r="D536" s="3" t="str">
        <f>VLOOKUP(B536,[1]LifeList!$E$2:$G$2036,1)</f>
        <v>Brown Falcon</v>
      </c>
      <c r="E536" s="3" t="str">
        <f>VLOOKUP(B536,[1]LifeList!$E$2:$G$2036,2)</f>
        <v>Faucon bérigora</v>
      </c>
      <c r="F536" s="3" t="str">
        <f>VLOOKUP(B536,[1]LifeList!$E$2:$G$2036,3)</f>
        <v>Falco berigora</v>
      </c>
      <c r="G536" s="3" t="str">
        <f>VLOOKUP(B536,[1]LifeList!$E$2:$I$2036,4)</f>
        <v>Falconiformes</v>
      </c>
      <c r="H536" s="3" t="str">
        <f>VLOOKUP(B536,[1]LifeList!$E$2:$I$2036,5)</f>
        <v>Falconidae (Falcons and Caracaras)</v>
      </c>
    </row>
    <row r="537" spans="1:8" x14ac:dyDescent="0.15">
      <c r="A537" s="3" t="s">
        <v>535</v>
      </c>
      <c r="B537" s="3" t="s">
        <v>4156</v>
      </c>
      <c r="C537" s="3">
        <v>21222</v>
      </c>
      <c r="D537" s="3" t="str">
        <f>VLOOKUP(B537,[1]LifeList!$E$2:$G$2036,1)</f>
        <v>Brown Jay</v>
      </c>
      <c r="E537" s="3" t="str">
        <f>VLOOKUP(B537,[1]LifeList!$E$2:$G$2036,2)</f>
        <v>Geai enfumé</v>
      </c>
      <c r="F537" s="3" t="str">
        <f>VLOOKUP(B537,[1]LifeList!$E$2:$G$2036,3)</f>
        <v>Cyanocorax morio</v>
      </c>
      <c r="G537" s="3" t="str">
        <f>VLOOKUP(B537,[1]LifeList!$E$2:$I$2036,4)</f>
        <v>Passeriformes</v>
      </c>
      <c r="H537" s="3" t="str">
        <f>VLOOKUP(B537,[1]LifeList!$E$2:$I$2036,5)</f>
        <v>Corvidae (Crows, Jays, and Magpies)</v>
      </c>
    </row>
    <row r="538" spans="1:8" x14ac:dyDescent="0.15">
      <c r="A538" s="3" t="s">
        <v>536</v>
      </c>
      <c r="B538" s="3" t="s">
        <v>4156</v>
      </c>
      <c r="C538" s="3">
        <v>21222</v>
      </c>
      <c r="D538" s="3" t="str">
        <f>VLOOKUP(B538,[1]LifeList!$E$2:$G$2036,1)</f>
        <v>Brown Jay</v>
      </c>
      <c r="E538" s="3" t="str">
        <f>VLOOKUP(B538,[1]LifeList!$E$2:$G$2036,2)</f>
        <v>Geai enfumé</v>
      </c>
      <c r="F538" s="3" t="str">
        <f>VLOOKUP(B538,[1]LifeList!$E$2:$G$2036,3)</f>
        <v>Cyanocorax morio</v>
      </c>
      <c r="G538" s="3" t="str">
        <f>VLOOKUP(B538,[1]LifeList!$E$2:$I$2036,4)</f>
        <v>Passeriformes</v>
      </c>
      <c r="H538" s="3" t="str">
        <f>VLOOKUP(B538,[1]LifeList!$E$2:$I$2036,5)</f>
        <v>Corvidae (Crows, Jays, and Magpies)</v>
      </c>
    </row>
    <row r="539" spans="1:8" x14ac:dyDescent="0.15">
      <c r="A539" s="3" t="s">
        <v>537</v>
      </c>
      <c r="B539" s="3" t="s">
        <v>4156</v>
      </c>
      <c r="C539" s="3">
        <v>21222</v>
      </c>
      <c r="D539" s="3" t="str">
        <f>VLOOKUP(B539,[1]LifeList!$E$2:$G$2036,1)</f>
        <v>Brown Jay</v>
      </c>
      <c r="E539" s="3" t="str">
        <f>VLOOKUP(B539,[1]LifeList!$E$2:$G$2036,2)</f>
        <v>Geai enfumé</v>
      </c>
      <c r="F539" s="3" t="str">
        <f>VLOOKUP(B539,[1]LifeList!$E$2:$G$2036,3)</f>
        <v>Cyanocorax morio</v>
      </c>
      <c r="G539" s="3" t="str">
        <f>VLOOKUP(B539,[1]LifeList!$E$2:$I$2036,4)</f>
        <v>Passeriformes</v>
      </c>
      <c r="H539" s="3" t="str">
        <f>VLOOKUP(B539,[1]LifeList!$E$2:$I$2036,5)</f>
        <v>Corvidae (Crows, Jays, and Magpies)</v>
      </c>
    </row>
    <row r="540" spans="1:8" x14ac:dyDescent="0.15">
      <c r="A540" s="3" t="s">
        <v>538</v>
      </c>
      <c r="B540" s="3" t="s">
        <v>4156</v>
      </c>
      <c r="C540" s="3">
        <v>21222</v>
      </c>
      <c r="D540" s="3" t="str">
        <f>VLOOKUP(B540,[1]LifeList!$E$2:$G$2036,1)</f>
        <v>Brown Jay</v>
      </c>
      <c r="E540" s="3" t="str">
        <f>VLOOKUP(B540,[1]LifeList!$E$2:$G$2036,2)</f>
        <v>Geai enfumé</v>
      </c>
      <c r="F540" s="3" t="str">
        <f>VLOOKUP(B540,[1]LifeList!$E$2:$G$2036,3)</f>
        <v>Cyanocorax morio</v>
      </c>
      <c r="G540" s="3" t="str">
        <f>VLOOKUP(B540,[1]LifeList!$E$2:$I$2036,4)</f>
        <v>Passeriformes</v>
      </c>
      <c r="H540" s="3" t="str">
        <f>VLOOKUP(B540,[1]LifeList!$E$2:$I$2036,5)</f>
        <v>Corvidae (Crows, Jays, and Magpies)</v>
      </c>
    </row>
    <row r="541" spans="1:8" x14ac:dyDescent="0.15">
      <c r="A541" s="3" t="s">
        <v>539</v>
      </c>
      <c r="B541" s="3" t="s">
        <v>4157</v>
      </c>
      <c r="C541" s="3">
        <v>2859</v>
      </c>
      <c r="D541" s="3" t="str">
        <f>VLOOKUP(B541,[1]LifeList!$E$2:$G$2036,1)</f>
        <v>Brown Mesite</v>
      </c>
      <c r="E541" s="3" t="str">
        <f>VLOOKUP(B541,[1]LifeList!$E$2:$G$2036,2)</f>
        <v>Mésite unicolore</v>
      </c>
      <c r="F541" s="3" t="str">
        <f>VLOOKUP(B541,[1]LifeList!$E$2:$G$2036,3)</f>
        <v>Mesitornis unicolor</v>
      </c>
      <c r="G541" s="3" t="str">
        <f>VLOOKUP(B541,[1]LifeList!$E$2:$I$2036,4)</f>
        <v>Mesitornithiformes</v>
      </c>
      <c r="H541" s="3" t="str">
        <f>VLOOKUP(B541,[1]LifeList!$E$2:$I$2036,5)</f>
        <v>Mesitornithidae (Mesites)</v>
      </c>
    </row>
    <row r="542" spans="1:8" x14ac:dyDescent="0.15">
      <c r="A542" s="3" t="s">
        <v>540</v>
      </c>
      <c r="B542" s="3" t="s">
        <v>4158</v>
      </c>
      <c r="C542" s="3">
        <v>7792</v>
      </c>
      <c r="D542" s="3" t="str">
        <f>VLOOKUP(B542,[1]LifeList!$E$2:$G$2036,1)</f>
        <v>Brown Pelican</v>
      </c>
      <c r="E542" s="3" t="str">
        <f>VLOOKUP(B542,[1]LifeList!$E$2:$G$2036,2)</f>
        <v>Pélican brun</v>
      </c>
      <c r="F542" s="3" t="str">
        <f>VLOOKUP(B542,[1]LifeList!$E$2:$G$2036,3)</f>
        <v>Pelecanus occidentalis</v>
      </c>
      <c r="G542" s="3" t="str">
        <f>VLOOKUP(B542,[1]LifeList!$E$2:$I$2036,4)</f>
        <v>Pelecaniformes</v>
      </c>
      <c r="H542" s="3" t="str">
        <f>VLOOKUP(B542,[1]LifeList!$E$2:$I$2036,5)</f>
        <v>Pelecanidae (Pelicans)</v>
      </c>
    </row>
    <row r="543" spans="1:8" x14ac:dyDescent="0.15">
      <c r="A543" s="3" t="s">
        <v>541</v>
      </c>
      <c r="B543" s="3" t="s">
        <v>4158</v>
      </c>
      <c r="C543" s="3">
        <v>7792</v>
      </c>
      <c r="D543" s="3" t="str">
        <f>VLOOKUP(B543,[1]LifeList!$E$2:$G$2036,1)</f>
        <v>Brown Pelican</v>
      </c>
      <c r="E543" s="3" t="str">
        <f>VLOOKUP(B543,[1]LifeList!$E$2:$G$2036,2)</f>
        <v>Pélican brun</v>
      </c>
      <c r="F543" s="3" t="str">
        <f>VLOOKUP(B543,[1]LifeList!$E$2:$G$2036,3)</f>
        <v>Pelecanus occidentalis</v>
      </c>
      <c r="G543" s="3" t="str">
        <f>VLOOKUP(B543,[1]LifeList!$E$2:$I$2036,4)</f>
        <v>Pelecaniformes</v>
      </c>
      <c r="H543" s="3" t="str">
        <f>VLOOKUP(B543,[1]LifeList!$E$2:$I$2036,5)</f>
        <v>Pelecanidae (Pelicans)</v>
      </c>
    </row>
    <row r="544" spans="1:8" x14ac:dyDescent="0.15">
      <c r="A544" s="3" t="s">
        <v>542</v>
      </c>
      <c r="B544" s="3" t="s">
        <v>4158</v>
      </c>
      <c r="C544" s="3">
        <v>7792</v>
      </c>
      <c r="D544" s="3" t="str">
        <f>VLOOKUP(B544,[1]LifeList!$E$2:$G$2036,1)</f>
        <v>Brown Pelican</v>
      </c>
      <c r="E544" s="3" t="str">
        <f>VLOOKUP(B544,[1]LifeList!$E$2:$G$2036,2)</f>
        <v>Pélican brun</v>
      </c>
      <c r="F544" s="3" t="str">
        <f>VLOOKUP(B544,[1]LifeList!$E$2:$G$2036,3)</f>
        <v>Pelecanus occidentalis</v>
      </c>
      <c r="G544" s="3" t="str">
        <f>VLOOKUP(B544,[1]LifeList!$E$2:$I$2036,4)</f>
        <v>Pelecaniformes</v>
      </c>
      <c r="H544" s="3" t="str">
        <f>VLOOKUP(B544,[1]LifeList!$E$2:$I$2036,5)</f>
        <v>Pelecanidae (Pelicans)</v>
      </c>
    </row>
    <row r="545" spans="1:8" x14ac:dyDescent="0.15">
      <c r="A545" s="3" t="s">
        <v>543</v>
      </c>
      <c r="B545" s="3" t="s">
        <v>4158</v>
      </c>
      <c r="C545" s="3">
        <v>7792</v>
      </c>
      <c r="D545" s="3" t="str">
        <f>VLOOKUP(B545,[1]LifeList!$E$2:$G$2036,1)</f>
        <v>Brown Pelican</v>
      </c>
      <c r="E545" s="3" t="str">
        <f>VLOOKUP(B545,[1]LifeList!$E$2:$G$2036,2)</f>
        <v>Pélican brun</v>
      </c>
      <c r="F545" s="3" t="str">
        <f>VLOOKUP(B545,[1]LifeList!$E$2:$G$2036,3)</f>
        <v>Pelecanus occidentalis</v>
      </c>
      <c r="G545" s="3" t="str">
        <f>VLOOKUP(B545,[1]LifeList!$E$2:$I$2036,4)</f>
        <v>Pelecaniformes</v>
      </c>
      <c r="H545" s="3" t="str">
        <f>VLOOKUP(B545,[1]LifeList!$E$2:$I$2036,5)</f>
        <v>Pelecanidae (Pelicans)</v>
      </c>
    </row>
    <row r="546" spans="1:8" x14ac:dyDescent="0.15">
      <c r="A546" s="3" t="s">
        <v>544</v>
      </c>
      <c r="B546" s="3" t="s">
        <v>4158</v>
      </c>
      <c r="C546" s="3">
        <v>7792</v>
      </c>
      <c r="D546" s="3" t="str">
        <f>VLOOKUP(B546,[1]LifeList!$E$2:$G$2036,1)</f>
        <v>Brown Pelican</v>
      </c>
      <c r="E546" s="3" t="str">
        <f>VLOOKUP(B546,[1]LifeList!$E$2:$G$2036,2)</f>
        <v>Pélican brun</v>
      </c>
      <c r="F546" s="3" t="str">
        <f>VLOOKUP(B546,[1]LifeList!$E$2:$G$2036,3)</f>
        <v>Pelecanus occidentalis</v>
      </c>
      <c r="G546" s="3" t="str">
        <f>VLOOKUP(B546,[1]LifeList!$E$2:$I$2036,4)</f>
        <v>Pelecaniformes</v>
      </c>
      <c r="H546" s="3" t="str">
        <f>VLOOKUP(B546,[1]LifeList!$E$2:$I$2036,5)</f>
        <v>Pelecanidae (Pelicans)</v>
      </c>
    </row>
    <row r="547" spans="1:8" x14ac:dyDescent="0.15">
      <c r="A547" s="3" t="s">
        <v>545</v>
      </c>
      <c r="B547" s="3" t="s">
        <v>4159</v>
      </c>
      <c r="C547" s="3">
        <v>18402</v>
      </c>
      <c r="D547" s="3" t="str">
        <f>VLOOKUP(B547,[1]LifeList!$E$2:$G$2036,1)</f>
        <v>Brown Thornbill</v>
      </c>
      <c r="E547" s="3" t="str">
        <f>VLOOKUP(B547,[1]LifeList!$E$2:$G$2036,2)</f>
        <v>Acanthize mignon</v>
      </c>
      <c r="F547" s="3" t="str">
        <f>VLOOKUP(B547,[1]LifeList!$E$2:$G$2036,3)</f>
        <v>Acanthiza pusilla</v>
      </c>
      <c r="G547" s="3" t="str">
        <f>VLOOKUP(B547,[1]LifeList!$E$2:$I$2036,4)</f>
        <v>Passeriformes</v>
      </c>
      <c r="H547" s="3" t="str">
        <f>VLOOKUP(B547,[1]LifeList!$E$2:$I$2036,5)</f>
        <v>Acanthizidae (Thornbills and Allies)</v>
      </c>
    </row>
    <row r="548" spans="1:8" x14ac:dyDescent="0.15">
      <c r="A548" s="3" t="s">
        <v>546</v>
      </c>
      <c r="B548" s="3" t="s">
        <v>4159</v>
      </c>
      <c r="C548" s="3">
        <v>18402</v>
      </c>
      <c r="D548" s="3" t="str">
        <f>VLOOKUP(B548,[1]LifeList!$E$2:$G$2036,1)</f>
        <v>Brown Thornbill</v>
      </c>
      <c r="E548" s="3" t="str">
        <f>VLOOKUP(B548,[1]LifeList!$E$2:$G$2036,2)</f>
        <v>Acanthize mignon</v>
      </c>
      <c r="F548" s="3" t="str">
        <f>VLOOKUP(B548,[1]LifeList!$E$2:$G$2036,3)</f>
        <v>Acanthiza pusilla</v>
      </c>
      <c r="G548" s="3" t="str">
        <f>VLOOKUP(B548,[1]LifeList!$E$2:$I$2036,4)</f>
        <v>Passeriformes</v>
      </c>
      <c r="H548" s="3" t="str">
        <f>VLOOKUP(B548,[1]LifeList!$E$2:$I$2036,5)</f>
        <v>Acanthizidae (Thornbills and Allies)</v>
      </c>
    </row>
    <row r="549" spans="1:8" x14ac:dyDescent="0.15">
      <c r="A549" s="3" t="s">
        <v>547</v>
      </c>
      <c r="B549" s="3" t="s">
        <v>4159</v>
      </c>
      <c r="C549" s="3">
        <v>18402</v>
      </c>
      <c r="D549" s="3" t="str">
        <f>VLOOKUP(B549,[1]LifeList!$E$2:$G$2036,1)</f>
        <v>Brown Thornbill</v>
      </c>
      <c r="E549" s="3" t="str">
        <f>VLOOKUP(B549,[1]LifeList!$E$2:$G$2036,2)</f>
        <v>Acanthize mignon</v>
      </c>
      <c r="F549" s="3" t="str">
        <f>VLOOKUP(B549,[1]LifeList!$E$2:$G$2036,3)</f>
        <v>Acanthiza pusilla</v>
      </c>
      <c r="G549" s="3" t="str">
        <f>VLOOKUP(B549,[1]LifeList!$E$2:$I$2036,4)</f>
        <v>Passeriformes</v>
      </c>
      <c r="H549" s="3" t="str">
        <f>VLOOKUP(B549,[1]LifeList!$E$2:$I$2036,5)</f>
        <v>Acanthizidae (Thornbills and Allies)</v>
      </c>
    </row>
    <row r="550" spans="1:8" x14ac:dyDescent="0.15">
      <c r="A550" s="3" t="s">
        <v>548</v>
      </c>
      <c r="B550" s="3" t="s">
        <v>4159</v>
      </c>
      <c r="C550" s="3">
        <v>18402</v>
      </c>
      <c r="D550" s="3" t="str">
        <f>VLOOKUP(B550,[1]LifeList!$E$2:$G$2036,1)</f>
        <v>Brown Thornbill</v>
      </c>
      <c r="E550" s="3" t="str">
        <f>VLOOKUP(B550,[1]LifeList!$E$2:$G$2036,2)</f>
        <v>Acanthize mignon</v>
      </c>
      <c r="F550" s="3" t="str">
        <f>VLOOKUP(B550,[1]LifeList!$E$2:$G$2036,3)</f>
        <v>Acanthiza pusilla</v>
      </c>
      <c r="G550" s="3" t="str">
        <f>VLOOKUP(B550,[1]LifeList!$E$2:$I$2036,4)</f>
        <v>Passeriformes</v>
      </c>
      <c r="H550" s="3" t="str">
        <f>VLOOKUP(B550,[1]LifeList!$E$2:$I$2036,5)</f>
        <v>Acanthizidae (Thornbills and Allies)</v>
      </c>
    </row>
    <row r="551" spans="1:8" x14ac:dyDescent="0.15">
      <c r="A551" s="3" t="s">
        <v>549</v>
      </c>
      <c r="B551" s="3" t="s">
        <v>4160</v>
      </c>
      <c r="C551" s="3">
        <v>28037</v>
      </c>
      <c r="D551" s="3" t="str">
        <f>VLOOKUP(B551,[1]LifeList!$E$2:$G$2036,1)</f>
        <v>Brown Thrasher</v>
      </c>
      <c r="E551" s="3" t="str">
        <f>VLOOKUP(B551,[1]LifeList!$E$2:$G$2036,2)</f>
        <v>Moqueur roux</v>
      </c>
      <c r="F551" s="3" t="str">
        <f>VLOOKUP(B551,[1]LifeList!$E$2:$G$2036,3)</f>
        <v>Toxostoma rufum</v>
      </c>
      <c r="G551" s="3" t="str">
        <f>VLOOKUP(B551,[1]LifeList!$E$2:$I$2036,4)</f>
        <v>Passeriformes</v>
      </c>
      <c r="H551" s="3" t="str">
        <f>VLOOKUP(B551,[1]LifeList!$E$2:$I$2036,5)</f>
        <v>Mimidae (Mockingbirds and Thrashers)</v>
      </c>
    </row>
    <row r="552" spans="1:8" x14ac:dyDescent="0.15">
      <c r="A552" s="3" t="s">
        <v>550</v>
      </c>
      <c r="B552" s="3" t="s">
        <v>4160</v>
      </c>
      <c r="C552" s="3">
        <v>28037</v>
      </c>
      <c r="D552" s="3" t="str">
        <f>VLOOKUP(B552,[1]LifeList!$E$2:$G$2036,1)</f>
        <v>Brown Thrasher</v>
      </c>
      <c r="E552" s="3" t="str">
        <f>VLOOKUP(B552,[1]LifeList!$E$2:$G$2036,2)</f>
        <v>Moqueur roux</v>
      </c>
      <c r="F552" s="3" t="str">
        <f>VLOOKUP(B552,[1]LifeList!$E$2:$G$2036,3)</f>
        <v>Toxostoma rufum</v>
      </c>
      <c r="G552" s="3" t="str">
        <f>VLOOKUP(B552,[1]LifeList!$E$2:$I$2036,4)</f>
        <v>Passeriformes</v>
      </c>
      <c r="H552" s="3" t="str">
        <f>VLOOKUP(B552,[1]LifeList!$E$2:$I$2036,5)</f>
        <v>Mimidae (Mockingbirds and Thrashers)</v>
      </c>
    </row>
    <row r="553" spans="1:8" x14ac:dyDescent="0.15">
      <c r="A553" s="3" t="s">
        <v>551</v>
      </c>
      <c r="B553" s="3" t="s">
        <v>4160</v>
      </c>
      <c r="C553" s="3">
        <v>28037</v>
      </c>
      <c r="D553" s="3" t="str">
        <f>VLOOKUP(B553,[1]LifeList!$E$2:$G$2036,1)</f>
        <v>Brown Thrasher</v>
      </c>
      <c r="E553" s="3" t="str">
        <f>VLOOKUP(B553,[1]LifeList!$E$2:$G$2036,2)</f>
        <v>Moqueur roux</v>
      </c>
      <c r="F553" s="3" t="str">
        <f>VLOOKUP(B553,[1]LifeList!$E$2:$G$2036,3)</f>
        <v>Toxostoma rufum</v>
      </c>
      <c r="G553" s="3" t="str">
        <f>VLOOKUP(B553,[1]LifeList!$E$2:$I$2036,4)</f>
        <v>Passeriformes</v>
      </c>
      <c r="H553" s="3" t="str">
        <f>VLOOKUP(B553,[1]LifeList!$E$2:$I$2036,5)</f>
        <v>Mimidae (Mockingbirds and Thrashers)</v>
      </c>
    </row>
    <row r="554" spans="1:8" x14ac:dyDescent="0.15">
      <c r="A554" s="3" t="s">
        <v>552</v>
      </c>
      <c r="B554" s="3" t="s">
        <v>4160</v>
      </c>
      <c r="C554" s="3">
        <v>28037</v>
      </c>
      <c r="D554" s="3" t="str">
        <f>VLOOKUP(B554,[1]LifeList!$E$2:$G$2036,1)</f>
        <v>Brown Thrasher</v>
      </c>
      <c r="E554" s="3" t="str">
        <f>VLOOKUP(B554,[1]LifeList!$E$2:$G$2036,2)</f>
        <v>Moqueur roux</v>
      </c>
      <c r="F554" s="3" t="str">
        <f>VLOOKUP(B554,[1]LifeList!$E$2:$G$2036,3)</f>
        <v>Toxostoma rufum</v>
      </c>
      <c r="G554" s="3" t="str">
        <f>VLOOKUP(B554,[1]LifeList!$E$2:$I$2036,4)</f>
        <v>Passeriformes</v>
      </c>
      <c r="H554" s="3" t="str">
        <f>VLOOKUP(B554,[1]LifeList!$E$2:$I$2036,5)</f>
        <v>Mimidae (Mockingbirds and Thrashers)</v>
      </c>
    </row>
    <row r="555" spans="1:8" x14ac:dyDescent="0.15">
      <c r="A555" s="3" t="s">
        <v>553</v>
      </c>
      <c r="B555" s="3" t="s">
        <v>4160</v>
      </c>
      <c r="C555" s="3">
        <v>28037</v>
      </c>
      <c r="D555" s="3" t="str">
        <f>VLOOKUP(B555,[1]LifeList!$E$2:$G$2036,1)</f>
        <v>Brown Thrasher</v>
      </c>
      <c r="E555" s="3" t="str">
        <f>VLOOKUP(B555,[1]LifeList!$E$2:$G$2036,2)</f>
        <v>Moqueur roux</v>
      </c>
      <c r="F555" s="3" t="str">
        <f>VLOOKUP(B555,[1]LifeList!$E$2:$G$2036,3)</f>
        <v>Toxostoma rufum</v>
      </c>
      <c r="G555" s="3" t="str">
        <f>VLOOKUP(B555,[1]LifeList!$E$2:$I$2036,4)</f>
        <v>Passeriformes</v>
      </c>
      <c r="H555" s="3" t="str">
        <f>VLOOKUP(B555,[1]LifeList!$E$2:$I$2036,5)</f>
        <v>Mimidae (Mockingbirds and Thrashers)</v>
      </c>
    </row>
    <row r="556" spans="1:8" x14ac:dyDescent="0.15">
      <c r="A556" s="3" t="s">
        <v>554</v>
      </c>
      <c r="B556" s="3" t="s">
        <v>4160</v>
      </c>
      <c r="C556" s="3">
        <v>28037</v>
      </c>
      <c r="D556" s="3" t="str">
        <f>VLOOKUP(B556,[1]LifeList!$E$2:$G$2036,1)</f>
        <v>Brown Thrasher</v>
      </c>
      <c r="E556" s="3" t="str">
        <f>VLOOKUP(B556,[1]LifeList!$E$2:$G$2036,2)</f>
        <v>Moqueur roux</v>
      </c>
      <c r="F556" s="3" t="str">
        <f>VLOOKUP(B556,[1]LifeList!$E$2:$G$2036,3)</f>
        <v>Toxostoma rufum</v>
      </c>
      <c r="G556" s="3" t="str">
        <f>VLOOKUP(B556,[1]LifeList!$E$2:$I$2036,4)</f>
        <v>Passeriformes</v>
      </c>
      <c r="H556" s="3" t="str">
        <f>VLOOKUP(B556,[1]LifeList!$E$2:$I$2036,5)</f>
        <v>Mimidae (Mockingbirds and Thrashers)</v>
      </c>
    </row>
    <row r="557" spans="1:8" x14ac:dyDescent="0.15">
      <c r="A557" s="3" t="s">
        <v>555</v>
      </c>
      <c r="B557" s="3" t="s">
        <v>4161</v>
      </c>
      <c r="C557" s="3">
        <v>17586</v>
      </c>
      <c r="D557" s="3" t="str">
        <f>VLOOKUP(B557,[1]LifeList!$E$2:$G$2036,1)</f>
        <v>Brown Treecreeper</v>
      </c>
      <c r="E557" s="3" t="str">
        <f>VLOOKUP(B557,[1]LifeList!$E$2:$G$2036,2)</f>
        <v>Échelet brun</v>
      </c>
      <c r="F557" s="3" t="str">
        <f>VLOOKUP(B557,[1]LifeList!$E$2:$G$2036,3)</f>
        <v>Climacteris picumnus</v>
      </c>
      <c r="G557" s="3" t="str">
        <f>VLOOKUP(B557,[1]LifeList!$E$2:$I$2036,4)</f>
        <v>Passeriformes</v>
      </c>
      <c r="H557" s="3" t="str">
        <f>VLOOKUP(B557,[1]LifeList!$E$2:$I$2036,5)</f>
        <v>Climacteridae (Australasian Treecreepers)</v>
      </c>
    </row>
    <row r="558" spans="1:8" x14ac:dyDescent="0.15">
      <c r="A558" s="3" t="s">
        <v>556</v>
      </c>
      <c r="B558" s="3" t="s">
        <v>4162</v>
      </c>
      <c r="C558" s="3">
        <v>4357</v>
      </c>
      <c r="D558" s="3" t="str">
        <f>VLOOKUP(B558,[1]LifeList!$E$2:$G$2036,1)</f>
        <v>Brown Violetear</v>
      </c>
      <c r="E558" s="3" t="str">
        <f>VLOOKUP(B558,[1]LifeList!$E$2:$G$2036,2)</f>
        <v>Colibri de Delphine</v>
      </c>
      <c r="F558" s="3" t="str">
        <f>VLOOKUP(B558,[1]LifeList!$E$2:$G$2036,3)</f>
        <v>Colibri delphinae</v>
      </c>
      <c r="G558" s="3" t="str">
        <f>VLOOKUP(B558,[1]LifeList!$E$2:$I$2036,4)</f>
        <v>Apodiformes</v>
      </c>
      <c r="H558" s="3" t="str">
        <f>VLOOKUP(B558,[1]LifeList!$E$2:$I$2036,5)</f>
        <v>Trochilidae (Hummingbirds)</v>
      </c>
    </row>
    <row r="559" spans="1:8" x14ac:dyDescent="0.15">
      <c r="A559" s="3" t="s">
        <v>557</v>
      </c>
      <c r="B559" s="3" t="s">
        <v>4162</v>
      </c>
      <c r="C559" s="3">
        <v>4357</v>
      </c>
      <c r="D559" s="3" t="str">
        <f>VLOOKUP(B559,[1]LifeList!$E$2:$G$2036,1)</f>
        <v>Brown Violetear</v>
      </c>
      <c r="E559" s="3" t="str">
        <f>VLOOKUP(B559,[1]LifeList!$E$2:$G$2036,2)</f>
        <v>Colibri de Delphine</v>
      </c>
      <c r="F559" s="3" t="str">
        <f>VLOOKUP(B559,[1]LifeList!$E$2:$G$2036,3)</f>
        <v>Colibri delphinae</v>
      </c>
      <c r="G559" s="3" t="str">
        <f>VLOOKUP(B559,[1]LifeList!$E$2:$I$2036,4)</f>
        <v>Apodiformes</v>
      </c>
      <c r="H559" s="3" t="str">
        <f>VLOOKUP(B559,[1]LifeList!$E$2:$I$2036,5)</f>
        <v>Trochilidae (Hummingbirds)</v>
      </c>
    </row>
    <row r="560" spans="1:8" x14ac:dyDescent="0.15">
      <c r="A560" s="3" t="s">
        <v>558</v>
      </c>
      <c r="B560" s="3" t="s">
        <v>4162</v>
      </c>
      <c r="C560" s="3">
        <v>4357</v>
      </c>
      <c r="D560" s="3" t="str">
        <f>VLOOKUP(B560,[1]LifeList!$E$2:$G$2036,1)</f>
        <v>Brown Violetear</v>
      </c>
      <c r="E560" s="3" t="str">
        <f>VLOOKUP(B560,[1]LifeList!$E$2:$G$2036,2)</f>
        <v>Colibri de Delphine</v>
      </c>
      <c r="F560" s="3" t="str">
        <f>VLOOKUP(B560,[1]LifeList!$E$2:$G$2036,3)</f>
        <v>Colibri delphinae</v>
      </c>
      <c r="G560" s="3" t="str">
        <f>VLOOKUP(B560,[1]LifeList!$E$2:$I$2036,4)</f>
        <v>Apodiformes</v>
      </c>
      <c r="H560" s="3" t="str">
        <f>VLOOKUP(B560,[1]LifeList!$E$2:$I$2036,5)</f>
        <v>Trochilidae (Hummingbirds)</v>
      </c>
    </row>
    <row r="561" spans="1:8" x14ac:dyDescent="0.15">
      <c r="A561" s="3" t="s">
        <v>559</v>
      </c>
      <c r="B561" s="3" t="s">
        <v>4162</v>
      </c>
      <c r="C561" s="3">
        <v>4357</v>
      </c>
      <c r="D561" s="3" t="str">
        <f>VLOOKUP(B561,[1]LifeList!$E$2:$G$2036,1)</f>
        <v>Brown Violetear</v>
      </c>
      <c r="E561" s="3" t="str">
        <f>VLOOKUP(B561,[1]LifeList!$E$2:$G$2036,2)</f>
        <v>Colibri de Delphine</v>
      </c>
      <c r="F561" s="3" t="str">
        <f>VLOOKUP(B561,[1]LifeList!$E$2:$G$2036,3)</f>
        <v>Colibri delphinae</v>
      </c>
      <c r="G561" s="3" t="str">
        <f>VLOOKUP(B561,[1]LifeList!$E$2:$I$2036,4)</f>
        <v>Apodiformes</v>
      </c>
      <c r="H561" s="3" t="str">
        <f>VLOOKUP(B561,[1]LifeList!$E$2:$I$2036,5)</f>
        <v>Trochilidae (Hummingbirds)</v>
      </c>
    </row>
    <row r="562" spans="1:8" x14ac:dyDescent="0.15">
      <c r="A562" s="3" t="s">
        <v>560</v>
      </c>
      <c r="B562" s="3" t="s">
        <v>4162</v>
      </c>
      <c r="C562" s="3">
        <v>4357</v>
      </c>
      <c r="D562" s="3" t="str">
        <f>VLOOKUP(B562,[1]LifeList!$E$2:$G$2036,1)</f>
        <v>Brown Violetear</v>
      </c>
      <c r="E562" s="3" t="str">
        <f>VLOOKUP(B562,[1]LifeList!$E$2:$G$2036,2)</f>
        <v>Colibri de Delphine</v>
      </c>
      <c r="F562" s="3" t="str">
        <f>VLOOKUP(B562,[1]LifeList!$E$2:$G$2036,3)</f>
        <v>Colibri delphinae</v>
      </c>
      <c r="G562" s="3" t="str">
        <f>VLOOKUP(B562,[1]LifeList!$E$2:$I$2036,4)</f>
        <v>Apodiformes</v>
      </c>
      <c r="H562" s="3" t="str">
        <f>VLOOKUP(B562,[1]LifeList!$E$2:$I$2036,5)</f>
        <v>Trochilidae (Hummingbirds)</v>
      </c>
    </row>
    <row r="563" spans="1:8" x14ac:dyDescent="0.15">
      <c r="A563" s="3" t="s">
        <v>505</v>
      </c>
      <c r="B563" s="3" t="s">
        <v>4163</v>
      </c>
      <c r="C563" s="3">
        <v>17202</v>
      </c>
      <c r="D563" s="3" t="str">
        <f>VLOOKUP(B563,[1]LifeList!$E$2:$G$2036,1)</f>
        <v>Brown-backed Chat-Tyrant</v>
      </c>
      <c r="E563" s="3" t="str">
        <f>VLOOKUP(B563,[1]LifeList!$E$2:$G$2036,2)</f>
        <v>Pitajo à dos brun</v>
      </c>
      <c r="F563" s="3" t="str">
        <f>VLOOKUP(B563,[1]LifeList!$E$2:$G$2036,3)</f>
        <v>Ochthoeca fumicolor</v>
      </c>
      <c r="G563" s="3" t="str">
        <f>VLOOKUP(B563,[1]LifeList!$E$2:$I$2036,4)</f>
        <v>Passeriformes</v>
      </c>
      <c r="H563" s="3" t="str">
        <f>VLOOKUP(B563,[1]LifeList!$E$2:$I$2036,5)</f>
        <v>Tyrannidae (Tyrant Flycatchers)</v>
      </c>
    </row>
    <row r="564" spans="1:8" x14ac:dyDescent="0.15">
      <c r="A564" s="3" t="s">
        <v>506</v>
      </c>
      <c r="B564" s="3" t="s">
        <v>4163</v>
      </c>
      <c r="C564" s="3">
        <v>17202</v>
      </c>
      <c r="D564" s="3" t="str">
        <f>VLOOKUP(B564,[1]LifeList!$E$2:$G$2036,1)</f>
        <v>Brown-backed Chat-Tyrant</v>
      </c>
      <c r="E564" s="3" t="str">
        <f>VLOOKUP(B564,[1]LifeList!$E$2:$G$2036,2)</f>
        <v>Pitajo à dos brun</v>
      </c>
      <c r="F564" s="3" t="str">
        <f>VLOOKUP(B564,[1]LifeList!$E$2:$G$2036,3)</f>
        <v>Ochthoeca fumicolor</v>
      </c>
      <c r="G564" s="3" t="str">
        <f>VLOOKUP(B564,[1]LifeList!$E$2:$I$2036,4)</f>
        <v>Passeriformes</v>
      </c>
      <c r="H564" s="3" t="str">
        <f>VLOOKUP(B564,[1]LifeList!$E$2:$I$2036,5)</f>
        <v>Tyrannidae (Tyrant Flycatchers)</v>
      </c>
    </row>
    <row r="565" spans="1:8" x14ac:dyDescent="0.15">
      <c r="A565" s="3" t="s">
        <v>504</v>
      </c>
      <c r="B565" s="3" t="s">
        <v>4163</v>
      </c>
      <c r="C565" s="3">
        <v>17202</v>
      </c>
      <c r="D565" s="3" t="str">
        <f>VLOOKUP(B565,[1]LifeList!$E$2:$G$2036,1)</f>
        <v>Brown-backed Chat-Tyrant</v>
      </c>
      <c r="E565" s="3" t="str">
        <f>VLOOKUP(B565,[1]LifeList!$E$2:$G$2036,2)</f>
        <v>Pitajo à dos brun</v>
      </c>
      <c r="F565" s="3" t="str">
        <f>VLOOKUP(B565,[1]LifeList!$E$2:$G$2036,3)</f>
        <v>Ochthoeca fumicolor</v>
      </c>
      <c r="G565" s="3" t="str">
        <f>VLOOKUP(B565,[1]LifeList!$E$2:$I$2036,4)</f>
        <v>Passeriformes</v>
      </c>
      <c r="H565" s="3" t="str">
        <f>VLOOKUP(B565,[1]LifeList!$E$2:$I$2036,5)</f>
        <v>Tyrannidae (Tyrant Flycatchers)</v>
      </c>
    </row>
    <row r="566" spans="1:8" x14ac:dyDescent="0.15">
      <c r="A566" s="3" t="s">
        <v>507</v>
      </c>
      <c r="B566" s="3" t="s">
        <v>4164</v>
      </c>
      <c r="C566" s="3">
        <v>14290</v>
      </c>
      <c r="D566" s="3" t="str">
        <f>VLOOKUP(B566,[1]LifeList!$E$2:$G$2036,1)</f>
        <v>Brown-banded Antpitta</v>
      </c>
      <c r="E566" s="3" t="str">
        <f>VLOOKUP(B566,[1]LifeList!$E$2:$G$2036,2)</f>
        <v>Grallaire ceinturée</v>
      </c>
      <c r="F566" s="3" t="str">
        <f>VLOOKUP(B566,[1]LifeList!$E$2:$G$2036,3)</f>
        <v>Grallaria milleri</v>
      </c>
      <c r="G566" s="3" t="str">
        <f>VLOOKUP(B566,[1]LifeList!$E$2:$I$2036,4)</f>
        <v>Passeriformes</v>
      </c>
      <c r="H566" s="3" t="str">
        <f>VLOOKUP(B566,[1]LifeList!$E$2:$I$2036,5)</f>
        <v>Grallariidae (Antpittas)</v>
      </c>
    </row>
    <row r="567" spans="1:8" x14ac:dyDescent="0.15">
      <c r="A567" s="3" t="s">
        <v>508</v>
      </c>
      <c r="B567" s="3" t="s">
        <v>4164</v>
      </c>
      <c r="C567" s="3">
        <v>14290</v>
      </c>
      <c r="D567" s="3" t="str">
        <f>VLOOKUP(B567,[1]LifeList!$E$2:$G$2036,1)</f>
        <v>Brown-banded Antpitta</v>
      </c>
      <c r="E567" s="3" t="str">
        <f>VLOOKUP(B567,[1]LifeList!$E$2:$G$2036,2)</f>
        <v>Grallaire ceinturée</v>
      </c>
      <c r="F567" s="3" t="str">
        <f>VLOOKUP(B567,[1]LifeList!$E$2:$G$2036,3)</f>
        <v>Grallaria milleri</v>
      </c>
      <c r="G567" s="3" t="str">
        <f>VLOOKUP(B567,[1]LifeList!$E$2:$I$2036,4)</f>
        <v>Passeriformes</v>
      </c>
      <c r="H567" s="3" t="str">
        <f>VLOOKUP(B567,[1]LifeList!$E$2:$I$2036,5)</f>
        <v>Grallariidae (Antpittas)</v>
      </c>
    </row>
    <row r="568" spans="1:8" x14ac:dyDescent="0.15">
      <c r="A568" s="3" t="s">
        <v>509</v>
      </c>
      <c r="B568" s="3" t="s">
        <v>4165</v>
      </c>
      <c r="C568" s="3">
        <v>16549</v>
      </c>
      <c r="D568" s="3" t="str">
        <f>VLOOKUP(B568,[1]LifeList!$E$2:$G$2036,1)</f>
        <v>Brown-capped Tyrannulet</v>
      </c>
      <c r="E568" s="3" t="str">
        <f>VLOOKUP(B568,[1]LifeList!$E$2:$G$2036,2)</f>
        <v>Tyranneau à tête brune</v>
      </c>
      <c r="F568" s="3" t="str">
        <f>VLOOKUP(B568,[1]LifeList!$E$2:$G$2036,3)</f>
        <v>Ornithion brunneicapillus</v>
      </c>
      <c r="G568" s="3" t="str">
        <f>VLOOKUP(B568,[1]LifeList!$E$2:$I$2036,4)</f>
        <v>Passeriformes</v>
      </c>
      <c r="H568" s="3" t="str">
        <f>VLOOKUP(B568,[1]LifeList!$E$2:$I$2036,5)</f>
        <v>Tyrannidae (Tyrant Flycatchers)</v>
      </c>
    </row>
    <row r="569" spans="1:8" x14ac:dyDescent="0.15">
      <c r="A569" s="3" t="s">
        <v>510</v>
      </c>
      <c r="B569" s="3" t="s">
        <v>4166</v>
      </c>
      <c r="C569" s="3">
        <v>19253</v>
      </c>
      <c r="D569" s="3" t="str">
        <f>VLOOKUP(B569,[1]LifeList!$E$2:$G$2036,1)</f>
        <v>Brown-capped Vireo</v>
      </c>
      <c r="E569" s="3" t="str">
        <f>VLOOKUP(B569,[1]LifeList!$E$2:$G$2036,2)</f>
        <v>Viréo à calotte brune</v>
      </c>
      <c r="F569" s="3" t="str">
        <f>VLOOKUP(B569,[1]LifeList!$E$2:$G$2036,3)</f>
        <v>Vireo leucophrys</v>
      </c>
      <c r="G569" s="3" t="str">
        <f>VLOOKUP(B569,[1]LifeList!$E$2:$I$2036,4)</f>
        <v>Passeriformes</v>
      </c>
      <c r="H569" s="3" t="str">
        <f>VLOOKUP(B569,[1]LifeList!$E$2:$I$2036,5)</f>
        <v>Vireonidae (Vireos, Shrike-Babblers, and Erpornis)</v>
      </c>
    </row>
    <row r="570" spans="1:8" x14ac:dyDescent="0.15">
      <c r="A570" s="3" t="s">
        <v>511</v>
      </c>
      <c r="B570" s="3" t="s">
        <v>4166</v>
      </c>
      <c r="C570" s="3">
        <v>19253</v>
      </c>
      <c r="D570" s="3" t="str">
        <f>VLOOKUP(B570,[1]LifeList!$E$2:$G$2036,1)</f>
        <v>Brown-capped Vireo</v>
      </c>
      <c r="E570" s="3" t="str">
        <f>VLOOKUP(B570,[1]LifeList!$E$2:$G$2036,2)</f>
        <v>Viréo à calotte brune</v>
      </c>
      <c r="F570" s="3" t="str">
        <f>VLOOKUP(B570,[1]LifeList!$E$2:$G$2036,3)</f>
        <v>Vireo leucophrys</v>
      </c>
      <c r="G570" s="3" t="str">
        <f>VLOOKUP(B570,[1]LifeList!$E$2:$I$2036,4)</f>
        <v>Passeriformes</v>
      </c>
      <c r="H570" s="3" t="str">
        <f>VLOOKUP(B570,[1]LifeList!$E$2:$I$2036,5)</f>
        <v>Vireonidae (Vireos, Shrike-Babblers, and Erpornis)</v>
      </c>
    </row>
    <row r="571" spans="1:8" x14ac:dyDescent="0.15">
      <c r="A571" s="3" t="s">
        <v>512</v>
      </c>
      <c r="B571" s="3" t="s">
        <v>4166</v>
      </c>
      <c r="C571" s="3">
        <v>19253</v>
      </c>
      <c r="D571" s="3" t="str">
        <f>VLOOKUP(B571,[1]LifeList!$E$2:$G$2036,1)</f>
        <v>Brown-capped Vireo</v>
      </c>
      <c r="E571" s="3" t="str">
        <f>VLOOKUP(B571,[1]LifeList!$E$2:$G$2036,2)</f>
        <v>Viréo à calotte brune</v>
      </c>
      <c r="F571" s="3" t="str">
        <f>VLOOKUP(B571,[1]LifeList!$E$2:$G$2036,3)</f>
        <v>Vireo leucophrys</v>
      </c>
      <c r="G571" s="3" t="str">
        <f>VLOOKUP(B571,[1]LifeList!$E$2:$I$2036,4)</f>
        <v>Passeriformes</v>
      </c>
      <c r="H571" s="3" t="str">
        <f>VLOOKUP(B571,[1]LifeList!$E$2:$I$2036,5)</f>
        <v>Vireonidae (Vireos, Shrike-Babblers, and Erpornis)</v>
      </c>
    </row>
    <row r="572" spans="1:8" x14ac:dyDescent="0.15">
      <c r="A572" s="3" t="s">
        <v>513</v>
      </c>
      <c r="B572" s="3" t="s">
        <v>4167</v>
      </c>
      <c r="C572" s="3">
        <v>17335</v>
      </c>
      <c r="D572" s="3" t="str">
        <f>VLOOKUP(B572,[1]LifeList!$E$2:$G$2036,1)</f>
        <v>Brown-crested Flycatcher</v>
      </c>
      <c r="E572" s="3" t="str">
        <f>VLOOKUP(B572,[1]LifeList!$E$2:$G$2036,2)</f>
        <v>Tyran de Wied</v>
      </c>
      <c r="F572" s="3" t="str">
        <f>VLOOKUP(B572,[1]LifeList!$E$2:$G$2036,3)</f>
        <v>Myiarchus tyrannulus</v>
      </c>
      <c r="G572" s="3" t="str">
        <f>VLOOKUP(B572,[1]LifeList!$E$2:$I$2036,4)</f>
        <v>Passeriformes</v>
      </c>
      <c r="H572" s="3" t="str">
        <f>VLOOKUP(B572,[1]LifeList!$E$2:$I$2036,5)</f>
        <v>Tyrannidae (Tyrant Flycatchers)</v>
      </c>
    </row>
    <row r="573" spans="1:8" x14ac:dyDescent="0.15">
      <c r="A573" s="3" t="s">
        <v>514</v>
      </c>
      <c r="B573" s="3" t="s">
        <v>4167</v>
      </c>
      <c r="C573" s="3">
        <v>17335</v>
      </c>
      <c r="D573" s="3" t="str">
        <f>VLOOKUP(B573,[1]LifeList!$E$2:$G$2036,1)</f>
        <v>Brown-crested Flycatcher</v>
      </c>
      <c r="E573" s="3" t="str">
        <f>VLOOKUP(B573,[1]LifeList!$E$2:$G$2036,2)</f>
        <v>Tyran de Wied</v>
      </c>
      <c r="F573" s="3" t="str">
        <f>VLOOKUP(B573,[1]LifeList!$E$2:$G$2036,3)</f>
        <v>Myiarchus tyrannulus</v>
      </c>
      <c r="G573" s="3" t="str">
        <f>VLOOKUP(B573,[1]LifeList!$E$2:$I$2036,4)</f>
        <v>Passeriformes</v>
      </c>
      <c r="H573" s="3" t="str">
        <f>VLOOKUP(B573,[1]LifeList!$E$2:$I$2036,5)</f>
        <v>Tyrannidae (Tyrant Flycatchers)</v>
      </c>
    </row>
    <row r="574" spans="1:8" x14ac:dyDescent="0.15">
      <c r="A574" s="3" t="s">
        <v>515</v>
      </c>
      <c r="B574" s="3" t="s">
        <v>4167</v>
      </c>
      <c r="C574" s="3">
        <v>17335</v>
      </c>
      <c r="D574" s="3" t="str">
        <f>VLOOKUP(B574,[1]LifeList!$E$2:$G$2036,1)</f>
        <v>Brown-crested Flycatcher</v>
      </c>
      <c r="E574" s="3" t="str">
        <f>VLOOKUP(B574,[1]LifeList!$E$2:$G$2036,2)</f>
        <v>Tyran de Wied</v>
      </c>
      <c r="F574" s="3" t="str">
        <f>VLOOKUP(B574,[1]LifeList!$E$2:$G$2036,3)</f>
        <v>Myiarchus tyrannulus</v>
      </c>
      <c r="G574" s="3" t="str">
        <f>VLOOKUP(B574,[1]LifeList!$E$2:$I$2036,4)</f>
        <v>Passeriformes</v>
      </c>
      <c r="H574" s="3" t="str">
        <f>VLOOKUP(B574,[1]LifeList!$E$2:$I$2036,5)</f>
        <v>Tyrannidae (Tyrant Flycatchers)</v>
      </c>
    </row>
    <row r="575" spans="1:8" x14ac:dyDescent="0.15">
      <c r="A575" s="3" t="s">
        <v>516</v>
      </c>
      <c r="B575" s="3" t="s">
        <v>4167</v>
      </c>
      <c r="C575" s="3">
        <v>17335</v>
      </c>
      <c r="D575" s="3" t="str">
        <f>VLOOKUP(B575,[1]LifeList!$E$2:$G$2036,1)</f>
        <v>Brown-crested Flycatcher</v>
      </c>
      <c r="E575" s="3" t="str">
        <f>VLOOKUP(B575,[1]LifeList!$E$2:$G$2036,2)</f>
        <v>Tyran de Wied</v>
      </c>
      <c r="F575" s="3" t="str">
        <f>VLOOKUP(B575,[1]LifeList!$E$2:$G$2036,3)</f>
        <v>Myiarchus tyrannulus</v>
      </c>
      <c r="G575" s="3" t="str">
        <f>VLOOKUP(B575,[1]LifeList!$E$2:$I$2036,4)</f>
        <v>Passeriformes</v>
      </c>
      <c r="H575" s="3" t="str">
        <f>VLOOKUP(B575,[1]LifeList!$E$2:$I$2036,5)</f>
        <v>Tyrannidae (Tyrant Flycatchers)</v>
      </c>
    </row>
    <row r="576" spans="1:8" x14ac:dyDescent="0.15">
      <c r="A576" s="3" t="s">
        <v>517</v>
      </c>
      <c r="B576" s="3" t="s">
        <v>4167</v>
      </c>
      <c r="C576" s="3">
        <v>17335</v>
      </c>
      <c r="D576" s="3" t="str">
        <f>VLOOKUP(B576,[1]LifeList!$E$2:$G$2036,1)</f>
        <v>Brown-crested Flycatcher</v>
      </c>
      <c r="E576" s="3" t="str">
        <f>VLOOKUP(B576,[1]LifeList!$E$2:$G$2036,2)</f>
        <v>Tyran de Wied</v>
      </c>
      <c r="F576" s="3" t="str">
        <f>VLOOKUP(B576,[1]LifeList!$E$2:$G$2036,3)</f>
        <v>Myiarchus tyrannulus</v>
      </c>
      <c r="G576" s="3" t="str">
        <f>VLOOKUP(B576,[1]LifeList!$E$2:$I$2036,4)</f>
        <v>Passeriformes</v>
      </c>
      <c r="H576" s="3" t="str">
        <f>VLOOKUP(B576,[1]LifeList!$E$2:$I$2036,5)</f>
        <v>Tyrannidae (Tyrant Flycatchers)</v>
      </c>
    </row>
    <row r="577" spans="1:8" x14ac:dyDescent="0.15">
      <c r="A577" s="3" t="s">
        <v>518</v>
      </c>
      <c r="B577" s="3" t="s">
        <v>4167</v>
      </c>
      <c r="C577" s="3">
        <v>17335</v>
      </c>
      <c r="D577" s="3" t="str">
        <f>VLOOKUP(B577,[1]LifeList!$E$2:$G$2036,1)</f>
        <v>Brown-crested Flycatcher</v>
      </c>
      <c r="E577" s="3" t="str">
        <f>VLOOKUP(B577,[1]LifeList!$E$2:$G$2036,2)</f>
        <v>Tyran de Wied</v>
      </c>
      <c r="F577" s="3" t="str">
        <f>VLOOKUP(B577,[1]LifeList!$E$2:$G$2036,3)</f>
        <v>Myiarchus tyrannulus</v>
      </c>
      <c r="G577" s="3" t="str">
        <f>VLOOKUP(B577,[1]LifeList!$E$2:$I$2036,4)</f>
        <v>Passeriformes</v>
      </c>
      <c r="H577" s="3" t="str">
        <f>VLOOKUP(B577,[1]LifeList!$E$2:$I$2036,5)</f>
        <v>Tyrannidae (Tyrant Flycatchers)</v>
      </c>
    </row>
    <row r="578" spans="1:8" x14ac:dyDescent="0.15">
      <c r="A578" s="3" t="s">
        <v>519</v>
      </c>
      <c r="B578" s="3" t="s">
        <v>4168</v>
      </c>
      <c r="C578" s="3">
        <v>33833</v>
      </c>
      <c r="D578" s="3" t="str">
        <f>VLOOKUP(B578,[1]LifeList!$E$2:$G$2036,1)</f>
        <v>Brown-headed Cowbird</v>
      </c>
      <c r="E578" s="3" t="str">
        <f>VLOOKUP(B578,[1]LifeList!$E$2:$G$2036,2)</f>
        <v>Vacher à tête brune</v>
      </c>
      <c r="F578" s="3" t="str">
        <f>VLOOKUP(B578,[1]LifeList!$E$2:$G$2036,3)</f>
        <v>Molothrus ater</v>
      </c>
      <c r="G578" s="3" t="str">
        <f>VLOOKUP(B578,[1]LifeList!$E$2:$I$2036,4)</f>
        <v>Passeriformes</v>
      </c>
      <c r="H578" s="3" t="str">
        <f>VLOOKUP(B578,[1]LifeList!$E$2:$I$2036,5)</f>
        <v>Icteridae (Troupials and Allies)</v>
      </c>
    </row>
    <row r="579" spans="1:8" x14ac:dyDescent="0.15">
      <c r="A579" s="3" t="s">
        <v>520</v>
      </c>
      <c r="B579" s="3" t="s">
        <v>4168</v>
      </c>
      <c r="C579" s="3">
        <v>33833</v>
      </c>
      <c r="D579" s="3" t="str">
        <f>VLOOKUP(B579,[1]LifeList!$E$2:$G$2036,1)</f>
        <v>Brown-headed Cowbird</v>
      </c>
      <c r="E579" s="3" t="str">
        <f>VLOOKUP(B579,[1]LifeList!$E$2:$G$2036,2)</f>
        <v>Vacher à tête brune</v>
      </c>
      <c r="F579" s="3" t="str">
        <f>VLOOKUP(B579,[1]LifeList!$E$2:$G$2036,3)</f>
        <v>Molothrus ater</v>
      </c>
      <c r="G579" s="3" t="str">
        <f>VLOOKUP(B579,[1]LifeList!$E$2:$I$2036,4)</f>
        <v>Passeriformes</v>
      </c>
      <c r="H579" s="3" t="str">
        <f>VLOOKUP(B579,[1]LifeList!$E$2:$I$2036,5)</f>
        <v>Icteridae (Troupials and Allies)</v>
      </c>
    </row>
    <row r="580" spans="1:8" x14ac:dyDescent="0.15">
      <c r="A580" s="3" t="s">
        <v>521</v>
      </c>
      <c r="B580" s="3" t="s">
        <v>4168</v>
      </c>
      <c r="C580" s="3">
        <v>33833</v>
      </c>
      <c r="D580" s="3" t="str">
        <f>VLOOKUP(B580,[1]LifeList!$E$2:$G$2036,1)</f>
        <v>Brown-headed Cowbird</v>
      </c>
      <c r="E580" s="3" t="str">
        <f>VLOOKUP(B580,[1]LifeList!$E$2:$G$2036,2)</f>
        <v>Vacher à tête brune</v>
      </c>
      <c r="F580" s="3" t="str">
        <f>VLOOKUP(B580,[1]LifeList!$E$2:$G$2036,3)</f>
        <v>Molothrus ater</v>
      </c>
      <c r="G580" s="3" t="str">
        <f>VLOOKUP(B580,[1]LifeList!$E$2:$I$2036,4)</f>
        <v>Passeriformes</v>
      </c>
      <c r="H580" s="3" t="str">
        <f>VLOOKUP(B580,[1]LifeList!$E$2:$I$2036,5)</f>
        <v>Icteridae (Troupials and Allies)</v>
      </c>
    </row>
    <row r="581" spans="1:8" x14ac:dyDescent="0.15">
      <c r="A581" s="3" t="s">
        <v>522</v>
      </c>
      <c r="B581" s="3" t="s">
        <v>4168</v>
      </c>
      <c r="C581" s="3">
        <v>33833</v>
      </c>
      <c r="D581" s="3" t="str">
        <f>VLOOKUP(B581,[1]LifeList!$E$2:$G$2036,1)</f>
        <v>Brown-headed Cowbird</v>
      </c>
      <c r="E581" s="3" t="str">
        <f>VLOOKUP(B581,[1]LifeList!$E$2:$G$2036,2)</f>
        <v>Vacher à tête brune</v>
      </c>
      <c r="F581" s="3" t="str">
        <f>VLOOKUP(B581,[1]LifeList!$E$2:$G$2036,3)</f>
        <v>Molothrus ater</v>
      </c>
      <c r="G581" s="3" t="str">
        <f>VLOOKUP(B581,[1]LifeList!$E$2:$I$2036,4)</f>
        <v>Passeriformes</v>
      </c>
      <c r="H581" s="3" t="str">
        <f>VLOOKUP(B581,[1]LifeList!$E$2:$I$2036,5)</f>
        <v>Icteridae (Troupials and Allies)</v>
      </c>
    </row>
    <row r="582" spans="1:8" x14ac:dyDescent="0.15">
      <c r="A582" s="3" t="s">
        <v>523</v>
      </c>
      <c r="B582" s="3" t="s">
        <v>4169</v>
      </c>
      <c r="C582" s="3">
        <v>10103</v>
      </c>
      <c r="D582" s="3" t="str">
        <f>VLOOKUP(B582,[1]LifeList!$E$2:$G$2036,1)</f>
        <v>Brown-hooded Kingfisher</v>
      </c>
      <c r="E582" s="3" t="str">
        <f>VLOOKUP(B582,[1]LifeList!$E$2:$G$2036,2)</f>
        <v>Martin-chasseur à tête brune</v>
      </c>
      <c r="F582" s="3" t="str">
        <f>VLOOKUP(B582,[1]LifeList!$E$2:$G$2036,3)</f>
        <v>Halcyon albiventris</v>
      </c>
      <c r="G582" s="3" t="str">
        <f>VLOOKUP(B582,[1]LifeList!$E$2:$I$2036,4)</f>
        <v>Coraciiformes</v>
      </c>
      <c r="H582" s="3" t="str">
        <f>VLOOKUP(B582,[1]LifeList!$E$2:$I$2036,5)</f>
        <v>Alcedinidae (Kingfishers)</v>
      </c>
    </row>
    <row r="583" spans="1:8" x14ac:dyDescent="0.15">
      <c r="A583" s="3" t="s">
        <v>524</v>
      </c>
      <c r="B583" s="3" t="s">
        <v>4170</v>
      </c>
      <c r="C583" s="3">
        <v>12861</v>
      </c>
      <c r="D583" s="3" t="str">
        <f>VLOOKUP(B583,[1]LifeList!$E$2:$G$2036,1)</f>
        <v>Brown-hooded Parrot</v>
      </c>
      <c r="E583" s="3" t="str">
        <f>VLOOKUP(B583,[1]LifeList!$E$2:$G$2036,2)</f>
        <v>Caïque à capuchon</v>
      </c>
      <c r="F583" s="3" t="str">
        <f>VLOOKUP(B583,[1]LifeList!$E$2:$G$2036,3)</f>
        <v>Pyrilia haematotis</v>
      </c>
      <c r="G583" s="3" t="str">
        <f>VLOOKUP(B583,[1]LifeList!$E$2:$I$2036,4)</f>
        <v>Psittaciformes</v>
      </c>
      <c r="H583" s="3" t="str">
        <f>VLOOKUP(B583,[1]LifeList!$E$2:$I$2036,5)</f>
        <v>Psittacidae (New World and African Parrots)</v>
      </c>
    </row>
    <row r="584" spans="1:8" x14ac:dyDescent="0.15">
      <c r="A584" s="3" t="s">
        <v>526</v>
      </c>
      <c r="B584" s="3" t="s">
        <v>4171</v>
      </c>
      <c r="C584" s="3">
        <v>13102</v>
      </c>
      <c r="D584" s="3" t="str">
        <f>VLOOKUP(B584,[1]LifeList!$E$2:$G$2036,1)</f>
        <v>Brown-throated Parakeet</v>
      </c>
      <c r="E584" s="3" t="str">
        <f>VLOOKUP(B584,[1]LifeList!$E$2:$G$2036,2)</f>
        <v>Conure cuivrée</v>
      </c>
      <c r="F584" s="3" t="str">
        <f>VLOOKUP(B584,[1]LifeList!$E$2:$G$2036,3)</f>
        <v>Eupsittula pertinax</v>
      </c>
      <c r="G584" s="3" t="str">
        <f>VLOOKUP(B584,[1]LifeList!$E$2:$I$2036,4)</f>
        <v>Psittaciformes</v>
      </c>
      <c r="H584" s="3" t="str">
        <f>VLOOKUP(B584,[1]LifeList!$E$2:$I$2036,5)</f>
        <v>Psittacidae (New World and African Parrots)</v>
      </c>
    </row>
    <row r="585" spans="1:8" x14ac:dyDescent="0.15">
      <c r="A585" s="3" t="s">
        <v>527</v>
      </c>
      <c r="B585" s="3" t="s">
        <v>4171</v>
      </c>
      <c r="C585" s="3">
        <v>13102</v>
      </c>
      <c r="D585" s="3" t="str">
        <f>VLOOKUP(B585,[1]LifeList!$E$2:$G$2036,1)</f>
        <v>Brown-throated Parakeet</v>
      </c>
      <c r="E585" s="3" t="str">
        <f>VLOOKUP(B585,[1]LifeList!$E$2:$G$2036,2)</f>
        <v>Conure cuivrée</v>
      </c>
      <c r="F585" s="3" t="str">
        <f>VLOOKUP(B585,[1]LifeList!$E$2:$G$2036,3)</f>
        <v>Eupsittula pertinax</v>
      </c>
      <c r="G585" s="3" t="str">
        <f>VLOOKUP(B585,[1]LifeList!$E$2:$I$2036,4)</f>
        <v>Psittaciformes</v>
      </c>
      <c r="H585" s="3" t="str">
        <f>VLOOKUP(B585,[1]LifeList!$E$2:$I$2036,5)</f>
        <v>Psittacidae (New World and African Parrots)</v>
      </c>
    </row>
    <row r="586" spans="1:8" x14ac:dyDescent="0.15">
      <c r="A586" s="3" t="s">
        <v>528</v>
      </c>
      <c r="B586" s="3" t="s">
        <v>4171</v>
      </c>
      <c r="C586" s="3">
        <v>13102</v>
      </c>
      <c r="D586" s="3" t="str">
        <f>VLOOKUP(B586,[1]LifeList!$E$2:$G$2036,1)</f>
        <v>Brown-throated Parakeet</v>
      </c>
      <c r="E586" s="3" t="str">
        <f>VLOOKUP(B586,[1]LifeList!$E$2:$G$2036,2)</f>
        <v>Conure cuivrée</v>
      </c>
      <c r="F586" s="3" t="str">
        <f>VLOOKUP(B586,[1]LifeList!$E$2:$G$2036,3)</f>
        <v>Eupsittula pertinax</v>
      </c>
      <c r="G586" s="3" t="str">
        <f>VLOOKUP(B586,[1]LifeList!$E$2:$I$2036,4)</f>
        <v>Psittaciformes</v>
      </c>
      <c r="H586" s="3" t="str">
        <f>VLOOKUP(B586,[1]LifeList!$E$2:$I$2036,5)</f>
        <v>Psittacidae (New World and African Parrots)</v>
      </c>
    </row>
    <row r="587" spans="1:8" x14ac:dyDescent="0.15">
      <c r="A587" s="3" t="s">
        <v>529</v>
      </c>
      <c r="B587" s="3" t="s">
        <v>4171</v>
      </c>
      <c r="C587" s="3">
        <v>13102</v>
      </c>
      <c r="D587" s="3" t="str">
        <f>VLOOKUP(B587,[1]LifeList!$E$2:$G$2036,1)</f>
        <v>Brown-throated Parakeet</v>
      </c>
      <c r="E587" s="3" t="str">
        <f>VLOOKUP(B587,[1]LifeList!$E$2:$G$2036,2)</f>
        <v>Conure cuivrée</v>
      </c>
      <c r="F587" s="3" t="str">
        <f>VLOOKUP(B587,[1]LifeList!$E$2:$G$2036,3)</f>
        <v>Eupsittula pertinax</v>
      </c>
      <c r="G587" s="3" t="str">
        <f>VLOOKUP(B587,[1]LifeList!$E$2:$I$2036,4)</f>
        <v>Psittaciformes</v>
      </c>
      <c r="H587" s="3" t="str">
        <f>VLOOKUP(B587,[1]LifeList!$E$2:$I$2036,5)</f>
        <v>Psittacidae (New World and African Parrots)</v>
      </c>
    </row>
    <row r="588" spans="1:8" x14ac:dyDescent="0.15">
      <c r="A588" s="3" t="s">
        <v>3829</v>
      </c>
      <c r="B588" s="3" t="s">
        <v>4171</v>
      </c>
      <c r="C588" s="3">
        <v>13102</v>
      </c>
      <c r="D588" s="3" t="str">
        <f>VLOOKUP(B588,[1]LifeList!$E$2:$G$2036,1)</f>
        <v>Brown-throated Parakeet</v>
      </c>
      <c r="E588" s="3" t="str">
        <f>VLOOKUP(B588,[1]LifeList!$E$2:$G$2036,2)</f>
        <v>Conure cuivrée</v>
      </c>
      <c r="F588" s="3" t="str">
        <f>VLOOKUP(B588,[1]LifeList!$E$2:$G$2036,3)</f>
        <v>Eupsittula pertinax</v>
      </c>
      <c r="G588" s="3" t="str">
        <f>VLOOKUP(B588,[1]LifeList!$E$2:$I$2036,4)</f>
        <v>Psittaciformes</v>
      </c>
      <c r="H588" s="3" t="str">
        <f>VLOOKUP(B588,[1]LifeList!$E$2:$I$2036,5)</f>
        <v>Psittacidae (New World and African Parrots)</v>
      </c>
    </row>
    <row r="589" spans="1:8" x14ac:dyDescent="0.15">
      <c r="A589" s="3" t="s">
        <v>525</v>
      </c>
      <c r="B589" s="3" t="s">
        <v>4171</v>
      </c>
      <c r="C589" s="3">
        <v>13102</v>
      </c>
      <c r="D589" s="3" t="str">
        <f>VLOOKUP(B589,[1]LifeList!$E$2:$G$2036,1)</f>
        <v>Brown-throated Parakeet</v>
      </c>
      <c r="E589" s="3" t="str">
        <f>VLOOKUP(B589,[1]LifeList!$E$2:$G$2036,2)</f>
        <v>Conure cuivrée</v>
      </c>
      <c r="F589" s="3" t="str">
        <f>VLOOKUP(B589,[1]LifeList!$E$2:$G$2036,3)</f>
        <v>Eupsittula pertinax</v>
      </c>
      <c r="G589" s="3" t="str">
        <f>VLOOKUP(B589,[1]LifeList!$E$2:$I$2036,4)</f>
        <v>Psittaciformes</v>
      </c>
      <c r="H589" s="3" t="str">
        <f>VLOOKUP(B589,[1]LifeList!$E$2:$I$2036,5)</f>
        <v>Psittacidae (New World and African Parrots)</v>
      </c>
    </row>
    <row r="590" spans="1:8" x14ac:dyDescent="0.15">
      <c r="A590" s="3" t="s">
        <v>562</v>
      </c>
      <c r="B590" s="3" t="s">
        <v>4172</v>
      </c>
      <c r="C590" s="3">
        <v>27554</v>
      </c>
      <c r="D590" s="3" t="str">
        <f>VLOOKUP(B590,[1]LifeList!$E$2:$G$2036,1)</f>
        <v>Buff-breasted Wren</v>
      </c>
      <c r="E590" s="3" t="str">
        <f>VLOOKUP(B590,[1]LifeList!$E$2:$G$2036,2)</f>
        <v>Troglodyte à face pâle</v>
      </c>
      <c r="F590" s="3" t="str">
        <f>VLOOKUP(B590,[1]LifeList!$E$2:$G$2036,3)</f>
        <v>Cantorchilus leucotis</v>
      </c>
      <c r="G590" s="3" t="str">
        <f>VLOOKUP(B590,[1]LifeList!$E$2:$I$2036,4)</f>
        <v>Passeriformes</v>
      </c>
      <c r="H590" s="3" t="str">
        <f>VLOOKUP(B590,[1]LifeList!$E$2:$I$2036,5)</f>
        <v>Troglodytidae (Wrens)</v>
      </c>
    </row>
    <row r="591" spans="1:8" x14ac:dyDescent="0.15">
      <c r="A591" s="3" t="s">
        <v>563</v>
      </c>
      <c r="B591" s="3" t="s">
        <v>4173</v>
      </c>
      <c r="C591" s="3">
        <v>15195</v>
      </c>
      <c r="D591" s="3" t="str">
        <f>VLOOKUP(B591,[1]LifeList!$E$2:$G$2036,1)</f>
        <v>Buff-fronted Foliage-gleaner</v>
      </c>
      <c r="E591" s="3" t="str">
        <f>VLOOKUP(B591,[1]LifeList!$E$2:$G$2036,2)</f>
        <v>Anabate roux</v>
      </c>
      <c r="F591" s="3" t="str">
        <f>VLOOKUP(B591,[1]LifeList!$E$2:$G$2036,3)</f>
        <v>Dendroma rufa</v>
      </c>
      <c r="G591" s="3" t="str">
        <f>VLOOKUP(B591,[1]LifeList!$E$2:$I$2036,4)</f>
        <v>Passeriformes</v>
      </c>
      <c r="H591" s="3" t="str">
        <f>VLOOKUP(B591,[1]LifeList!$E$2:$I$2036,5)</f>
        <v>Furnariidae (Ovenbirds and Woodcreepers)</v>
      </c>
    </row>
    <row r="592" spans="1:8" x14ac:dyDescent="0.15">
      <c r="A592" s="3" t="s">
        <v>564</v>
      </c>
      <c r="B592" s="3" t="s">
        <v>4174</v>
      </c>
      <c r="C592" s="3">
        <v>2372</v>
      </c>
      <c r="D592" s="3" t="str">
        <f>VLOOKUP(B592,[1]LifeList!$E$2:$G$2036,1)</f>
        <v>Buff-fronted Quail-Dove</v>
      </c>
      <c r="E592" s="3" t="str">
        <f>VLOOKUP(B592,[1]LifeList!$E$2:$G$2036,2)</f>
        <v>Colombe du Costa Rica</v>
      </c>
      <c r="F592" s="3" t="str">
        <f>VLOOKUP(B592,[1]LifeList!$E$2:$G$2036,3)</f>
        <v>Zentrygon costaricensis</v>
      </c>
      <c r="G592" s="3" t="str">
        <f>VLOOKUP(B592,[1]LifeList!$E$2:$I$2036,4)</f>
        <v>Columbiformes</v>
      </c>
      <c r="H592" s="3" t="str">
        <f>VLOOKUP(B592,[1]LifeList!$E$2:$I$2036,5)</f>
        <v>Columbidae (Pigeons and Doves)</v>
      </c>
    </row>
    <row r="593" spans="1:8" x14ac:dyDescent="0.15">
      <c r="A593" s="3" t="s">
        <v>565</v>
      </c>
      <c r="B593" s="3" t="s">
        <v>4175</v>
      </c>
      <c r="C593" s="3">
        <v>7484</v>
      </c>
      <c r="D593" s="3" t="str">
        <f>VLOOKUP(B593,[1]LifeList!$E$2:$G$2036,1)</f>
        <v>Buff-necked Ibis</v>
      </c>
      <c r="E593" s="3" t="str">
        <f>VLOOKUP(B593,[1]LifeList!$E$2:$G$2036,2)</f>
        <v>Ibis mandore</v>
      </c>
      <c r="F593" s="3" t="str">
        <f>VLOOKUP(B593,[1]LifeList!$E$2:$G$2036,3)</f>
        <v>Theristicus caudatus</v>
      </c>
      <c r="G593" s="3" t="str">
        <f>VLOOKUP(B593,[1]LifeList!$E$2:$I$2036,4)</f>
        <v>Pelecaniformes</v>
      </c>
      <c r="H593" s="3" t="str">
        <f>VLOOKUP(B593,[1]LifeList!$E$2:$I$2036,5)</f>
        <v>Threskiornithidae (Ibises and Spoonbills)</v>
      </c>
    </row>
    <row r="594" spans="1:8" x14ac:dyDescent="0.15">
      <c r="A594" s="3" t="s">
        <v>566</v>
      </c>
      <c r="B594" s="3" t="s">
        <v>4176</v>
      </c>
      <c r="C594" s="3">
        <v>34308</v>
      </c>
      <c r="D594" s="3" t="str">
        <f>VLOOKUP(B594,[1]LifeList!$E$2:$G$2036,1)</f>
        <v>Buff-rumped Warbler</v>
      </c>
      <c r="E594" s="3" t="str">
        <f>VLOOKUP(B594,[1]LifeList!$E$2:$G$2036,2)</f>
        <v>Paruline à croupion fauve</v>
      </c>
      <c r="F594" s="3" t="str">
        <f>VLOOKUP(B594,[1]LifeList!$E$2:$G$2036,3)</f>
        <v>Myiothlypis fulvicauda</v>
      </c>
      <c r="G594" s="3" t="str">
        <f>VLOOKUP(B594,[1]LifeList!$E$2:$I$2036,4)</f>
        <v>Passeriformes</v>
      </c>
      <c r="H594" s="3" t="str">
        <f>VLOOKUP(B594,[1]LifeList!$E$2:$I$2036,5)</f>
        <v>Parulidae (New World Warblers)</v>
      </c>
    </row>
    <row r="595" spans="1:8" x14ac:dyDescent="0.15">
      <c r="A595" s="3" t="s">
        <v>567</v>
      </c>
      <c r="B595" s="3" t="s">
        <v>4176</v>
      </c>
      <c r="C595" s="3">
        <v>34308</v>
      </c>
      <c r="D595" s="3" t="str">
        <f>VLOOKUP(B595,[1]LifeList!$E$2:$G$2036,1)</f>
        <v>Buff-rumped Warbler</v>
      </c>
      <c r="E595" s="3" t="str">
        <f>VLOOKUP(B595,[1]LifeList!$E$2:$G$2036,2)</f>
        <v>Paruline à croupion fauve</v>
      </c>
      <c r="F595" s="3" t="str">
        <f>VLOOKUP(B595,[1]LifeList!$E$2:$G$2036,3)</f>
        <v>Myiothlypis fulvicauda</v>
      </c>
      <c r="G595" s="3" t="str">
        <f>VLOOKUP(B595,[1]LifeList!$E$2:$I$2036,4)</f>
        <v>Passeriformes</v>
      </c>
      <c r="H595" s="3" t="str">
        <f>VLOOKUP(B595,[1]LifeList!$E$2:$I$2036,5)</f>
        <v>Parulidae (New World Warblers)</v>
      </c>
    </row>
    <row r="596" spans="1:8" x14ac:dyDescent="0.15">
      <c r="A596" s="3" t="s">
        <v>568</v>
      </c>
      <c r="B596" s="3" t="s">
        <v>4177</v>
      </c>
      <c r="C596" s="3">
        <v>4672</v>
      </c>
      <c r="D596" s="3" t="str">
        <f>VLOOKUP(B596,[1]LifeList!$E$2:$G$2036,1)</f>
        <v>Buff-tailed Coronet</v>
      </c>
      <c r="E596" s="3" t="str">
        <f>VLOOKUP(B596,[1]LifeList!$E$2:$G$2036,2)</f>
        <v>Colibri flavescent</v>
      </c>
      <c r="F596" s="3" t="str">
        <f>VLOOKUP(B596,[1]LifeList!$E$2:$G$2036,3)</f>
        <v>Boissonneaua flavescens</v>
      </c>
      <c r="G596" s="3" t="str">
        <f>VLOOKUP(B596,[1]LifeList!$E$2:$I$2036,4)</f>
        <v>Apodiformes</v>
      </c>
      <c r="H596" s="3" t="str">
        <f>VLOOKUP(B596,[1]LifeList!$E$2:$I$2036,5)</f>
        <v>Trochilidae (Hummingbirds)</v>
      </c>
    </row>
    <row r="597" spans="1:8" x14ac:dyDescent="0.15">
      <c r="A597" s="3" t="s">
        <v>570</v>
      </c>
      <c r="B597" s="3" t="s">
        <v>4178</v>
      </c>
      <c r="C597" s="3">
        <v>35783</v>
      </c>
      <c r="D597" s="3" t="str">
        <f>VLOOKUP(B597,[1]LifeList!$E$2:$G$2036,1)</f>
        <v>Buff-throated Saltator</v>
      </c>
      <c r="E597" s="3" t="str">
        <f>VLOOKUP(B597,[1]LifeList!$E$2:$G$2036,2)</f>
        <v>Saltator des grands-bois</v>
      </c>
      <c r="F597" s="3" t="str">
        <f>VLOOKUP(B597,[1]LifeList!$E$2:$G$2036,3)</f>
        <v>Saltator maximus</v>
      </c>
      <c r="G597" s="3" t="str">
        <f>VLOOKUP(B597,[1]LifeList!$E$2:$I$2036,4)</f>
        <v>Passeriformes</v>
      </c>
      <c r="H597" s="3" t="str">
        <f>VLOOKUP(B597,[1]LifeList!$E$2:$I$2036,5)</f>
        <v>Thraupidae (Tanagers and Allies)</v>
      </c>
    </row>
    <row r="598" spans="1:8" x14ac:dyDescent="0.15">
      <c r="A598" s="3" t="s">
        <v>571</v>
      </c>
      <c r="B598" s="3" t="s">
        <v>4178</v>
      </c>
      <c r="C598" s="3">
        <v>35783</v>
      </c>
      <c r="D598" s="3" t="str">
        <f>VLOOKUP(B598,[1]LifeList!$E$2:$G$2036,1)</f>
        <v>Buff-throated Saltator</v>
      </c>
      <c r="E598" s="3" t="str">
        <f>VLOOKUP(B598,[1]LifeList!$E$2:$G$2036,2)</f>
        <v>Saltator des grands-bois</v>
      </c>
      <c r="F598" s="3" t="str">
        <f>VLOOKUP(B598,[1]LifeList!$E$2:$G$2036,3)</f>
        <v>Saltator maximus</v>
      </c>
      <c r="G598" s="3" t="str">
        <f>VLOOKUP(B598,[1]LifeList!$E$2:$I$2036,4)</f>
        <v>Passeriformes</v>
      </c>
      <c r="H598" s="3" t="str">
        <f>VLOOKUP(B598,[1]LifeList!$E$2:$I$2036,5)</f>
        <v>Thraupidae (Tanagers and Allies)</v>
      </c>
    </row>
    <row r="599" spans="1:8" x14ac:dyDescent="0.15">
      <c r="A599" s="3" t="s">
        <v>572</v>
      </c>
      <c r="B599" s="3" t="s">
        <v>4178</v>
      </c>
      <c r="C599" s="3">
        <v>35783</v>
      </c>
      <c r="D599" s="3" t="str">
        <f>VLOOKUP(B599,[1]LifeList!$E$2:$G$2036,1)</f>
        <v>Buff-throated Saltator</v>
      </c>
      <c r="E599" s="3" t="str">
        <f>VLOOKUP(B599,[1]LifeList!$E$2:$G$2036,2)</f>
        <v>Saltator des grands-bois</v>
      </c>
      <c r="F599" s="3" t="str">
        <f>VLOOKUP(B599,[1]LifeList!$E$2:$G$2036,3)</f>
        <v>Saltator maximus</v>
      </c>
      <c r="G599" s="3" t="str">
        <f>VLOOKUP(B599,[1]LifeList!$E$2:$I$2036,4)</f>
        <v>Passeriformes</v>
      </c>
      <c r="H599" s="3" t="str">
        <f>VLOOKUP(B599,[1]LifeList!$E$2:$I$2036,5)</f>
        <v>Thraupidae (Tanagers and Allies)</v>
      </c>
    </row>
    <row r="600" spans="1:8" x14ac:dyDescent="0.15">
      <c r="A600" s="3" t="s">
        <v>573</v>
      </c>
      <c r="B600" s="3" t="s">
        <v>4178</v>
      </c>
      <c r="C600" s="3">
        <v>35783</v>
      </c>
      <c r="D600" s="3" t="str">
        <f>VLOOKUP(B600,[1]LifeList!$E$2:$G$2036,1)</f>
        <v>Buff-throated Saltator</v>
      </c>
      <c r="E600" s="3" t="str">
        <f>VLOOKUP(B600,[1]LifeList!$E$2:$G$2036,2)</f>
        <v>Saltator des grands-bois</v>
      </c>
      <c r="F600" s="3" t="str">
        <f>VLOOKUP(B600,[1]LifeList!$E$2:$G$2036,3)</f>
        <v>Saltator maximus</v>
      </c>
      <c r="G600" s="3" t="str">
        <f>VLOOKUP(B600,[1]LifeList!$E$2:$I$2036,4)</f>
        <v>Passeriformes</v>
      </c>
      <c r="H600" s="3" t="str">
        <f>VLOOKUP(B600,[1]LifeList!$E$2:$I$2036,5)</f>
        <v>Thraupidae (Tanagers and Allies)</v>
      </c>
    </row>
    <row r="601" spans="1:8" x14ac:dyDescent="0.15">
      <c r="A601" s="3" t="s">
        <v>574</v>
      </c>
      <c r="B601" s="3" t="s">
        <v>4178</v>
      </c>
      <c r="C601" s="3">
        <v>35783</v>
      </c>
      <c r="D601" s="3" t="str">
        <f>VLOOKUP(B601,[1]LifeList!$E$2:$G$2036,1)</f>
        <v>Buff-throated Saltator</v>
      </c>
      <c r="E601" s="3" t="str">
        <f>VLOOKUP(B601,[1]LifeList!$E$2:$G$2036,2)</f>
        <v>Saltator des grands-bois</v>
      </c>
      <c r="F601" s="3" t="str">
        <f>VLOOKUP(B601,[1]LifeList!$E$2:$G$2036,3)</f>
        <v>Saltator maximus</v>
      </c>
      <c r="G601" s="3" t="str">
        <f>VLOOKUP(B601,[1]LifeList!$E$2:$I$2036,4)</f>
        <v>Passeriformes</v>
      </c>
      <c r="H601" s="3" t="str">
        <f>VLOOKUP(B601,[1]LifeList!$E$2:$I$2036,5)</f>
        <v>Thraupidae (Tanagers and Allies)</v>
      </c>
    </row>
    <row r="602" spans="1:8" x14ac:dyDescent="0.15">
      <c r="A602" s="3" t="s">
        <v>569</v>
      </c>
      <c r="B602" s="3" t="s">
        <v>4178</v>
      </c>
      <c r="C602" s="3">
        <v>35783</v>
      </c>
      <c r="D602" s="3" t="str">
        <f>VLOOKUP(B602,[1]LifeList!$E$2:$G$2036,1)</f>
        <v>Buff-throated Saltator</v>
      </c>
      <c r="E602" s="3" t="str">
        <f>VLOOKUP(B602,[1]LifeList!$E$2:$G$2036,2)</f>
        <v>Saltator des grands-bois</v>
      </c>
      <c r="F602" s="3" t="str">
        <f>VLOOKUP(B602,[1]LifeList!$E$2:$G$2036,3)</f>
        <v>Saltator maximus</v>
      </c>
      <c r="G602" s="3" t="str">
        <f>VLOOKUP(B602,[1]LifeList!$E$2:$I$2036,4)</f>
        <v>Passeriformes</v>
      </c>
      <c r="H602" s="3" t="str">
        <f>VLOOKUP(B602,[1]LifeList!$E$2:$I$2036,5)</f>
        <v>Thraupidae (Tanagers and Allies)</v>
      </c>
    </row>
    <row r="603" spans="1:8" x14ac:dyDescent="0.15">
      <c r="A603" s="3" t="s">
        <v>575</v>
      </c>
      <c r="B603" s="3" t="s">
        <v>4179</v>
      </c>
      <c r="C603" s="3">
        <v>4648</v>
      </c>
      <c r="D603" s="3" t="str">
        <f>VLOOKUP(B603,[1]LifeList!$E$2:$G$2036,1)</f>
        <v>Buff-winged Starfrontlet</v>
      </c>
      <c r="E603" s="3" t="str">
        <f>VLOOKUP(B603,[1]LifeList!$E$2:$G$2036,2)</f>
        <v>Inca à gemme bleue</v>
      </c>
      <c r="F603" s="3" t="str">
        <f>VLOOKUP(B603,[1]LifeList!$E$2:$G$2036,3)</f>
        <v>Coeligena lutetiae</v>
      </c>
      <c r="G603" s="3" t="str">
        <f>VLOOKUP(B603,[1]LifeList!$E$2:$I$2036,4)</f>
        <v>Apodiformes</v>
      </c>
      <c r="H603" s="3" t="str">
        <f>VLOOKUP(B603,[1]LifeList!$E$2:$I$2036,5)</f>
        <v>Trochilidae (Hummingbirds)</v>
      </c>
    </row>
    <row r="604" spans="1:8" x14ac:dyDescent="0.15">
      <c r="A604" s="3" t="s">
        <v>576</v>
      </c>
      <c r="B604" s="3" t="s">
        <v>4180</v>
      </c>
      <c r="C604" s="3">
        <v>742</v>
      </c>
      <c r="D604" s="3" t="str">
        <f>VLOOKUP(B604,[1]LifeList!$E$2:$G$2036,1)</f>
        <v>Bufflehead</v>
      </c>
      <c r="E604" s="3" t="str">
        <f>VLOOKUP(B604,[1]LifeList!$E$2:$G$2036,2)</f>
        <v>Petit Garrot</v>
      </c>
      <c r="F604" s="3" t="str">
        <f>VLOOKUP(B604,[1]LifeList!$E$2:$G$2036,3)</f>
        <v>Bucephala albeola</v>
      </c>
      <c r="G604" s="3" t="str">
        <f>VLOOKUP(B604,[1]LifeList!$E$2:$I$2036,4)</f>
        <v>Anseriformes</v>
      </c>
      <c r="H604" s="3" t="str">
        <f>VLOOKUP(B604,[1]LifeList!$E$2:$I$2036,5)</f>
        <v>Anatidae (Ducks, Geese, and Waterfowl)</v>
      </c>
    </row>
    <row r="605" spans="1:8" x14ac:dyDescent="0.15">
      <c r="A605" s="3" t="s">
        <v>577</v>
      </c>
      <c r="B605" s="3" t="s">
        <v>4181</v>
      </c>
      <c r="C605" s="3">
        <v>4533</v>
      </c>
      <c r="D605" s="3" t="str">
        <f>VLOOKUP(B605,[1]LifeList!$E$2:$G$2036,1)</f>
        <v>Buffy Helmetcrest</v>
      </c>
      <c r="E605" s="3" t="str">
        <f>VLOOKUP(B605,[1]LifeList!$E$2:$G$2036,2)</f>
        <v>Colibri de Stübel</v>
      </c>
      <c r="F605" s="3" t="str">
        <f>VLOOKUP(B605,[1]LifeList!$E$2:$G$2036,3)</f>
        <v>Oxypogon stuebelii</v>
      </c>
      <c r="G605" s="3" t="str">
        <f>VLOOKUP(B605,[1]LifeList!$E$2:$I$2036,4)</f>
        <v>Apodiformes</v>
      </c>
      <c r="H605" s="3" t="str">
        <f>VLOOKUP(B605,[1]LifeList!$E$2:$I$2036,5)</f>
        <v>Trochilidae (Hummingbirds)</v>
      </c>
    </row>
    <row r="606" spans="1:8" x14ac:dyDescent="0.15">
      <c r="A606" s="3" t="s">
        <v>578</v>
      </c>
      <c r="B606" s="3" t="s">
        <v>4182</v>
      </c>
      <c r="C606" s="3">
        <v>5028</v>
      </c>
      <c r="D606" s="3" t="str">
        <f>VLOOKUP(B606,[1]LifeList!$E$2:$G$2036,1)</f>
        <v>Buffy Hummingbird</v>
      </c>
      <c r="E606" s="3" t="str">
        <f>VLOOKUP(B606,[1]LifeList!$E$2:$G$2036,2)</f>
        <v>Colibri trompeur</v>
      </c>
      <c r="F606" s="3" t="str">
        <f>VLOOKUP(B606,[1]LifeList!$E$2:$G$2036,3)</f>
        <v>Leucippus fallax</v>
      </c>
      <c r="G606" s="3" t="str">
        <f>VLOOKUP(B606,[1]LifeList!$E$2:$I$2036,4)</f>
        <v>Apodiformes</v>
      </c>
      <c r="H606" s="3" t="str">
        <f>VLOOKUP(B606,[1]LifeList!$E$2:$I$2036,5)</f>
        <v>Trochilidae (Hummingbirds)</v>
      </c>
    </row>
    <row r="607" spans="1:8" x14ac:dyDescent="0.15">
      <c r="A607" s="3" t="s">
        <v>3830</v>
      </c>
      <c r="B607" s="3" t="s">
        <v>5219</v>
      </c>
      <c r="C607" s="3">
        <v>17808</v>
      </c>
      <c r="D607" s="3" t="str">
        <f>VLOOKUP(B607,[1]LifeList!$E$2:$G$2036,1)</f>
        <v>Burchell's Sandgrouse</v>
      </c>
      <c r="E607" s="3" t="str">
        <f>VLOOKUP(B607,[1]LifeList!$E$2:$G$2036,2)</f>
        <v>Ganga de Burchell</v>
      </c>
      <c r="F607" s="3" t="str">
        <f>VLOOKUP(B607,[1]LifeList!$E$2:$G$2036,3)</f>
        <v>Pterocles burchelli</v>
      </c>
      <c r="G607" s="3" t="str">
        <f>VLOOKUP(B607,[1]LifeList!$E$2:$I$2036,4)</f>
        <v>Pterocliformes</v>
      </c>
      <c r="H607" s="3" t="str">
        <f>VLOOKUP(B607,[1]LifeList!$E$2:$I$2036,5)</f>
        <v>Pteroclidae (Sandgrouse)</v>
      </c>
    </row>
    <row r="608" spans="1:8" x14ac:dyDescent="0.15">
      <c r="A608" s="3" t="s">
        <v>3831</v>
      </c>
      <c r="B608" s="3" t="s">
        <v>5247</v>
      </c>
      <c r="C608" s="3">
        <v>17808</v>
      </c>
      <c r="D608" s="3" t="str">
        <f>VLOOKUP(B608,[1]LifeList!$E$2:$G$2036,1)</f>
        <v>Burchell's Starling</v>
      </c>
      <c r="E608" s="3" t="str">
        <f>VLOOKUP(B608,[1]LifeList!$E$2:$G$2036,2)</f>
        <v>Choucador de Burchell</v>
      </c>
      <c r="F608" s="3" t="str">
        <f>VLOOKUP(B608,[1]LifeList!$E$2:$G$2036,3)</f>
        <v>Lamprotornis australis</v>
      </c>
      <c r="G608" s="3" t="str">
        <f>VLOOKUP(B608,[1]LifeList!$E$2:$I$2036,4)</f>
        <v>Passeriformes</v>
      </c>
      <c r="H608" s="3" t="str">
        <f>VLOOKUP(B608,[1]LifeList!$E$2:$I$2036,5)</f>
        <v>Sturnidae (Starlings)</v>
      </c>
    </row>
    <row r="609" spans="1:8" x14ac:dyDescent="0.15">
      <c r="A609" s="3" t="s">
        <v>579</v>
      </c>
      <c r="B609" s="3" t="s">
        <v>4183</v>
      </c>
      <c r="C609" s="3">
        <v>9133</v>
      </c>
      <c r="D609" s="3" t="str">
        <f>VLOOKUP(B609,[1]LifeList!$E$2:$G$2036,1)</f>
        <v>Burrowing Owl</v>
      </c>
      <c r="E609" s="3" t="str">
        <f>VLOOKUP(B609,[1]LifeList!$E$2:$G$2036,2)</f>
        <v>Chevêche des terriers</v>
      </c>
      <c r="F609" s="3" t="str">
        <f>VLOOKUP(B609,[1]LifeList!$E$2:$G$2036,3)</f>
        <v>Athene cunicularia</v>
      </c>
      <c r="G609" s="3" t="str">
        <f>VLOOKUP(B609,[1]LifeList!$E$2:$I$2036,4)</f>
        <v>Strigiformes</v>
      </c>
      <c r="H609" s="3" t="str">
        <f>VLOOKUP(B609,[1]LifeList!$E$2:$I$2036,5)</f>
        <v>Strigidae (Owls)</v>
      </c>
    </row>
    <row r="610" spans="1:8" x14ac:dyDescent="0.15">
      <c r="A610" s="3" t="s">
        <v>580</v>
      </c>
      <c r="B610" s="3" t="s">
        <v>4183</v>
      </c>
      <c r="C610" s="3">
        <v>9133</v>
      </c>
      <c r="D610" s="3" t="str">
        <f>VLOOKUP(B610,[1]LifeList!$E$2:$G$2036,1)</f>
        <v>Burrowing Owl</v>
      </c>
      <c r="E610" s="3" t="str">
        <f>VLOOKUP(B610,[1]LifeList!$E$2:$G$2036,2)</f>
        <v>Chevêche des terriers</v>
      </c>
      <c r="F610" s="3" t="str">
        <f>VLOOKUP(B610,[1]LifeList!$E$2:$G$2036,3)</f>
        <v>Athene cunicularia</v>
      </c>
      <c r="G610" s="3" t="str">
        <f>VLOOKUP(B610,[1]LifeList!$E$2:$I$2036,4)</f>
        <v>Strigiformes</v>
      </c>
      <c r="H610" s="3" t="str">
        <f>VLOOKUP(B610,[1]LifeList!$E$2:$I$2036,5)</f>
        <v>Strigidae (Owls)</v>
      </c>
    </row>
    <row r="611" spans="1:8" x14ac:dyDescent="0.15">
      <c r="A611" s="3" t="s">
        <v>581</v>
      </c>
      <c r="B611" s="3" t="s">
        <v>4184</v>
      </c>
      <c r="C611" s="3">
        <v>331</v>
      </c>
      <c r="D611" s="3" t="str">
        <f>VLOOKUP(B611,[1]LifeList!$E$2:$G$2036,1)</f>
        <v>Cackling Goose</v>
      </c>
      <c r="E611" s="3" t="str">
        <f>VLOOKUP(B611,[1]LifeList!$E$2:$G$2036,2)</f>
        <v>Bernache de Hutchins</v>
      </c>
      <c r="F611" s="3" t="str">
        <f>VLOOKUP(B611,[1]LifeList!$E$2:$G$2036,3)</f>
        <v>Branta hutchinsii</v>
      </c>
      <c r="G611" s="3" t="str">
        <f>VLOOKUP(B611,[1]LifeList!$E$2:$I$2036,4)</f>
        <v>Anseriformes</v>
      </c>
      <c r="H611" s="3" t="str">
        <f>VLOOKUP(B611,[1]LifeList!$E$2:$I$2036,5)</f>
        <v>Anatidae (Ducks, Geese, and Waterfowl)</v>
      </c>
    </row>
    <row r="612" spans="1:8" x14ac:dyDescent="0.15">
      <c r="A612" s="3" t="s">
        <v>582</v>
      </c>
      <c r="B612" s="3" t="s">
        <v>4184</v>
      </c>
      <c r="C612" s="3">
        <v>331</v>
      </c>
      <c r="D612" s="3" t="str">
        <f>VLOOKUP(B612,[1]LifeList!$E$2:$G$2036,1)</f>
        <v>Cackling Goose</v>
      </c>
      <c r="E612" s="3" t="str">
        <f>VLOOKUP(B612,[1]LifeList!$E$2:$G$2036,2)</f>
        <v>Bernache de Hutchins</v>
      </c>
      <c r="F612" s="3" t="str">
        <f>VLOOKUP(B612,[1]LifeList!$E$2:$G$2036,3)</f>
        <v>Branta hutchinsii</v>
      </c>
      <c r="G612" s="3" t="str">
        <f>VLOOKUP(B612,[1]LifeList!$E$2:$I$2036,4)</f>
        <v>Anseriformes</v>
      </c>
      <c r="H612" s="3" t="str">
        <f>VLOOKUP(B612,[1]LifeList!$E$2:$I$2036,5)</f>
        <v>Anatidae (Ducks, Geese, and Waterfowl)</v>
      </c>
    </row>
    <row r="613" spans="1:8" x14ac:dyDescent="0.15">
      <c r="A613" s="3" t="s">
        <v>583</v>
      </c>
      <c r="B613" s="3" t="s">
        <v>4185</v>
      </c>
      <c r="C613" s="3">
        <v>21303</v>
      </c>
      <c r="D613" s="3" t="str">
        <f>VLOOKUP(B613,[1]LifeList!$E$2:$G$2036,1)</f>
        <v>California Scrub-Jay</v>
      </c>
      <c r="E613" s="3" t="str">
        <f>VLOOKUP(B613,[1]LifeList!$E$2:$G$2036,2)</f>
        <v>Geai buissonnier</v>
      </c>
      <c r="F613" s="3" t="str">
        <f>VLOOKUP(B613,[1]LifeList!$E$2:$G$2036,3)</f>
        <v>Aphelocoma californica</v>
      </c>
      <c r="G613" s="3" t="str">
        <f>VLOOKUP(B613,[1]LifeList!$E$2:$I$2036,4)</f>
        <v>Passeriformes</v>
      </c>
      <c r="H613" s="3" t="str">
        <f>VLOOKUP(B613,[1]LifeList!$E$2:$I$2036,5)</f>
        <v>Corvidae (Crows, Jays, and Magpies)</v>
      </c>
    </row>
    <row r="614" spans="1:8" x14ac:dyDescent="0.15">
      <c r="A614" s="3" t="s">
        <v>584</v>
      </c>
      <c r="B614" s="3" t="s">
        <v>4186</v>
      </c>
      <c r="C614" s="3">
        <v>342</v>
      </c>
      <c r="D614" s="3" t="str">
        <f>VLOOKUP(B614,[1]LifeList!$E$2:$G$2036,1)</f>
        <v>Canada Goose</v>
      </c>
      <c r="E614" s="3" t="str">
        <f>VLOOKUP(B614,[1]LifeList!$E$2:$G$2036,2)</f>
        <v>Bernache du Canada</v>
      </c>
      <c r="F614" s="3" t="str">
        <f>VLOOKUP(B614,[1]LifeList!$E$2:$G$2036,3)</f>
        <v>Branta canadensis</v>
      </c>
      <c r="G614" s="3" t="str">
        <f>VLOOKUP(B614,[1]LifeList!$E$2:$I$2036,4)</f>
        <v>Anseriformes</v>
      </c>
      <c r="H614" s="3" t="str">
        <f>VLOOKUP(B614,[1]LifeList!$E$2:$I$2036,5)</f>
        <v>Anatidae (Ducks, Geese, and Waterfowl)</v>
      </c>
    </row>
    <row r="615" spans="1:8" x14ac:dyDescent="0.15">
      <c r="A615" s="3" t="s">
        <v>585</v>
      </c>
      <c r="B615" s="3" t="s">
        <v>4186</v>
      </c>
      <c r="C615" s="3">
        <v>342</v>
      </c>
      <c r="D615" s="3" t="str">
        <f>VLOOKUP(B615,[1]LifeList!$E$2:$G$2036,1)</f>
        <v>Canada Goose</v>
      </c>
      <c r="E615" s="3" t="str">
        <f>VLOOKUP(B615,[1]LifeList!$E$2:$G$2036,2)</f>
        <v>Bernache du Canada</v>
      </c>
      <c r="F615" s="3" t="str">
        <f>VLOOKUP(B615,[1]LifeList!$E$2:$G$2036,3)</f>
        <v>Branta canadensis</v>
      </c>
      <c r="G615" s="3" t="str">
        <f>VLOOKUP(B615,[1]LifeList!$E$2:$I$2036,4)</f>
        <v>Anseriformes</v>
      </c>
      <c r="H615" s="3" t="str">
        <f>VLOOKUP(B615,[1]LifeList!$E$2:$I$2036,5)</f>
        <v>Anatidae (Ducks, Geese, and Waterfowl)</v>
      </c>
    </row>
    <row r="616" spans="1:8" x14ac:dyDescent="0.15">
      <c r="A616" s="3" t="s">
        <v>586</v>
      </c>
      <c r="B616" s="3" t="s">
        <v>4186</v>
      </c>
      <c r="C616" s="3">
        <v>342</v>
      </c>
      <c r="D616" s="3" t="str">
        <f>VLOOKUP(B616,[1]LifeList!$E$2:$G$2036,1)</f>
        <v>Canada Goose</v>
      </c>
      <c r="E616" s="3" t="str">
        <f>VLOOKUP(B616,[1]LifeList!$E$2:$G$2036,2)</f>
        <v>Bernache du Canada</v>
      </c>
      <c r="F616" s="3" t="str">
        <f>VLOOKUP(B616,[1]LifeList!$E$2:$G$2036,3)</f>
        <v>Branta canadensis</v>
      </c>
      <c r="G616" s="3" t="str">
        <f>VLOOKUP(B616,[1]LifeList!$E$2:$I$2036,4)</f>
        <v>Anseriformes</v>
      </c>
      <c r="H616" s="3" t="str">
        <f>VLOOKUP(B616,[1]LifeList!$E$2:$I$2036,5)</f>
        <v>Anatidae (Ducks, Geese, and Waterfowl)</v>
      </c>
    </row>
    <row r="617" spans="1:8" x14ac:dyDescent="0.15">
      <c r="A617" s="3" t="s">
        <v>587</v>
      </c>
      <c r="B617" s="3" t="s">
        <v>4186</v>
      </c>
      <c r="C617" s="3">
        <v>342</v>
      </c>
      <c r="D617" s="3" t="str">
        <f>VLOOKUP(B617,[1]LifeList!$E$2:$G$2036,1)</f>
        <v>Canada Goose</v>
      </c>
      <c r="E617" s="3" t="str">
        <f>VLOOKUP(B617,[1]LifeList!$E$2:$G$2036,2)</f>
        <v>Bernache du Canada</v>
      </c>
      <c r="F617" s="3" t="str">
        <f>VLOOKUP(B617,[1]LifeList!$E$2:$G$2036,3)</f>
        <v>Branta canadensis</v>
      </c>
      <c r="G617" s="3" t="str">
        <f>VLOOKUP(B617,[1]LifeList!$E$2:$I$2036,4)</f>
        <v>Anseriformes</v>
      </c>
      <c r="H617" s="3" t="str">
        <f>VLOOKUP(B617,[1]LifeList!$E$2:$I$2036,5)</f>
        <v>Anatidae (Ducks, Geese, and Waterfowl)</v>
      </c>
    </row>
    <row r="618" spans="1:8" x14ac:dyDescent="0.15">
      <c r="A618" s="3" t="s">
        <v>588</v>
      </c>
      <c r="B618" s="3" t="s">
        <v>4186</v>
      </c>
      <c r="C618" s="3">
        <v>342</v>
      </c>
      <c r="D618" s="3" t="str">
        <f>VLOOKUP(B618,[1]LifeList!$E$2:$G$2036,1)</f>
        <v>Canada Goose</v>
      </c>
      <c r="E618" s="3" t="str">
        <f>VLOOKUP(B618,[1]LifeList!$E$2:$G$2036,2)</f>
        <v>Bernache du Canada</v>
      </c>
      <c r="F618" s="3" t="str">
        <f>VLOOKUP(B618,[1]LifeList!$E$2:$G$2036,3)</f>
        <v>Branta canadensis</v>
      </c>
      <c r="G618" s="3" t="str">
        <f>VLOOKUP(B618,[1]LifeList!$E$2:$I$2036,4)</f>
        <v>Anseriformes</v>
      </c>
      <c r="H618" s="3" t="str">
        <f>VLOOKUP(B618,[1]LifeList!$E$2:$I$2036,5)</f>
        <v>Anatidae (Ducks, Geese, and Waterfowl)</v>
      </c>
    </row>
    <row r="619" spans="1:8" x14ac:dyDescent="0.15">
      <c r="A619" s="3" t="s">
        <v>590</v>
      </c>
      <c r="B619" s="3" t="s">
        <v>4187</v>
      </c>
      <c r="C619" s="3">
        <v>34344</v>
      </c>
      <c r="D619" s="3" t="str">
        <f>VLOOKUP(B619,[1]LifeList!$E$2:$G$2036,1)</f>
        <v>Canada Warbler</v>
      </c>
      <c r="E619" s="3" t="str">
        <f>VLOOKUP(B619,[1]LifeList!$E$2:$G$2036,2)</f>
        <v>Paruline du Canada</v>
      </c>
      <c r="F619" s="3" t="str">
        <f>VLOOKUP(B619,[1]LifeList!$E$2:$G$2036,3)</f>
        <v>Cardellina canadensis</v>
      </c>
      <c r="G619" s="3" t="str">
        <f>VLOOKUP(B619,[1]LifeList!$E$2:$I$2036,4)</f>
        <v>Passeriformes</v>
      </c>
      <c r="H619" s="3" t="str">
        <f>VLOOKUP(B619,[1]LifeList!$E$2:$I$2036,5)</f>
        <v>Parulidae (New World Warblers)</v>
      </c>
    </row>
    <row r="620" spans="1:8" x14ac:dyDescent="0.15">
      <c r="A620" s="3" t="s">
        <v>591</v>
      </c>
      <c r="B620" s="3" t="s">
        <v>4187</v>
      </c>
      <c r="C620" s="3">
        <v>34344</v>
      </c>
      <c r="D620" s="3" t="str">
        <f>VLOOKUP(B620,[1]LifeList!$E$2:$G$2036,1)</f>
        <v>Canada Warbler</v>
      </c>
      <c r="E620" s="3" t="str">
        <f>VLOOKUP(B620,[1]LifeList!$E$2:$G$2036,2)</f>
        <v>Paruline du Canada</v>
      </c>
      <c r="F620" s="3" t="str">
        <f>VLOOKUP(B620,[1]LifeList!$E$2:$G$2036,3)</f>
        <v>Cardellina canadensis</v>
      </c>
      <c r="G620" s="3" t="str">
        <f>VLOOKUP(B620,[1]LifeList!$E$2:$I$2036,4)</f>
        <v>Passeriformes</v>
      </c>
      <c r="H620" s="3" t="str">
        <f>VLOOKUP(B620,[1]LifeList!$E$2:$I$2036,5)</f>
        <v>Parulidae (New World Warblers)</v>
      </c>
    </row>
    <row r="621" spans="1:8" x14ac:dyDescent="0.15">
      <c r="A621" s="3" t="s">
        <v>592</v>
      </c>
      <c r="B621" s="3" t="s">
        <v>4187</v>
      </c>
      <c r="C621" s="3">
        <v>34344</v>
      </c>
      <c r="D621" s="3" t="str">
        <f>VLOOKUP(B621,[1]LifeList!$E$2:$G$2036,1)</f>
        <v>Canada Warbler</v>
      </c>
      <c r="E621" s="3" t="str">
        <f>VLOOKUP(B621,[1]LifeList!$E$2:$G$2036,2)</f>
        <v>Paruline du Canada</v>
      </c>
      <c r="F621" s="3" t="str">
        <f>VLOOKUP(B621,[1]LifeList!$E$2:$G$2036,3)</f>
        <v>Cardellina canadensis</v>
      </c>
      <c r="G621" s="3" t="str">
        <f>VLOOKUP(B621,[1]LifeList!$E$2:$I$2036,4)</f>
        <v>Passeriformes</v>
      </c>
      <c r="H621" s="3" t="str">
        <f>VLOOKUP(B621,[1]LifeList!$E$2:$I$2036,5)</f>
        <v>Parulidae (New World Warblers)</v>
      </c>
    </row>
    <row r="622" spans="1:8" x14ac:dyDescent="0.15">
      <c r="A622" s="3" t="s">
        <v>593</v>
      </c>
      <c r="B622" s="3" t="s">
        <v>4187</v>
      </c>
      <c r="C622" s="3">
        <v>34344</v>
      </c>
      <c r="D622" s="3" t="str">
        <f>VLOOKUP(B622,[1]LifeList!$E$2:$G$2036,1)</f>
        <v>Canada Warbler</v>
      </c>
      <c r="E622" s="3" t="str">
        <f>VLOOKUP(B622,[1]LifeList!$E$2:$G$2036,2)</f>
        <v>Paruline du Canada</v>
      </c>
      <c r="F622" s="3" t="str">
        <f>VLOOKUP(B622,[1]LifeList!$E$2:$G$2036,3)</f>
        <v>Cardellina canadensis</v>
      </c>
      <c r="G622" s="3" t="str">
        <f>VLOOKUP(B622,[1]LifeList!$E$2:$I$2036,4)</f>
        <v>Passeriformes</v>
      </c>
      <c r="H622" s="3" t="str">
        <f>VLOOKUP(B622,[1]LifeList!$E$2:$I$2036,5)</f>
        <v>Parulidae (New World Warblers)</v>
      </c>
    </row>
    <row r="623" spans="1:8" x14ac:dyDescent="0.15">
      <c r="A623" s="3" t="s">
        <v>594</v>
      </c>
      <c r="B623" s="3" t="s">
        <v>4187</v>
      </c>
      <c r="C623" s="3">
        <v>34344</v>
      </c>
      <c r="D623" s="3" t="str">
        <f>VLOOKUP(B623,[1]LifeList!$E$2:$G$2036,1)</f>
        <v>Canada Warbler</v>
      </c>
      <c r="E623" s="3" t="str">
        <f>VLOOKUP(B623,[1]LifeList!$E$2:$G$2036,2)</f>
        <v>Paruline du Canada</v>
      </c>
      <c r="F623" s="3" t="str">
        <f>VLOOKUP(B623,[1]LifeList!$E$2:$G$2036,3)</f>
        <v>Cardellina canadensis</v>
      </c>
      <c r="G623" s="3" t="str">
        <f>VLOOKUP(B623,[1]LifeList!$E$2:$I$2036,4)</f>
        <v>Passeriformes</v>
      </c>
      <c r="H623" s="3" t="str">
        <f>VLOOKUP(B623,[1]LifeList!$E$2:$I$2036,5)</f>
        <v>Parulidae (New World Warblers)</v>
      </c>
    </row>
    <row r="624" spans="1:8" x14ac:dyDescent="0.15">
      <c r="A624" s="3" t="s">
        <v>595</v>
      </c>
      <c r="B624" s="3" t="s">
        <v>4187</v>
      </c>
      <c r="C624" s="3">
        <v>34344</v>
      </c>
      <c r="D624" s="3" t="str">
        <f>VLOOKUP(B624,[1]LifeList!$E$2:$G$2036,1)</f>
        <v>Canada Warbler</v>
      </c>
      <c r="E624" s="3" t="str">
        <f>VLOOKUP(B624,[1]LifeList!$E$2:$G$2036,2)</f>
        <v>Paruline du Canada</v>
      </c>
      <c r="F624" s="3" t="str">
        <f>VLOOKUP(B624,[1]LifeList!$E$2:$G$2036,3)</f>
        <v>Cardellina canadensis</v>
      </c>
      <c r="G624" s="3" t="str">
        <f>VLOOKUP(B624,[1]LifeList!$E$2:$I$2036,4)</f>
        <v>Passeriformes</v>
      </c>
      <c r="H624" s="3" t="str">
        <f>VLOOKUP(B624,[1]LifeList!$E$2:$I$2036,5)</f>
        <v>Parulidae (New World Warblers)</v>
      </c>
    </row>
    <row r="625" spans="1:8" x14ac:dyDescent="0.15">
      <c r="A625" s="3" t="s">
        <v>596</v>
      </c>
      <c r="B625" s="3" t="s">
        <v>4187</v>
      </c>
      <c r="C625" s="3">
        <v>34344</v>
      </c>
      <c r="D625" s="3" t="str">
        <f>VLOOKUP(B625,[1]LifeList!$E$2:$G$2036,1)</f>
        <v>Canada Warbler</v>
      </c>
      <c r="E625" s="3" t="str">
        <f>VLOOKUP(B625,[1]LifeList!$E$2:$G$2036,2)</f>
        <v>Paruline du Canada</v>
      </c>
      <c r="F625" s="3" t="str">
        <f>VLOOKUP(B625,[1]LifeList!$E$2:$G$2036,3)</f>
        <v>Cardellina canadensis</v>
      </c>
      <c r="G625" s="3" t="str">
        <f>VLOOKUP(B625,[1]LifeList!$E$2:$I$2036,4)</f>
        <v>Passeriformes</v>
      </c>
      <c r="H625" s="3" t="str">
        <f>VLOOKUP(B625,[1]LifeList!$E$2:$I$2036,5)</f>
        <v>Parulidae (New World Warblers)</v>
      </c>
    </row>
    <row r="626" spans="1:8" x14ac:dyDescent="0.15">
      <c r="A626" s="3" t="s">
        <v>589</v>
      </c>
      <c r="B626" s="3" t="s">
        <v>4187</v>
      </c>
      <c r="C626" s="3">
        <v>34344</v>
      </c>
      <c r="D626" s="3" t="str">
        <f>VLOOKUP(B626,[1]LifeList!$E$2:$G$2036,1)</f>
        <v>Canada Warbler</v>
      </c>
      <c r="E626" s="3" t="str">
        <f>VLOOKUP(B626,[1]LifeList!$E$2:$G$2036,2)</f>
        <v>Paruline du Canada</v>
      </c>
      <c r="F626" s="3" t="str">
        <f>VLOOKUP(B626,[1]LifeList!$E$2:$G$2036,3)</f>
        <v>Cardellina canadensis</v>
      </c>
      <c r="G626" s="3" t="str">
        <f>VLOOKUP(B626,[1]LifeList!$E$2:$I$2036,4)</f>
        <v>Passeriformes</v>
      </c>
      <c r="H626" s="3" t="str">
        <f>VLOOKUP(B626,[1]LifeList!$E$2:$I$2036,5)</f>
        <v>Parulidae (New World Warblers)</v>
      </c>
    </row>
    <row r="627" spans="1:8" x14ac:dyDescent="0.15">
      <c r="A627" s="3" t="s">
        <v>597</v>
      </c>
      <c r="B627" s="3" t="s">
        <v>4188</v>
      </c>
      <c r="C627" s="3">
        <v>27536</v>
      </c>
      <c r="D627" s="3" t="str">
        <f>VLOOKUP(B627,[1]LifeList!$E$2:$G$2036,1)</f>
        <v>Canebrake Wren</v>
      </c>
      <c r="E627" s="3" t="str">
        <f>VLOOKUP(B627,[1]LifeList!$E$2:$G$2036,2)</f>
        <v>Troglodyte de Zeledon</v>
      </c>
      <c r="F627" s="3" t="str">
        <f>VLOOKUP(B627,[1]LifeList!$E$2:$G$2036,3)</f>
        <v>Cantorchilus zeledoni</v>
      </c>
      <c r="G627" s="3" t="str">
        <f>VLOOKUP(B627,[1]LifeList!$E$2:$I$2036,4)</f>
        <v>Passeriformes</v>
      </c>
      <c r="H627" s="3" t="str">
        <f>VLOOKUP(B627,[1]LifeList!$E$2:$I$2036,5)</f>
        <v>Troglodytidae (Wrens)</v>
      </c>
    </row>
    <row r="628" spans="1:8" x14ac:dyDescent="0.15">
      <c r="A628" s="3" t="s">
        <v>598</v>
      </c>
      <c r="B628" s="3" t="s">
        <v>4188</v>
      </c>
      <c r="C628" s="3">
        <v>27536</v>
      </c>
      <c r="D628" s="3" t="str">
        <f>VLOOKUP(B628,[1]LifeList!$E$2:$G$2036,1)</f>
        <v>Canebrake Wren</v>
      </c>
      <c r="E628" s="3" t="str">
        <f>VLOOKUP(B628,[1]LifeList!$E$2:$G$2036,2)</f>
        <v>Troglodyte de Zeledon</v>
      </c>
      <c r="F628" s="3" t="str">
        <f>VLOOKUP(B628,[1]LifeList!$E$2:$G$2036,3)</f>
        <v>Cantorchilus zeledoni</v>
      </c>
      <c r="G628" s="3" t="str">
        <f>VLOOKUP(B628,[1]LifeList!$E$2:$I$2036,4)</f>
        <v>Passeriformes</v>
      </c>
      <c r="H628" s="3" t="str">
        <f>VLOOKUP(B628,[1]LifeList!$E$2:$I$2036,5)</f>
        <v>Troglodytidae (Wrens)</v>
      </c>
    </row>
    <row r="629" spans="1:8" x14ac:dyDescent="0.15">
      <c r="A629" s="3" t="s">
        <v>599</v>
      </c>
      <c r="B629" s="3" t="s">
        <v>4188</v>
      </c>
      <c r="C629" s="3">
        <v>27536</v>
      </c>
      <c r="D629" s="3" t="str">
        <f>VLOOKUP(B629,[1]LifeList!$E$2:$G$2036,1)</f>
        <v>Canebrake Wren</v>
      </c>
      <c r="E629" s="3" t="str">
        <f>VLOOKUP(B629,[1]LifeList!$E$2:$G$2036,2)</f>
        <v>Troglodyte de Zeledon</v>
      </c>
      <c r="F629" s="3" t="str">
        <f>VLOOKUP(B629,[1]LifeList!$E$2:$G$2036,3)</f>
        <v>Cantorchilus zeledoni</v>
      </c>
      <c r="G629" s="3" t="str">
        <f>VLOOKUP(B629,[1]LifeList!$E$2:$I$2036,4)</f>
        <v>Passeriformes</v>
      </c>
      <c r="H629" s="3" t="str">
        <f>VLOOKUP(B629,[1]LifeList!$E$2:$I$2036,5)</f>
        <v>Troglodytidae (Wrens)</v>
      </c>
    </row>
    <row r="630" spans="1:8" x14ac:dyDescent="0.15">
      <c r="A630" s="3" t="s">
        <v>3832</v>
      </c>
      <c r="B630" s="3" t="s">
        <v>5248</v>
      </c>
      <c r="C630" s="3">
        <v>33350</v>
      </c>
      <c r="D630" s="3" t="str">
        <f>VLOOKUP(B630,[1]LifeList!$E$2:$G$2036,1)</f>
        <v>Canivet's Emerald</v>
      </c>
      <c r="E630" s="3" t="str">
        <f>VLOOKUP(B630,[1]LifeList!$E$2:$G$2036,2)</f>
        <v>Émeraude de Canivet</v>
      </c>
      <c r="F630" s="3" t="str">
        <f>VLOOKUP(B630,[1]LifeList!$E$2:$G$2036,3)</f>
        <v>Cynanthus canivetii</v>
      </c>
      <c r="G630" s="3" t="str">
        <f>VLOOKUP(B630,[1]LifeList!$E$2:$I$2036,4)</f>
        <v>Apodiformes</v>
      </c>
      <c r="H630" s="3" t="str">
        <f>VLOOKUP(B630,[1]LifeList!$E$2:$I$2036,5)</f>
        <v>Trochilidae (Hummingbirds)</v>
      </c>
    </row>
    <row r="631" spans="1:8" x14ac:dyDescent="0.15">
      <c r="A631" s="3" t="s">
        <v>600</v>
      </c>
      <c r="B631" s="3" t="s">
        <v>4189</v>
      </c>
      <c r="C631" s="3">
        <v>32762</v>
      </c>
      <c r="D631" s="3" t="str">
        <f>VLOOKUP(B631,[1]LifeList!$E$2:$G$2036,1)</f>
        <v>Cape Bunting</v>
      </c>
      <c r="E631" s="3" t="str">
        <f>VLOOKUP(B631,[1]LifeList!$E$2:$G$2036,2)</f>
        <v>Bruant du Cap</v>
      </c>
      <c r="F631" s="3" t="str">
        <f>VLOOKUP(B631,[1]LifeList!$E$2:$G$2036,3)</f>
        <v>Emberiza capensis</v>
      </c>
      <c r="G631" s="3" t="str">
        <f>VLOOKUP(B631,[1]LifeList!$E$2:$I$2036,4)</f>
        <v>Passeriformes</v>
      </c>
      <c r="H631" s="3" t="str">
        <f>VLOOKUP(B631,[1]LifeList!$E$2:$I$2036,5)</f>
        <v>Emberizidae (Old World Buntings)</v>
      </c>
    </row>
    <row r="632" spans="1:8" x14ac:dyDescent="0.15">
      <c r="A632" s="3" t="s">
        <v>602</v>
      </c>
      <c r="B632" s="3" t="s">
        <v>3749</v>
      </c>
      <c r="C632" s="3">
        <v>34060</v>
      </c>
      <c r="D632" s="3" t="str">
        <f>VLOOKUP(B632,[1]LifeList!$E$2:$G$2036,1)</f>
        <v>Cape May Warbler</v>
      </c>
      <c r="E632" s="3" t="str">
        <f>VLOOKUP(B632,[1]LifeList!$E$2:$G$2036,2)</f>
        <v>Paruline tigrée</v>
      </c>
      <c r="F632" s="3" t="str">
        <f>VLOOKUP(B632,[1]LifeList!$E$2:$G$2036,3)</f>
        <v>Setophaga tigrina</v>
      </c>
      <c r="G632" s="3" t="str">
        <f>VLOOKUP(B632,[1]LifeList!$E$2:$I$2036,4)</f>
        <v>Passeriformes</v>
      </c>
      <c r="H632" s="3" t="str">
        <f>VLOOKUP(B632,[1]LifeList!$E$2:$I$2036,5)</f>
        <v>Parulidae (New World Warblers)</v>
      </c>
    </row>
    <row r="633" spans="1:8" x14ac:dyDescent="0.15">
      <c r="A633" s="3" t="s">
        <v>603</v>
      </c>
      <c r="B633" s="3" t="s">
        <v>3749</v>
      </c>
      <c r="C633" s="3">
        <v>34060</v>
      </c>
      <c r="D633" s="3" t="str">
        <f>VLOOKUP(B633,[1]LifeList!$E$2:$G$2036,1)</f>
        <v>Cape May Warbler</v>
      </c>
      <c r="E633" s="3" t="str">
        <f>VLOOKUP(B633,[1]LifeList!$E$2:$G$2036,2)</f>
        <v>Paruline tigrée</v>
      </c>
      <c r="F633" s="3" t="str">
        <f>VLOOKUP(B633,[1]LifeList!$E$2:$G$2036,3)</f>
        <v>Setophaga tigrina</v>
      </c>
      <c r="G633" s="3" t="str">
        <f>VLOOKUP(B633,[1]LifeList!$E$2:$I$2036,4)</f>
        <v>Passeriformes</v>
      </c>
      <c r="H633" s="3" t="str">
        <f>VLOOKUP(B633,[1]LifeList!$E$2:$I$2036,5)</f>
        <v>Parulidae (New World Warblers)</v>
      </c>
    </row>
    <row r="634" spans="1:8" x14ac:dyDescent="0.15">
      <c r="A634" s="3" t="s">
        <v>604</v>
      </c>
      <c r="B634" s="3" t="s">
        <v>3749</v>
      </c>
      <c r="C634" s="3">
        <v>34060</v>
      </c>
      <c r="D634" s="3" t="str">
        <f>VLOOKUP(B634,[1]LifeList!$E$2:$G$2036,1)</f>
        <v>Cape May Warbler</v>
      </c>
      <c r="E634" s="3" t="str">
        <f>VLOOKUP(B634,[1]LifeList!$E$2:$G$2036,2)</f>
        <v>Paruline tigrée</v>
      </c>
      <c r="F634" s="3" t="str">
        <f>VLOOKUP(B634,[1]LifeList!$E$2:$G$2036,3)</f>
        <v>Setophaga tigrina</v>
      </c>
      <c r="G634" s="3" t="str">
        <f>VLOOKUP(B634,[1]LifeList!$E$2:$I$2036,4)</f>
        <v>Passeriformes</v>
      </c>
      <c r="H634" s="3" t="str">
        <f>VLOOKUP(B634,[1]LifeList!$E$2:$I$2036,5)</f>
        <v>Parulidae (New World Warblers)</v>
      </c>
    </row>
    <row r="635" spans="1:8" x14ac:dyDescent="0.15">
      <c r="A635" s="3" t="s">
        <v>605</v>
      </c>
      <c r="B635" s="3" t="s">
        <v>3749</v>
      </c>
      <c r="C635" s="3">
        <v>34060</v>
      </c>
      <c r="D635" s="3" t="str">
        <f>VLOOKUP(B635,[1]LifeList!$E$2:$G$2036,1)</f>
        <v>Cape May Warbler</v>
      </c>
      <c r="E635" s="3" t="str">
        <f>VLOOKUP(B635,[1]LifeList!$E$2:$G$2036,2)</f>
        <v>Paruline tigrée</v>
      </c>
      <c r="F635" s="3" t="str">
        <f>VLOOKUP(B635,[1]LifeList!$E$2:$G$2036,3)</f>
        <v>Setophaga tigrina</v>
      </c>
      <c r="G635" s="3" t="str">
        <f>VLOOKUP(B635,[1]LifeList!$E$2:$I$2036,4)</f>
        <v>Passeriformes</v>
      </c>
      <c r="H635" s="3" t="str">
        <f>VLOOKUP(B635,[1]LifeList!$E$2:$I$2036,5)</f>
        <v>Parulidae (New World Warblers)</v>
      </c>
    </row>
    <row r="636" spans="1:8" x14ac:dyDescent="0.15">
      <c r="A636" s="3" t="s">
        <v>606</v>
      </c>
      <c r="B636" s="3" t="s">
        <v>3749</v>
      </c>
      <c r="C636" s="3">
        <v>34060</v>
      </c>
      <c r="D636" s="3" t="str">
        <f>VLOOKUP(B636,[1]LifeList!$E$2:$G$2036,1)</f>
        <v>Cape May Warbler</v>
      </c>
      <c r="E636" s="3" t="str">
        <f>VLOOKUP(B636,[1]LifeList!$E$2:$G$2036,2)</f>
        <v>Paruline tigrée</v>
      </c>
      <c r="F636" s="3" t="str">
        <f>VLOOKUP(B636,[1]LifeList!$E$2:$G$2036,3)</f>
        <v>Setophaga tigrina</v>
      </c>
      <c r="G636" s="3" t="str">
        <f>VLOOKUP(B636,[1]LifeList!$E$2:$I$2036,4)</f>
        <v>Passeriformes</v>
      </c>
      <c r="H636" s="3" t="str">
        <f>VLOOKUP(B636,[1]LifeList!$E$2:$I$2036,5)</f>
        <v>Parulidae (New World Warblers)</v>
      </c>
    </row>
    <row r="637" spans="1:8" x14ac:dyDescent="0.15">
      <c r="A637" s="3" t="s">
        <v>607</v>
      </c>
      <c r="B637" s="3" t="s">
        <v>3749</v>
      </c>
      <c r="C637" s="3">
        <v>34060</v>
      </c>
      <c r="D637" s="3" t="str">
        <f>VLOOKUP(B637,[1]LifeList!$E$2:$G$2036,1)</f>
        <v>Cape May Warbler</v>
      </c>
      <c r="E637" s="3" t="str">
        <f>VLOOKUP(B637,[1]LifeList!$E$2:$G$2036,2)</f>
        <v>Paruline tigrée</v>
      </c>
      <c r="F637" s="3" t="str">
        <f>VLOOKUP(B637,[1]LifeList!$E$2:$G$2036,3)</f>
        <v>Setophaga tigrina</v>
      </c>
      <c r="G637" s="3" t="str">
        <f>VLOOKUP(B637,[1]LifeList!$E$2:$I$2036,4)</f>
        <v>Passeriformes</v>
      </c>
      <c r="H637" s="3" t="str">
        <f>VLOOKUP(B637,[1]LifeList!$E$2:$I$2036,5)</f>
        <v>Parulidae (New World Warblers)</v>
      </c>
    </row>
    <row r="638" spans="1:8" x14ac:dyDescent="0.15">
      <c r="A638" s="3" t="s">
        <v>608</v>
      </c>
      <c r="B638" s="3" t="s">
        <v>3749</v>
      </c>
      <c r="C638" s="3">
        <v>34060</v>
      </c>
      <c r="D638" s="3" t="str">
        <f>VLOOKUP(B638,[1]LifeList!$E$2:$G$2036,1)</f>
        <v>Cape May Warbler</v>
      </c>
      <c r="E638" s="3" t="str">
        <f>VLOOKUP(B638,[1]LifeList!$E$2:$G$2036,2)</f>
        <v>Paruline tigrée</v>
      </c>
      <c r="F638" s="3" t="str">
        <f>VLOOKUP(B638,[1]LifeList!$E$2:$G$2036,3)</f>
        <v>Setophaga tigrina</v>
      </c>
      <c r="G638" s="3" t="str">
        <f>VLOOKUP(B638,[1]LifeList!$E$2:$I$2036,4)</f>
        <v>Passeriformes</v>
      </c>
      <c r="H638" s="3" t="str">
        <f>VLOOKUP(B638,[1]LifeList!$E$2:$I$2036,5)</f>
        <v>Parulidae (New World Warblers)</v>
      </c>
    </row>
    <row r="639" spans="1:8" x14ac:dyDescent="0.15">
      <c r="A639" s="3" t="s">
        <v>609</v>
      </c>
      <c r="B639" s="3" t="s">
        <v>3749</v>
      </c>
      <c r="C639" s="3">
        <v>34060</v>
      </c>
      <c r="D639" s="3" t="str">
        <f>VLOOKUP(B639,[1]LifeList!$E$2:$G$2036,1)</f>
        <v>Cape May Warbler</v>
      </c>
      <c r="E639" s="3" t="str">
        <f>VLOOKUP(B639,[1]LifeList!$E$2:$G$2036,2)</f>
        <v>Paruline tigrée</v>
      </c>
      <c r="F639" s="3" t="str">
        <f>VLOOKUP(B639,[1]LifeList!$E$2:$G$2036,3)</f>
        <v>Setophaga tigrina</v>
      </c>
      <c r="G639" s="3" t="str">
        <f>VLOOKUP(B639,[1]LifeList!$E$2:$I$2036,4)</f>
        <v>Passeriformes</v>
      </c>
      <c r="H639" s="3" t="str">
        <f>VLOOKUP(B639,[1]LifeList!$E$2:$I$2036,5)</f>
        <v>Parulidae (New World Warblers)</v>
      </c>
    </row>
    <row r="640" spans="1:8" x14ac:dyDescent="0.15">
      <c r="A640" s="3" t="s">
        <v>610</v>
      </c>
      <c r="B640" s="3" t="s">
        <v>3749</v>
      </c>
      <c r="C640" s="3">
        <v>34060</v>
      </c>
      <c r="D640" s="3" t="str">
        <f>VLOOKUP(B640,[1]LifeList!$E$2:$G$2036,1)</f>
        <v>Cape May Warbler</v>
      </c>
      <c r="E640" s="3" t="str">
        <f>VLOOKUP(B640,[1]LifeList!$E$2:$G$2036,2)</f>
        <v>Paruline tigrée</v>
      </c>
      <c r="F640" s="3" t="str">
        <f>VLOOKUP(B640,[1]LifeList!$E$2:$G$2036,3)</f>
        <v>Setophaga tigrina</v>
      </c>
      <c r="G640" s="3" t="str">
        <f>VLOOKUP(B640,[1]LifeList!$E$2:$I$2036,4)</f>
        <v>Passeriformes</v>
      </c>
      <c r="H640" s="3" t="str">
        <f>VLOOKUP(B640,[1]LifeList!$E$2:$I$2036,5)</f>
        <v>Parulidae (New World Warblers)</v>
      </c>
    </row>
    <row r="641" spans="1:8" x14ac:dyDescent="0.15">
      <c r="A641" s="3" t="s">
        <v>611</v>
      </c>
      <c r="B641" s="3" t="s">
        <v>3749</v>
      </c>
      <c r="C641" s="3">
        <v>34060</v>
      </c>
      <c r="D641" s="3" t="str">
        <f>VLOOKUP(B641,[1]LifeList!$E$2:$G$2036,1)</f>
        <v>Cape May Warbler</v>
      </c>
      <c r="E641" s="3" t="str">
        <f>VLOOKUP(B641,[1]LifeList!$E$2:$G$2036,2)</f>
        <v>Paruline tigrée</v>
      </c>
      <c r="F641" s="3" t="str">
        <f>VLOOKUP(B641,[1]LifeList!$E$2:$G$2036,3)</f>
        <v>Setophaga tigrina</v>
      </c>
      <c r="G641" s="3" t="str">
        <f>VLOOKUP(B641,[1]LifeList!$E$2:$I$2036,4)</f>
        <v>Passeriformes</v>
      </c>
      <c r="H641" s="3" t="str">
        <f>VLOOKUP(B641,[1]LifeList!$E$2:$I$2036,5)</f>
        <v>Parulidae (New World Warblers)</v>
      </c>
    </row>
    <row r="642" spans="1:8" x14ac:dyDescent="0.15">
      <c r="A642" s="3" t="s">
        <v>612</v>
      </c>
      <c r="B642" s="3" t="s">
        <v>3749</v>
      </c>
      <c r="C642" s="3">
        <v>34060</v>
      </c>
      <c r="D642" s="3" t="str">
        <f>VLOOKUP(B642,[1]LifeList!$E$2:$G$2036,1)</f>
        <v>Cape May Warbler</v>
      </c>
      <c r="E642" s="3" t="str">
        <f>VLOOKUP(B642,[1]LifeList!$E$2:$G$2036,2)</f>
        <v>Paruline tigrée</v>
      </c>
      <c r="F642" s="3" t="str">
        <f>VLOOKUP(B642,[1]LifeList!$E$2:$G$2036,3)</f>
        <v>Setophaga tigrina</v>
      </c>
      <c r="G642" s="3" t="str">
        <f>VLOOKUP(B642,[1]LifeList!$E$2:$I$2036,4)</f>
        <v>Passeriformes</v>
      </c>
      <c r="H642" s="3" t="str">
        <f>VLOOKUP(B642,[1]LifeList!$E$2:$I$2036,5)</f>
        <v>Parulidae (New World Warblers)</v>
      </c>
    </row>
    <row r="643" spans="1:8" x14ac:dyDescent="0.15">
      <c r="A643" s="3" t="s">
        <v>613</v>
      </c>
      <c r="B643" s="3" t="s">
        <v>3749</v>
      </c>
      <c r="C643" s="3">
        <v>34060</v>
      </c>
      <c r="D643" s="3" t="str">
        <f>VLOOKUP(B643,[1]LifeList!$E$2:$G$2036,1)</f>
        <v>Cape May Warbler</v>
      </c>
      <c r="E643" s="3" t="str">
        <f>VLOOKUP(B643,[1]LifeList!$E$2:$G$2036,2)</f>
        <v>Paruline tigrée</v>
      </c>
      <c r="F643" s="3" t="str">
        <f>VLOOKUP(B643,[1]LifeList!$E$2:$G$2036,3)</f>
        <v>Setophaga tigrina</v>
      </c>
      <c r="G643" s="3" t="str">
        <f>VLOOKUP(B643,[1]LifeList!$E$2:$I$2036,4)</f>
        <v>Passeriformes</v>
      </c>
      <c r="H643" s="3" t="str">
        <f>VLOOKUP(B643,[1]LifeList!$E$2:$I$2036,5)</f>
        <v>Parulidae (New World Warblers)</v>
      </c>
    </row>
    <row r="644" spans="1:8" x14ac:dyDescent="0.15">
      <c r="A644" s="3" t="s">
        <v>614</v>
      </c>
      <c r="B644" s="3" t="s">
        <v>3749</v>
      </c>
      <c r="C644" s="3">
        <v>34060</v>
      </c>
      <c r="D644" s="3" t="str">
        <f>VLOOKUP(B644,[1]LifeList!$E$2:$G$2036,1)</f>
        <v>Cape May Warbler</v>
      </c>
      <c r="E644" s="3" t="str">
        <f>VLOOKUP(B644,[1]LifeList!$E$2:$G$2036,2)</f>
        <v>Paruline tigrée</v>
      </c>
      <c r="F644" s="3" t="str">
        <f>VLOOKUP(B644,[1]LifeList!$E$2:$G$2036,3)</f>
        <v>Setophaga tigrina</v>
      </c>
      <c r="G644" s="3" t="str">
        <f>VLOOKUP(B644,[1]LifeList!$E$2:$I$2036,4)</f>
        <v>Passeriformes</v>
      </c>
      <c r="H644" s="3" t="str">
        <f>VLOOKUP(B644,[1]LifeList!$E$2:$I$2036,5)</f>
        <v>Parulidae (New World Warblers)</v>
      </c>
    </row>
    <row r="645" spans="1:8" x14ac:dyDescent="0.15">
      <c r="A645" s="3" t="s">
        <v>615</v>
      </c>
      <c r="B645" s="3" t="s">
        <v>3749</v>
      </c>
      <c r="C645" s="3">
        <v>34060</v>
      </c>
      <c r="D645" s="3" t="str">
        <f>VLOOKUP(B645,[1]LifeList!$E$2:$G$2036,1)</f>
        <v>Cape May Warbler</v>
      </c>
      <c r="E645" s="3" t="str">
        <f>VLOOKUP(B645,[1]LifeList!$E$2:$G$2036,2)</f>
        <v>Paruline tigrée</v>
      </c>
      <c r="F645" s="3" t="str">
        <f>VLOOKUP(B645,[1]LifeList!$E$2:$G$2036,3)</f>
        <v>Setophaga tigrina</v>
      </c>
      <c r="G645" s="3" t="str">
        <f>VLOOKUP(B645,[1]LifeList!$E$2:$I$2036,4)</f>
        <v>Passeriformes</v>
      </c>
      <c r="H645" s="3" t="str">
        <f>VLOOKUP(B645,[1]LifeList!$E$2:$I$2036,5)</f>
        <v>Parulidae (New World Warblers)</v>
      </c>
    </row>
    <row r="646" spans="1:8" x14ac:dyDescent="0.15">
      <c r="A646" s="3" t="s">
        <v>616</v>
      </c>
      <c r="B646" s="3" t="s">
        <v>3749</v>
      </c>
      <c r="C646" s="3">
        <v>34060</v>
      </c>
      <c r="D646" s="3" t="str">
        <f>VLOOKUP(B646,[1]LifeList!$E$2:$G$2036,1)</f>
        <v>Cape May Warbler</v>
      </c>
      <c r="E646" s="3" t="str">
        <f>VLOOKUP(B646,[1]LifeList!$E$2:$G$2036,2)</f>
        <v>Paruline tigrée</v>
      </c>
      <c r="F646" s="3" t="str">
        <f>VLOOKUP(B646,[1]LifeList!$E$2:$G$2036,3)</f>
        <v>Setophaga tigrina</v>
      </c>
      <c r="G646" s="3" t="str">
        <f>VLOOKUP(B646,[1]LifeList!$E$2:$I$2036,4)</f>
        <v>Passeriformes</v>
      </c>
      <c r="H646" s="3" t="str">
        <f>VLOOKUP(B646,[1]LifeList!$E$2:$I$2036,5)</f>
        <v>Parulidae (New World Warblers)</v>
      </c>
    </row>
    <row r="647" spans="1:8" x14ac:dyDescent="0.15">
      <c r="A647" s="3" t="s">
        <v>601</v>
      </c>
      <c r="B647" s="3" t="s">
        <v>3749</v>
      </c>
      <c r="C647" s="3">
        <v>34060</v>
      </c>
      <c r="D647" s="3" t="str">
        <f>VLOOKUP(B647,[1]LifeList!$E$2:$G$2036,1)</f>
        <v>Cape May Warbler</v>
      </c>
      <c r="E647" s="3" t="str">
        <f>VLOOKUP(B647,[1]LifeList!$E$2:$G$2036,2)</f>
        <v>Paruline tigrée</v>
      </c>
      <c r="F647" s="3" t="str">
        <f>VLOOKUP(B647,[1]LifeList!$E$2:$G$2036,3)</f>
        <v>Setophaga tigrina</v>
      </c>
      <c r="G647" s="3" t="str">
        <f>VLOOKUP(B647,[1]LifeList!$E$2:$I$2036,4)</f>
        <v>Passeriformes</v>
      </c>
      <c r="H647" s="3" t="str">
        <f>VLOOKUP(B647,[1]LifeList!$E$2:$I$2036,5)</f>
        <v>Parulidae (New World Warblers)</v>
      </c>
    </row>
    <row r="648" spans="1:8" x14ac:dyDescent="0.15">
      <c r="A648" s="3" t="s">
        <v>617</v>
      </c>
      <c r="B648" s="3" t="s">
        <v>4190</v>
      </c>
      <c r="C648" s="3">
        <v>29212</v>
      </c>
      <c r="D648" s="3" t="str">
        <f>VLOOKUP(B648,[1]LifeList!$E$2:$G$2036,1)</f>
        <v>Cape Robin-Chat</v>
      </c>
      <c r="E648" s="3" t="str">
        <f>VLOOKUP(B648,[1]LifeList!$E$2:$G$2036,2)</f>
        <v>Cossyphe du Cap</v>
      </c>
      <c r="F648" s="3" t="str">
        <f>VLOOKUP(B648,[1]LifeList!$E$2:$G$2036,3)</f>
        <v>Dessonornis caffer</v>
      </c>
      <c r="G648" s="3" t="str">
        <f>VLOOKUP(B648,[1]LifeList!$E$2:$I$2036,4)</f>
        <v>Passeriformes</v>
      </c>
      <c r="H648" s="3" t="str">
        <f>VLOOKUP(B648,[1]LifeList!$E$2:$I$2036,5)</f>
        <v>Muscicapidae (Old World Flycatchers)</v>
      </c>
    </row>
    <row r="649" spans="1:8" x14ac:dyDescent="0.15">
      <c r="A649" s="3" t="s">
        <v>618</v>
      </c>
      <c r="B649" s="3" t="s">
        <v>4191</v>
      </c>
      <c r="C649" s="3">
        <v>29663</v>
      </c>
      <c r="D649" s="3" t="str">
        <f>VLOOKUP(B649,[1]LifeList!$E$2:$G$2036,1)</f>
        <v>Cape Rock-Thrush</v>
      </c>
      <c r="E649" s="3" t="str">
        <f>VLOOKUP(B649,[1]LifeList!$E$2:$G$2036,2)</f>
        <v>Traquet familier</v>
      </c>
      <c r="F649" s="3" t="str">
        <f>VLOOKUP(B649,[1]LifeList!$E$2:$G$2036,3)</f>
        <v>Monticola rupestris</v>
      </c>
      <c r="G649" s="3" t="str">
        <f>VLOOKUP(B649,[1]LifeList!$E$2:$I$2036,4)</f>
        <v>Passeriformes</v>
      </c>
      <c r="H649" s="3" t="str">
        <f>VLOOKUP(B649,[1]LifeList!$E$2:$I$2036,5)</f>
        <v>Muscicapidae (Old World Flycatchers)</v>
      </c>
    </row>
    <row r="650" spans="1:8" x14ac:dyDescent="0.15">
      <c r="A650" s="3" t="s">
        <v>619</v>
      </c>
      <c r="B650" s="3" t="s">
        <v>4192</v>
      </c>
      <c r="C650" s="3">
        <v>31582</v>
      </c>
      <c r="D650" s="3" t="str">
        <f>VLOOKUP(B650,[1]LifeList!$E$2:$G$2036,1)</f>
        <v>Cape Sparrow</v>
      </c>
      <c r="E650" s="3" t="str">
        <f>VLOOKUP(B650,[1]LifeList!$E$2:$G$2036,2)</f>
        <v>Moineau mélanure</v>
      </c>
      <c r="F650" s="3" t="str">
        <f>VLOOKUP(B650,[1]LifeList!$E$2:$G$2036,3)</f>
        <v>Passer melanurus</v>
      </c>
      <c r="G650" s="3" t="str">
        <f>VLOOKUP(B650,[1]LifeList!$E$2:$I$2036,4)</f>
        <v>Passeriformes</v>
      </c>
      <c r="H650" s="3" t="str">
        <f>VLOOKUP(B650,[1]LifeList!$E$2:$I$2036,5)</f>
        <v>Passeridae (Old World Sparrows)</v>
      </c>
    </row>
    <row r="651" spans="1:8" x14ac:dyDescent="0.15">
      <c r="A651" s="3" t="s">
        <v>620</v>
      </c>
      <c r="B651" s="3" t="s">
        <v>4193</v>
      </c>
      <c r="C651" s="3">
        <v>27988</v>
      </c>
      <c r="D651" s="3" t="str">
        <f>VLOOKUP(B651,[1]LifeList!$E$2:$G$2036,1)</f>
        <v>Cape Starling</v>
      </c>
      <c r="E651" s="3" t="str">
        <f>VLOOKUP(B651,[1]LifeList!$E$2:$G$2036,2)</f>
        <v>Choucador à épaulettes rouges</v>
      </c>
      <c r="F651" s="3" t="str">
        <f>VLOOKUP(B651,[1]LifeList!$E$2:$G$2036,3)</f>
        <v>Lamprotornis nitens</v>
      </c>
      <c r="G651" s="3" t="str">
        <f>VLOOKUP(B651,[1]LifeList!$E$2:$I$2036,4)</f>
        <v>Passeriformes</v>
      </c>
      <c r="H651" s="3" t="str">
        <f>VLOOKUP(B651,[1]LifeList!$E$2:$I$2036,5)</f>
        <v>Sturnidae (Starlings)</v>
      </c>
    </row>
    <row r="652" spans="1:8" x14ac:dyDescent="0.15">
      <c r="A652" s="3" t="s">
        <v>621</v>
      </c>
      <c r="B652" s="3" t="s">
        <v>4194</v>
      </c>
      <c r="C652" s="3">
        <v>31668</v>
      </c>
      <c r="D652" s="3" t="str">
        <f>VLOOKUP(B652,[1]LifeList!$E$2:$G$2036,1)</f>
        <v>Cape Wagtail</v>
      </c>
      <c r="E652" s="3" t="str">
        <f>VLOOKUP(B652,[1]LifeList!$E$2:$G$2036,2)</f>
        <v>Bergeronnette du Cap</v>
      </c>
      <c r="F652" s="3" t="str">
        <f>VLOOKUP(B652,[1]LifeList!$E$2:$G$2036,3)</f>
        <v>Motacilla capensis</v>
      </c>
      <c r="G652" s="3" t="str">
        <f>VLOOKUP(B652,[1]LifeList!$E$2:$I$2036,4)</f>
        <v>Passeriformes</v>
      </c>
      <c r="H652" s="3" t="str">
        <f>VLOOKUP(B652,[1]LifeList!$E$2:$I$2036,5)</f>
        <v>Motacillidae (Wagtails and Pipits)</v>
      </c>
    </row>
    <row r="653" spans="1:8" x14ac:dyDescent="0.15">
      <c r="A653" s="3" t="s">
        <v>622</v>
      </c>
      <c r="B653" s="3" t="s">
        <v>4195</v>
      </c>
      <c r="C653" s="3">
        <v>30796</v>
      </c>
      <c r="D653" s="3" t="str">
        <f>VLOOKUP(B653,[1]LifeList!$E$2:$G$2036,1)</f>
        <v>Cape Weaver</v>
      </c>
      <c r="E653" s="3" t="str">
        <f>VLOOKUP(B653,[1]LifeList!$E$2:$G$2036,2)</f>
        <v>Tisserin du Cap</v>
      </c>
      <c r="F653" s="3" t="str">
        <f>VLOOKUP(B653,[1]LifeList!$E$2:$G$2036,3)</f>
        <v>Ploceus capensis</v>
      </c>
      <c r="G653" s="3" t="str">
        <f>VLOOKUP(B653,[1]LifeList!$E$2:$I$2036,4)</f>
        <v>Passeriformes</v>
      </c>
      <c r="H653" s="3" t="str">
        <f>VLOOKUP(B653,[1]LifeList!$E$2:$I$2036,5)</f>
        <v>Ploceidae (Weavers and Allies)</v>
      </c>
    </row>
    <row r="654" spans="1:8" x14ac:dyDescent="0.15">
      <c r="A654" s="3" t="s">
        <v>623</v>
      </c>
      <c r="B654" s="3" t="s">
        <v>4195</v>
      </c>
      <c r="C654" s="3">
        <v>30796</v>
      </c>
      <c r="D654" s="3" t="str">
        <f>VLOOKUP(B654,[1]LifeList!$E$2:$G$2036,1)</f>
        <v>Cape Weaver</v>
      </c>
      <c r="E654" s="3" t="str">
        <f>VLOOKUP(B654,[1]LifeList!$E$2:$G$2036,2)</f>
        <v>Tisserin du Cap</v>
      </c>
      <c r="F654" s="3" t="str">
        <f>VLOOKUP(B654,[1]LifeList!$E$2:$G$2036,3)</f>
        <v>Ploceus capensis</v>
      </c>
      <c r="G654" s="3" t="str">
        <f>VLOOKUP(B654,[1]LifeList!$E$2:$I$2036,4)</f>
        <v>Passeriformes</v>
      </c>
      <c r="H654" s="3" t="str">
        <f>VLOOKUP(B654,[1]LifeList!$E$2:$I$2036,5)</f>
        <v>Ploceidae (Weavers and Allies)</v>
      </c>
    </row>
    <row r="655" spans="1:8" x14ac:dyDescent="0.15">
      <c r="A655" s="3" t="s">
        <v>624</v>
      </c>
      <c r="B655" s="3" t="s">
        <v>4195</v>
      </c>
      <c r="C655" s="3">
        <v>30796</v>
      </c>
      <c r="D655" s="3" t="str">
        <f>VLOOKUP(B655,[1]LifeList!$E$2:$G$2036,1)</f>
        <v>Cape Weaver</v>
      </c>
      <c r="E655" s="3" t="str">
        <f>VLOOKUP(B655,[1]LifeList!$E$2:$G$2036,2)</f>
        <v>Tisserin du Cap</v>
      </c>
      <c r="F655" s="3" t="str">
        <f>VLOOKUP(B655,[1]LifeList!$E$2:$G$2036,3)</f>
        <v>Ploceus capensis</v>
      </c>
      <c r="G655" s="3" t="str">
        <f>VLOOKUP(B655,[1]LifeList!$E$2:$I$2036,4)</f>
        <v>Passeriformes</v>
      </c>
      <c r="H655" s="3" t="str">
        <f>VLOOKUP(B655,[1]LifeList!$E$2:$I$2036,5)</f>
        <v>Ploceidae (Weavers and Allies)</v>
      </c>
    </row>
    <row r="656" spans="1:8" x14ac:dyDescent="0.15">
      <c r="A656" s="3" t="s">
        <v>625</v>
      </c>
      <c r="B656" s="3" t="s">
        <v>4196</v>
      </c>
      <c r="C656" s="3">
        <v>25703</v>
      </c>
      <c r="D656" s="3" t="str">
        <f>VLOOKUP(B656,[1]LifeList!$E$2:$G$2036,1)</f>
        <v>Cape White-eye</v>
      </c>
      <c r="E656" s="3" t="str">
        <f>VLOOKUP(B656,[1]LifeList!$E$2:$G$2036,2)</f>
        <v>Zostérops du Cap</v>
      </c>
      <c r="F656" s="3" t="str">
        <f>VLOOKUP(B656,[1]LifeList!$E$2:$G$2036,3)</f>
        <v>Zosterops virens</v>
      </c>
      <c r="G656" s="3" t="str">
        <f>VLOOKUP(B656,[1]LifeList!$E$2:$I$2036,4)</f>
        <v>Passeriformes</v>
      </c>
      <c r="H656" s="3" t="str">
        <f>VLOOKUP(B656,[1]LifeList!$E$2:$I$2036,5)</f>
        <v>Zosteropidae (White-eyes, Yuhinas, and Allies)</v>
      </c>
    </row>
    <row r="657" spans="1:8" x14ac:dyDescent="0.15">
      <c r="A657" s="3" t="s">
        <v>627</v>
      </c>
      <c r="B657" s="3" t="s">
        <v>4197</v>
      </c>
      <c r="C657" s="3">
        <v>35254</v>
      </c>
      <c r="D657" s="3" t="str">
        <f>VLOOKUP(B657,[1]LifeList!$E$2:$G$2036,1)</f>
        <v>Capped Conebill</v>
      </c>
      <c r="E657" s="3" t="str">
        <f>VLOOKUP(B657,[1]LifeList!$E$2:$G$2036,2)</f>
        <v>Conirostre coiffé</v>
      </c>
      <c r="F657" s="3" t="str">
        <f>VLOOKUP(B657,[1]LifeList!$E$2:$G$2036,3)</f>
        <v>Conirostrum albifrons</v>
      </c>
      <c r="G657" s="3" t="str">
        <f>VLOOKUP(B657,[1]LifeList!$E$2:$I$2036,4)</f>
        <v>Passeriformes</v>
      </c>
      <c r="H657" s="3" t="str">
        <f>VLOOKUP(B657,[1]LifeList!$E$2:$I$2036,5)</f>
        <v>Thraupidae (Tanagers and Allies)</v>
      </c>
    </row>
    <row r="658" spans="1:8" x14ac:dyDescent="0.15">
      <c r="A658" s="3" t="s">
        <v>626</v>
      </c>
      <c r="B658" s="3" t="s">
        <v>4197</v>
      </c>
      <c r="C658" s="3">
        <v>35254</v>
      </c>
      <c r="D658" s="3" t="str">
        <f>VLOOKUP(B658,[1]LifeList!$E$2:$G$2036,1)</f>
        <v>Capped Conebill</v>
      </c>
      <c r="E658" s="3" t="str">
        <f>VLOOKUP(B658,[1]LifeList!$E$2:$G$2036,2)</f>
        <v>Conirostre coiffé</v>
      </c>
      <c r="F658" s="3" t="str">
        <f>VLOOKUP(B658,[1]LifeList!$E$2:$G$2036,3)</f>
        <v>Conirostrum albifrons</v>
      </c>
      <c r="G658" s="3" t="str">
        <f>VLOOKUP(B658,[1]LifeList!$E$2:$I$2036,4)</f>
        <v>Passeriformes</v>
      </c>
      <c r="H658" s="3" t="str">
        <f>VLOOKUP(B658,[1]LifeList!$E$2:$I$2036,5)</f>
        <v>Thraupidae (Tanagers and Allies)</v>
      </c>
    </row>
    <row r="659" spans="1:8" x14ac:dyDescent="0.15">
      <c r="A659" s="3" t="s">
        <v>628</v>
      </c>
      <c r="B659" s="3" t="s">
        <v>4198</v>
      </c>
      <c r="C659" s="3">
        <v>11289</v>
      </c>
      <c r="D659" s="3" t="str">
        <f>VLOOKUP(B659,[1]LifeList!$E$2:$G$2036,1)</f>
        <v>Cardinal Woodpecker</v>
      </c>
      <c r="E659" s="3" t="str">
        <f>VLOOKUP(B659,[1]LifeList!$E$2:$G$2036,2)</f>
        <v>Pic cardinal</v>
      </c>
      <c r="F659" s="3" t="str">
        <f>VLOOKUP(B659,[1]LifeList!$E$2:$G$2036,3)</f>
        <v>Dendropicos fuscescens</v>
      </c>
      <c r="G659" s="3" t="str">
        <f>VLOOKUP(B659,[1]LifeList!$E$2:$I$2036,4)</f>
        <v>Piciformes</v>
      </c>
      <c r="H659" s="3" t="str">
        <f>VLOOKUP(B659,[1]LifeList!$E$2:$I$2036,5)</f>
        <v>Picidae (Woodpeckers)</v>
      </c>
    </row>
    <row r="660" spans="1:8" x14ac:dyDescent="0.15">
      <c r="A660" s="3" t="s">
        <v>629</v>
      </c>
      <c r="B660" s="3" t="s">
        <v>4199</v>
      </c>
      <c r="C660" s="3">
        <v>33889</v>
      </c>
      <c r="D660" s="3" t="str">
        <f>VLOOKUP(B660,[1]LifeList!$E$2:$G$2036,1)</f>
        <v>Carib Grackle</v>
      </c>
      <c r="E660" s="3" t="str">
        <f>VLOOKUP(B660,[1]LifeList!$E$2:$G$2036,2)</f>
        <v>Quiscale merle</v>
      </c>
      <c r="F660" s="3" t="str">
        <f>VLOOKUP(B660,[1]LifeList!$E$2:$G$2036,3)</f>
        <v>Quiscalus lugubris</v>
      </c>
      <c r="G660" s="3" t="str">
        <f>VLOOKUP(B660,[1]LifeList!$E$2:$I$2036,4)</f>
        <v>Passeriformes</v>
      </c>
      <c r="H660" s="3" t="str">
        <f>VLOOKUP(B660,[1]LifeList!$E$2:$I$2036,5)</f>
        <v>Icteridae (Troupials and Allies)</v>
      </c>
    </row>
    <row r="661" spans="1:8" x14ac:dyDescent="0.15">
      <c r="A661" s="3" t="s">
        <v>630</v>
      </c>
      <c r="B661" s="3" t="s">
        <v>4199</v>
      </c>
      <c r="C661" s="3">
        <v>33889</v>
      </c>
      <c r="D661" s="3" t="str">
        <f>VLOOKUP(B661,[1]LifeList!$E$2:$G$2036,1)</f>
        <v>Carib Grackle</v>
      </c>
      <c r="E661" s="3" t="str">
        <f>VLOOKUP(B661,[1]LifeList!$E$2:$G$2036,2)</f>
        <v>Quiscale merle</v>
      </c>
      <c r="F661" s="3" t="str">
        <f>VLOOKUP(B661,[1]LifeList!$E$2:$G$2036,3)</f>
        <v>Quiscalus lugubris</v>
      </c>
      <c r="G661" s="3" t="str">
        <f>VLOOKUP(B661,[1]LifeList!$E$2:$I$2036,4)</f>
        <v>Passeriformes</v>
      </c>
      <c r="H661" s="3" t="str">
        <f>VLOOKUP(B661,[1]LifeList!$E$2:$I$2036,5)</f>
        <v>Icteridae (Troupials and Allies)</v>
      </c>
    </row>
    <row r="662" spans="1:8" x14ac:dyDescent="0.15">
      <c r="A662" s="3" t="s">
        <v>631</v>
      </c>
      <c r="B662" s="3" t="s">
        <v>4200</v>
      </c>
      <c r="C662" s="3">
        <v>15037</v>
      </c>
      <c r="D662" s="3" t="str">
        <f>VLOOKUP(B662,[1]LifeList!$E$2:$G$2036,1)</f>
        <v>Caribbean Hornero</v>
      </c>
      <c r="E662" s="3" t="str">
        <f>VLOOKUP(B662,[1]LifeList!$E$2:$G$2036,2)</f>
        <v>Fournier du Venezuela</v>
      </c>
      <c r="F662" s="3" t="str">
        <f>VLOOKUP(B662,[1]LifeList!$E$2:$G$2036,3)</f>
        <v>Furnarius longirostris</v>
      </c>
      <c r="G662" s="3" t="str">
        <f>VLOOKUP(B662,[1]LifeList!$E$2:$I$2036,4)</f>
        <v>Passeriformes</v>
      </c>
      <c r="H662" s="3" t="str">
        <f>VLOOKUP(B662,[1]LifeList!$E$2:$I$2036,5)</f>
        <v>Furnariidae (Ovenbirds and Woodcreepers)</v>
      </c>
    </row>
    <row r="663" spans="1:8" x14ac:dyDescent="0.15">
      <c r="A663" s="3" t="s">
        <v>632</v>
      </c>
      <c r="B663" s="3" t="s">
        <v>4200</v>
      </c>
      <c r="C663" s="3">
        <v>15037</v>
      </c>
      <c r="D663" s="3" t="str">
        <f>VLOOKUP(B663,[1]LifeList!$E$2:$G$2036,1)</f>
        <v>Caribbean Hornero</v>
      </c>
      <c r="E663" s="3" t="str">
        <f>VLOOKUP(B663,[1]LifeList!$E$2:$G$2036,2)</f>
        <v>Fournier du Venezuela</v>
      </c>
      <c r="F663" s="3" t="str">
        <f>VLOOKUP(B663,[1]LifeList!$E$2:$G$2036,3)</f>
        <v>Furnarius longirostris</v>
      </c>
      <c r="G663" s="3" t="str">
        <f>VLOOKUP(B663,[1]LifeList!$E$2:$I$2036,4)</f>
        <v>Passeriformes</v>
      </c>
      <c r="H663" s="3" t="str">
        <f>VLOOKUP(B663,[1]LifeList!$E$2:$I$2036,5)</f>
        <v>Furnariidae (Ovenbirds and Woodcreepers)</v>
      </c>
    </row>
    <row r="664" spans="1:8" x14ac:dyDescent="0.15">
      <c r="A664" s="3" t="s">
        <v>633</v>
      </c>
      <c r="B664" s="3" t="s">
        <v>4201</v>
      </c>
      <c r="C664" s="3">
        <v>27348</v>
      </c>
      <c r="D664" s="3" t="str">
        <f>VLOOKUP(B664,[1]LifeList!$E$2:$G$2036,1)</f>
        <v>Carolina Wren</v>
      </c>
      <c r="E664" s="3" t="str">
        <f>VLOOKUP(B664,[1]LifeList!$E$2:$G$2036,2)</f>
        <v>Troglodyte de Caroline</v>
      </c>
      <c r="F664" s="3" t="str">
        <f>VLOOKUP(B664,[1]LifeList!$E$2:$G$2036,3)</f>
        <v>Thryothorus ludovicianus</v>
      </c>
      <c r="G664" s="3" t="str">
        <f>VLOOKUP(B664,[1]LifeList!$E$2:$I$2036,4)</f>
        <v>Passeriformes</v>
      </c>
      <c r="H664" s="3" t="str">
        <f>VLOOKUP(B664,[1]LifeList!$E$2:$I$2036,5)</f>
        <v>Troglodytidae (Wrens)</v>
      </c>
    </row>
    <row r="665" spans="1:8" x14ac:dyDescent="0.15">
      <c r="A665" s="3" t="s">
        <v>634</v>
      </c>
      <c r="B665" s="3" t="s">
        <v>4201</v>
      </c>
      <c r="C665" s="3">
        <v>27348</v>
      </c>
      <c r="D665" s="3" t="str">
        <f>VLOOKUP(B665,[1]LifeList!$E$2:$G$2036,1)</f>
        <v>Carolina Wren</v>
      </c>
      <c r="E665" s="3" t="str">
        <f>VLOOKUP(B665,[1]LifeList!$E$2:$G$2036,2)</f>
        <v>Troglodyte de Caroline</v>
      </c>
      <c r="F665" s="3" t="str">
        <f>VLOOKUP(B665,[1]LifeList!$E$2:$G$2036,3)</f>
        <v>Thryothorus ludovicianus</v>
      </c>
      <c r="G665" s="3" t="str">
        <f>VLOOKUP(B665,[1]LifeList!$E$2:$I$2036,4)</f>
        <v>Passeriformes</v>
      </c>
      <c r="H665" s="3" t="str">
        <f>VLOOKUP(B665,[1]LifeList!$E$2:$I$2036,5)</f>
        <v>Troglodytidae (Wrens)</v>
      </c>
    </row>
    <row r="666" spans="1:8" x14ac:dyDescent="0.15">
      <c r="A666" s="3" t="s">
        <v>635</v>
      </c>
      <c r="B666" s="3" t="s">
        <v>4201</v>
      </c>
      <c r="C666" s="3">
        <v>27348</v>
      </c>
      <c r="D666" s="3" t="str">
        <f>VLOOKUP(B666,[1]LifeList!$E$2:$G$2036,1)</f>
        <v>Carolina Wren</v>
      </c>
      <c r="E666" s="3" t="str">
        <f>VLOOKUP(B666,[1]LifeList!$E$2:$G$2036,2)</f>
        <v>Troglodyte de Caroline</v>
      </c>
      <c r="F666" s="3" t="str">
        <f>VLOOKUP(B666,[1]LifeList!$E$2:$G$2036,3)</f>
        <v>Thryothorus ludovicianus</v>
      </c>
      <c r="G666" s="3" t="str">
        <f>VLOOKUP(B666,[1]LifeList!$E$2:$I$2036,4)</f>
        <v>Passeriformes</v>
      </c>
      <c r="H666" s="3" t="str">
        <f>VLOOKUP(B666,[1]LifeList!$E$2:$I$2036,5)</f>
        <v>Troglodytidae (Wrens)</v>
      </c>
    </row>
    <row r="667" spans="1:8" x14ac:dyDescent="0.15">
      <c r="A667" s="3" t="s">
        <v>636</v>
      </c>
      <c r="B667" s="3" t="s">
        <v>4201</v>
      </c>
      <c r="C667" s="3">
        <v>27348</v>
      </c>
      <c r="D667" s="3" t="str">
        <f>VLOOKUP(B667,[1]LifeList!$E$2:$G$2036,1)</f>
        <v>Carolina Wren</v>
      </c>
      <c r="E667" s="3" t="str">
        <f>VLOOKUP(B667,[1]LifeList!$E$2:$G$2036,2)</f>
        <v>Troglodyte de Caroline</v>
      </c>
      <c r="F667" s="3" t="str">
        <f>VLOOKUP(B667,[1]LifeList!$E$2:$G$2036,3)</f>
        <v>Thryothorus ludovicianus</v>
      </c>
      <c r="G667" s="3" t="str">
        <f>VLOOKUP(B667,[1]LifeList!$E$2:$I$2036,4)</f>
        <v>Passeriformes</v>
      </c>
      <c r="H667" s="3" t="str">
        <f>VLOOKUP(B667,[1]LifeList!$E$2:$I$2036,5)</f>
        <v>Troglodytidae (Wrens)</v>
      </c>
    </row>
    <row r="668" spans="1:8" x14ac:dyDescent="0.15">
      <c r="A668" s="3" t="s">
        <v>3833</v>
      </c>
      <c r="B668" s="3" t="s">
        <v>4201</v>
      </c>
      <c r="C668" s="3">
        <v>27348</v>
      </c>
      <c r="D668" s="3" t="str">
        <f>VLOOKUP(B668,[1]LifeList!$E$2:$G$2036,1)</f>
        <v>Carolina Wren</v>
      </c>
      <c r="E668" s="3" t="str">
        <f>VLOOKUP(B668,[1]LifeList!$E$2:$G$2036,2)</f>
        <v>Troglodyte de Caroline</v>
      </c>
      <c r="F668" s="3" t="str">
        <f>VLOOKUP(B668,[1]LifeList!$E$2:$G$2036,3)</f>
        <v>Thryothorus ludovicianus</v>
      </c>
      <c r="G668" s="3" t="str">
        <f>VLOOKUP(B668,[1]LifeList!$E$2:$I$2036,4)</f>
        <v>Passeriformes</v>
      </c>
      <c r="H668" s="3" t="str">
        <f>VLOOKUP(B668,[1]LifeList!$E$2:$I$2036,5)</f>
        <v>Troglodytidae (Wrens)</v>
      </c>
    </row>
    <row r="669" spans="1:8" x14ac:dyDescent="0.15">
      <c r="A669" s="3" t="s">
        <v>637</v>
      </c>
      <c r="B669" s="3" t="s">
        <v>4202</v>
      </c>
      <c r="C669" s="3">
        <v>11973</v>
      </c>
      <c r="D669" s="3" t="str">
        <f>VLOOKUP(B669,[1]LifeList!$E$2:$G$2036,1)</f>
        <v>Carunculated Caracara</v>
      </c>
      <c r="E669" s="3" t="str">
        <f>VLOOKUP(B669,[1]LifeList!$E$2:$G$2036,2)</f>
        <v>Caracara caronculé</v>
      </c>
      <c r="F669" s="3" t="str">
        <f>VLOOKUP(B669,[1]LifeList!$E$2:$G$2036,3)</f>
        <v>Daptrius carunculatus</v>
      </c>
      <c r="G669" s="3" t="str">
        <f>VLOOKUP(B669,[1]LifeList!$E$2:$I$2036,4)</f>
        <v>Falconiformes</v>
      </c>
      <c r="H669" s="3" t="str">
        <f>VLOOKUP(B669,[1]LifeList!$E$2:$I$2036,5)</f>
        <v>Falconidae (Falcons and Caracaras)</v>
      </c>
    </row>
    <row r="670" spans="1:8" x14ac:dyDescent="0.15">
      <c r="A670" s="3" t="s">
        <v>638</v>
      </c>
      <c r="B670" s="3" t="s">
        <v>4202</v>
      </c>
      <c r="C670" s="3">
        <v>11973</v>
      </c>
      <c r="D670" s="3" t="str">
        <f>VLOOKUP(B670,[1]LifeList!$E$2:$G$2036,1)</f>
        <v>Carunculated Caracara</v>
      </c>
      <c r="E670" s="3" t="str">
        <f>VLOOKUP(B670,[1]LifeList!$E$2:$G$2036,2)</f>
        <v>Caracara caronculé</v>
      </c>
      <c r="F670" s="3" t="str">
        <f>VLOOKUP(B670,[1]LifeList!$E$2:$G$2036,3)</f>
        <v>Daptrius carunculatus</v>
      </c>
      <c r="G670" s="3" t="str">
        <f>VLOOKUP(B670,[1]LifeList!$E$2:$I$2036,4)</f>
        <v>Falconiformes</v>
      </c>
      <c r="H670" s="3" t="str">
        <f>VLOOKUP(B670,[1]LifeList!$E$2:$I$2036,5)</f>
        <v>Falconidae (Falcons and Caracaras)</v>
      </c>
    </row>
    <row r="671" spans="1:8" x14ac:dyDescent="0.15">
      <c r="A671" s="3" t="s">
        <v>639</v>
      </c>
      <c r="B671" s="3" t="s">
        <v>4203</v>
      </c>
      <c r="C671" s="3">
        <v>6718</v>
      </c>
      <c r="D671" s="3" t="str">
        <f>VLOOKUP(B671,[1]LifeList!$E$2:$G$2036,1)</f>
        <v>Caspian Tern</v>
      </c>
      <c r="E671" s="3" t="str">
        <f>VLOOKUP(B671,[1]LifeList!$E$2:$G$2036,2)</f>
        <v>Sterne caspienne</v>
      </c>
      <c r="F671" s="3" t="str">
        <f>VLOOKUP(B671,[1]LifeList!$E$2:$G$2036,3)</f>
        <v>Hydroprogne caspia</v>
      </c>
      <c r="G671" s="3" t="str">
        <f>VLOOKUP(B671,[1]LifeList!$E$2:$I$2036,4)</f>
        <v>Charadriiformes</v>
      </c>
      <c r="H671" s="3" t="str">
        <f>VLOOKUP(B671,[1]LifeList!$E$2:$I$2036,5)</f>
        <v>Laridae (Gulls, Terns, and Skimmers)</v>
      </c>
    </row>
    <row r="672" spans="1:8" x14ac:dyDescent="0.15">
      <c r="A672" s="3" t="s">
        <v>640</v>
      </c>
      <c r="B672" s="3" t="s">
        <v>4203</v>
      </c>
      <c r="C672" s="3">
        <v>6718</v>
      </c>
      <c r="D672" s="3" t="str">
        <f>VLOOKUP(B672,[1]LifeList!$E$2:$G$2036,1)</f>
        <v>Caspian Tern</v>
      </c>
      <c r="E672" s="3" t="str">
        <f>VLOOKUP(B672,[1]LifeList!$E$2:$G$2036,2)</f>
        <v>Sterne caspienne</v>
      </c>
      <c r="F672" s="3" t="str">
        <f>VLOOKUP(B672,[1]LifeList!$E$2:$G$2036,3)</f>
        <v>Hydroprogne caspia</v>
      </c>
      <c r="G672" s="3" t="str">
        <f>VLOOKUP(B672,[1]LifeList!$E$2:$I$2036,4)</f>
        <v>Charadriiformes</v>
      </c>
      <c r="H672" s="3" t="str">
        <f>VLOOKUP(B672,[1]LifeList!$E$2:$I$2036,5)</f>
        <v>Laridae (Gulls, Terns, and Skimmers)</v>
      </c>
    </row>
    <row r="673" spans="1:8" x14ac:dyDescent="0.15">
      <c r="A673" s="3" t="s">
        <v>641</v>
      </c>
      <c r="B673" s="3" t="s">
        <v>4203</v>
      </c>
      <c r="C673" s="3">
        <v>6718</v>
      </c>
      <c r="D673" s="3" t="str">
        <f>VLOOKUP(B673,[1]LifeList!$E$2:$G$2036,1)</f>
        <v>Caspian Tern</v>
      </c>
      <c r="E673" s="3" t="str">
        <f>VLOOKUP(B673,[1]LifeList!$E$2:$G$2036,2)</f>
        <v>Sterne caspienne</v>
      </c>
      <c r="F673" s="3" t="str">
        <f>VLOOKUP(B673,[1]LifeList!$E$2:$G$2036,3)</f>
        <v>Hydroprogne caspia</v>
      </c>
      <c r="G673" s="3" t="str">
        <f>VLOOKUP(B673,[1]LifeList!$E$2:$I$2036,4)</f>
        <v>Charadriiformes</v>
      </c>
      <c r="H673" s="3" t="str">
        <f>VLOOKUP(B673,[1]LifeList!$E$2:$I$2036,5)</f>
        <v>Laridae (Gulls, Terns, and Skimmers)</v>
      </c>
    </row>
    <row r="674" spans="1:8" x14ac:dyDescent="0.15">
      <c r="A674" s="3" t="s">
        <v>642</v>
      </c>
      <c r="B674" s="3" t="s">
        <v>4203</v>
      </c>
      <c r="C674" s="3">
        <v>6718</v>
      </c>
      <c r="D674" s="3" t="str">
        <f>VLOOKUP(B674,[1]LifeList!$E$2:$G$2036,1)</f>
        <v>Caspian Tern</v>
      </c>
      <c r="E674" s="3" t="str">
        <f>VLOOKUP(B674,[1]LifeList!$E$2:$G$2036,2)</f>
        <v>Sterne caspienne</v>
      </c>
      <c r="F674" s="3" t="str">
        <f>VLOOKUP(B674,[1]LifeList!$E$2:$G$2036,3)</f>
        <v>Hydroprogne caspia</v>
      </c>
      <c r="G674" s="3" t="str">
        <f>VLOOKUP(B674,[1]LifeList!$E$2:$I$2036,4)</f>
        <v>Charadriiformes</v>
      </c>
      <c r="H674" s="3" t="str">
        <f>VLOOKUP(B674,[1]LifeList!$E$2:$I$2036,5)</f>
        <v>Laridae (Gulls, Terns, and Skimmers)</v>
      </c>
    </row>
    <row r="675" spans="1:8" x14ac:dyDescent="0.15">
      <c r="A675" s="3" t="s">
        <v>643</v>
      </c>
      <c r="B675" s="3" t="s">
        <v>4204</v>
      </c>
      <c r="C675" s="3">
        <v>17361</v>
      </c>
      <c r="D675" s="3" t="str">
        <f>VLOOKUP(B675,[1]LifeList!$E$2:$G$2036,1)</f>
        <v>Cattle Tyrant</v>
      </c>
      <c r="E675" s="3" t="str">
        <f>VLOOKUP(B675,[1]LifeList!$E$2:$G$2036,2)</f>
        <v>Tyran querelleur</v>
      </c>
      <c r="F675" s="3" t="str">
        <f>VLOOKUP(B675,[1]LifeList!$E$2:$G$2036,3)</f>
        <v>Machetornis rixosa</v>
      </c>
      <c r="G675" s="3" t="str">
        <f>VLOOKUP(B675,[1]LifeList!$E$2:$I$2036,4)</f>
        <v>Passeriformes</v>
      </c>
      <c r="H675" s="3" t="str">
        <f>VLOOKUP(B675,[1]LifeList!$E$2:$I$2036,5)</f>
        <v>Tyrannidae (Tyrant Flycatchers)</v>
      </c>
    </row>
    <row r="676" spans="1:8" x14ac:dyDescent="0.15">
      <c r="A676" s="3" t="s">
        <v>644</v>
      </c>
      <c r="B676" s="3" t="s">
        <v>4204</v>
      </c>
      <c r="C676" s="3">
        <v>17361</v>
      </c>
      <c r="D676" s="3" t="str">
        <f>VLOOKUP(B676,[1]LifeList!$E$2:$G$2036,1)</f>
        <v>Cattle Tyrant</v>
      </c>
      <c r="E676" s="3" t="str">
        <f>VLOOKUP(B676,[1]LifeList!$E$2:$G$2036,2)</f>
        <v>Tyran querelleur</v>
      </c>
      <c r="F676" s="3" t="str">
        <f>VLOOKUP(B676,[1]LifeList!$E$2:$G$2036,3)</f>
        <v>Machetornis rixosa</v>
      </c>
      <c r="G676" s="3" t="str">
        <f>VLOOKUP(B676,[1]LifeList!$E$2:$I$2036,4)</f>
        <v>Passeriformes</v>
      </c>
      <c r="H676" s="3" t="str">
        <f>VLOOKUP(B676,[1]LifeList!$E$2:$I$2036,5)</f>
        <v>Tyrannidae (Tyrant Flycatchers)</v>
      </c>
    </row>
    <row r="677" spans="1:8" x14ac:dyDescent="0.15">
      <c r="A677" s="3" t="s">
        <v>645</v>
      </c>
      <c r="B677" s="3" t="s">
        <v>4204</v>
      </c>
      <c r="C677" s="3">
        <v>17361</v>
      </c>
      <c r="D677" s="3" t="str">
        <f>VLOOKUP(B677,[1]LifeList!$E$2:$G$2036,1)</f>
        <v>Cattle Tyrant</v>
      </c>
      <c r="E677" s="3" t="str">
        <f>VLOOKUP(B677,[1]LifeList!$E$2:$G$2036,2)</f>
        <v>Tyran querelleur</v>
      </c>
      <c r="F677" s="3" t="str">
        <f>VLOOKUP(B677,[1]LifeList!$E$2:$G$2036,3)</f>
        <v>Machetornis rixosa</v>
      </c>
      <c r="G677" s="3" t="str">
        <f>VLOOKUP(B677,[1]LifeList!$E$2:$I$2036,4)</f>
        <v>Passeriformes</v>
      </c>
      <c r="H677" s="3" t="str">
        <f>VLOOKUP(B677,[1]LifeList!$E$2:$I$2036,5)</f>
        <v>Tyrannidae (Tyrant Flycatchers)</v>
      </c>
    </row>
    <row r="678" spans="1:8" x14ac:dyDescent="0.15">
      <c r="A678" s="3" t="s">
        <v>646</v>
      </c>
      <c r="B678" s="3" t="s">
        <v>4204</v>
      </c>
      <c r="C678" s="3">
        <v>17361</v>
      </c>
      <c r="D678" s="3" t="str">
        <f>VLOOKUP(B678,[1]LifeList!$E$2:$G$2036,1)</f>
        <v>Cattle Tyrant</v>
      </c>
      <c r="E678" s="3" t="str">
        <f>VLOOKUP(B678,[1]LifeList!$E$2:$G$2036,2)</f>
        <v>Tyran querelleur</v>
      </c>
      <c r="F678" s="3" t="str">
        <f>VLOOKUP(B678,[1]LifeList!$E$2:$G$2036,3)</f>
        <v>Machetornis rixosa</v>
      </c>
      <c r="G678" s="3" t="str">
        <f>VLOOKUP(B678,[1]LifeList!$E$2:$I$2036,4)</f>
        <v>Passeriformes</v>
      </c>
      <c r="H678" s="3" t="str">
        <f>VLOOKUP(B678,[1]LifeList!$E$2:$I$2036,5)</f>
        <v>Tyrannidae (Tyrant Flycatchers)</v>
      </c>
    </row>
    <row r="679" spans="1:8" x14ac:dyDescent="0.15">
      <c r="A679" s="3" t="s">
        <v>648</v>
      </c>
      <c r="B679" s="3" t="s">
        <v>4205</v>
      </c>
      <c r="C679" s="3">
        <v>29888</v>
      </c>
      <c r="D679" s="3" t="str">
        <f>VLOOKUP(B679,[1]LifeList!$E$2:$G$2036,1)</f>
        <v>Cedar Waxwing</v>
      </c>
      <c r="E679" s="3" t="str">
        <f>VLOOKUP(B679,[1]LifeList!$E$2:$G$2036,2)</f>
        <v>Jaseur d'Amérique</v>
      </c>
      <c r="F679" s="3" t="str">
        <f>VLOOKUP(B679,[1]LifeList!$E$2:$G$2036,3)</f>
        <v>Bombycilla cedrorum</v>
      </c>
      <c r="G679" s="3" t="str">
        <f>VLOOKUP(B679,[1]LifeList!$E$2:$I$2036,4)</f>
        <v>Passeriformes</v>
      </c>
      <c r="H679" s="3" t="str">
        <f>VLOOKUP(B679,[1]LifeList!$E$2:$I$2036,5)</f>
        <v>Bombycillidae (Waxwings)</v>
      </c>
    </row>
    <row r="680" spans="1:8" x14ac:dyDescent="0.15">
      <c r="A680" s="3" t="s">
        <v>649</v>
      </c>
      <c r="B680" s="3" t="s">
        <v>4205</v>
      </c>
      <c r="C680" s="3">
        <v>29888</v>
      </c>
      <c r="D680" s="3" t="str">
        <f>VLOOKUP(B680,[1]LifeList!$E$2:$G$2036,1)</f>
        <v>Cedar Waxwing</v>
      </c>
      <c r="E680" s="3" t="str">
        <f>VLOOKUP(B680,[1]LifeList!$E$2:$G$2036,2)</f>
        <v>Jaseur d'Amérique</v>
      </c>
      <c r="F680" s="3" t="str">
        <f>VLOOKUP(B680,[1]LifeList!$E$2:$G$2036,3)</f>
        <v>Bombycilla cedrorum</v>
      </c>
      <c r="G680" s="3" t="str">
        <f>VLOOKUP(B680,[1]LifeList!$E$2:$I$2036,4)</f>
        <v>Passeriformes</v>
      </c>
      <c r="H680" s="3" t="str">
        <f>VLOOKUP(B680,[1]LifeList!$E$2:$I$2036,5)</f>
        <v>Bombycillidae (Waxwings)</v>
      </c>
    </row>
    <row r="681" spans="1:8" x14ac:dyDescent="0.15">
      <c r="A681" s="3" t="s">
        <v>650</v>
      </c>
      <c r="B681" s="3" t="s">
        <v>4205</v>
      </c>
      <c r="C681" s="3">
        <v>29888</v>
      </c>
      <c r="D681" s="3" t="str">
        <f>VLOOKUP(B681,[1]LifeList!$E$2:$G$2036,1)</f>
        <v>Cedar Waxwing</v>
      </c>
      <c r="E681" s="3" t="str">
        <f>VLOOKUP(B681,[1]LifeList!$E$2:$G$2036,2)</f>
        <v>Jaseur d'Amérique</v>
      </c>
      <c r="F681" s="3" t="str">
        <f>VLOOKUP(B681,[1]LifeList!$E$2:$G$2036,3)</f>
        <v>Bombycilla cedrorum</v>
      </c>
      <c r="G681" s="3" t="str">
        <f>VLOOKUP(B681,[1]LifeList!$E$2:$I$2036,4)</f>
        <v>Passeriformes</v>
      </c>
      <c r="H681" s="3" t="str">
        <f>VLOOKUP(B681,[1]LifeList!$E$2:$I$2036,5)</f>
        <v>Bombycillidae (Waxwings)</v>
      </c>
    </row>
    <row r="682" spans="1:8" x14ac:dyDescent="0.15">
      <c r="A682" s="3" t="s">
        <v>651</v>
      </c>
      <c r="B682" s="3" t="s">
        <v>4205</v>
      </c>
      <c r="C682" s="3">
        <v>29888</v>
      </c>
      <c r="D682" s="3" t="str">
        <f>VLOOKUP(B682,[1]LifeList!$E$2:$G$2036,1)</f>
        <v>Cedar Waxwing</v>
      </c>
      <c r="E682" s="3" t="str">
        <f>VLOOKUP(B682,[1]LifeList!$E$2:$G$2036,2)</f>
        <v>Jaseur d'Amérique</v>
      </c>
      <c r="F682" s="3" t="str">
        <f>VLOOKUP(B682,[1]LifeList!$E$2:$G$2036,3)</f>
        <v>Bombycilla cedrorum</v>
      </c>
      <c r="G682" s="3" t="str">
        <f>VLOOKUP(B682,[1]LifeList!$E$2:$I$2036,4)</f>
        <v>Passeriformes</v>
      </c>
      <c r="H682" s="3" t="str">
        <f>VLOOKUP(B682,[1]LifeList!$E$2:$I$2036,5)</f>
        <v>Bombycillidae (Waxwings)</v>
      </c>
    </row>
    <row r="683" spans="1:8" x14ac:dyDescent="0.15">
      <c r="A683" s="3" t="s">
        <v>652</v>
      </c>
      <c r="B683" s="3" t="s">
        <v>4205</v>
      </c>
      <c r="C683" s="3">
        <v>29888</v>
      </c>
      <c r="D683" s="3" t="str">
        <f>VLOOKUP(B683,[1]LifeList!$E$2:$G$2036,1)</f>
        <v>Cedar Waxwing</v>
      </c>
      <c r="E683" s="3" t="str">
        <f>VLOOKUP(B683,[1]LifeList!$E$2:$G$2036,2)</f>
        <v>Jaseur d'Amérique</v>
      </c>
      <c r="F683" s="3" t="str">
        <f>VLOOKUP(B683,[1]LifeList!$E$2:$G$2036,3)</f>
        <v>Bombycilla cedrorum</v>
      </c>
      <c r="G683" s="3" t="str">
        <f>VLOOKUP(B683,[1]LifeList!$E$2:$I$2036,4)</f>
        <v>Passeriformes</v>
      </c>
      <c r="H683" s="3" t="str">
        <f>VLOOKUP(B683,[1]LifeList!$E$2:$I$2036,5)</f>
        <v>Bombycillidae (Waxwings)</v>
      </c>
    </row>
    <row r="684" spans="1:8" x14ac:dyDescent="0.15">
      <c r="A684" s="3" t="s">
        <v>647</v>
      </c>
      <c r="B684" s="3" t="s">
        <v>4205</v>
      </c>
      <c r="C684" s="3">
        <v>29888</v>
      </c>
      <c r="D684" s="3" t="str">
        <f>VLOOKUP(B684,[1]LifeList!$E$2:$G$2036,1)</f>
        <v>Cedar Waxwing</v>
      </c>
      <c r="E684" s="3" t="str">
        <f>VLOOKUP(B684,[1]LifeList!$E$2:$G$2036,2)</f>
        <v>Jaseur d'Amérique</v>
      </c>
      <c r="F684" s="3" t="str">
        <f>VLOOKUP(B684,[1]LifeList!$E$2:$G$2036,3)</f>
        <v>Bombycilla cedrorum</v>
      </c>
      <c r="G684" s="3" t="str">
        <f>VLOOKUP(B684,[1]LifeList!$E$2:$I$2036,4)</f>
        <v>Passeriformes</v>
      </c>
      <c r="H684" s="3" t="str">
        <f>VLOOKUP(B684,[1]LifeList!$E$2:$I$2036,5)</f>
        <v>Bombycillidae (Waxwings)</v>
      </c>
    </row>
    <row r="685" spans="1:8" x14ac:dyDescent="0.15">
      <c r="A685" s="3" t="s">
        <v>653</v>
      </c>
      <c r="B685" s="3" t="s">
        <v>4206</v>
      </c>
      <c r="C685" s="3">
        <v>34061</v>
      </c>
      <c r="D685" s="3" t="str">
        <f>VLOOKUP(B685,[1]LifeList!$E$2:$G$2036,1)</f>
        <v>Cerulean Warbler</v>
      </c>
      <c r="E685" s="3" t="str">
        <f>VLOOKUP(B685,[1]LifeList!$E$2:$G$2036,2)</f>
        <v>Paruline azurée</v>
      </c>
      <c r="F685" s="3" t="str">
        <f>VLOOKUP(B685,[1]LifeList!$E$2:$G$2036,3)</f>
        <v>Setophaga cerulea</v>
      </c>
      <c r="G685" s="3" t="str">
        <f>VLOOKUP(B685,[1]LifeList!$E$2:$I$2036,4)</f>
        <v>Passeriformes</v>
      </c>
      <c r="H685" s="3" t="str">
        <f>VLOOKUP(B685,[1]LifeList!$E$2:$I$2036,5)</f>
        <v>Parulidae (New World Warblers)</v>
      </c>
    </row>
    <row r="686" spans="1:8" x14ac:dyDescent="0.15">
      <c r="A686" s="3" t="s">
        <v>654</v>
      </c>
      <c r="B686" s="3" t="s">
        <v>4206</v>
      </c>
      <c r="C686" s="3">
        <v>34061</v>
      </c>
      <c r="D686" s="3" t="str">
        <f>VLOOKUP(B686,[1]LifeList!$E$2:$G$2036,1)</f>
        <v>Cerulean Warbler</v>
      </c>
      <c r="E686" s="3" t="str">
        <f>VLOOKUP(B686,[1]LifeList!$E$2:$G$2036,2)</f>
        <v>Paruline azurée</v>
      </c>
      <c r="F686" s="3" t="str">
        <f>VLOOKUP(B686,[1]LifeList!$E$2:$G$2036,3)</f>
        <v>Setophaga cerulea</v>
      </c>
      <c r="G686" s="3" t="str">
        <f>VLOOKUP(B686,[1]LifeList!$E$2:$I$2036,4)</f>
        <v>Passeriformes</v>
      </c>
      <c r="H686" s="3" t="str">
        <f>VLOOKUP(B686,[1]LifeList!$E$2:$I$2036,5)</f>
        <v>Parulidae (New World Warblers)</v>
      </c>
    </row>
    <row r="687" spans="1:8" x14ac:dyDescent="0.15">
      <c r="A687" s="3" t="s">
        <v>655</v>
      </c>
      <c r="B687" s="3" t="s">
        <v>4207</v>
      </c>
      <c r="C687" s="3">
        <v>19983</v>
      </c>
      <c r="D687" s="3" t="str">
        <f>VLOOKUP(B687,[1]LifeList!$E$2:$G$2036,1)</f>
        <v>Chabert Vanga</v>
      </c>
      <c r="E687" s="3" t="str">
        <f>VLOOKUP(B687,[1]LifeList!$E$2:$G$2036,2)</f>
        <v>Artamie chabert</v>
      </c>
      <c r="F687" s="3" t="str">
        <f>VLOOKUP(B687,[1]LifeList!$E$2:$G$2036,3)</f>
        <v>Leptopterus chabert</v>
      </c>
      <c r="G687" s="3" t="str">
        <f>VLOOKUP(B687,[1]LifeList!$E$2:$I$2036,4)</f>
        <v>Passeriformes</v>
      </c>
      <c r="H687" s="3" t="str">
        <f>VLOOKUP(B687,[1]LifeList!$E$2:$I$2036,5)</f>
        <v>Vangidae (Vangas, Helmetshrikes, and Allies)</v>
      </c>
    </row>
    <row r="688" spans="1:8" x14ac:dyDescent="0.15">
      <c r="A688" s="3" t="s">
        <v>656</v>
      </c>
      <c r="B688" s="3" t="s">
        <v>4207</v>
      </c>
      <c r="C688" s="3">
        <v>19983</v>
      </c>
      <c r="D688" s="3" t="str">
        <f>VLOOKUP(B688,[1]LifeList!$E$2:$G$2036,1)</f>
        <v>Chabert Vanga</v>
      </c>
      <c r="E688" s="3" t="str">
        <f>VLOOKUP(B688,[1]LifeList!$E$2:$G$2036,2)</f>
        <v>Artamie chabert</v>
      </c>
      <c r="F688" s="3" t="str">
        <f>VLOOKUP(B688,[1]LifeList!$E$2:$G$2036,3)</f>
        <v>Leptopterus chabert</v>
      </c>
      <c r="G688" s="3" t="str">
        <f>VLOOKUP(B688,[1]LifeList!$E$2:$I$2036,4)</f>
        <v>Passeriformes</v>
      </c>
      <c r="H688" s="3" t="str">
        <f>VLOOKUP(B688,[1]LifeList!$E$2:$I$2036,5)</f>
        <v>Vangidae (Vangas, Helmetshrikes, and Allies)</v>
      </c>
    </row>
    <row r="689" spans="1:8" x14ac:dyDescent="0.15">
      <c r="A689" s="3" t="s">
        <v>657</v>
      </c>
      <c r="B689" s="3" t="s">
        <v>4207</v>
      </c>
      <c r="C689" s="3">
        <v>19983</v>
      </c>
      <c r="D689" s="3" t="str">
        <f>VLOOKUP(B689,[1]LifeList!$E$2:$G$2036,1)</f>
        <v>Chabert Vanga</v>
      </c>
      <c r="E689" s="3" t="str">
        <f>VLOOKUP(B689,[1]LifeList!$E$2:$G$2036,2)</f>
        <v>Artamie chabert</v>
      </c>
      <c r="F689" s="3" t="str">
        <f>VLOOKUP(B689,[1]LifeList!$E$2:$G$2036,3)</f>
        <v>Leptopterus chabert</v>
      </c>
      <c r="G689" s="3" t="str">
        <f>VLOOKUP(B689,[1]LifeList!$E$2:$I$2036,4)</f>
        <v>Passeriformes</v>
      </c>
      <c r="H689" s="3" t="str">
        <f>VLOOKUP(B689,[1]LifeList!$E$2:$I$2036,5)</f>
        <v>Vangidae (Vangas, Helmetshrikes, and Allies)</v>
      </c>
    </row>
    <row r="690" spans="1:8" x14ac:dyDescent="0.15">
      <c r="A690" s="3" t="s">
        <v>658</v>
      </c>
      <c r="B690" s="3" t="s">
        <v>4207</v>
      </c>
      <c r="C690" s="3">
        <v>19983</v>
      </c>
      <c r="D690" s="3" t="str">
        <f>VLOOKUP(B690,[1]LifeList!$E$2:$G$2036,1)</f>
        <v>Chabert Vanga</v>
      </c>
      <c r="E690" s="3" t="str">
        <f>VLOOKUP(B690,[1]LifeList!$E$2:$G$2036,2)</f>
        <v>Artamie chabert</v>
      </c>
      <c r="F690" s="3" t="str">
        <f>VLOOKUP(B690,[1]LifeList!$E$2:$G$2036,3)</f>
        <v>Leptopterus chabert</v>
      </c>
      <c r="G690" s="3" t="str">
        <f>VLOOKUP(B690,[1]LifeList!$E$2:$I$2036,4)</f>
        <v>Passeriformes</v>
      </c>
      <c r="H690" s="3" t="str">
        <f>VLOOKUP(B690,[1]LifeList!$E$2:$I$2036,5)</f>
        <v>Vangidae (Vangas, Helmetshrikes, and Allies)</v>
      </c>
    </row>
    <row r="691" spans="1:8" x14ac:dyDescent="0.15">
      <c r="A691" s="3" t="s">
        <v>659</v>
      </c>
      <c r="B691" s="3" t="s">
        <v>4207</v>
      </c>
      <c r="C691" s="3">
        <v>19983</v>
      </c>
      <c r="D691" s="3" t="str">
        <f>VLOOKUP(B691,[1]LifeList!$E$2:$G$2036,1)</f>
        <v>Chabert Vanga</v>
      </c>
      <c r="E691" s="3" t="str">
        <f>VLOOKUP(B691,[1]LifeList!$E$2:$G$2036,2)</f>
        <v>Artamie chabert</v>
      </c>
      <c r="F691" s="3" t="str">
        <f>VLOOKUP(B691,[1]LifeList!$E$2:$G$2036,3)</f>
        <v>Leptopterus chabert</v>
      </c>
      <c r="G691" s="3" t="str">
        <f>VLOOKUP(B691,[1]LifeList!$E$2:$I$2036,4)</f>
        <v>Passeriformes</v>
      </c>
      <c r="H691" s="3" t="str">
        <f>VLOOKUP(B691,[1]LifeList!$E$2:$I$2036,5)</f>
        <v>Vangidae (Vangas, Helmetshrikes, and Allies)</v>
      </c>
    </row>
    <row r="692" spans="1:8" x14ac:dyDescent="0.15">
      <c r="A692" s="3" t="s">
        <v>690</v>
      </c>
      <c r="B692" s="3" t="s">
        <v>4208</v>
      </c>
      <c r="C692" s="3">
        <v>11100</v>
      </c>
      <c r="D692" s="3" t="str">
        <f>VLOOKUP(B692,[1]LifeList!$E$2:$G$2036,1)</f>
        <v>Chestnut Piculet</v>
      </c>
      <c r="E692" s="3" t="str">
        <f>VLOOKUP(B692,[1]LifeList!$E$2:$G$2036,2)</f>
        <v>Picumne cannelle</v>
      </c>
      <c r="F692" s="3" t="str">
        <f>VLOOKUP(B692,[1]LifeList!$E$2:$G$2036,3)</f>
        <v>Picumnus cinnamomeus</v>
      </c>
      <c r="G692" s="3" t="str">
        <f>VLOOKUP(B692,[1]LifeList!$E$2:$I$2036,4)</f>
        <v>Piciformes</v>
      </c>
      <c r="H692" s="3" t="str">
        <f>VLOOKUP(B692,[1]LifeList!$E$2:$I$2036,5)</f>
        <v>Picidae (Woodpeckers)</v>
      </c>
    </row>
    <row r="693" spans="1:8" x14ac:dyDescent="0.15">
      <c r="A693" s="3" t="s">
        <v>691</v>
      </c>
      <c r="B693" s="3" t="s">
        <v>4208</v>
      </c>
      <c r="C693" s="3">
        <v>11100</v>
      </c>
      <c r="D693" s="3" t="str">
        <f>VLOOKUP(B693,[1]LifeList!$E$2:$G$2036,1)</f>
        <v>Chestnut Piculet</v>
      </c>
      <c r="E693" s="3" t="str">
        <f>VLOOKUP(B693,[1]LifeList!$E$2:$G$2036,2)</f>
        <v>Picumne cannelle</v>
      </c>
      <c r="F693" s="3" t="str">
        <f>VLOOKUP(B693,[1]LifeList!$E$2:$G$2036,3)</f>
        <v>Picumnus cinnamomeus</v>
      </c>
      <c r="G693" s="3" t="str">
        <f>VLOOKUP(B693,[1]LifeList!$E$2:$I$2036,4)</f>
        <v>Piciformes</v>
      </c>
      <c r="H693" s="3" t="str">
        <f>VLOOKUP(B693,[1]LifeList!$E$2:$I$2036,5)</f>
        <v>Picidae (Woodpeckers)</v>
      </c>
    </row>
    <row r="694" spans="1:8" x14ac:dyDescent="0.15">
      <c r="A694" s="3" t="s">
        <v>692</v>
      </c>
      <c r="B694" s="3" t="s">
        <v>4208</v>
      </c>
      <c r="C694" s="3">
        <v>11100</v>
      </c>
      <c r="D694" s="3" t="str">
        <f>VLOOKUP(B694,[1]LifeList!$E$2:$G$2036,1)</f>
        <v>Chestnut Piculet</v>
      </c>
      <c r="E694" s="3" t="str">
        <f>VLOOKUP(B694,[1]LifeList!$E$2:$G$2036,2)</f>
        <v>Picumne cannelle</v>
      </c>
      <c r="F694" s="3" t="str">
        <f>VLOOKUP(B694,[1]LifeList!$E$2:$G$2036,3)</f>
        <v>Picumnus cinnamomeus</v>
      </c>
      <c r="G694" s="3" t="str">
        <f>VLOOKUP(B694,[1]LifeList!$E$2:$I$2036,4)</f>
        <v>Piciformes</v>
      </c>
      <c r="H694" s="3" t="str">
        <f>VLOOKUP(B694,[1]LifeList!$E$2:$I$2036,5)</f>
        <v>Picidae (Woodpeckers)</v>
      </c>
    </row>
    <row r="695" spans="1:8" x14ac:dyDescent="0.15">
      <c r="A695" s="3" t="s">
        <v>693</v>
      </c>
      <c r="B695" s="3" t="s">
        <v>4209</v>
      </c>
      <c r="C695" s="3">
        <v>642</v>
      </c>
      <c r="D695" s="3" t="str">
        <f>VLOOKUP(B695,[1]LifeList!$E$2:$G$2036,1)</f>
        <v>Chestnut Teal</v>
      </c>
      <c r="E695" s="3" t="str">
        <f>VLOOKUP(B695,[1]LifeList!$E$2:$G$2036,2)</f>
        <v>Sarcelle rousse</v>
      </c>
      <c r="F695" s="3" t="str">
        <f>VLOOKUP(B695,[1]LifeList!$E$2:$G$2036,3)</f>
        <v>Anas castanea</v>
      </c>
      <c r="G695" s="3" t="str">
        <f>VLOOKUP(B695,[1]LifeList!$E$2:$I$2036,4)</f>
        <v>Anseriformes</v>
      </c>
      <c r="H695" s="3" t="str">
        <f>VLOOKUP(B695,[1]LifeList!$E$2:$I$2036,5)</f>
        <v>Anatidae (Ducks, Geese, and Waterfowl)</v>
      </c>
    </row>
    <row r="696" spans="1:8" x14ac:dyDescent="0.15">
      <c r="A696" s="3" t="s">
        <v>694</v>
      </c>
      <c r="B696" s="3" t="s">
        <v>4209</v>
      </c>
      <c r="C696" s="3">
        <v>642</v>
      </c>
      <c r="D696" s="3" t="str">
        <f>VLOOKUP(B696,[1]LifeList!$E$2:$G$2036,1)</f>
        <v>Chestnut Teal</v>
      </c>
      <c r="E696" s="3" t="str">
        <f>VLOOKUP(B696,[1]LifeList!$E$2:$G$2036,2)</f>
        <v>Sarcelle rousse</v>
      </c>
      <c r="F696" s="3" t="str">
        <f>VLOOKUP(B696,[1]LifeList!$E$2:$G$2036,3)</f>
        <v>Anas castanea</v>
      </c>
      <c r="G696" s="3" t="str">
        <f>VLOOKUP(B696,[1]LifeList!$E$2:$I$2036,4)</f>
        <v>Anseriformes</v>
      </c>
      <c r="H696" s="3" t="str">
        <f>VLOOKUP(B696,[1]LifeList!$E$2:$I$2036,5)</f>
        <v>Anatidae (Ducks, Geese, and Waterfowl)</v>
      </c>
    </row>
    <row r="697" spans="1:8" x14ac:dyDescent="0.15">
      <c r="A697" s="3" t="s">
        <v>695</v>
      </c>
      <c r="B697" s="3" t="s">
        <v>4209</v>
      </c>
      <c r="C697" s="3">
        <v>642</v>
      </c>
      <c r="D697" s="3" t="str">
        <f>VLOOKUP(B697,[1]LifeList!$E$2:$G$2036,1)</f>
        <v>Chestnut Teal</v>
      </c>
      <c r="E697" s="3" t="str">
        <f>VLOOKUP(B697,[1]LifeList!$E$2:$G$2036,2)</f>
        <v>Sarcelle rousse</v>
      </c>
      <c r="F697" s="3" t="str">
        <f>VLOOKUP(B697,[1]LifeList!$E$2:$G$2036,3)</f>
        <v>Anas castanea</v>
      </c>
      <c r="G697" s="3" t="str">
        <f>VLOOKUP(B697,[1]LifeList!$E$2:$I$2036,4)</f>
        <v>Anseriformes</v>
      </c>
      <c r="H697" s="3" t="str">
        <f>VLOOKUP(B697,[1]LifeList!$E$2:$I$2036,5)</f>
        <v>Anatidae (Ducks, Geese, and Waterfowl)</v>
      </c>
    </row>
    <row r="698" spans="1:8" x14ac:dyDescent="0.15">
      <c r="A698" s="3" t="s">
        <v>696</v>
      </c>
      <c r="B698" s="3" t="s">
        <v>4209</v>
      </c>
      <c r="C698" s="3">
        <v>642</v>
      </c>
      <c r="D698" s="3" t="str">
        <f>VLOOKUP(B698,[1]LifeList!$E$2:$G$2036,1)</f>
        <v>Chestnut Teal</v>
      </c>
      <c r="E698" s="3" t="str">
        <f>VLOOKUP(B698,[1]LifeList!$E$2:$G$2036,2)</f>
        <v>Sarcelle rousse</v>
      </c>
      <c r="F698" s="3" t="str">
        <f>VLOOKUP(B698,[1]LifeList!$E$2:$G$2036,3)</f>
        <v>Anas castanea</v>
      </c>
      <c r="G698" s="3" t="str">
        <f>VLOOKUP(B698,[1]LifeList!$E$2:$I$2036,4)</f>
        <v>Anseriformes</v>
      </c>
      <c r="H698" s="3" t="str">
        <f>VLOOKUP(B698,[1]LifeList!$E$2:$I$2036,5)</f>
        <v>Anatidae (Ducks, Geese, and Waterfowl)</v>
      </c>
    </row>
    <row r="699" spans="1:8" x14ac:dyDescent="0.15">
      <c r="A699" s="3" t="s">
        <v>697</v>
      </c>
      <c r="B699" s="3" t="s">
        <v>4209</v>
      </c>
      <c r="C699" s="3">
        <v>642</v>
      </c>
      <c r="D699" s="3" t="str">
        <f>VLOOKUP(B699,[1]LifeList!$E$2:$G$2036,1)</f>
        <v>Chestnut Teal</v>
      </c>
      <c r="E699" s="3" t="str">
        <f>VLOOKUP(B699,[1]LifeList!$E$2:$G$2036,2)</f>
        <v>Sarcelle rousse</v>
      </c>
      <c r="F699" s="3" t="str">
        <f>VLOOKUP(B699,[1]LifeList!$E$2:$G$2036,3)</f>
        <v>Anas castanea</v>
      </c>
      <c r="G699" s="3" t="str">
        <f>VLOOKUP(B699,[1]LifeList!$E$2:$I$2036,4)</f>
        <v>Anseriformes</v>
      </c>
      <c r="H699" s="3" t="str">
        <f>VLOOKUP(B699,[1]LifeList!$E$2:$I$2036,5)</f>
        <v>Anatidae (Ducks, Geese, and Waterfowl)</v>
      </c>
    </row>
    <row r="700" spans="1:8" x14ac:dyDescent="0.15">
      <c r="A700" s="3" t="s">
        <v>660</v>
      </c>
      <c r="B700" s="3" t="s">
        <v>4210</v>
      </c>
      <c r="C700" s="3">
        <v>14020</v>
      </c>
      <c r="D700" s="3" t="str">
        <f>VLOOKUP(B700,[1]LifeList!$E$2:$G$2036,1)</f>
        <v>Chestnut-backed Antbird</v>
      </c>
      <c r="E700" s="3" t="str">
        <f>VLOOKUP(B700,[1]LifeList!$E$2:$G$2036,2)</f>
        <v>Alapi à dos roux</v>
      </c>
      <c r="F700" s="3" t="str">
        <f>VLOOKUP(B700,[1]LifeList!$E$2:$G$2036,3)</f>
        <v>Poliocrania exsul</v>
      </c>
      <c r="G700" s="3" t="str">
        <f>VLOOKUP(B700,[1]LifeList!$E$2:$I$2036,4)</f>
        <v>Passeriformes</v>
      </c>
      <c r="H700" s="3" t="str">
        <f>VLOOKUP(B700,[1]LifeList!$E$2:$I$2036,5)</f>
        <v>Thamnophilidae (Typical Antbirds)</v>
      </c>
    </row>
    <row r="701" spans="1:8" x14ac:dyDescent="0.15">
      <c r="A701" s="3" t="s">
        <v>661</v>
      </c>
      <c r="B701" s="3" t="s">
        <v>4211</v>
      </c>
      <c r="C701" s="3">
        <v>22094</v>
      </c>
      <c r="D701" s="3" t="str">
        <f>VLOOKUP(B701,[1]LifeList!$E$2:$G$2036,1)</f>
        <v>Chestnut-backed Chickadee</v>
      </c>
      <c r="E701" s="3" t="str">
        <f>VLOOKUP(B701,[1]LifeList!$E$2:$G$2036,2)</f>
        <v>Mésange à dos marron</v>
      </c>
      <c r="F701" s="3" t="str">
        <f>VLOOKUP(B701,[1]LifeList!$E$2:$G$2036,3)</f>
        <v>Poecile rufescens</v>
      </c>
      <c r="G701" s="3" t="str">
        <f>VLOOKUP(B701,[1]LifeList!$E$2:$I$2036,4)</f>
        <v>Passeriformes</v>
      </c>
      <c r="H701" s="3" t="str">
        <f>VLOOKUP(B701,[1]LifeList!$E$2:$I$2036,5)</f>
        <v>Paridae (Tits, Chickadees, and Titmice)</v>
      </c>
    </row>
    <row r="702" spans="1:8" x14ac:dyDescent="0.15">
      <c r="A702" s="3" t="s">
        <v>662</v>
      </c>
      <c r="B702" s="3" t="s">
        <v>4212</v>
      </c>
      <c r="C702" s="3">
        <v>33081</v>
      </c>
      <c r="D702" s="3" t="str">
        <f>VLOOKUP(B702,[1]LifeList!$E$2:$G$2036,1)</f>
        <v>Chestnut-capped Brushfinch</v>
      </c>
      <c r="E702" s="3" t="str">
        <f>VLOOKUP(B702,[1]LifeList!$E$2:$G$2036,2)</f>
        <v>Tohi à nuque brune</v>
      </c>
      <c r="F702" s="3" t="str">
        <f>VLOOKUP(B702,[1]LifeList!$E$2:$G$2036,3)</f>
        <v>Arremon brunneinucha</v>
      </c>
      <c r="G702" s="3" t="str">
        <f>VLOOKUP(B702,[1]LifeList!$E$2:$I$2036,4)</f>
        <v>Passeriformes</v>
      </c>
      <c r="H702" s="3" t="str">
        <f>VLOOKUP(B702,[1]LifeList!$E$2:$I$2036,5)</f>
        <v>Passerellidae (New World Sparrows)</v>
      </c>
    </row>
    <row r="703" spans="1:8" x14ac:dyDescent="0.15">
      <c r="A703" s="3" t="s">
        <v>3834</v>
      </c>
      <c r="B703" s="3" t="s">
        <v>4212</v>
      </c>
      <c r="C703" s="3">
        <v>33081</v>
      </c>
      <c r="D703" s="3" t="str">
        <f>VLOOKUP(B703,[1]LifeList!$E$2:$G$2036,1)</f>
        <v>Chestnut-capped Brushfinch</v>
      </c>
      <c r="E703" s="3" t="str">
        <f>VLOOKUP(B703,[1]LifeList!$E$2:$G$2036,2)</f>
        <v>Tohi à nuque brune</v>
      </c>
      <c r="F703" s="3" t="str">
        <f>VLOOKUP(B703,[1]LifeList!$E$2:$G$2036,3)</f>
        <v>Arremon brunneinucha</v>
      </c>
      <c r="G703" s="3" t="str">
        <f>VLOOKUP(B703,[1]LifeList!$E$2:$I$2036,4)</f>
        <v>Passeriformes</v>
      </c>
      <c r="H703" s="3" t="str">
        <f>VLOOKUP(B703,[1]LifeList!$E$2:$I$2036,5)</f>
        <v>Passerellidae (New World Sparrows)</v>
      </c>
    </row>
    <row r="704" spans="1:8" x14ac:dyDescent="0.15">
      <c r="A704" s="3" t="s">
        <v>664</v>
      </c>
      <c r="B704" s="3" t="s">
        <v>4213</v>
      </c>
      <c r="C704" s="3">
        <v>34233</v>
      </c>
      <c r="D704" s="3" t="str">
        <f>VLOOKUP(B704,[1]LifeList!$E$2:$G$2036,1)</f>
        <v>Chestnut-capped Warbler</v>
      </c>
      <c r="E704" s="3" t="str">
        <f>VLOOKUP(B704,[1]LifeList!$E$2:$G$2036,2)</f>
        <v>Paruline de Delattre</v>
      </c>
      <c r="F704" s="3" t="str">
        <f>VLOOKUP(B704,[1]LifeList!$E$2:$G$2036,3)</f>
        <v>Basileuterus delattrii</v>
      </c>
      <c r="G704" s="3" t="str">
        <f>VLOOKUP(B704,[1]LifeList!$E$2:$I$2036,4)</f>
        <v>Passeriformes</v>
      </c>
      <c r="H704" s="3" t="str">
        <f>VLOOKUP(B704,[1]LifeList!$E$2:$I$2036,5)</f>
        <v>Parulidae (New World Warblers)</v>
      </c>
    </row>
    <row r="705" spans="1:8" x14ac:dyDescent="0.15">
      <c r="A705" s="3" t="s">
        <v>665</v>
      </c>
      <c r="B705" s="3" t="s">
        <v>4213</v>
      </c>
      <c r="C705" s="3">
        <v>34233</v>
      </c>
      <c r="D705" s="3" t="str">
        <f>VLOOKUP(B705,[1]LifeList!$E$2:$G$2036,1)</f>
        <v>Chestnut-capped Warbler</v>
      </c>
      <c r="E705" s="3" t="str">
        <f>VLOOKUP(B705,[1]LifeList!$E$2:$G$2036,2)</f>
        <v>Paruline de Delattre</v>
      </c>
      <c r="F705" s="3" t="str">
        <f>VLOOKUP(B705,[1]LifeList!$E$2:$G$2036,3)</f>
        <v>Basileuterus delattrii</v>
      </c>
      <c r="G705" s="3" t="str">
        <f>VLOOKUP(B705,[1]LifeList!$E$2:$I$2036,4)</f>
        <v>Passeriformes</v>
      </c>
      <c r="H705" s="3" t="str">
        <f>VLOOKUP(B705,[1]LifeList!$E$2:$I$2036,5)</f>
        <v>Parulidae (New World Warblers)</v>
      </c>
    </row>
    <row r="706" spans="1:8" x14ac:dyDescent="0.15">
      <c r="A706" s="3" t="s">
        <v>666</v>
      </c>
      <c r="B706" s="3" t="s">
        <v>4213</v>
      </c>
      <c r="C706" s="3">
        <v>34233</v>
      </c>
      <c r="D706" s="3" t="str">
        <f>VLOOKUP(B706,[1]LifeList!$E$2:$G$2036,1)</f>
        <v>Chestnut-capped Warbler</v>
      </c>
      <c r="E706" s="3" t="str">
        <f>VLOOKUP(B706,[1]LifeList!$E$2:$G$2036,2)</f>
        <v>Paruline de Delattre</v>
      </c>
      <c r="F706" s="3" t="str">
        <f>VLOOKUP(B706,[1]LifeList!$E$2:$G$2036,3)</f>
        <v>Basileuterus delattrii</v>
      </c>
      <c r="G706" s="3" t="str">
        <f>VLOOKUP(B706,[1]LifeList!$E$2:$I$2036,4)</f>
        <v>Passeriformes</v>
      </c>
      <c r="H706" s="3" t="str">
        <f>VLOOKUP(B706,[1]LifeList!$E$2:$I$2036,5)</f>
        <v>Parulidae (New World Warblers)</v>
      </c>
    </row>
    <row r="707" spans="1:8" x14ac:dyDescent="0.15">
      <c r="A707" s="3" t="s">
        <v>667</v>
      </c>
      <c r="B707" s="3" t="s">
        <v>4213</v>
      </c>
      <c r="C707" s="3">
        <v>34233</v>
      </c>
      <c r="D707" s="3" t="str">
        <f>VLOOKUP(B707,[1]LifeList!$E$2:$G$2036,1)</f>
        <v>Chestnut-capped Warbler</v>
      </c>
      <c r="E707" s="3" t="str">
        <f>VLOOKUP(B707,[1]LifeList!$E$2:$G$2036,2)</f>
        <v>Paruline de Delattre</v>
      </c>
      <c r="F707" s="3" t="str">
        <f>VLOOKUP(B707,[1]LifeList!$E$2:$G$2036,3)</f>
        <v>Basileuterus delattrii</v>
      </c>
      <c r="G707" s="3" t="str">
        <f>VLOOKUP(B707,[1]LifeList!$E$2:$I$2036,4)</f>
        <v>Passeriformes</v>
      </c>
      <c r="H707" s="3" t="str">
        <f>VLOOKUP(B707,[1]LifeList!$E$2:$I$2036,5)</f>
        <v>Parulidae (New World Warblers)</v>
      </c>
    </row>
    <row r="708" spans="1:8" x14ac:dyDescent="0.15">
      <c r="A708" s="3" t="s">
        <v>668</v>
      </c>
      <c r="B708" s="3" t="s">
        <v>4213</v>
      </c>
      <c r="C708" s="3">
        <v>34233</v>
      </c>
      <c r="D708" s="3" t="str">
        <f>VLOOKUP(B708,[1]LifeList!$E$2:$G$2036,1)</f>
        <v>Chestnut-capped Warbler</v>
      </c>
      <c r="E708" s="3" t="str">
        <f>VLOOKUP(B708,[1]LifeList!$E$2:$G$2036,2)</f>
        <v>Paruline de Delattre</v>
      </c>
      <c r="F708" s="3" t="str">
        <f>VLOOKUP(B708,[1]LifeList!$E$2:$G$2036,3)</f>
        <v>Basileuterus delattrii</v>
      </c>
      <c r="G708" s="3" t="str">
        <f>VLOOKUP(B708,[1]LifeList!$E$2:$I$2036,4)</f>
        <v>Passeriformes</v>
      </c>
      <c r="H708" s="3" t="str">
        <f>VLOOKUP(B708,[1]LifeList!$E$2:$I$2036,5)</f>
        <v>Parulidae (New World Warblers)</v>
      </c>
    </row>
    <row r="709" spans="1:8" x14ac:dyDescent="0.15">
      <c r="A709" s="3" t="s">
        <v>663</v>
      </c>
      <c r="B709" s="3" t="s">
        <v>4213</v>
      </c>
      <c r="C709" s="3">
        <v>34233</v>
      </c>
      <c r="D709" s="3" t="str">
        <f>VLOOKUP(B709,[1]LifeList!$E$2:$G$2036,1)</f>
        <v>Chestnut-capped Warbler</v>
      </c>
      <c r="E709" s="3" t="str">
        <f>VLOOKUP(B709,[1]LifeList!$E$2:$G$2036,2)</f>
        <v>Paruline de Delattre</v>
      </c>
      <c r="F709" s="3" t="str">
        <f>VLOOKUP(B709,[1]LifeList!$E$2:$G$2036,3)</f>
        <v>Basileuterus delattrii</v>
      </c>
      <c r="G709" s="3" t="str">
        <f>VLOOKUP(B709,[1]LifeList!$E$2:$I$2036,4)</f>
        <v>Passeriformes</v>
      </c>
      <c r="H709" s="3" t="str">
        <f>VLOOKUP(B709,[1]LifeList!$E$2:$I$2036,5)</f>
        <v>Parulidae (New World Warblers)</v>
      </c>
    </row>
    <row r="710" spans="1:8" x14ac:dyDescent="0.15">
      <c r="A710" s="3" t="s">
        <v>670</v>
      </c>
      <c r="B710" s="3" t="s">
        <v>4214</v>
      </c>
      <c r="C710" s="3">
        <v>11798</v>
      </c>
      <c r="D710" s="3" t="str">
        <f>VLOOKUP(B710,[1]LifeList!$E$2:$G$2036,1)</f>
        <v>Chestnut-colored Woodpecker</v>
      </c>
      <c r="E710" s="3" t="str">
        <f>VLOOKUP(B710,[1]LifeList!$E$2:$G$2036,2)</f>
        <v>Pic roux</v>
      </c>
      <c r="F710" s="3" t="str">
        <f>VLOOKUP(B710,[1]LifeList!$E$2:$G$2036,3)</f>
        <v>Celeus castaneus</v>
      </c>
      <c r="G710" s="3" t="str">
        <f>VLOOKUP(B710,[1]LifeList!$E$2:$I$2036,4)</f>
        <v>Piciformes</v>
      </c>
      <c r="H710" s="3" t="str">
        <f>VLOOKUP(B710,[1]LifeList!$E$2:$I$2036,5)</f>
        <v>Picidae (Woodpeckers)</v>
      </c>
    </row>
    <row r="711" spans="1:8" x14ac:dyDescent="0.15">
      <c r="A711" s="3" t="s">
        <v>669</v>
      </c>
      <c r="B711" s="3" t="s">
        <v>4214</v>
      </c>
      <c r="C711" s="3">
        <v>11798</v>
      </c>
      <c r="D711" s="3" t="str">
        <f>VLOOKUP(B711,[1]LifeList!$E$2:$G$2036,1)</f>
        <v>Chestnut-colored Woodpecker</v>
      </c>
      <c r="E711" s="3" t="str">
        <f>VLOOKUP(B711,[1]LifeList!$E$2:$G$2036,2)</f>
        <v>Pic roux</v>
      </c>
      <c r="F711" s="3" t="str">
        <f>VLOOKUP(B711,[1]LifeList!$E$2:$G$2036,3)</f>
        <v>Celeus castaneus</v>
      </c>
      <c r="G711" s="3" t="str">
        <f>VLOOKUP(B711,[1]LifeList!$E$2:$I$2036,4)</f>
        <v>Piciformes</v>
      </c>
      <c r="H711" s="3" t="str">
        <f>VLOOKUP(B711,[1]LifeList!$E$2:$I$2036,5)</f>
        <v>Picidae (Woodpeckers)</v>
      </c>
    </row>
    <row r="712" spans="1:8" x14ac:dyDescent="0.15">
      <c r="A712" s="3" t="s">
        <v>671</v>
      </c>
      <c r="B712" s="3" t="s">
        <v>4215</v>
      </c>
      <c r="C712" s="3">
        <v>14234</v>
      </c>
      <c r="D712" s="3" t="str">
        <f>VLOOKUP(B712,[1]LifeList!$E$2:$G$2036,1)</f>
        <v>Chestnut-crowned Antpitta</v>
      </c>
      <c r="E712" s="3" t="str">
        <f>VLOOKUP(B712,[1]LifeList!$E$2:$G$2036,2)</f>
        <v>Grallaire à tête rousse</v>
      </c>
      <c r="F712" s="3" t="str">
        <f>VLOOKUP(B712,[1]LifeList!$E$2:$G$2036,3)</f>
        <v>Grallaria ruficapilla</v>
      </c>
      <c r="G712" s="3" t="str">
        <f>VLOOKUP(B712,[1]LifeList!$E$2:$I$2036,4)</f>
        <v>Passeriformes</v>
      </c>
      <c r="H712" s="3" t="str">
        <f>VLOOKUP(B712,[1]LifeList!$E$2:$I$2036,5)</f>
        <v>Grallariidae (Antpittas)</v>
      </c>
    </row>
    <row r="713" spans="1:8" x14ac:dyDescent="0.15">
      <c r="A713" s="3" t="s">
        <v>672</v>
      </c>
      <c r="B713" s="3" t="s">
        <v>4216</v>
      </c>
      <c r="C713" s="3">
        <v>13142</v>
      </c>
      <c r="D713" s="3" t="str">
        <f>VLOOKUP(B713,[1]LifeList!$E$2:$G$2036,1)</f>
        <v>Chestnut-fronted Macaw</v>
      </c>
      <c r="E713" s="3" t="str">
        <f>VLOOKUP(B713,[1]LifeList!$E$2:$G$2036,2)</f>
        <v>Ara vert</v>
      </c>
      <c r="F713" s="3" t="str">
        <f>VLOOKUP(B713,[1]LifeList!$E$2:$G$2036,3)</f>
        <v>Ara severus</v>
      </c>
      <c r="G713" s="3" t="str">
        <f>VLOOKUP(B713,[1]LifeList!$E$2:$I$2036,4)</f>
        <v>Psittaciformes</v>
      </c>
      <c r="H713" s="3" t="str">
        <f>VLOOKUP(B713,[1]LifeList!$E$2:$I$2036,5)</f>
        <v>Psittacidae (New World and African Parrots)</v>
      </c>
    </row>
    <row r="714" spans="1:8" x14ac:dyDescent="0.15">
      <c r="A714" s="3" t="s">
        <v>673</v>
      </c>
      <c r="B714" s="3" t="s">
        <v>4216</v>
      </c>
      <c r="C714" s="3">
        <v>13142</v>
      </c>
      <c r="D714" s="3" t="str">
        <f>VLOOKUP(B714,[1]LifeList!$E$2:$G$2036,1)</f>
        <v>Chestnut-fronted Macaw</v>
      </c>
      <c r="E714" s="3" t="str">
        <f>VLOOKUP(B714,[1]LifeList!$E$2:$G$2036,2)</f>
        <v>Ara vert</v>
      </c>
      <c r="F714" s="3" t="str">
        <f>VLOOKUP(B714,[1]LifeList!$E$2:$G$2036,3)</f>
        <v>Ara severus</v>
      </c>
      <c r="G714" s="3" t="str">
        <f>VLOOKUP(B714,[1]LifeList!$E$2:$I$2036,4)</f>
        <v>Psittaciformes</v>
      </c>
      <c r="H714" s="3" t="str">
        <f>VLOOKUP(B714,[1]LifeList!$E$2:$I$2036,5)</f>
        <v>Psittacidae (New World and African Parrots)</v>
      </c>
    </row>
    <row r="715" spans="1:8" x14ac:dyDescent="0.15">
      <c r="A715" s="3" t="s">
        <v>675</v>
      </c>
      <c r="B715" s="3" t="s">
        <v>4217</v>
      </c>
      <c r="C715" s="3">
        <v>34133</v>
      </c>
      <c r="D715" s="3" t="str">
        <f>VLOOKUP(B715,[1]LifeList!$E$2:$G$2036,1)</f>
        <v>Chestnut-sided Warbler</v>
      </c>
      <c r="E715" s="3" t="str">
        <f>VLOOKUP(B715,[1]LifeList!$E$2:$G$2036,2)</f>
        <v>Paruline à flancs marron</v>
      </c>
      <c r="F715" s="3" t="str">
        <f>VLOOKUP(B715,[1]LifeList!$E$2:$G$2036,3)</f>
        <v>Setophaga pensylvanica</v>
      </c>
      <c r="G715" s="3" t="str">
        <f>VLOOKUP(B715,[1]LifeList!$E$2:$I$2036,4)</f>
        <v>Passeriformes</v>
      </c>
      <c r="H715" s="3" t="str">
        <f>VLOOKUP(B715,[1]LifeList!$E$2:$I$2036,5)</f>
        <v>Parulidae (New World Warblers)</v>
      </c>
    </row>
    <row r="716" spans="1:8" x14ac:dyDescent="0.15">
      <c r="A716" s="3" t="s">
        <v>676</v>
      </c>
      <c r="B716" s="3" t="s">
        <v>4217</v>
      </c>
      <c r="C716" s="3">
        <v>34133</v>
      </c>
      <c r="D716" s="3" t="str">
        <f>VLOOKUP(B716,[1]LifeList!$E$2:$G$2036,1)</f>
        <v>Chestnut-sided Warbler</v>
      </c>
      <c r="E716" s="3" t="str">
        <f>VLOOKUP(B716,[1]LifeList!$E$2:$G$2036,2)</f>
        <v>Paruline à flancs marron</v>
      </c>
      <c r="F716" s="3" t="str">
        <f>VLOOKUP(B716,[1]LifeList!$E$2:$G$2036,3)</f>
        <v>Setophaga pensylvanica</v>
      </c>
      <c r="G716" s="3" t="str">
        <f>VLOOKUP(B716,[1]LifeList!$E$2:$I$2036,4)</f>
        <v>Passeriformes</v>
      </c>
      <c r="H716" s="3" t="str">
        <f>VLOOKUP(B716,[1]LifeList!$E$2:$I$2036,5)</f>
        <v>Parulidae (New World Warblers)</v>
      </c>
    </row>
    <row r="717" spans="1:8" x14ac:dyDescent="0.15">
      <c r="A717" s="3" t="s">
        <v>677</v>
      </c>
      <c r="B717" s="3" t="s">
        <v>4217</v>
      </c>
      <c r="C717" s="3">
        <v>34133</v>
      </c>
      <c r="D717" s="3" t="str">
        <f>VLOOKUP(B717,[1]LifeList!$E$2:$G$2036,1)</f>
        <v>Chestnut-sided Warbler</v>
      </c>
      <c r="E717" s="3" t="str">
        <f>VLOOKUP(B717,[1]LifeList!$E$2:$G$2036,2)</f>
        <v>Paruline à flancs marron</v>
      </c>
      <c r="F717" s="3" t="str">
        <f>VLOOKUP(B717,[1]LifeList!$E$2:$G$2036,3)</f>
        <v>Setophaga pensylvanica</v>
      </c>
      <c r="G717" s="3" t="str">
        <f>VLOOKUP(B717,[1]LifeList!$E$2:$I$2036,4)</f>
        <v>Passeriformes</v>
      </c>
      <c r="H717" s="3" t="str">
        <f>VLOOKUP(B717,[1]LifeList!$E$2:$I$2036,5)</f>
        <v>Parulidae (New World Warblers)</v>
      </c>
    </row>
    <row r="718" spans="1:8" x14ac:dyDescent="0.15">
      <c r="A718" s="3" t="s">
        <v>678</v>
      </c>
      <c r="B718" s="3" t="s">
        <v>4217</v>
      </c>
      <c r="C718" s="3">
        <v>34133</v>
      </c>
      <c r="D718" s="3" t="str">
        <f>VLOOKUP(B718,[1]LifeList!$E$2:$G$2036,1)</f>
        <v>Chestnut-sided Warbler</v>
      </c>
      <c r="E718" s="3" t="str">
        <f>VLOOKUP(B718,[1]LifeList!$E$2:$G$2036,2)</f>
        <v>Paruline à flancs marron</v>
      </c>
      <c r="F718" s="3" t="str">
        <f>VLOOKUP(B718,[1]LifeList!$E$2:$G$2036,3)</f>
        <v>Setophaga pensylvanica</v>
      </c>
      <c r="G718" s="3" t="str">
        <f>VLOOKUP(B718,[1]LifeList!$E$2:$I$2036,4)</f>
        <v>Passeriformes</v>
      </c>
      <c r="H718" s="3" t="str">
        <f>VLOOKUP(B718,[1]LifeList!$E$2:$I$2036,5)</f>
        <v>Parulidae (New World Warblers)</v>
      </c>
    </row>
    <row r="719" spans="1:8" x14ac:dyDescent="0.15">
      <c r="A719" s="3" t="s">
        <v>679</v>
      </c>
      <c r="B719" s="3" t="s">
        <v>4217</v>
      </c>
      <c r="C719" s="3">
        <v>34133</v>
      </c>
      <c r="D719" s="3" t="str">
        <f>VLOOKUP(B719,[1]LifeList!$E$2:$G$2036,1)</f>
        <v>Chestnut-sided Warbler</v>
      </c>
      <c r="E719" s="3" t="str">
        <f>VLOOKUP(B719,[1]LifeList!$E$2:$G$2036,2)</f>
        <v>Paruline à flancs marron</v>
      </c>
      <c r="F719" s="3" t="str">
        <f>VLOOKUP(B719,[1]LifeList!$E$2:$G$2036,3)</f>
        <v>Setophaga pensylvanica</v>
      </c>
      <c r="G719" s="3" t="str">
        <f>VLOOKUP(B719,[1]LifeList!$E$2:$I$2036,4)</f>
        <v>Passeriformes</v>
      </c>
      <c r="H719" s="3" t="str">
        <f>VLOOKUP(B719,[1]LifeList!$E$2:$I$2036,5)</f>
        <v>Parulidae (New World Warblers)</v>
      </c>
    </row>
    <row r="720" spans="1:8" x14ac:dyDescent="0.15">
      <c r="A720" s="3" t="s">
        <v>680</v>
      </c>
      <c r="B720" s="3" t="s">
        <v>4217</v>
      </c>
      <c r="C720" s="3">
        <v>34133</v>
      </c>
      <c r="D720" s="3" t="str">
        <f>VLOOKUP(B720,[1]LifeList!$E$2:$G$2036,1)</f>
        <v>Chestnut-sided Warbler</v>
      </c>
      <c r="E720" s="3" t="str">
        <f>VLOOKUP(B720,[1]LifeList!$E$2:$G$2036,2)</f>
        <v>Paruline à flancs marron</v>
      </c>
      <c r="F720" s="3" t="str">
        <f>VLOOKUP(B720,[1]LifeList!$E$2:$G$2036,3)</f>
        <v>Setophaga pensylvanica</v>
      </c>
      <c r="G720" s="3" t="str">
        <f>VLOOKUP(B720,[1]LifeList!$E$2:$I$2036,4)</f>
        <v>Passeriformes</v>
      </c>
      <c r="H720" s="3" t="str">
        <f>VLOOKUP(B720,[1]LifeList!$E$2:$I$2036,5)</f>
        <v>Parulidae (New World Warblers)</v>
      </c>
    </row>
    <row r="721" spans="1:8" x14ac:dyDescent="0.15">
      <c r="A721" s="3" t="s">
        <v>681</v>
      </c>
      <c r="B721" s="3" t="s">
        <v>4217</v>
      </c>
      <c r="C721" s="3">
        <v>34133</v>
      </c>
      <c r="D721" s="3" t="str">
        <f>VLOOKUP(B721,[1]LifeList!$E$2:$G$2036,1)</f>
        <v>Chestnut-sided Warbler</v>
      </c>
      <c r="E721" s="3" t="str">
        <f>VLOOKUP(B721,[1]LifeList!$E$2:$G$2036,2)</f>
        <v>Paruline à flancs marron</v>
      </c>
      <c r="F721" s="3" t="str">
        <f>VLOOKUP(B721,[1]LifeList!$E$2:$G$2036,3)</f>
        <v>Setophaga pensylvanica</v>
      </c>
      <c r="G721" s="3" t="str">
        <f>VLOOKUP(B721,[1]LifeList!$E$2:$I$2036,4)</f>
        <v>Passeriformes</v>
      </c>
      <c r="H721" s="3" t="str">
        <f>VLOOKUP(B721,[1]LifeList!$E$2:$I$2036,5)</f>
        <v>Parulidae (New World Warblers)</v>
      </c>
    </row>
    <row r="722" spans="1:8" x14ac:dyDescent="0.15">
      <c r="A722" s="3" t="s">
        <v>682</v>
      </c>
      <c r="B722" s="3" t="s">
        <v>4217</v>
      </c>
      <c r="C722" s="3">
        <v>34133</v>
      </c>
      <c r="D722" s="3" t="str">
        <f>VLOOKUP(B722,[1]LifeList!$E$2:$G$2036,1)</f>
        <v>Chestnut-sided Warbler</v>
      </c>
      <c r="E722" s="3" t="str">
        <f>VLOOKUP(B722,[1]LifeList!$E$2:$G$2036,2)</f>
        <v>Paruline à flancs marron</v>
      </c>
      <c r="F722" s="3" t="str">
        <f>VLOOKUP(B722,[1]LifeList!$E$2:$G$2036,3)</f>
        <v>Setophaga pensylvanica</v>
      </c>
      <c r="G722" s="3" t="str">
        <f>VLOOKUP(B722,[1]LifeList!$E$2:$I$2036,4)</f>
        <v>Passeriformes</v>
      </c>
      <c r="H722" s="3" t="str">
        <f>VLOOKUP(B722,[1]LifeList!$E$2:$I$2036,5)</f>
        <v>Parulidae (New World Warblers)</v>
      </c>
    </row>
    <row r="723" spans="1:8" x14ac:dyDescent="0.15">
      <c r="A723" s="3" t="s">
        <v>683</v>
      </c>
      <c r="B723" s="3" t="s">
        <v>4217</v>
      </c>
      <c r="C723" s="3">
        <v>34133</v>
      </c>
      <c r="D723" s="3" t="str">
        <f>VLOOKUP(B723,[1]LifeList!$E$2:$G$2036,1)</f>
        <v>Chestnut-sided Warbler</v>
      </c>
      <c r="E723" s="3" t="str">
        <f>VLOOKUP(B723,[1]LifeList!$E$2:$G$2036,2)</f>
        <v>Paruline à flancs marron</v>
      </c>
      <c r="F723" s="3" t="str">
        <f>VLOOKUP(B723,[1]LifeList!$E$2:$G$2036,3)</f>
        <v>Setophaga pensylvanica</v>
      </c>
      <c r="G723" s="3" t="str">
        <f>VLOOKUP(B723,[1]LifeList!$E$2:$I$2036,4)</f>
        <v>Passeriformes</v>
      </c>
      <c r="H723" s="3" t="str">
        <f>VLOOKUP(B723,[1]LifeList!$E$2:$I$2036,5)</f>
        <v>Parulidae (New World Warblers)</v>
      </c>
    </row>
    <row r="724" spans="1:8" x14ac:dyDescent="0.15">
      <c r="A724" s="3" t="s">
        <v>684</v>
      </c>
      <c r="B724" s="3" t="s">
        <v>4217</v>
      </c>
      <c r="C724" s="3">
        <v>34133</v>
      </c>
      <c r="D724" s="3" t="str">
        <f>VLOOKUP(B724,[1]LifeList!$E$2:$G$2036,1)</f>
        <v>Chestnut-sided Warbler</v>
      </c>
      <c r="E724" s="3" t="str">
        <f>VLOOKUP(B724,[1]LifeList!$E$2:$G$2036,2)</f>
        <v>Paruline à flancs marron</v>
      </c>
      <c r="F724" s="3" t="str">
        <f>VLOOKUP(B724,[1]LifeList!$E$2:$G$2036,3)</f>
        <v>Setophaga pensylvanica</v>
      </c>
      <c r="G724" s="3" t="str">
        <f>VLOOKUP(B724,[1]LifeList!$E$2:$I$2036,4)</f>
        <v>Passeriformes</v>
      </c>
      <c r="H724" s="3" t="str">
        <f>VLOOKUP(B724,[1]LifeList!$E$2:$I$2036,5)</f>
        <v>Parulidae (New World Warblers)</v>
      </c>
    </row>
    <row r="725" spans="1:8" x14ac:dyDescent="0.15">
      <c r="A725" s="3" t="s">
        <v>685</v>
      </c>
      <c r="B725" s="3" t="s">
        <v>4217</v>
      </c>
      <c r="C725" s="3">
        <v>34133</v>
      </c>
      <c r="D725" s="3" t="str">
        <f>VLOOKUP(B725,[1]LifeList!$E$2:$G$2036,1)</f>
        <v>Chestnut-sided Warbler</v>
      </c>
      <c r="E725" s="3" t="str">
        <f>VLOOKUP(B725,[1]LifeList!$E$2:$G$2036,2)</f>
        <v>Paruline à flancs marron</v>
      </c>
      <c r="F725" s="3" t="str">
        <f>VLOOKUP(B725,[1]LifeList!$E$2:$G$2036,3)</f>
        <v>Setophaga pensylvanica</v>
      </c>
      <c r="G725" s="3" t="str">
        <f>VLOOKUP(B725,[1]LifeList!$E$2:$I$2036,4)</f>
        <v>Passeriformes</v>
      </c>
      <c r="H725" s="3" t="str">
        <f>VLOOKUP(B725,[1]LifeList!$E$2:$I$2036,5)</f>
        <v>Parulidae (New World Warblers)</v>
      </c>
    </row>
    <row r="726" spans="1:8" x14ac:dyDescent="0.15">
      <c r="A726" s="3" t="s">
        <v>686</v>
      </c>
      <c r="B726" s="3" t="s">
        <v>4217</v>
      </c>
      <c r="C726" s="3">
        <v>34133</v>
      </c>
      <c r="D726" s="3" t="str">
        <f>VLOOKUP(B726,[1]LifeList!$E$2:$G$2036,1)</f>
        <v>Chestnut-sided Warbler</v>
      </c>
      <c r="E726" s="3" t="str">
        <f>VLOOKUP(B726,[1]LifeList!$E$2:$G$2036,2)</f>
        <v>Paruline à flancs marron</v>
      </c>
      <c r="F726" s="3" t="str">
        <f>VLOOKUP(B726,[1]LifeList!$E$2:$G$2036,3)</f>
        <v>Setophaga pensylvanica</v>
      </c>
      <c r="G726" s="3" t="str">
        <f>VLOOKUP(B726,[1]LifeList!$E$2:$I$2036,4)</f>
        <v>Passeriformes</v>
      </c>
      <c r="H726" s="3" t="str">
        <f>VLOOKUP(B726,[1]LifeList!$E$2:$I$2036,5)</f>
        <v>Parulidae (New World Warblers)</v>
      </c>
    </row>
    <row r="727" spans="1:8" x14ac:dyDescent="0.15">
      <c r="A727" s="3" t="s">
        <v>687</v>
      </c>
      <c r="B727" s="3" t="s">
        <v>4217</v>
      </c>
      <c r="C727" s="3">
        <v>34133</v>
      </c>
      <c r="D727" s="3" t="str">
        <f>VLOOKUP(B727,[1]LifeList!$E$2:$G$2036,1)</f>
        <v>Chestnut-sided Warbler</v>
      </c>
      <c r="E727" s="3" t="str">
        <f>VLOOKUP(B727,[1]LifeList!$E$2:$G$2036,2)</f>
        <v>Paruline à flancs marron</v>
      </c>
      <c r="F727" s="3" t="str">
        <f>VLOOKUP(B727,[1]LifeList!$E$2:$G$2036,3)</f>
        <v>Setophaga pensylvanica</v>
      </c>
      <c r="G727" s="3" t="str">
        <f>VLOOKUP(B727,[1]LifeList!$E$2:$I$2036,4)</f>
        <v>Passeriformes</v>
      </c>
      <c r="H727" s="3" t="str">
        <f>VLOOKUP(B727,[1]LifeList!$E$2:$I$2036,5)</f>
        <v>Parulidae (New World Warblers)</v>
      </c>
    </row>
    <row r="728" spans="1:8" x14ac:dyDescent="0.15">
      <c r="A728" s="3" t="s">
        <v>674</v>
      </c>
      <c r="B728" s="3" t="s">
        <v>4217</v>
      </c>
      <c r="C728" s="3">
        <v>34133</v>
      </c>
      <c r="D728" s="3" t="str">
        <f>VLOOKUP(B728,[1]LifeList!$E$2:$G$2036,1)</f>
        <v>Chestnut-sided Warbler</v>
      </c>
      <c r="E728" s="3" t="str">
        <f>VLOOKUP(B728,[1]LifeList!$E$2:$G$2036,2)</f>
        <v>Paruline à flancs marron</v>
      </c>
      <c r="F728" s="3" t="str">
        <f>VLOOKUP(B728,[1]LifeList!$E$2:$G$2036,3)</f>
        <v>Setophaga pensylvanica</v>
      </c>
      <c r="G728" s="3" t="str">
        <f>VLOOKUP(B728,[1]LifeList!$E$2:$I$2036,4)</f>
        <v>Passeriformes</v>
      </c>
      <c r="H728" s="3" t="str">
        <f>VLOOKUP(B728,[1]LifeList!$E$2:$I$2036,5)</f>
        <v>Parulidae (New World Warblers)</v>
      </c>
    </row>
    <row r="729" spans="1:8" x14ac:dyDescent="0.15">
      <c r="A729" s="3" t="s">
        <v>688</v>
      </c>
      <c r="B729" s="3" t="s">
        <v>4218</v>
      </c>
      <c r="C729" s="3">
        <v>970</v>
      </c>
      <c r="D729" s="3" t="str">
        <f>VLOOKUP(B729,[1]LifeList!$E$2:$G$2036,1)</f>
        <v>Chestnut-winged Chachalaca</v>
      </c>
      <c r="E729" s="3" t="str">
        <f>VLOOKUP(B729,[1]LifeList!$E$2:$G$2036,2)</f>
        <v>Ortalide babillarde</v>
      </c>
      <c r="F729" s="3" t="str">
        <f>VLOOKUP(B729,[1]LifeList!$E$2:$G$2036,3)</f>
        <v>Ortalis garrula</v>
      </c>
      <c r="G729" s="3" t="str">
        <f>VLOOKUP(B729,[1]LifeList!$E$2:$I$2036,4)</f>
        <v>Galliformes</v>
      </c>
      <c r="H729" s="3" t="str">
        <f>VLOOKUP(B729,[1]LifeList!$E$2:$I$2036,5)</f>
        <v>Cracidae (Guans, Chachalacas, and Curassows)</v>
      </c>
    </row>
    <row r="730" spans="1:8" x14ac:dyDescent="0.15">
      <c r="A730" s="3" t="s">
        <v>689</v>
      </c>
      <c r="B730" s="3" t="s">
        <v>4219</v>
      </c>
      <c r="C730" s="3">
        <v>15092</v>
      </c>
      <c r="D730" s="3" t="str">
        <f>VLOOKUP(B730,[1]LifeList!$E$2:$G$2036,1)</f>
        <v>Chestnut-winged Cinclodes</v>
      </c>
      <c r="E730" s="3" t="str">
        <f>VLOOKUP(B730,[1]LifeList!$E$2:$G$2036,2)</f>
        <v>Cinclode à miroir marron</v>
      </c>
      <c r="F730" s="3" t="str">
        <f>VLOOKUP(B730,[1]LifeList!$E$2:$G$2036,3)</f>
        <v>Cinclodes albidiventris</v>
      </c>
      <c r="G730" s="3" t="str">
        <f>VLOOKUP(B730,[1]LifeList!$E$2:$I$2036,4)</f>
        <v>Passeriformes</v>
      </c>
      <c r="H730" s="3" t="str">
        <f>VLOOKUP(B730,[1]LifeList!$E$2:$I$2036,5)</f>
        <v>Furnariidae (Ovenbirds and Woodcreepers)</v>
      </c>
    </row>
    <row r="731" spans="1:8" x14ac:dyDescent="0.15">
      <c r="A731" s="3" t="s">
        <v>698</v>
      </c>
      <c r="B731" s="3" t="s">
        <v>4220</v>
      </c>
      <c r="C731" s="3">
        <v>3896</v>
      </c>
      <c r="D731" s="3" t="str">
        <f>VLOOKUP(B731,[1]LifeList!$E$2:$G$2036,1)</f>
        <v>Chimney Swift</v>
      </c>
      <c r="E731" s="3" t="str">
        <f>VLOOKUP(B731,[1]LifeList!$E$2:$G$2036,2)</f>
        <v>Martinet ramoneur</v>
      </c>
      <c r="F731" s="3" t="str">
        <f>VLOOKUP(B731,[1]LifeList!$E$2:$G$2036,3)</f>
        <v>Chaetura pelagica</v>
      </c>
      <c r="G731" s="3" t="str">
        <f>VLOOKUP(B731,[1]LifeList!$E$2:$I$2036,4)</f>
        <v>Apodiformes</v>
      </c>
      <c r="H731" s="3" t="str">
        <f>VLOOKUP(B731,[1]LifeList!$E$2:$I$2036,5)</f>
        <v>Apodidae (Swifts)</v>
      </c>
    </row>
    <row r="732" spans="1:8" x14ac:dyDescent="0.15">
      <c r="A732" s="3" t="s">
        <v>699</v>
      </c>
      <c r="B732" s="3" t="s">
        <v>4220</v>
      </c>
      <c r="C732" s="3">
        <v>3896</v>
      </c>
      <c r="D732" s="3" t="str">
        <f>VLOOKUP(B732,[1]LifeList!$E$2:$G$2036,1)</f>
        <v>Chimney Swift</v>
      </c>
      <c r="E732" s="3" t="str">
        <f>VLOOKUP(B732,[1]LifeList!$E$2:$G$2036,2)</f>
        <v>Martinet ramoneur</v>
      </c>
      <c r="F732" s="3" t="str">
        <f>VLOOKUP(B732,[1]LifeList!$E$2:$G$2036,3)</f>
        <v>Chaetura pelagica</v>
      </c>
      <c r="G732" s="3" t="str">
        <f>VLOOKUP(B732,[1]LifeList!$E$2:$I$2036,4)</f>
        <v>Apodiformes</v>
      </c>
      <c r="H732" s="3" t="str">
        <f>VLOOKUP(B732,[1]LifeList!$E$2:$I$2036,5)</f>
        <v>Apodidae (Swifts)</v>
      </c>
    </row>
    <row r="733" spans="1:8" x14ac:dyDescent="0.15">
      <c r="A733" s="3" t="s">
        <v>701</v>
      </c>
      <c r="B733" s="3" t="s">
        <v>4221</v>
      </c>
      <c r="C733" s="3">
        <v>32990</v>
      </c>
      <c r="D733" s="3" t="str">
        <f>VLOOKUP(B733,[1]LifeList!$E$2:$G$2036,1)</f>
        <v>Chipping Sparrow</v>
      </c>
      <c r="E733" s="3" t="str">
        <f>VLOOKUP(B733,[1]LifeList!$E$2:$G$2036,2)</f>
        <v>Bruant familier</v>
      </c>
      <c r="F733" s="3" t="str">
        <f>VLOOKUP(B733,[1]LifeList!$E$2:$G$2036,3)</f>
        <v>Spizella passerina</v>
      </c>
      <c r="G733" s="3" t="str">
        <f>VLOOKUP(B733,[1]LifeList!$E$2:$I$2036,4)</f>
        <v>Passeriformes</v>
      </c>
      <c r="H733" s="3" t="str">
        <f>VLOOKUP(B733,[1]LifeList!$E$2:$I$2036,5)</f>
        <v>Passerellidae (New World Sparrows)</v>
      </c>
    </row>
    <row r="734" spans="1:8" x14ac:dyDescent="0.15">
      <c r="A734" s="3" t="s">
        <v>702</v>
      </c>
      <c r="B734" s="3" t="s">
        <v>4221</v>
      </c>
      <c r="C734" s="3">
        <v>32990</v>
      </c>
      <c r="D734" s="3" t="str">
        <f>VLOOKUP(B734,[1]LifeList!$E$2:$G$2036,1)</f>
        <v>Chipping Sparrow</v>
      </c>
      <c r="E734" s="3" t="str">
        <f>VLOOKUP(B734,[1]LifeList!$E$2:$G$2036,2)</f>
        <v>Bruant familier</v>
      </c>
      <c r="F734" s="3" t="str">
        <f>VLOOKUP(B734,[1]LifeList!$E$2:$G$2036,3)</f>
        <v>Spizella passerina</v>
      </c>
      <c r="G734" s="3" t="str">
        <f>VLOOKUP(B734,[1]LifeList!$E$2:$I$2036,4)</f>
        <v>Passeriformes</v>
      </c>
      <c r="H734" s="3" t="str">
        <f>VLOOKUP(B734,[1]LifeList!$E$2:$I$2036,5)</f>
        <v>Passerellidae (New World Sparrows)</v>
      </c>
    </row>
    <row r="735" spans="1:8" x14ac:dyDescent="0.15">
      <c r="A735" s="3" t="s">
        <v>703</v>
      </c>
      <c r="B735" s="3" t="s">
        <v>4221</v>
      </c>
      <c r="C735" s="3">
        <v>32990</v>
      </c>
      <c r="D735" s="3" t="str">
        <f>VLOOKUP(B735,[1]LifeList!$E$2:$G$2036,1)</f>
        <v>Chipping Sparrow</v>
      </c>
      <c r="E735" s="3" t="str">
        <f>VLOOKUP(B735,[1]LifeList!$E$2:$G$2036,2)</f>
        <v>Bruant familier</v>
      </c>
      <c r="F735" s="3" t="str">
        <f>VLOOKUP(B735,[1]LifeList!$E$2:$G$2036,3)</f>
        <v>Spizella passerina</v>
      </c>
      <c r="G735" s="3" t="str">
        <f>VLOOKUP(B735,[1]LifeList!$E$2:$I$2036,4)</f>
        <v>Passeriformes</v>
      </c>
      <c r="H735" s="3" t="str">
        <f>VLOOKUP(B735,[1]LifeList!$E$2:$I$2036,5)</f>
        <v>Passerellidae (New World Sparrows)</v>
      </c>
    </row>
    <row r="736" spans="1:8" x14ac:dyDescent="0.15">
      <c r="A736" s="3" t="s">
        <v>704</v>
      </c>
      <c r="B736" s="3" t="s">
        <v>4221</v>
      </c>
      <c r="C736" s="3">
        <v>32990</v>
      </c>
      <c r="D736" s="3" t="str">
        <f>VLOOKUP(B736,[1]LifeList!$E$2:$G$2036,1)</f>
        <v>Chipping Sparrow</v>
      </c>
      <c r="E736" s="3" t="str">
        <f>VLOOKUP(B736,[1]LifeList!$E$2:$G$2036,2)</f>
        <v>Bruant familier</v>
      </c>
      <c r="F736" s="3" t="str">
        <f>VLOOKUP(B736,[1]LifeList!$E$2:$G$2036,3)</f>
        <v>Spizella passerina</v>
      </c>
      <c r="G736" s="3" t="str">
        <f>VLOOKUP(B736,[1]LifeList!$E$2:$I$2036,4)</f>
        <v>Passeriformes</v>
      </c>
      <c r="H736" s="3" t="str">
        <f>VLOOKUP(B736,[1]LifeList!$E$2:$I$2036,5)</f>
        <v>Passerellidae (New World Sparrows)</v>
      </c>
    </row>
    <row r="737" spans="1:8" x14ac:dyDescent="0.15">
      <c r="A737" s="3" t="s">
        <v>705</v>
      </c>
      <c r="B737" s="3" t="s">
        <v>4221</v>
      </c>
      <c r="C737" s="3">
        <v>32990</v>
      </c>
      <c r="D737" s="3" t="str">
        <f>VLOOKUP(B737,[1]LifeList!$E$2:$G$2036,1)</f>
        <v>Chipping Sparrow</v>
      </c>
      <c r="E737" s="3" t="str">
        <f>VLOOKUP(B737,[1]LifeList!$E$2:$G$2036,2)</f>
        <v>Bruant familier</v>
      </c>
      <c r="F737" s="3" t="str">
        <f>VLOOKUP(B737,[1]LifeList!$E$2:$G$2036,3)</f>
        <v>Spizella passerina</v>
      </c>
      <c r="G737" s="3" t="str">
        <f>VLOOKUP(B737,[1]LifeList!$E$2:$I$2036,4)</f>
        <v>Passeriformes</v>
      </c>
      <c r="H737" s="3" t="str">
        <f>VLOOKUP(B737,[1]LifeList!$E$2:$I$2036,5)</f>
        <v>Passerellidae (New World Sparrows)</v>
      </c>
    </row>
    <row r="738" spans="1:8" x14ac:dyDescent="0.15">
      <c r="A738" s="3" t="s">
        <v>706</v>
      </c>
      <c r="B738" s="3" t="s">
        <v>4221</v>
      </c>
      <c r="C738" s="3">
        <v>32990</v>
      </c>
      <c r="D738" s="3" t="str">
        <f>VLOOKUP(B738,[1]LifeList!$E$2:$G$2036,1)</f>
        <v>Chipping Sparrow</v>
      </c>
      <c r="E738" s="3" t="str">
        <f>VLOOKUP(B738,[1]LifeList!$E$2:$G$2036,2)</f>
        <v>Bruant familier</v>
      </c>
      <c r="F738" s="3" t="str">
        <f>VLOOKUP(B738,[1]LifeList!$E$2:$G$2036,3)</f>
        <v>Spizella passerina</v>
      </c>
      <c r="G738" s="3" t="str">
        <f>VLOOKUP(B738,[1]LifeList!$E$2:$I$2036,4)</f>
        <v>Passeriformes</v>
      </c>
      <c r="H738" s="3" t="str">
        <f>VLOOKUP(B738,[1]LifeList!$E$2:$I$2036,5)</f>
        <v>Passerellidae (New World Sparrows)</v>
      </c>
    </row>
    <row r="739" spans="1:8" x14ac:dyDescent="0.15">
      <c r="A739" s="3" t="s">
        <v>707</v>
      </c>
      <c r="B739" s="3" t="s">
        <v>4221</v>
      </c>
      <c r="C739" s="3">
        <v>32990</v>
      </c>
      <c r="D739" s="3" t="str">
        <f>VLOOKUP(B739,[1]LifeList!$E$2:$G$2036,1)</f>
        <v>Chipping Sparrow</v>
      </c>
      <c r="E739" s="3" t="str">
        <f>VLOOKUP(B739,[1]LifeList!$E$2:$G$2036,2)</f>
        <v>Bruant familier</v>
      </c>
      <c r="F739" s="3" t="str">
        <f>VLOOKUP(B739,[1]LifeList!$E$2:$G$2036,3)</f>
        <v>Spizella passerina</v>
      </c>
      <c r="G739" s="3" t="str">
        <f>VLOOKUP(B739,[1]LifeList!$E$2:$I$2036,4)</f>
        <v>Passeriformes</v>
      </c>
      <c r="H739" s="3" t="str">
        <f>VLOOKUP(B739,[1]LifeList!$E$2:$I$2036,5)</f>
        <v>Passerellidae (New World Sparrows)</v>
      </c>
    </row>
    <row r="740" spans="1:8" x14ac:dyDescent="0.15">
      <c r="A740" s="3" t="s">
        <v>708</v>
      </c>
      <c r="B740" s="3" t="s">
        <v>4221</v>
      </c>
      <c r="C740" s="3">
        <v>32990</v>
      </c>
      <c r="D740" s="3" t="str">
        <f>VLOOKUP(B740,[1]LifeList!$E$2:$G$2036,1)</f>
        <v>Chipping Sparrow</v>
      </c>
      <c r="E740" s="3" t="str">
        <f>VLOOKUP(B740,[1]LifeList!$E$2:$G$2036,2)</f>
        <v>Bruant familier</v>
      </c>
      <c r="F740" s="3" t="str">
        <f>VLOOKUP(B740,[1]LifeList!$E$2:$G$2036,3)</f>
        <v>Spizella passerina</v>
      </c>
      <c r="G740" s="3" t="str">
        <f>VLOOKUP(B740,[1]LifeList!$E$2:$I$2036,4)</f>
        <v>Passeriformes</v>
      </c>
      <c r="H740" s="3" t="str">
        <f>VLOOKUP(B740,[1]LifeList!$E$2:$I$2036,5)</f>
        <v>Passerellidae (New World Sparrows)</v>
      </c>
    </row>
    <row r="741" spans="1:8" x14ac:dyDescent="0.15">
      <c r="A741" s="3" t="s">
        <v>709</v>
      </c>
      <c r="B741" s="3" t="s">
        <v>4221</v>
      </c>
      <c r="C741" s="3">
        <v>32990</v>
      </c>
      <c r="D741" s="3" t="str">
        <f>VLOOKUP(B741,[1]LifeList!$E$2:$G$2036,1)</f>
        <v>Chipping Sparrow</v>
      </c>
      <c r="E741" s="3" t="str">
        <f>VLOOKUP(B741,[1]LifeList!$E$2:$G$2036,2)</f>
        <v>Bruant familier</v>
      </c>
      <c r="F741" s="3" t="str">
        <f>VLOOKUP(B741,[1]LifeList!$E$2:$G$2036,3)</f>
        <v>Spizella passerina</v>
      </c>
      <c r="G741" s="3" t="str">
        <f>VLOOKUP(B741,[1]LifeList!$E$2:$I$2036,4)</f>
        <v>Passeriformes</v>
      </c>
      <c r="H741" s="3" t="str">
        <f>VLOOKUP(B741,[1]LifeList!$E$2:$I$2036,5)</f>
        <v>Passerellidae (New World Sparrows)</v>
      </c>
    </row>
    <row r="742" spans="1:8" x14ac:dyDescent="0.15">
      <c r="A742" s="3" t="s">
        <v>700</v>
      </c>
      <c r="B742" s="3" t="s">
        <v>4221</v>
      </c>
      <c r="C742" s="3">
        <v>32990</v>
      </c>
      <c r="D742" s="3" t="str">
        <f>VLOOKUP(B742,[1]LifeList!$E$2:$G$2036,1)</f>
        <v>Chipping Sparrow</v>
      </c>
      <c r="E742" s="3" t="str">
        <f>VLOOKUP(B742,[1]LifeList!$E$2:$G$2036,2)</f>
        <v>Bruant familier</v>
      </c>
      <c r="F742" s="3" t="str">
        <f>VLOOKUP(B742,[1]LifeList!$E$2:$G$2036,3)</f>
        <v>Spizella passerina</v>
      </c>
      <c r="G742" s="3" t="str">
        <f>VLOOKUP(B742,[1]LifeList!$E$2:$I$2036,4)</f>
        <v>Passeriformes</v>
      </c>
      <c r="H742" s="3" t="str">
        <f>VLOOKUP(B742,[1]LifeList!$E$2:$I$2036,5)</f>
        <v>Passerellidae (New World Sparrows)</v>
      </c>
    </row>
    <row r="743" spans="1:8" x14ac:dyDescent="0.15">
      <c r="A743" s="3" t="s">
        <v>3835</v>
      </c>
      <c r="B743" s="3" t="s">
        <v>4222</v>
      </c>
      <c r="C743" s="3">
        <v>33472</v>
      </c>
      <c r="D743" s="3" t="str">
        <f>VLOOKUP(B743,[1]LifeList!$E$2:$G$2036,1)</f>
        <v>Choco Brushfinch</v>
      </c>
      <c r="E743" s="3" t="str">
        <f>VLOOKUP(B743,[1]LifeList!$E$2:$G$2036,2)</f>
        <v>Tohi à bec fort</v>
      </c>
      <c r="F743" s="3" t="str">
        <f>VLOOKUP(B743,[1]LifeList!$E$2:$G$2036,3)</f>
        <v>Atlapetes crassus</v>
      </c>
      <c r="G743" s="3" t="str">
        <f>VLOOKUP(B743,[1]LifeList!$E$2:$I$2036,4)</f>
        <v>Passeriformes</v>
      </c>
      <c r="H743" s="3" t="str">
        <f>VLOOKUP(B743,[1]LifeList!$E$2:$I$2036,5)</f>
        <v>Passerellidae (New World Sparrows)</v>
      </c>
    </row>
    <row r="744" spans="1:8" x14ac:dyDescent="0.15">
      <c r="A744" s="3" t="s">
        <v>710</v>
      </c>
      <c r="B744" s="3" t="s">
        <v>4223</v>
      </c>
      <c r="C744" s="3">
        <v>17262</v>
      </c>
      <c r="D744" s="3" t="str">
        <f>VLOOKUP(B744,[1]LifeList!$E$2:$G$2036,1)</f>
        <v>Choco Sirystes</v>
      </c>
      <c r="E744" s="3" t="str">
        <f>VLOOKUP(B744,[1]LifeList!$E$2:$G$2036,2)</f>
        <v>Tyran du Choco</v>
      </c>
      <c r="F744" s="3" t="str">
        <f>VLOOKUP(B744,[1]LifeList!$E$2:$G$2036,3)</f>
        <v>Sirystes albogriseus</v>
      </c>
      <c r="G744" s="3" t="str">
        <f>VLOOKUP(B744,[1]LifeList!$E$2:$I$2036,4)</f>
        <v>Passeriformes</v>
      </c>
      <c r="H744" s="3" t="str">
        <f>VLOOKUP(B744,[1]LifeList!$E$2:$I$2036,5)</f>
        <v>Tyrannidae (Tyrant Flycatchers)</v>
      </c>
    </row>
    <row r="745" spans="1:8" x14ac:dyDescent="0.15">
      <c r="A745" s="3" t="s">
        <v>711</v>
      </c>
      <c r="B745" s="3" t="s">
        <v>4224</v>
      </c>
      <c r="C745" s="3">
        <v>10939</v>
      </c>
      <c r="D745" s="3" t="str">
        <f>VLOOKUP(B745,[1]LifeList!$E$2:$G$2036,1)</f>
        <v>Choco Toucan</v>
      </c>
      <c r="E745" s="3" t="str">
        <f>VLOOKUP(B745,[1]LifeList!$E$2:$G$2036,2)</f>
        <v>Toucan du Choco</v>
      </c>
      <c r="F745" s="3" t="str">
        <f>VLOOKUP(B745,[1]LifeList!$E$2:$G$2036,3)</f>
        <v>Ramphastos brevis</v>
      </c>
      <c r="G745" s="3" t="str">
        <f>VLOOKUP(B745,[1]LifeList!$E$2:$I$2036,4)</f>
        <v>Piciformes</v>
      </c>
      <c r="H745" s="3" t="str">
        <f>VLOOKUP(B745,[1]LifeList!$E$2:$I$2036,5)</f>
        <v>Ramphastidae (Toucans)</v>
      </c>
    </row>
    <row r="746" spans="1:8" x14ac:dyDescent="0.15">
      <c r="A746" s="3" t="s">
        <v>712</v>
      </c>
      <c r="B746" s="3" t="s">
        <v>4225</v>
      </c>
      <c r="C746" s="3">
        <v>34324</v>
      </c>
      <c r="D746" s="3" t="str">
        <f>VLOOKUP(B746,[1]LifeList!$E$2:$G$2036,1)</f>
        <v>Choco Warbler</v>
      </c>
      <c r="E746" s="3" t="str">
        <f>VLOOKUP(B746,[1]LifeList!$E$2:$G$2036,2)</f>
        <v>Paruline du Choco</v>
      </c>
      <c r="F746" s="3" t="str">
        <f>VLOOKUP(B746,[1]LifeList!$E$2:$G$2036,3)</f>
        <v>Myiothlypis chlorophrys</v>
      </c>
      <c r="G746" s="3" t="str">
        <f>VLOOKUP(B746,[1]LifeList!$E$2:$I$2036,4)</f>
        <v>Passeriformes</v>
      </c>
      <c r="H746" s="3" t="str">
        <f>VLOOKUP(B746,[1]LifeList!$E$2:$I$2036,5)</f>
        <v>Parulidae (New World Warblers)</v>
      </c>
    </row>
    <row r="747" spans="1:8" x14ac:dyDescent="0.15">
      <c r="A747" s="3" t="s">
        <v>3836</v>
      </c>
      <c r="B747" s="3" t="s">
        <v>4225</v>
      </c>
      <c r="C747" s="3">
        <v>34324</v>
      </c>
      <c r="D747" s="3" t="str">
        <f>VLOOKUP(B747,[1]LifeList!$E$2:$G$2036,1)</f>
        <v>Choco Warbler</v>
      </c>
      <c r="E747" s="3" t="str">
        <f>VLOOKUP(B747,[1]LifeList!$E$2:$G$2036,2)</f>
        <v>Paruline du Choco</v>
      </c>
      <c r="F747" s="3" t="str">
        <f>VLOOKUP(B747,[1]LifeList!$E$2:$G$2036,3)</f>
        <v>Myiothlypis chlorophrys</v>
      </c>
      <c r="G747" s="3" t="str">
        <f>VLOOKUP(B747,[1]LifeList!$E$2:$I$2036,4)</f>
        <v>Passeriformes</v>
      </c>
      <c r="H747" s="3" t="str">
        <f>VLOOKUP(B747,[1]LifeList!$E$2:$I$2036,5)</f>
        <v>Parulidae (New World Warblers)</v>
      </c>
    </row>
    <row r="748" spans="1:8" x14ac:dyDescent="0.15">
      <c r="A748" s="3" t="s">
        <v>3837</v>
      </c>
      <c r="B748" s="3" t="s">
        <v>5249</v>
      </c>
      <c r="C748" s="3">
        <v>17808</v>
      </c>
      <c r="D748" s="3" t="str">
        <f>VLOOKUP(B748,[1]LifeList!$E$2:$G$2036,1)</f>
        <v>Chuck-will's-widow</v>
      </c>
      <c r="E748" s="3" t="str">
        <f>VLOOKUP(B748,[1]LifeList!$E$2:$G$2036,2)</f>
        <v>Engoulevent de Caroline</v>
      </c>
      <c r="F748" s="3" t="str">
        <f>VLOOKUP(B748,[1]LifeList!$E$2:$G$2036,3)</f>
        <v>Antrostomus carolinensis</v>
      </c>
      <c r="G748" s="3" t="str">
        <f>VLOOKUP(B748,[1]LifeList!$E$2:$I$2036,4)</f>
        <v>Caprimulgiformes</v>
      </c>
      <c r="H748" s="3" t="str">
        <f>VLOOKUP(B748,[1]LifeList!$E$2:$I$2036,5)</f>
        <v>Caprimulgidae (Nightjars and Allies)</v>
      </c>
    </row>
    <row r="749" spans="1:8" x14ac:dyDescent="0.15">
      <c r="A749" s="3" t="s">
        <v>3838</v>
      </c>
      <c r="B749" s="3" t="s">
        <v>5249</v>
      </c>
      <c r="C749" s="3">
        <v>17808</v>
      </c>
      <c r="D749" s="3" t="str">
        <f>VLOOKUP(B749,[1]LifeList!$E$2:$G$2036,1)</f>
        <v>Chuck-will's-widow</v>
      </c>
      <c r="E749" s="3" t="str">
        <f>VLOOKUP(B749,[1]LifeList!$E$2:$G$2036,2)</f>
        <v>Engoulevent de Caroline</v>
      </c>
      <c r="F749" s="3" t="str">
        <f>VLOOKUP(B749,[1]LifeList!$E$2:$G$2036,3)</f>
        <v>Antrostomus carolinensis</v>
      </c>
      <c r="G749" s="3" t="str">
        <f>VLOOKUP(B749,[1]LifeList!$E$2:$I$2036,4)</f>
        <v>Caprimulgiformes</v>
      </c>
      <c r="H749" s="3" t="str">
        <f>VLOOKUP(B749,[1]LifeList!$E$2:$I$2036,5)</f>
        <v>Caprimulgidae (Nightjars and Allies)</v>
      </c>
    </row>
    <row r="750" spans="1:8" x14ac:dyDescent="0.15">
      <c r="A750" s="3" t="s">
        <v>3839</v>
      </c>
      <c r="B750" s="3" t="s">
        <v>5249</v>
      </c>
      <c r="C750" s="3">
        <v>17808</v>
      </c>
      <c r="D750" s="3" t="str">
        <f>VLOOKUP(B750,[1]LifeList!$E$2:$G$2036,1)</f>
        <v>Chuck-will's-widow</v>
      </c>
      <c r="E750" s="3" t="str">
        <f>VLOOKUP(B750,[1]LifeList!$E$2:$G$2036,2)</f>
        <v>Engoulevent de Caroline</v>
      </c>
      <c r="F750" s="3" t="str">
        <f>VLOOKUP(B750,[1]LifeList!$E$2:$G$2036,3)</f>
        <v>Antrostomus carolinensis</v>
      </c>
      <c r="G750" s="3" t="str">
        <f>VLOOKUP(B750,[1]LifeList!$E$2:$I$2036,4)</f>
        <v>Caprimulgiformes</v>
      </c>
      <c r="H750" s="3" t="str">
        <f>VLOOKUP(B750,[1]LifeList!$E$2:$I$2036,5)</f>
        <v>Caprimulgidae (Nightjars and Allies)</v>
      </c>
    </row>
    <row r="751" spans="1:8" x14ac:dyDescent="0.15">
      <c r="A751" s="3" t="s">
        <v>713</v>
      </c>
      <c r="B751" s="3" t="s">
        <v>4226</v>
      </c>
      <c r="C751" s="3">
        <v>1765</v>
      </c>
      <c r="D751" s="3" t="str">
        <f>VLOOKUP(B751,[1]LifeList!$E$2:$G$2036,1)</f>
        <v>Chukar</v>
      </c>
      <c r="E751" s="3" t="str">
        <f>VLOOKUP(B751,[1]LifeList!$E$2:$G$2036,2)</f>
        <v>Perdrix choukar</v>
      </c>
      <c r="F751" s="3" t="str">
        <f>VLOOKUP(B751,[1]LifeList!$E$2:$G$2036,3)</f>
        <v>Alectoris chukar</v>
      </c>
      <c r="G751" s="3" t="str">
        <f>VLOOKUP(B751,[1]LifeList!$E$2:$I$2036,4)</f>
        <v>Galliformes</v>
      </c>
      <c r="H751" s="3" t="str">
        <f>VLOOKUP(B751,[1]LifeList!$E$2:$I$2036,5)</f>
        <v>Phasianidae (Pheasants, Grouse, and Allies)</v>
      </c>
    </row>
    <row r="752" spans="1:8" x14ac:dyDescent="0.15">
      <c r="A752" s="3" t="s">
        <v>714</v>
      </c>
      <c r="B752" s="3" t="s">
        <v>4227</v>
      </c>
      <c r="C752" s="3">
        <v>16034</v>
      </c>
      <c r="D752" s="3" t="str">
        <f>VLOOKUP(B752,[1]LifeList!$E$2:$G$2036,1)</f>
        <v>Cinereous Becard</v>
      </c>
      <c r="E752" s="3" t="str">
        <f>VLOOKUP(B752,[1]LifeList!$E$2:$G$2036,2)</f>
        <v>Bécarde cendrée</v>
      </c>
      <c r="F752" s="3" t="str">
        <f>VLOOKUP(B752,[1]LifeList!$E$2:$G$2036,3)</f>
        <v>Pachyramphus rufus</v>
      </c>
      <c r="G752" s="3" t="str">
        <f>VLOOKUP(B752,[1]LifeList!$E$2:$I$2036,4)</f>
        <v>Passeriformes</v>
      </c>
      <c r="H752" s="3" t="str">
        <f>VLOOKUP(B752,[1]LifeList!$E$2:$I$2036,5)</f>
        <v>Tityridae (Tityras and Allies)</v>
      </c>
    </row>
    <row r="753" spans="1:8" x14ac:dyDescent="0.15">
      <c r="A753" s="3" t="s">
        <v>719</v>
      </c>
      <c r="B753" s="3" t="s">
        <v>4228</v>
      </c>
      <c r="C753" s="3">
        <v>16037</v>
      </c>
      <c r="D753" s="3" t="str">
        <f>VLOOKUP(B753,[1]LifeList!$E$2:$G$2036,1)</f>
        <v>Cinnamon Becard</v>
      </c>
      <c r="E753" s="3" t="str">
        <f>VLOOKUP(B753,[1]LifeList!$E$2:$G$2036,2)</f>
        <v>Bécarde cannelle</v>
      </c>
      <c r="F753" s="3" t="str">
        <f>VLOOKUP(B753,[1]LifeList!$E$2:$G$2036,3)</f>
        <v>Pachyramphus cinnamomeus</v>
      </c>
      <c r="G753" s="3" t="str">
        <f>VLOOKUP(B753,[1]LifeList!$E$2:$I$2036,4)</f>
        <v>Passeriformes</v>
      </c>
      <c r="H753" s="3" t="str">
        <f>VLOOKUP(B753,[1]LifeList!$E$2:$I$2036,5)</f>
        <v>Tityridae (Tityras and Allies)</v>
      </c>
    </row>
    <row r="754" spans="1:8" x14ac:dyDescent="0.15">
      <c r="A754" s="3" t="s">
        <v>718</v>
      </c>
      <c r="B754" s="3" t="s">
        <v>4228</v>
      </c>
      <c r="C754" s="3">
        <v>16037</v>
      </c>
      <c r="D754" s="3" t="str">
        <f>VLOOKUP(B754,[1]LifeList!$E$2:$G$2036,1)</f>
        <v>Cinnamon Becard</v>
      </c>
      <c r="E754" s="3" t="str">
        <f>VLOOKUP(B754,[1]LifeList!$E$2:$G$2036,2)</f>
        <v>Bécarde cannelle</v>
      </c>
      <c r="F754" s="3" t="str">
        <f>VLOOKUP(B754,[1]LifeList!$E$2:$G$2036,3)</f>
        <v>Pachyramphus cinnamomeus</v>
      </c>
      <c r="G754" s="3" t="str">
        <f>VLOOKUP(B754,[1]LifeList!$E$2:$I$2036,4)</f>
        <v>Passeriformes</v>
      </c>
      <c r="H754" s="3" t="str">
        <f>VLOOKUP(B754,[1]LifeList!$E$2:$I$2036,5)</f>
        <v>Tityridae (Tityras and Allies)</v>
      </c>
    </row>
    <row r="755" spans="1:8" x14ac:dyDescent="0.15">
      <c r="A755" s="3" t="s">
        <v>720</v>
      </c>
      <c r="B755" s="3" t="s">
        <v>4229</v>
      </c>
      <c r="C755" s="3">
        <v>16519</v>
      </c>
      <c r="D755" s="3" t="str">
        <f>VLOOKUP(B755,[1]LifeList!$E$2:$G$2036,1)</f>
        <v>Cinnamon Flycatcher</v>
      </c>
      <c r="E755" s="3" t="str">
        <f>VLOOKUP(B755,[1]LifeList!$E$2:$G$2036,2)</f>
        <v>Moucherolle cannelle</v>
      </c>
      <c r="F755" s="3" t="str">
        <f>VLOOKUP(B755,[1]LifeList!$E$2:$G$2036,3)</f>
        <v>Pyrrhomyias cinnamomeus</v>
      </c>
      <c r="G755" s="3" t="str">
        <f>VLOOKUP(B755,[1]LifeList!$E$2:$I$2036,4)</f>
        <v>Passeriformes</v>
      </c>
      <c r="H755" s="3" t="str">
        <f>VLOOKUP(B755,[1]LifeList!$E$2:$I$2036,5)</f>
        <v>Tyrannidae (Tyrant Flycatchers)</v>
      </c>
    </row>
    <row r="756" spans="1:8" x14ac:dyDescent="0.15">
      <c r="A756" s="3" t="s">
        <v>721</v>
      </c>
      <c r="B756" s="3" t="s">
        <v>4229</v>
      </c>
      <c r="C756" s="3">
        <v>16519</v>
      </c>
      <c r="D756" s="3" t="str">
        <f>VLOOKUP(B756,[1]LifeList!$E$2:$G$2036,1)</f>
        <v>Cinnamon Flycatcher</v>
      </c>
      <c r="E756" s="3" t="str">
        <f>VLOOKUP(B756,[1]LifeList!$E$2:$G$2036,2)</f>
        <v>Moucherolle cannelle</v>
      </c>
      <c r="F756" s="3" t="str">
        <f>VLOOKUP(B756,[1]LifeList!$E$2:$G$2036,3)</f>
        <v>Pyrrhomyias cinnamomeus</v>
      </c>
      <c r="G756" s="3" t="str">
        <f>VLOOKUP(B756,[1]LifeList!$E$2:$I$2036,4)</f>
        <v>Passeriformes</v>
      </c>
      <c r="H756" s="3" t="str">
        <f>VLOOKUP(B756,[1]LifeList!$E$2:$I$2036,5)</f>
        <v>Tyrannidae (Tyrant Flycatchers)</v>
      </c>
    </row>
    <row r="757" spans="1:8" x14ac:dyDescent="0.15">
      <c r="A757" s="3" t="s">
        <v>722</v>
      </c>
      <c r="B757" s="3" t="s">
        <v>4230</v>
      </c>
      <c r="C757" s="3">
        <v>5100</v>
      </c>
      <c r="D757" s="3" t="str">
        <f>VLOOKUP(B757,[1]LifeList!$E$2:$G$2036,1)</f>
        <v>Cinnamon Hummingbird</v>
      </c>
      <c r="E757" s="3" t="str">
        <f>VLOOKUP(B757,[1]LifeList!$E$2:$G$2036,2)</f>
        <v>Ariane cannelle</v>
      </c>
      <c r="F757" s="3" t="str">
        <f>VLOOKUP(B757,[1]LifeList!$E$2:$G$2036,3)</f>
        <v>Amazilia rutila</v>
      </c>
      <c r="G757" s="3" t="str">
        <f>VLOOKUP(B757,[1]LifeList!$E$2:$I$2036,4)</f>
        <v>Apodiformes</v>
      </c>
      <c r="H757" s="3" t="str">
        <f>VLOOKUP(B757,[1]LifeList!$E$2:$I$2036,5)</f>
        <v>Trochilidae (Hummingbirds)</v>
      </c>
    </row>
    <row r="758" spans="1:8" x14ac:dyDescent="0.15">
      <c r="A758" s="3" t="s">
        <v>723</v>
      </c>
      <c r="B758" s="3" t="s">
        <v>4231</v>
      </c>
      <c r="C758" s="3">
        <v>11788</v>
      </c>
      <c r="D758" s="3" t="str">
        <f>VLOOKUP(B758,[1]LifeList!$E$2:$G$2036,1)</f>
        <v>Cinnamon Woodpecker</v>
      </c>
      <c r="E758" s="3" t="str">
        <f>VLOOKUP(B758,[1]LifeList!$E$2:$G$2036,2)</f>
        <v>Pic cannelle</v>
      </c>
      <c r="F758" s="3" t="str">
        <f>VLOOKUP(B758,[1]LifeList!$E$2:$G$2036,3)</f>
        <v>Celeus loricatus</v>
      </c>
      <c r="G758" s="3" t="str">
        <f>VLOOKUP(B758,[1]LifeList!$E$2:$I$2036,4)</f>
        <v>Piciformes</v>
      </c>
      <c r="H758" s="3" t="str">
        <f>VLOOKUP(B758,[1]LifeList!$E$2:$I$2036,5)</f>
        <v>Picidae (Woodpeckers)</v>
      </c>
    </row>
    <row r="759" spans="1:8" x14ac:dyDescent="0.15">
      <c r="A759" s="3" t="s">
        <v>724</v>
      </c>
      <c r="B759" s="3" t="s">
        <v>4231</v>
      </c>
      <c r="C759" s="3">
        <v>11788</v>
      </c>
      <c r="D759" s="3" t="str">
        <f>VLOOKUP(B759,[1]LifeList!$E$2:$G$2036,1)</f>
        <v>Cinnamon Woodpecker</v>
      </c>
      <c r="E759" s="3" t="str">
        <f>VLOOKUP(B759,[1]LifeList!$E$2:$G$2036,2)</f>
        <v>Pic cannelle</v>
      </c>
      <c r="F759" s="3" t="str">
        <f>VLOOKUP(B759,[1]LifeList!$E$2:$G$2036,3)</f>
        <v>Celeus loricatus</v>
      </c>
      <c r="G759" s="3" t="str">
        <f>VLOOKUP(B759,[1]LifeList!$E$2:$I$2036,4)</f>
        <v>Piciformes</v>
      </c>
      <c r="H759" s="3" t="str">
        <f>VLOOKUP(B759,[1]LifeList!$E$2:$I$2036,5)</f>
        <v>Picidae (Woodpeckers)</v>
      </c>
    </row>
    <row r="760" spans="1:8" x14ac:dyDescent="0.15">
      <c r="A760" s="3" t="s">
        <v>715</v>
      </c>
      <c r="B760" s="3" t="s">
        <v>4232</v>
      </c>
      <c r="C760" s="3">
        <v>35806</v>
      </c>
      <c r="D760" s="3" t="str">
        <f>VLOOKUP(B760,[1]LifeList!$E$2:$G$2036,1)</f>
        <v>Cinnamon-bellied Saltator</v>
      </c>
      <c r="E760" s="3" t="str">
        <f>VLOOKUP(B760,[1]LifeList!$E$2:$G$2036,2)</f>
        <v>Saltator du Mexique</v>
      </c>
      <c r="F760" s="3" t="str">
        <f>VLOOKUP(B760,[1]LifeList!$E$2:$G$2036,3)</f>
        <v>Saltator grandis</v>
      </c>
      <c r="G760" s="3" t="str">
        <f>VLOOKUP(B760,[1]LifeList!$E$2:$I$2036,4)</f>
        <v>Passeriformes</v>
      </c>
      <c r="H760" s="3" t="str">
        <f>VLOOKUP(B760,[1]LifeList!$E$2:$I$2036,5)</f>
        <v>Thraupidae (Tanagers and Allies)</v>
      </c>
    </row>
    <row r="761" spans="1:8" x14ac:dyDescent="0.15">
      <c r="A761" s="3" t="s">
        <v>716</v>
      </c>
      <c r="B761" s="3" t="s">
        <v>4232</v>
      </c>
      <c r="C761" s="3">
        <v>35806</v>
      </c>
      <c r="D761" s="3" t="str">
        <f>VLOOKUP(B761,[1]LifeList!$E$2:$G$2036,1)</f>
        <v>Cinnamon-bellied Saltator</v>
      </c>
      <c r="E761" s="3" t="str">
        <f>VLOOKUP(B761,[1]LifeList!$E$2:$G$2036,2)</f>
        <v>Saltator du Mexique</v>
      </c>
      <c r="F761" s="3" t="str">
        <f>VLOOKUP(B761,[1]LifeList!$E$2:$G$2036,3)</f>
        <v>Saltator grandis</v>
      </c>
      <c r="G761" s="3" t="str">
        <f>VLOOKUP(B761,[1]LifeList!$E$2:$I$2036,4)</f>
        <v>Passeriformes</v>
      </c>
      <c r="H761" s="3" t="str">
        <f>VLOOKUP(B761,[1]LifeList!$E$2:$I$2036,5)</f>
        <v>Thraupidae (Tanagers and Allies)</v>
      </c>
    </row>
    <row r="762" spans="1:8" x14ac:dyDescent="0.15">
      <c r="A762" s="3" t="s">
        <v>717</v>
      </c>
      <c r="B762" s="3" t="s">
        <v>4232</v>
      </c>
      <c r="C762" s="3">
        <v>35806</v>
      </c>
      <c r="D762" s="3" t="str">
        <f>VLOOKUP(B762,[1]LifeList!$E$2:$G$2036,1)</f>
        <v>Cinnamon-bellied Saltator</v>
      </c>
      <c r="E762" s="3" t="str">
        <f>VLOOKUP(B762,[1]LifeList!$E$2:$G$2036,2)</f>
        <v>Saltator du Mexique</v>
      </c>
      <c r="F762" s="3" t="str">
        <f>VLOOKUP(B762,[1]LifeList!$E$2:$G$2036,3)</f>
        <v>Saltator grandis</v>
      </c>
      <c r="G762" s="3" t="str">
        <f>VLOOKUP(B762,[1]LifeList!$E$2:$I$2036,4)</f>
        <v>Passeriformes</v>
      </c>
      <c r="H762" s="3" t="str">
        <f>VLOOKUP(B762,[1]LifeList!$E$2:$I$2036,5)</f>
        <v>Thraupidae (Tanagers and Allies)</v>
      </c>
    </row>
    <row r="763" spans="1:8" x14ac:dyDescent="0.15">
      <c r="A763" s="3" t="s">
        <v>725</v>
      </c>
      <c r="B763" s="3" t="s">
        <v>4233</v>
      </c>
      <c r="C763" s="3">
        <v>32996</v>
      </c>
      <c r="D763" s="3" t="str">
        <f>VLOOKUP(B763,[1]LifeList!$E$2:$G$2036,1)</f>
        <v>Clay-colored Sparrow</v>
      </c>
      <c r="E763" s="3" t="str">
        <f>VLOOKUP(B763,[1]LifeList!$E$2:$G$2036,2)</f>
        <v>Bruant des plaines</v>
      </c>
      <c r="F763" s="3" t="str">
        <f>VLOOKUP(B763,[1]LifeList!$E$2:$G$2036,3)</f>
        <v>Spizella pallida</v>
      </c>
      <c r="G763" s="3" t="str">
        <f>VLOOKUP(B763,[1]LifeList!$E$2:$I$2036,4)</f>
        <v>Passeriformes</v>
      </c>
      <c r="H763" s="3" t="str">
        <f>VLOOKUP(B763,[1]LifeList!$E$2:$I$2036,5)</f>
        <v>Passerellidae (New World Sparrows)</v>
      </c>
    </row>
    <row r="764" spans="1:8" x14ac:dyDescent="0.15">
      <c r="A764" s="3" t="s">
        <v>726</v>
      </c>
      <c r="B764" s="3" t="s">
        <v>4233</v>
      </c>
      <c r="C764" s="3">
        <v>32996</v>
      </c>
      <c r="D764" s="3" t="str">
        <f>VLOOKUP(B764,[1]LifeList!$E$2:$G$2036,1)</f>
        <v>Clay-colored Sparrow</v>
      </c>
      <c r="E764" s="3" t="str">
        <f>VLOOKUP(B764,[1]LifeList!$E$2:$G$2036,2)</f>
        <v>Bruant des plaines</v>
      </c>
      <c r="F764" s="3" t="str">
        <f>VLOOKUP(B764,[1]LifeList!$E$2:$G$2036,3)</f>
        <v>Spizella pallida</v>
      </c>
      <c r="G764" s="3" t="str">
        <f>VLOOKUP(B764,[1]LifeList!$E$2:$I$2036,4)</f>
        <v>Passeriformes</v>
      </c>
      <c r="H764" s="3" t="str">
        <f>VLOOKUP(B764,[1]LifeList!$E$2:$I$2036,5)</f>
        <v>Passerellidae (New World Sparrows)</v>
      </c>
    </row>
    <row r="765" spans="1:8" x14ac:dyDescent="0.15">
      <c r="A765" s="3" t="s">
        <v>727</v>
      </c>
      <c r="B765" s="3" t="s">
        <v>4233</v>
      </c>
      <c r="C765" s="3">
        <v>32996</v>
      </c>
      <c r="D765" s="3" t="str">
        <f>VLOOKUP(B765,[1]LifeList!$E$2:$G$2036,1)</f>
        <v>Clay-colored Sparrow</v>
      </c>
      <c r="E765" s="3" t="str">
        <f>VLOOKUP(B765,[1]LifeList!$E$2:$G$2036,2)</f>
        <v>Bruant des plaines</v>
      </c>
      <c r="F765" s="3" t="str">
        <f>VLOOKUP(B765,[1]LifeList!$E$2:$G$2036,3)</f>
        <v>Spizella pallida</v>
      </c>
      <c r="G765" s="3" t="str">
        <f>VLOOKUP(B765,[1]LifeList!$E$2:$I$2036,4)</f>
        <v>Passeriformes</v>
      </c>
      <c r="H765" s="3" t="str">
        <f>VLOOKUP(B765,[1]LifeList!$E$2:$I$2036,5)</f>
        <v>Passerellidae (New World Sparrows)</v>
      </c>
    </row>
    <row r="766" spans="1:8" x14ac:dyDescent="0.15">
      <c r="A766" s="3" t="s">
        <v>728</v>
      </c>
      <c r="B766" s="3" t="s">
        <v>4234</v>
      </c>
      <c r="C766" s="3">
        <v>28767</v>
      </c>
      <c r="D766" s="3" t="str">
        <f>VLOOKUP(B766,[1]LifeList!$E$2:$G$2036,1)</f>
        <v>Clay-colored Thrush</v>
      </c>
      <c r="E766" s="3" t="str">
        <f>VLOOKUP(B766,[1]LifeList!$E$2:$G$2036,2)</f>
        <v>Merle fauve</v>
      </c>
      <c r="F766" s="3" t="str">
        <f>VLOOKUP(B766,[1]LifeList!$E$2:$G$2036,3)</f>
        <v>Turdus grayi</v>
      </c>
      <c r="G766" s="3" t="str">
        <f>VLOOKUP(B766,[1]LifeList!$E$2:$I$2036,4)</f>
        <v>Passeriformes</v>
      </c>
      <c r="H766" s="3" t="str">
        <f>VLOOKUP(B766,[1]LifeList!$E$2:$I$2036,5)</f>
        <v>Turdidae (Thrushes and Allies)</v>
      </c>
    </row>
    <row r="767" spans="1:8" x14ac:dyDescent="0.15">
      <c r="A767" s="3" t="s">
        <v>729</v>
      </c>
      <c r="B767" s="3" t="s">
        <v>4234</v>
      </c>
      <c r="C767" s="3">
        <v>28767</v>
      </c>
      <c r="D767" s="3" t="str">
        <f>VLOOKUP(B767,[1]LifeList!$E$2:$G$2036,1)</f>
        <v>Clay-colored Thrush</v>
      </c>
      <c r="E767" s="3" t="str">
        <f>VLOOKUP(B767,[1]LifeList!$E$2:$G$2036,2)</f>
        <v>Merle fauve</v>
      </c>
      <c r="F767" s="3" t="str">
        <f>VLOOKUP(B767,[1]LifeList!$E$2:$G$2036,3)</f>
        <v>Turdus grayi</v>
      </c>
      <c r="G767" s="3" t="str">
        <f>VLOOKUP(B767,[1]LifeList!$E$2:$I$2036,4)</f>
        <v>Passeriformes</v>
      </c>
      <c r="H767" s="3" t="str">
        <f>VLOOKUP(B767,[1]LifeList!$E$2:$I$2036,5)</f>
        <v>Turdidae (Thrushes and Allies)</v>
      </c>
    </row>
    <row r="768" spans="1:8" x14ac:dyDescent="0.15">
      <c r="A768" s="3" t="s">
        <v>730</v>
      </c>
      <c r="B768" s="3" t="s">
        <v>4234</v>
      </c>
      <c r="C768" s="3">
        <v>28767</v>
      </c>
      <c r="D768" s="3" t="str">
        <f>VLOOKUP(B768,[1]LifeList!$E$2:$G$2036,1)</f>
        <v>Clay-colored Thrush</v>
      </c>
      <c r="E768" s="3" t="str">
        <f>VLOOKUP(B768,[1]LifeList!$E$2:$G$2036,2)</f>
        <v>Merle fauve</v>
      </c>
      <c r="F768" s="3" t="str">
        <f>VLOOKUP(B768,[1]LifeList!$E$2:$G$2036,3)</f>
        <v>Turdus grayi</v>
      </c>
      <c r="G768" s="3" t="str">
        <f>VLOOKUP(B768,[1]LifeList!$E$2:$I$2036,4)</f>
        <v>Passeriformes</v>
      </c>
      <c r="H768" s="3" t="str">
        <f>VLOOKUP(B768,[1]LifeList!$E$2:$I$2036,5)</f>
        <v>Turdidae (Thrushes and Allies)</v>
      </c>
    </row>
    <row r="769" spans="1:8" x14ac:dyDescent="0.15">
      <c r="A769" s="3" t="s">
        <v>731</v>
      </c>
      <c r="B769" s="3" t="s">
        <v>4234</v>
      </c>
      <c r="C769" s="3">
        <v>28767</v>
      </c>
      <c r="D769" s="3" t="str">
        <f>VLOOKUP(B769,[1]LifeList!$E$2:$G$2036,1)</f>
        <v>Clay-colored Thrush</v>
      </c>
      <c r="E769" s="3" t="str">
        <f>VLOOKUP(B769,[1]LifeList!$E$2:$G$2036,2)</f>
        <v>Merle fauve</v>
      </c>
      <c r="F769" s="3" t="str">
        <f>VLOOKUP(B769,[1]LifeList!$E$2:$G$2036,3)</f>
        <v>Turdus grayi</v>
      </c>
      <c r="G769" s="3" t="str">
        <f>VLOOKUP(B769,[1]LifeList!$E$2:$I$2036,4)</f>
        <v>Passeriformes</v>
      </c>
      <c r="H769" s="3" t="str">
        <f>VLOOKUP(B769,[1]LifeList!$E$2:$I$2036,5)</f>
        <v>Turdidae (Thrushes and Allies)</v>
      </c>
    </row>
    <row r="770" spans="1:8" x14ac:dyDescent="0.15">
      <c r="A770" s="3" t="s">
        <v>732</v>
      </c>
      <c r="B770" s="3" t="s">
        <v>4234</v>
      </c>
      <c r="C770" s="3">
        <v>28767</v>
      </c>
      <c r="D770" s="3" t="str">
        <f>VLOOKUP(B770,[1]LifeList!$E$2:$G$2036,1)</f>
        <v>Clay-colored Thrush</v>
      </c>
      <c r="E770" s="3" t="str">
        <f>VLOOKUP(B770,[1]LifeList!$E$2:$G$2036,2)</f>
        <v>Merle fauve</v>
      </c>
      <c r="F770" s="3" t="str">
        <f>VLOOKUP(B770,[1]LifeList!$E$2:$G$2036,3)</f>
        <v>Turdus grayi</v>
      </c>
      <c r="G770" s="3" t="str">
        <f>VLOOKUP(B770,[1]LifeList!$E$2:$I$2036,4)</f>
        <v>Passeriformes</v>
      </c>
      <c r="H770" s="3" t="str">
        <f>VLOOKUP(B770,[1]LifeList!$E$2:$I$2036,5)</f>
        <v>Turdidae (Thrushes and Allies)</v>
      </c>
    </row>
    <row r="771" spans="1:8" x14ac:dyDescent="0.15">
      <c r="A771" s="3" t="s">
        <v>733</v>
      </c>
      <c r="B771" s="3" t="s">
        <v>4235</v>
      </c>
      <c r="C771" s="3">
        <v>24281</v>
      </c>
      <c r="D771" s="3" t="str">
        <f>VLOOKUP(B771,[1]LifeList!$E$2:$G$2036,1)</f>
        <v>Cliff Swallow</v>
      </c>
      <c r="E771" s="3" t="str">
        <f>VLOOKUP(B771,[1]LifeList!$E$2:$G$2036,2)</f>
        <v>Hirondelle à front blanc</v>
      </c>
      <c r="F771" s="3" t="str">
        <f>VLOOKUP(B771,[1]LifeList!$E$2:$G$2036,3)</f>
        <v>Petrochelidon pyrrhonota</v>
      </c>
      <c r="G771" s="3" t="str">
        <f>VLOOKUP(B771,[1]LifeList!$E$2:$I$2036,4)</f>
        <v>Passeriformes</v>
      </c>
      <c r="H771" s="3" t="str">
        <f>VLOOKUP(B771,[1]LifeList!$E$2:$I$2036,5)</f>
        <v>Hirundinidae (Swallows)</v>
      </c>
    </row>
    <row r="772" spans="1:8" x14ac:dyDescent="0.15">
      <c r="A772" s="3" t="s">
        <v>734</v>
      </c>
      <c r="B772" s="3" t="s">
        <v>4236</v>
      </c>
      <c r="C772" s="3">
        <v>14821</v>
      </c>
      <c r="D772" s="3" t="str">
        <f>VLOOKUP(B772,[1]LifeList!$E$2:$G$2036,1)</f>
        <v>Cocoa Woodcreeper</v>
      </c>
      <c r="E772" s="3" t="str">
        <f>VLOOKUP(B772,[1]LifeList!$E$2:$G$2036,2)</f>
        <v>Grimpar cacao</v>
      </c>
      <c r="F772" s="3" t="str">
        <f>VLOOKUP(B772,[1]LifeList!$E$2:$G$2036,3)</f>
        <v>Xiphorhynchus susurrans</v>
      </c>
      <c r="G772" s="3" t="str">
        <f>VLOOKUP(B772,[1]LifeList!$E$2:$I$2036,4)</f>
        <v>Passeriformes</v>
      </c>
      <c r="H772" s="3" t="str">
        <f>VLOOKUP(B772,[1]LifeList!$E$2:$I$2036,5)</f>
        <v>Furnariidae (Ovenbirds and Woodcreepers)</v>
      </c>
    </row>
    <row r="773" spans="1:8" x14ac:dyDescent="0.15">
      <c r="A773" s="3" t="s">
        <v>735</v>
      </c>
      <c r="B773" s="3" t="s">
        <v>4236</v>
      </c>
      <c r="C773" s="3">
        <v>14821</v>
      </c>
      <c r="D773" s="3" t="str">
        <f>VLOOKUP(B773,[1]LifeList!$E$2:$G$2036,1)</f>
        <v>Cocoa Woodcreeper</v>
      </c>
      <c r="E773" s="3" t="str">
        <f>VLOOKUP(B773,[1]LifeList!$E$2:$G$2036,2)</f>
        <v>Grimpar cacao</v>
      </c>
      <c r="F773" s="3" t="str">
        <f>VLOOKUP(B773,[1]LifeList!$E$2:$G$2036,3)</f>
        <v>Xiphorhynchus susurrans</v>
      </c>
      <c r="G773" s="3" t="str">
        <f>VLOOKUP(B773,[1]LifeList!$E$2:$I$2036,4)</f>
        <v>Passeriformes</v>
      </c>
      <c r="H773" s="3" t="str">
        <f>VLOOKUP(B773,[1]LifeList!$E$2:$I$2036,5)</f>
        <v>Furnariidae (Ovenbirds and Woodcreepers)</v>
      </c>
    </row>
    <row r="774" spans="1:8" x14ac:dyDescent="0.15">
      <c r="A774" s="3" t="s">
        <v>736</v>
      </c>
      <c r="B774" s="3" t="s">
        <v>4236</v>
      </c>
      <c r="C774" s="3">
        <v>14821</v>
      </c>
      <c r="D774" s="3" t="str">
        <f>VLOOKUP(B774,[1]LifeList!$E$2:$G$2036,1)</f>
        <v>Cocoa Woodcreeper</v>
      </c>
      <c r="E774" s="3" t="str">
        <f>VLOOKUP(B774,[1]LifeList!$E$2:$G$2036,2)</f>
        <v>Grimpar cacao</v>
      </c>
      <c r="F774" s="3" t="str">
        <f>VLOOKUP(B774,[1]LifeList!$E$2:$G$2036,3)</f>
        <v>Xiphorhynchus susurrans</v>
      </c>
      <c r="G774" s="3" t="str">
        <f>VLOOKUP(B774,[1]LifeList!$E$2:$I$2036,4)</f>
        <v>Passeriformes</v>
      </c>
      <c r="H774" s="3" t="str">
        <f>VLOOKUP(B774,[1]LifeList!$E$2:$I$2036,5)</f>
        <v>Furnariidae (Ovenbirds and Woodcreepers)</v>
      </c>
    </row>
    <row r="775" spans="1:8" x14ac:dyDescent="0.15">
      <c r="A775" s="3" t="s">
        <v>737</v>
      </c>
      <c r="B775" s="3" t="s">
        <v>4236</v>
      </c>
      <c r="C775" s="3">
        <v>14821</v>
      </c>
      <c r="D775" s="3" t="str">
        <f>VLOOKUP(B775,[1]LifeList!$E$2:$G$2036,1)</f>
        <v>Cocoa Woodcreeper</v>
      </c>
      <c r="E775" s="3" t="str">
        <f>VLOOKUP(B775,[1]LifeList!$E$2:$G$2036,2)</f>
        <v>Grimpar cacao</v>
      </c>
      <c r="F775" s="3" t="str">
        <f>VLOOKUP(B775,[1]LifeList!$E$2:$G$2036,3)</f>
        <v>Xiphorhynchus susurrans</v>
      </c>
      <c r="G775" s="3" t="str">
        <f>VLOOKUP(B775,[1]LifeList!$E$2:$I$2036,4)</f>
        <v>Passeriformes</v>
      </c>
      <c r="H775" s="3" t="str">
        <f>VLOOKUP(B775,[1]LifeList!$E$2:$I$2036,5)</f>
        <v>Furnariidae (Ovenbirds and Woodcreepers)</v>
      </c>
    </row>
    <row r="776" spans="1:8" x14ac:dyDescent="0.15">
      <c r="A776" s="3" t="s">
        <v>738</v>
      </c>
      <c r="B776" s="3" t="s">
        <v>4236</v>
      </c>
      <c r="C776" s="3">
        <v>14821</v>
      </c>
      <c r="D776" s="3" t="str">
        <f>VLOOKUP(B776,[1]LifeList!$E$2:$G$2036,1)</f>
        <v>Cocoa Woodcreeper</v>
      </c>
      <c r="E776" s="3" t="str">
        <f>VLOOKUP(B776,[1]LifeList!$E$2:$G$2036,2)</f>
        <v>Grimpar cacao</v>
      </c>
      <c r="F776" s="3" t="str">
        <f>VLOOKUP(B776,[1]LifeList!$E$2:$G$2036,3)</f>
        <v>Xiphorhynchus susurrans</v>
      </c>
      <c r="G776" s="3" t="str">
        <f>VLOOKUP(B776,[1]LifeList!$E$2:$I$2036,4)</f>
        <v>Passeriformes</v>
      </c>
      <c r="H776" s="3" t="str">
        <f>VLOOKUP(B776,[1]LifeList!$E$2:$I$2036,5)</f>
        <v>Furnariidae (Ovenbirds and Woodcreepers)</v>
      </c>
    </row>
    <row r="777" spans="1:8" x14ac:dyDescent="0.15">
      <c r="A777" s="3" t="s">
        <v>739</v>
      </c>
      <c r="B777" s="3" t="s">
        <v>4236</v>
      </c>
      <c r="C777" s="3">
        <v>14821</v>
      </c>
      <c r="D777" s="3" t="str">
        <f>VLOOKUP(B777,[1]LifeList!$E$2:$G$2036,1)</f>
        <v>Cocoa Woodcreeper</v>
      </c>
      <c r="E777" s="3" t="str">
        <f>VLOOKUP(B777,[1]LifeList!$E$2:$G$2036,2)</f>
        <v>Grimpar cacao</v>
      </c>
      <c r="F777" s="3" t="str">
        <f>VLOOKUP(B777,[1]LifeList!$E$2:$G$2036,3)</f>
        <v>Xiphorhynchus susurrans</v>
      </c>
      <c r="G777" s="3" t="str">
        <f>VLOOKUP(B777,[1]LifeList!$E$2:$I$2036,4)</f>
        <v>Passeriformes</v>
      </c>
      <c r="H777" s="3" t="str">
        <f>VLOOKUP(B777,[1]LifeList!$E$2:$I$2036,5)</f>
        <v>Furnariidae (Ovenbirds and Woodcreepers)</v>
      </c>
    </row>
    <row r="778" spans="1:8" x14ac:dyDescent="0.15">
      <c r="A778" s="3" t="s">
        <v>740</v>
      </c>
      <c r="B778" s="3" t="s">
        <v>4236</v>
      </c>
      <c r="C778" s="3">
        <v>14821</v>
      </c>
      <c r="D778" s="3" t="str">
        <f>VLOOKUP(B778,[1]LifeList!$E$2:$G$2036,1)</f>
        <v>Cocoa Woodcreeper</v>
      </c>
      <c r="E778" s="3" t="str">
        <f>VLOOKUP(B778,[1]LifeList!$E$2:$G$2036,2)</f>
        <v>Grimpar cacao</v>
      </c>
      <c r="F778" s="3" t="str">
        <f>VLOOKUP(B778,[1]LifeList!$E$2:$G$2036,3)</f>
        <v>Xiphorhynchus susurrans</v>
      </c>
      <c r="G778" s="3" t="str">
        <f>VLOOKUP(B778,[1]LifeList!$E$2:$I$2036,4)</f>
        <v>Passeriformes</v>
      </c>
      <c r="H778" s="3" t="str">
        <f>VLOOKUP(B778,[1]LifeList!$E$2:$I$2036,5)</f>
        <v>Furnariidae (Ovenbirds and Woodcreepers)</v>
      </c>
    </row>
    <row r="779" spans="1:8" x14ac:dyDescent="0.15">
      <c r="A779" s="3" t="s">
        <v>741</v>
      </c>
      <c r="B779" s="3" t="s">
        <v>4237</v>
      </c>
      <c r="C779" s="3">
        <v>7762</v>
      </c>
      <c r="D779" s="3" t="str">
        <f>VLOOKUP(B779,[1]LifeList!$E$2:$G$2036,1)</f>
        <v>Cocoi Heron</v>
      </c>
      <c r="E779" s="3" t="str">
        <f>VLOOKUP(B779,[1]LifeList!$E$2:$G$2036,2)</f>
        <v>Héron cocoi</v>
      </c>
      <c r="F779" s="3" t="str">
        <f>VLOOKUP(B779,[1]LifeList!$E$2:$G$2036,3)</f>
        <v>Ardea cocoi</v>
      </c>
      <c r="G779" s="3" t="str">
        <f>VLOOKUP(B779,[1]LifeList!$E$2:$I$2036,4)</f>
        <v>Pelecaniformes</v>
      </c>
      <c r="H779" s="3" t="str">
        <f>VLOOKUP(B779,[1]LifeList!$E$2:$I$2036,5)</f>
        <v>Ardeidae (Herons, Egrets, and Bitterns)</v>
      </c>
    </row>
    <row r="780" spans="1:8" x14ac:dyDescent="0.15">
      <c r="A780" s="3" t="s">
        <v>742</v>
      </c>
      <c r="B780" s="3" t="s">
        <v>4237</v>
      </c>
      <c r="C780" s="3">
        <v>7762</v>
      </c>
      <c r="D780" s="3" t="str">
        <f>VLOOKUP(B780,[1]LifeList!$E$2:$G$2036,1)</f>
        <v>Cocoi Heron</v>
      </c>
      <c r="E780" s="3" t="str">
        <f>VLOOKUP(B780,[1]LifeList!$E$2:$G$2036,2)</f>
        <v>Héron cocoi</v>
      </c>
      <c r="F780" s="3" t="str">
        <f>VLOOKUP(B780,[1]LifeList!$E$2:$G$2036,3)</f>
        <v>Ardea cocoi</v>
      </c>
      <c r="G780" s="3" t="str">
        <f>VLOOKUP(B780,[1]LifeList!$E$2:$I$2036,4)</f>
        <v>Pelecaniformes</v>
      </c>
      <c r="H780" s="3" t="str">
        <f>VLOOKUP(B780,[1]LifeList!$E$2:$I$2036,5)</f>
        <v>Ardeidae (Herons, Egrets, and Bitterns)</v>
      </c>
    </row>
    <row r="781" spans="1:8" x14ac:dyDescent="0.15">
      <c r="A781" s="3" t="s">
        <v>743</v>
      </c>
      <c r="B781" s="3" t="s">
        <v>4238</v>
      </c>
      <c r="C781" s="3">
        <v>10885</v>
      </c>
      <c r="D781" s="3" t="str">
        <f>VLOOKUP(B781,[1]LifeList!$E$2:$G$2036,1)</f>
        <v>Collared Aracari</v>
      </c>
      <c r="E781" s="3" t="str">
        <f>VLOOKUP(B781,[1]LifeList!$E$2:$G$2036,2)</f>
        <v>Araçari à collier</v>
      </c>
      <c r="F781" s="3" t="str">
        <f>VLOOKUP(B781,[1]LifeList!$E$2:$G$2036,3)</f>
        <v>Pteroglossus torquatus</v>
      </c>
      <c r="G781" s="3" t="str">
        <f>VLOOKUP(B781,[1]LifeList!$E$2:$I$2036,4)</f>
        <v>Piciformes</v>
      </c>
      <c r="H781" s="3" t="str">
        <f>VLOOKUP(B781,[1]LifeList!$E$2:$I$2036,5)</f>
        <v>Ramphastidae (Toucans)</v>
      </c>
    </row>
    <row r="782" spans="1:8" x14ac:dyDescent="0.15">
      <c r="A782" s="3" t="s">
        <v>752</v>
      </c>
      <c r="B782" s="3" t="s">
        <v>4238</v>
      </c>
      <c r="C782" s="3">
        <v>10885</v>
      </c>
      <c r="D782" s="3" t="str">
        <f>VLOOKUP(B782,[1]LifeList!$E$2:$G$2036,1)</f>
        <v>Collared Aracari</v>
      </c>
      <c r="E782" s="3" t="str">
        <f>VLOOKUP(B782,[1]LifeList!$E$2:$G$2036,2)</f>
        <v>Araçari à collier</v>
      </c>
      <c r="F782" s="3" t="str">
        <f>VLOOKUP(B782,[1]LifeList!$E$2:$G$2036,3)</f>
        <v>Pteroglossus torquatus</v>
      </c>
      <c r="G782" s="3" t="str">
        <f>VLOOKUP(B782,[1]LifeList!$E$2:$I$2036,4)</f>
        <v>Piciformes</v>
      </c>
      <c r="H782" s="3" t="str">
        <f>VLOOKUP(B782,[1]LifeList!$E$2:$I$2036,5)</f>
        <v>Ramphastidae (Toucans)</v>
      </c>
    </row>
    <row r="783" spans="1:8" x14ac:dyDescent="0.15">
      <c r="A783" s="3" t="s">
        <v>744</v>
      </c>
      <c r="B783" s="3" t="s">
        <v>4238</v>
      </c>
      <c r="C783" s="3">
        <v>10885</v>
      </c>
      <c r="D783" s="3" t="str">
        <f>VLOOKUP(B783,[1]LifeList!$E$2:$G$2036,1)</f>
        <v>Collared Aracari</v>
      </c>
      <c r="E783" s="3" t="str">
        <f>VLOOKUP(B783,[1]LifeList!$E$2:$G$2036,2)</f>
        <v>Araçari à collier</v>
      </c>
      <c r="F783" s="3" t="str">
        <f>VLOOKUP(B783,[1]LifeList!$E$2:$G$2036,3)</f>
        <v>Pteroglossus torquatus</v>
      </c>
      <c r="G783" s="3" t="str">
        <f>VLOOKUP(B783,[1]LifeList!$E$2:$I$2036,4)</f>
        <v>Piciformes</v>
      </c>
      <c r="H783" s="3" t="str">
        <f>VLOOKUP(B783,[1]LifeList!$E$2:$I$2036,5)</f>
        <v>Ramphastidae (Toucans)</v>
      </c>
    </row>
    <row r="784" spans="1:8" x14ac:dyDescent="0.15">
      <c r="A784" s="3" t="s">
        <v>3840</v>
      </c>
      <c r="B784" s="3" t="s">
        <v>4238</v>
      </c>
      <c r="C784" s="3">
        <v>10885</v>
      </c>
      <c r="D784" s="3" t="str">
        <f>VLOOKUP(B784,[1]LifeList!$E$2:$G$2036,1)</f>
        <v>Collared Aracari</v>
      </c>
      <c r="E784" s="3" t="str">
        <f>VLOOKUP(B784,[1]LifeList!$E$2:$G$2036,2)</f>
        <v>Araçari à collier</v>
      </c>
      <c r="F784" s="3" t="str">
        <f>VLOOKUP(B784,[1]LifeList!$E$2:$G$2036,3)</f>
        <v>Pteroglossus torquatus</v>
      </c>
      <c r="G784" s="3" t="str">
        <f>VLOOKUP(B784,[1]LifeList!$E$2:$I$2036,4)</f>
        <v>Piciformes</v>
      </c>
      <c r="H784" s="3" t="str">
        <f>VLOOKUP(B784,[1]LifeList!$E$2:$I$2036,5)</f>
        <v>Ramphastidae (Toucans)</v>
      </c>
    </row>
    <row r="785" spans="1:8" x14ac:dyDescent="0.15">
      <c r="A785" s="3" t="s">
        <v>745</v>
      </c>
      <c r="B785" s="3" t="s">
        <v>4239</v>
      </c>
      <c r="C785" s="3">
        <v>4623</v>
      </c>
      <c r="D785" s="3" t="str">
        <f>VLOOKUP(B785,[1]LifeList!$E$2:$G$2036,1)</f>
        <v>Collared Inca</v>
      </c>
      <c r="E785" s="3" t="str">
        <f>VLOOKUP(B785,[1]LifeList!$E$2:$G$2036,2)</f>
        <v>Inca à collier</v>
      </c>
      <c r="F785" s="3" t="str">
        <f>VLOOKUP(B785,[1]LifeList!$E$2:$G$2036,3)</f>
        <v>Coeligena torquata</v>
      </c>
      <c r="G785" s="3" t="str">
        <f>VLOOKUP(B785,[1]LifeList!$E$2:$I$2036,4)</f>
        <v>Apodiformes</v>
      </c>
      <c r="H785" s="3" t="str">
        <f>VLOOKUP(B785,[1]LifeList!$E$2:$I$2036,5)</f>
        <v>Trochilidae (Hummingbirds)</v>
      </c>
    </row>
    <row r="786" spans="1:8" x14ac:dyDescent="0.15">
      <c r="A786" s="3" t="s">
        <v>746</v>
      </c>
      <c r="B786" s="3" t="s">
        <v>4240</v>
      </c>
      <c r="C786" s="3">
        <v>5933</v>
      </c>
      <c r="D786" s="3" t="str">
        <f>VLOOKUP(B786,[1]LifeList!$E$2:$G$2036,1)</f>
        <v>Collared Plover</v>
      </c>
      <c r="E786" s="3" t="str">
        <f>VLOOKUP(B786,[1]LifeList!$E$2:$G$2036,2)</f>
        <v>Pluvier d'Azara</v>
      </c>
      <c r="F786" s="3" t="str">
        <f>VLOOKUP(B786,[1]LifeList!$E$2:$G$2036,3)</f>
        <v>Anarhynchus collaris</v>
      </c>
      <c r="G786" s="3" t="str">
        <f>VLOOKUP(B786,[1]LifeList!$E$2:$I$2036,4)</f>
        <v>Charadriiformes</v>
      </c>
      <c r="H786" s="3" t="str">
        <f>VLOOKUP(B786,[1]LifeList!$E$2:$I$2036,5)</f>
        <v>Charadriidae (Plovers and Lapwings)</v>
      </c>
    </row>
    <row r="787" spans="1:8" x14ac:dyDescent="0.15">
      <c r="A787" s="3" t="s">
        <v>747</v>
      </c>
      <c r="B787" s="3" t="s">
        <v>4240</v>
      </c>
      <c r="C787" s="3">
        <v>5933</v>
      </c>
      <c r="D787" s="3" t="str">
        <f>VLOOKUP(B787,[1]LifeList!$E$2:$G$2036,1)</f>
        <v>Collared Plover</v>
      </c>
      <c r="E787" s="3" t="str">
        <f>VLOOKUP(B787,[1]LifeList!$E$2:$G$2036,2)</f>
        <v>Pluvier d'Azara</v>
      </c>
      <c r="F787" s="3" t="str">
        <f>VLOOKUP(B787,[1]LifeList!$E$2:$G$2036,3)</f>
        <v>Anarhynchus collaris</v>
      </c>
      <c r="G787" s="3" t="str">
        <f>VLOOKUP(B787,[1]LifeList!$E$2:$I$2036,4)</f>
        <v>Charadriiformes</v>
      </c>
      <c r="H787" s="3" t="str">
        <f>VLOOKUP(B787,[1]LifeList!$E$2:$I$2036,5)</f>
        <v>Charadriidae (Plovers and Lapwings)</v>
      </c>
    </row>
    <row r="788" spans="1:8" x14ac:dyDescent="0.15">
      <c r="A788" s="3" t="s">
        <v>748</v>
      </c>
      <c r="B788" s="3" t="s">
        <v>4241</v>
      </c>
      <c r="C788" s="3">
        <v>34382</v>
      </c>
      <c r="D788" s="3" t="str">
        <f>VLOOKUP(B788,[1]LifeList!$E$2:$G$2036,1)</f>
        <v>Collared Redstart</v>
      </c>
      <c r="E788" s="3" t="str">
        <f>VLOOKUP(B788,[1]LifeList!$E$2:$G$2036,2)</f>
        <v>Paruline ceinturée</v>
      </c>
      <c r="F788" s="3" t="str">
        <f>VLOOKUP(B788,[1]LifeList!$E$2:$G$2036,3)</f>
        <v>Myioborus torquatus</v>
      </c>
      <c r="G788" s="3" t="str">
        <f>VLOOKUP(B788,[1]LifeList!$E$2:$I$2036,4)</f>
        <v>Passeriformes</v>
      </c>
      <c r="H788" s="3" t="str">
        <f>VLOOKUP(B788,[1]LifeList!$E$2:$I$2036,5)</f>
        <v>Parulidae (New World Warblers)</v>
      </c>
    </row>
    <row r="789" spans="1:8" x14ac:dyDescent="0.15">
      <c r="A789" s="3" t="s">
        <v>749</v>
      </c>
      <c r="B789" s="3" t="s">
        <v>4241</v>
      </c>
      <c r="C789" s="3">
        <v>34382</v>
      </c>
      <c r="D789" s="3" t="str">
        <f>VLOOKUP(B789,[1]LifeList!$E$2:$G$2036,1)</f>
        <v>Collared Redstart</v>
      </c>
      <c r="E789" s="3" t="str">
        <f>VLOOKUP(B789,[1]LifeList!$E$2:$G$2036,2)</f>
        <v>Paruline ceinturée</v>
      </c>
      <c r="F789" s="3" t="str">
        <f>VLOOKUP(B789,[1]LifeList!$E$2:$G$2036,3)</f>
        <v>Myioborus torquatus</v>
      </c>
      <c r="G789" s="3" t="str">
        <f>VLOOKUP(B789,[1]LifeList!$E$2:$I$2036,4)</f>
        <v>Passeriformes</v>
      </c>
      <c r="H789" s="3" t="str">
        <f>VLOOKUP(B789,[1]LifeList!$E$2:$I$2036,5)</f>
        <v>Parulidae (New World Warblers)</v>
      </c>
    </row>
    <row r="790" spans="1:8" x14ac:dyDescent="0.15">
      <c r="A790" s="3" t="s">
        <v>750</v>
      </c>
      <c r="B790" s="3" t="s">
        <v>4242</v>
      </c>
      <c r="C790" s="3">
        <v>9579</v>
      </c>
      <c r="D790" s="3" t="str">
        <f>VLOOKUP(B790,[1]LifeList!$E$2:$G$2036,1)</f>
        <v>Collared Trogon</v>
      </c>
      <c r="E790" s="3" t="str">
        <f>VLOOKUP(B790,[1]LifeList!$E$2:$G$2036,2)</f>
        <v>Trogon rosalba</v>
      </c>
      <c r="F790" s="3" t="str">
        <f>VLOOKUP(B790,[1]LifeList!$E$2:$G$2036,3)</f>
        <v>Trogon collaris</v>
      </c>
      <c r="G790" s="3" t="str">
        <f>VLOOKUP(B790,[1]LifeList!$E$2:$I$2036,4)</f>
        <v>Trogoniformes</v>
      </c>
      <c r="H790" s="3" t="str">
        <f>VLOOKUP(B790,[1]LifeList!$E$2:$I$2036,5)</f>
        <v>Trogonidae (Trogons)</v>
      </c>
    </row>
    <row r="791" spans="1:8" x14ac:dyDescent="0.15">
      <c r="A791" s="3" t="s">
        <v>751</v>
      </c>
      <c r="B791" s="3" t="s">
        <v>4242</v>
      </c>
      <c r="C791" s="3">
        <v>9579</v>
      </c>
      <c r="D791" s="3" t="str">
        <f>VLOOKUP(B791,[1]LifeList!$E$2:$G$2036,1)</f>
        <v>Collared Trogon</v>
      </c>
      <c r="E791" s="3" t="str">
        <f>VLOOKUP(B791,[1]LifeList!$E$2:$G$2036,2)</f>
        <v>Trogon rosalba</v>
      </c>
      <c r="F791" s="3" t="str">
        <f>VLOOKUP(B791,[1]LifeList!$E$2:$G$2036,3)</f>
        <v>Trogon collaris</v>
      </c>
      <c r="G791" s="3" t="str">
        <f>VLOOKUP(B791,[1]LifeList!$E$2:$I$2036,4)</f>
        <v>Trogoniformes</v>
      </c>
      <c r="H791" s="3" t="str">
        <f>VLOOKUP(B791,[1]LifeList!$E$2:$I$2036,5)</f>
        <v>Trogonidae (Trogons)</v>
      </c>
    </row>
    <row r="792" spans="1:8" x14ac:dyDescent="0.15">
      <c r="A792" s="3" t="s">
        <v>753</v>
      </c>
      <c r="B792" s="3" t="s">
        <v>4242</v>
      </c>
      <c r="C792" s="3">
        <v>9579</v>
      </c>
      <c r="D792" s="3" t="str">
        <f>VLOOKUP(B792,[1]LifeList!$E$2:$G$2036,1)</f>
        <v>Collared Trogon</v>
      </c>
      <c r="E792" s="3" t="str">
        <f>VLOOKUP(B792,[1]LifeList!$E$2:$G$2036,2)</f>
        <v>Trogon rosalba</v>
      </c>
      <c r="F792" s="3" t="str">
        <f>VLOOKUP(B792,[1]LifeList!$E$2:$G$2036,3)</f>
        <v>Trogon collaris</v>
      </c>
      <c r="G792" s="3" t="str">
        <f>VLOOKUP(B792,[1]LifeList!$E$2:$I$2036,4)</f>
        <v>Trogoniformes</v>
      </c>
      <c r="H792" s="3" t="str">
        <f>VLOOKUP(B792,[1]LifeList!$E$2:$I$2036,5)</f>
        <v>Trogonidae (Trogons)</v>
      </c>
    </row>
    <row r="793" spans="1:8" x14ac:dyDescent="0.15">
      <c r="A793" s="3" t="s">
        <v>754</v>
      </c>
      <c r="B793" s="3" t="s">
        <v>3750</v>
      </c>
      <c r="C793" s="3">
        <v>8411</v>
      </c>
      <c r="D793" s="3" t="str">
        <f>VLOOKUP(B793,[1]LifeList!$E$2:$G$2036,1)</f>
        <v>Common Black Hawk</v>
      </c>
      <c r="E793" s="3" t="str">
        <f>VLOOKUP(B793,[1]LifeList!$E$2:$G$2036,2)</f>
        <v>Buse noire</v>
      </c>
      <c r="F793" s="3" t="str">
        <f>VLOOKUP(B793,[1]LifeList!$E$2:$G$2036,3)</f>
        <v>Buteogallus anthracinus</v>
      </c>
      <c r="G793" s="3" t="str">
        <f>VLOOKUP(B793,[1]LifeList!$E$2:$I$2036,4)</f>
        <v>Accipitriformes</v>
      </c>
      <c r="H793" s="3" t="str">
        <f>VLOOKUP(B793,[1]LifeList!$E$2:$I$2036,5)</f>
        <v>Accipitridae (Hawks, Eagles, and Kites)</v>
      </c>
    </row>
    <row r="794" spans="1:8" x14ac:dyDescent="0.15">
      <c r="A794" s="3" t="s">
        <v>755</v>
      </c>
      <c r="B794" s="3" t="s">
        <v>3750</v>
      </c>
      <c r="C794" s="3">
        <v>8411</v>
      </c>
      <c r="D794" s="3" t="str">
        <f>VLOOKUP(B794,[1]LifeList!$E$2:$G$2036,1)</f>
        <v>Common Black Hawk</v>
      </c>
      <c r="E794" s="3" t="str">
        <f>VLOOKUP(B794,[1]LifeList!$E$2:$G$2036,2)</f>
        <v>Buse noire</v>
      </c>
      <c r="F794" s="3" t="str">
        <f>VLOOKUP(B794,[1]LifeList!$E$2:$G$2036,3)</f>
        <v>Buteogallus anthracinus</v>
      </c>
      <c r="G794" s="3" t="str">
        <f>VLOOKUP(B794,[1]LifeList!$E$2:$I$2036,4)</f>
        <v>Accipitriformes</v>
      </c>
      <c r="H794" s="3" t="str">
        <f>VLOOKUP(B794,[1]LifeList!$E$2:$I$2036,5)</f>
        <v>Accipitridae (Hawks, Eagles, and Kites)</v>
      </c>
    </row>
    <row r="795" spans="1:8" x14ac:dyDescent="0.15">
      <c r="A795" s="3" t="s">
        <v>756</v>
      </c>
      <c r="B795" s="3" t="s">
        <v>3750</v>
      </c>
      <c r="C795" s="3">
        <v>8411</v>
      </c>
      <c r="D795" s="3" t="str">
        <f>VLOOKUP(B795,[1]LifeList!$E$2:$G$2036,1)</f>
        <v>Common Black Hawk</v>
      </c>
      <c r="E795" s="3" t="str">
        <f>VLOOKUP(B795,[1]LifeList!$E$2:$G$2036,2)</f>
        <v>Buse noire</v>
      </c>
      <c r="F795" s="3" t="str">
        <f>VLOOKUP(B795,[1]LifeList!$E$2:$G$2036,3)</f>
        <v>Buteogallus anthracinus</v>
      </c>
      <c r="G795" s="3" t="str">
        <f>VLOOKUP(B795,[1]LifeList!$E$2:$I$2036,4)</f>
        <v>Accipitriformes</v>
      </c>
      <c r="H795" s="3" t="str">
        <f>VLOOKUP(B795,[1]LifeList!$E$2:$I$2036,5)</f>
        <v>Accipitridae (Hawks, Eagles, and Kites)</v>
      </c>
    </row>
    <row r="796" spans="1:8" x14ac:dyDescent="0.15">
      <c r="A796" s="3" t="s">
        <v>757</v>
      </c>
      <c r="B796" s="3" t="s">
        <v>3750</v>
      </c>
      <c r="C796" s="3">
        <v>8411</v>
      </c>
      <c r="D796" s="3" t="str">
        <f>VLOOKUP(B796,[1]LifeList!$E$2:$G$2036,1)</f>
        <v>Common Black Hawk</v>
      </c>
      <c r="E796" s="3" t="str">
        <f>VLOOKUP(B796,[1]LifeList!$E$2:$G$2036,2)</f>
        <v>Buse noire</v>
      </c>
      <c r="F796" s="3" t="str">
        <f>VLOOKUP(B796,[1]LifeList!$E$2:$G$2036,3)</f>
        <v>Buteogallus anthracinus</v>
      </c>
      <c r="G796" s="3" t="str">
        <f>VLOOKUP(B796,[1]LifeList!$E$2:$I$2036,4)</f>
        <v>Accipitriformes</v>
      </c>
      <c r="H796" s="3" t="str">
        <f>VLOOKUP(B796,[1]LifeList!$E$2:$I$2036,5)</f>
        <v>Accipitridae (Hawks, Eagles, and Kites)</v>
      </c>
    </row>
    <row r="797" spans="1:8" x14ac:dyDescent="0.15">
      <c r="A797" s="3" t="s">
        <v>758</v>
      </c>
      <c r="B797" s="3" t="s">
        <v>4243</v>
      </c>
      <c r="C797" s="3">
        <v>2206</v>
      </c>
      <c r="D797" s="3" t="str">
        <f>VLOOKUP(B797,[1]LifeList!$E$2:$G$2036,1)</f>
        <v>Common Bronzewing</v>
      </c>
      <c r="E797" s="3" t="str">
        <f>VLOOKUP(B797,[1]LifeList!$E$2:$G$2036,2)</f>
        <v>Colombine lumachelle</v>
      </c>
      <c r="F797" s="3" t="str">
        <f>VLOOKUP(B797,[1]LifeList!$E$2:$G$2036,3)</f>
        <v>Phaps chalcoptera</v>
      </c>
      <c r="G797" s="3" t="str">
        <f>VLOOKUP(B797,[1]LifeList!$E$2:$I$2036,4)</f>
        <v>Columbiformes</v>
      </c>
      <c r="H797" s="3" t="str">
        <f>VLOOKUP(B797,[1]LifeList!$E$2:$I$2036,5)</f>
        <v>Columbidae (Pigeons and Doves)</v>
      </c>
    </row>
    <row r="798" spans="1:8" x14ac:dyDescent="0.15">
      <c r="A798" s="3" t="s">
        <v>759</v>
      </c>
      <c r="B798" s="3" t="s">
        <v>4244</v>
      </c>
      <c r="C798" s="3">
        <v>24720</v>
      </c>
      <c r="D798" s="3" t="str">
        <f>VLOOKUP(B798,[1]LifeList!$E$2:$G$2036,1)</f>
        <v>Common Bulbul</v>
      </c>
      <c r="E798" s="3" t="str">
        <f>VLOOKUP(B798,[1]LifeList!$E$2:$G$2036,2)</f>
        <v>Bulbul des jardins</v>
      </c>
      <c r="F798" s="3" t="str">
        <f>VLOOKUP(B798,[1]LifeList!$E$2:$G$2036,3)</f>
        <v>Pycnonotus barbatus</v>
      </c>
      <c r="G798" s="3" t="str">
        <f>VLOOKUP(B798,[1]LifeList!$E$2:$I$2036,4)</f>
        <v>Passeriformes</v>
      </c>
      <c r="H798" s="3" t="str">
        <f>VLOOKUP(B798,[1]LifeList!$E$2:$I$2036,5)</f>
        <v>Pycnonotidae (Bulbuls)</v>
      </c>
    </row>
    <row r="799" spans="1:8" x14ac:dyDescent="0.15">
      <c r="A799" s="3" t="s">
        <v>760</v>
      </c>
      <c r="B799" s="3" t="s">
        <v>4244</v>
      </c>
      <c r="C799" s="3">
        <v>24720</v>
      </c>
      <c r="D799" s="3" t="str">
        <f>VLOOKUP(B799,[1]LifeList!$E$2:$G$2036,1)</f>
        <v>Common Bulbul</v>
      </c>
      <c r="E799" s="3" t="str">
        <f>VLOOKUP(B799,[1]LifeList!$E$2:$G$2036,2)</f>
        <v>Bulbul des jardins</v>
      </c>
      <c r="F799" s="3" t="str">
        <f>VLOOKUP(B799,[1]LifeList!$E$2:$G$2036,3)</f>
        <v>Pycnonotus barbatus</v>
      </c>
      <c r="G799" s="3" t="str">
        <f>VLOOKUP(B799,[1]LifeList!$E$2:$I$2036,4)</f>
        <v>Passeriformes</v>
      </c>
      <c r="H799" s="3" t="str">
        <f>VLOOKUP(B799,[1]LifeList!$E$2:$I$2036,5)</f>
        <v>Pycnonotidae (Bulbuls)</v>
      </c>
    </row>
    <row r="800" spans="1:8" x14ac:dyDescent="0.15">
      <c r="A800" s="3" t="s">
        <v>761</v>
      </c>
      <c r="B800" s="3" t="s">
        <v>4245</v>
      </c>
      <c r="C800" s="3">
        <v>32867</v>
      </c>
      <c r="D800" s="3" t="str">
        <f>VLOOKUP(B800,[1]LifeList!$E$2:$G$2036,1)</f>
        <v>Common Chlorospingus</v>
      </c>
      <c r="E800" s="3" t="str">
        <f>VLOOKUP(B800,[1]LifeList!$E$2:$G$2036,2)</f>
        <v>Chlorospin des buissons</v>
      </c>
      <c r="F800" s="3" t="str">
        <f>VLOOKUP(B800,[1]LifeList!$E$2:$G$2036,3)</f>
        <v>Chlorospingus flavopectus</v>
      </c>
      <c r="G800" s="3" t="str">
        <f>VLOOKUP(B800,[1]LifeList!$E$2:$I$2036,4)</f>
        <v>Passeriformes</v>
      </c>
      <c r="H800" s="3" t="str">
        <f>VLOOKUP(B800,[1]LifeList!$E$2:$I$2036,5)</f>
        <v>Passerellidae (New World Sparrows)</v>
      </c>
    </row>
    <row r="801" spans="1:8" x14ac:dyDescent="0.15">
      <c r="A801" s="3" t="s">
        <v>762</v>
      </c>
      <c r="B801" s="3" t="s">
        <v>4246</v>
      </c>
      <c r="C801" s="3">
        <v>715</v>
      </c>
      <c r="D801" s="3" t="str">
        <f>VLOOKUP(B801,[1]LifeList!$E$2:$G$2036,1)</f>
        <v>Common Eider</v>
      </c>
      <c r="E801" s="3" t="str">
        <f>VLOOKUP(B801,[1]LifeList!$E$2:$G$2036,2)</f>
        <v>Eider à duvet</v>
      </c>
      <c r="F801" s="3" t="str">
        <f>VLOOKUP(B801,[1]LifeList!$E$2:$G$2036,3)</f>
        <v>Somateria mollissima</v>
      </c>
      <c r="G801" s="3" t="str">
        <f>VLOOKUP(B801,[1]LifeList!$E$2:$I$2036,4)</f>
        <v>Anseriformes</v>
      </c>
      <c r="H801" s="3" t="str">
        <f>VLOOKUP(B801,[1]LifeList!$E$2:$I$2036,5)</f>
        <v>Anatidae (Ducks, Geese, and Waterfowl)</v>
      </c>
    </row>
    <row r="802" spans="1:8" x14ac:dyDescent="0.15">
      <c r="A802" s="3" t="s">
        <v>763</v>
      </c>
      <c r="B802" s="3" t="s">
        <v>4247</v>
      </c>
      <c r="C802" s="3">
        <v>5468</v>
      </c>
      <c r="D802" s="3" t="str">
        <f>VLOOKUP(B802,[1]LifeList!$E$2:$G$2036,1)</f>
        <v>Common Gallinule</v>
      </c>
      <c r="E802" s="3" t="str">
        <f>VLOOKUP(B802,[1]LifeList!$E$2:$G$2036,2)</f>
        <v>Gallinule d'Amérique</v>
      </c>
      <c r="F802" s="3" t="str">
        <f>VLOOKUP(B802,[1]LifeList!$E$2:$G$2036,3)</f>
        <v>Gallinula galeata</v>
      </c>
      <c r="G802" s="3" t="str">
        <f>VLOOKUP(B802,[1]LifeList!$E$2:$I$2036,4)</f>
        <v>Gruiformes</v>
      </c>
      <c r="H802" s="3" t="str">
        <f>VLOOKUP(B802,[1]LifeList!$E$2:$I$2036,5)</f>
        <v>Rallidae (Rails, Gallinules, and Coots)</v>
      </c>
    </row>
    <row r="803" spans="1:8" x14ac:dyDescent="0.15">
      <c r="A803" s="3" t="s">
        <v>764</v>
      </c>
      <c r="B803" s="3" t="s">
        <v>4247</v>
      </c>
      <c r="C803" s="3">
        <v>5468</v>
      </c>
      <c r="D803" s="3" t="str">
        <f>VLOOKUP(B803,[1]LifeList!$E$2:$G$2036,1)</f>
        <v>Common Gallinule</v>
      </c>
      <c r="E803" s="3" t="str">
        <f>VLOOKUP(B803,[1]LifeList!$E$2:$G$2036,2)</f>
        <v>Gallinule d'Amérique</v>
      </c>
      <c r="F803" s="3" t="str">
        <f>VLOOKUP(B803,[1]LifeList!$E$2:$G$2036,3)</f>
        <v>Gallinula galeata</v>
      </c>
      <c r="G803" s="3" t="str">
        <f>VLOOKUP(B803,[1]LifeList!$E$2:$I$2036,4)</f>
        <v>Gruiformes</v>
      </c>
      <c r="H803" s="3" t="str">
        <f>VLOOKUP(B803,[1]LifeList!$E$2:$I$2036,5)</f>
        <v>Rallidae (Rails, Gallinules, and Coots)</v>
      </c>
    </row>
    <row r="804" spans="1:8" x14ac:dyDescent="0.15">
      <c r="A804" s="3" t="s">
        <v>765</v>
      </c>
      <c r="B804" s="3" t="s">
        <v>4247</v>
      </c>
      <c r="C804" s="3">
        <v>5468</v>
      </c>
      <c r="D804" s="3" t="str">
        <f>VLOOKUP(B804,[1]LifeList!$E$2:$G$2036,1)</f>
        <v>Common Gallinule</v>
      </c>
      <c r="E804" s="3" t="str">
        <f>VLOOKUP(B804,[1]LifeList!$E$2:$G$2036,2)</f>
        <v>Gallinule d'Amérique</v>
      </c>
      <c r="F804" s="3" t="str">
        <f>VLOOKUP(B804,[1]LifeList!$E$2:$G$2036,3)</f>
        <v>Gallinula galeata</v>
      </c>
      <c r="G804" s="3" t="str">
        <f>VLOOKUP(B804,[1]LifeList!$E$2:$I$2036,4)</f>
        <v>Gruiformes</v>
      </c>
      <c r="H804" s="3" t="str">
        <f>VLOOKUP(B804,[1]LifeList!$E$2:$I$2036,5)</f>
        <v>Rallidae (Rails, Gallinules, and Coots)</v>
      </c>
    </row>
    <row r="805" spans="1:8" x14ac:dyDescent="0.15">
      <c r="A805" s="3" t="s">
        <v>766</v>
      </c>
      <c r="B805" s="3" t="s">
        <v>4247</v>
      </c>
      <c r="C805" s="3">
        <v>5468</v>
      </c>
      <c r="D805" s="3" t="str">
        <f>VLOOKUP(B805,[1]LifeList!$E$2:$G$2036,1)</f>
        <v>Common Gallinule</v>
      </c>
      <c r="E805" s="3" t="str">
        <f>VLOOKUP(B805,[1]LifeList!$E$2:$G$2036,2)</f>
        <v>Gallinule d'Amérique</v>
      </c>
      <c r="F805" s="3" t="str">
        <f>VLOOKUP(B805,[1]LifeList!$E$2:$G$2036,3)</f>
        <v>Gallinula galeata</v>
      </c>
      <c r="G805" s="3" t="str">
        <f>VLOOKUP(B805,[1]LifeList!$E$2:$I$2036,4)</f>
        <v>Gruiformes</v>
      </c>
      <c r="H805" s="3" t="str">
        <f>VLOOKUP(B805,[1]LifeList!$E$2:$I$2036,5)</f>
        <v>Rallidae (Rails, Gallinules, and Coots)</v>
      </c>
    </row>
    <row r="806" spans="1:8" x14ac:dyDescent="0.15">
      <c r="A806" s="3" t="s">
        <v>767</v>
      </c>
      <c r="B806" s="3" t="s">
        <v>4247</v>
      </c>
      <c r="C806" s="3">
        <v>5468</v>
      </c>
      <c r="D806" s="3" t="str">
        <f>VLOOKUP(B806,[1]LifeList!$E$2:$G$2036,1)</f>
        <v>Common Gallinule</v>
      </c>
      <c r="E806" s="3" t="str">
        <f>VLOOKUP(B806,[1]LifeList!$E$2:$G$2036,2)</f>
        <v>Gallinule d'Amérique</v>
      </c>
      <c r="F806" s="3" t="str">
        <f>VLOOKUP(B806,[1]LifeList!$E$2:$G$2036,3)</f>
        <v>Gallinula galeata</v>
      </c>
      <c r="G806" s="3" t="str">
        <f>VLOOKUP(B806,[1]LifeList!$E$2:$I$2036,4)</f>
        <v>Gruiformes</v>
      </c>
      <c r="H806" s="3" t="str">
        <f>VLOOKUP(B806,[1]LifeList!$E$2:$I$2036,5)</f>
        <v>Rallidae (Rails, Gallinules, and Coots)</v>
      </c>
    </row>
    <row r="807" spans="1:8" x14ac:dyDescent="0.15">
      <c r="A807" s="3" t="s">
        <v>768</v>
      </c>
      <c r="B807" s="3" t="s">
        <v>4247</v>
      </c>
      <c r="C807" s="3">
        <v>5468</v>
      </c>
      <c r="D807" s="3" t="str">
        <f>VLOOKUP(B807,[1]LifeList!$E$2:$G$2036,1)</f>
        <v>Common Gallinule</v>
      </c>
      <c r="E807" s="3" t="str">
        <f>VLOOKUP(B807,[1]LifeList!$E$2:$G$2036,2)</f>
        <v>Gallinule d'Amérique</v>
      </c>
      <c r="F807" s="3" t="str">
        <f>VLOOKUP(B807,[1]LifeList!$E$2:$G$2036,3)</f>
        <v>Gallinula galeata</v>
      </c>
      <c r="G807" s="3" t="str">
        <f>VLOOKUP(B807,[1]LifeList!$E$2:$I$2036,4)</f>
        <v>Gruiformes</v>
      </c>
      <c r="H807" s="3" t="str">
        <f>VLOOKUP(B807,[1]LifeList!$E$2:$I$2036,5)</f>
        <v>Rallidae (Rails, Gallinules, and Coots)</v>
      </c>
    </row>
    <row r="808" spans="1:8" x14ac:dyDescent="0.15">
      <c r="A808" s="3" t="s">
        <v>769</v>
      </c>
      <c r="B808" s="3" t="s">
        <v>4247</v>
      </c>
      <c r="C808" s="3">
        <v>5468</v>
      </c>
      <c r="D808" s="3" t="str">
        <f>VLOOKUP(B808,[1]LifeList!$E$2:$G$2036,1)</f>
        <v>Common Gallinule</v>
      </c>
      <c r="E808" s="3" t="str">
        <f>VLOOKUP(B808,[1]LifeList!$E$2:$G$2036,2)</f>
        <v>Gallinule d'Amérique</v>
      </c>
      <c r="F808" s="3" t="str">
        <f>VLOOKUP(B808,[1]LifeList!$E$2:$G$2036,3)</f>
        <v>Gallinula galeata</v>
      </c>
      <c r="G808" s="3" t="str">
        <f>VLOOKUP(B808,[1]LifeList!$E$2:$I$2036,4)</f>
        <v>Gruiformes</v>
      </c>
      <c r="H808" s="3" t="str">
        <f>VLOOKUP(B808,[1]LifeList!$E$2:$I$2036,5)</f>
        <v>Rallidae (Rails, Gallinules, and Coots)</v>
      </c>
    </row>
    <row r="809" spans="1:8" x14ac:dyDescent="0.15">
      <c r="A809" s="3" t="s">
        <v>770</v>
      </c>
      <c r="B809" s="3" t="s">
        <v>4247</v>
      </c>
      <c r="C809" s="3">
        <v>5468</v>
      </c>
      <c r="D809" s="3" t="str">
        <f>VLOOKUP(B809,[1]LifeList!$E$2:$G$2036,1)</f>
        <v>Common Gallinule</v>
      </c>
      <c r="E809" s="3" t="str">
        <f>VLOOKUP(B809,[1]LifeList!$E$2:$G$2036,2)</f>
        <v>Gallinule d'Amérique</v>
      </c>
      <c r="F809" s="3" t="str">
        <f>VLOOKUP(B809,[1]LifeList!$E$2:$G$2036,3)</f>
        <v>Gallinula galeata</v>
      </c>
      <c r="G809" s="3" t="str">
        <f>VLOOKUP(B809,[1]LifeList!$E$2:$I$2036,4)</f>
        <v>Gruiformes</v>
      </c>
      <c r="H809" s="3" t="str">
        <f>VLOOKUP(B809,[1]LifeList!$E$2:$I$2036,5)</f>
        <v>Rallidae (Rails, Gallinules, and Coots)</v>
      </c>
    </row>
    <row r="810" spans="1:8" x14ac:dyDescent="0.15">
      <c r="A810" s="3" t="s">
        <v>771</v>
      </c>
      <c r="B810" s="3" t="s">
        <v>4247</v>
      </c>
      <c r="C810" s="3">
        <v>5468</v>
      </c>
      <c r="D810" s="3" t="str">
        <f>VLOOKUP(B810,[1]LifeList!$E$2:$G$2036,1)</f>
        <v>Common Gallinule</v>
      </c>
      <c r="E810" s="3" t="str">
        <f>VLOOKUP(B810,[1]LifeList!$E$2:$G$2036,2)</f>
        <v>Gallinule d'Amérique</v>
      </c>
      <c r="F810" s="3" t="str">
        <f>VLOOKUP(B810,[1]LifeList!$E$2:$G$2036,3)</f>
        <v>Gallinula galeata</v>
      </c>
      <c r="G810" s="3" t="str">
        <f>VLOOKUP(B810,[1]LifeList!$E$2:$I$2036,4)</f>
        <v>Gruiformes</v>
      </c>
      <c r="H810" s="3" t="str">
        <f>VLOOKUP(B810,[1]LifeList!$E$2:$I$2036,5)</f>
        <v>Rallidae (Rails, Gallinules, and Coots)</v>
      </c>
    </row>
    <row r="811" spans="1:8" x14ac:dyDescent="0.15">
      <c r="A811" s="3" t="s">
        <v>772</v>
      </c>
      <c r="B811" s="3" t="s">
        <v>4247</v>
      </c>
      <c r="C811" s="3">
        <v>5468</v>
      </c>
      <c r="D811" s="3" t="str">
        <f>VLOOKUP(B811,[1]LifeList!$E$2:$G$2036,1)</f>
        <v>Common Gallinule</v>
      </c>
      <c r="E811" s="3" t="str">
        <f>VLOOKUP(B811,[1]LifeList!$E$2:$G$2036,2)</f>
        <v>Gallinule d'Amérique</v>
      </c>
      <c r="F811" s="3" t="str">
        <f>VLOOKUP(B811,[1]LifeList!$E$2:$G$2036,3)</f>
        <v>Gallinula galeata</v>
      </c>
      <c r="G811" s="3" t="str">
        <f>VLOOKUP(B811,[1]LifeList!$E$2:$I$2036,4)</f>
        <v>Gruiformes</v>
      </c>
      <c r="H811" s="3" t="str">
        <f>VLOOKUP(B811,[1]LifeList!$E$2:$I$2036,5)</f>
        <v>Rallidae (Rails, Gallinules, and Coots)</v>
      </c>
    </row>
    <row r="812" spans="1:8" x14ac:dyDescent="0.15">
      <c r="A812" s="3" t="s">
        <v>773</v>
      </c>
      <c r="B812" s="3" t="s">
        <v>4247</v>
      </c>
      <c r="C812" s="3">
        <v>5468</v>
      </c>
      <c r="D812" s="3" t="str">
        <f>VLOOKUP(B812,[1]LifeList!$E$2:$G$2036,1)</f>
        <v>Common Gallinule</v>
      </c>
      <c r="E812" s="3" t="str">
        <f>VLOOKUP(B812,[1]LifeList!$E$2:$G$2036,2)</f>
        <v>Gallinule d'Amérique</v>
      </c>
      <c r="F812" s="3" t="str">
        <f>VLOOKUP(B812,[1]LifeList!$E$2:$G$2036,3)</f>
        <v>Gallinula galeata</v>
      </c>
      <c r="G812" s="3" t="str">
        <f>VLOOKUP(B812,[1]LifeList!$E$2:$I$2036,4)</f>
        <v>Gruiformes</v>
      </c>
      <c r="H812" s="3" t="str">
        <f>VLOOKUP(B812,[1]LifeList!$E$2:$I$2036,5)</f>
        <v>Rallidae (Rails, Gallinules, and Coots)</v>
      </c>
    </row>
    <row r="813" spans="1:8" x14ac:dyDescent="0.15">
      <c r="A813" s="3" t="s">
        <v>830</v>
      </c>
      <c r="B813" s="3" t="s">
        <v>4247</v>
      </c>
      <c r="C813" s="3">
        <v>5468</v>
      </c>
      <c r="D813" s="3" t="str">
        <f>VLOOKUP(B813,[1]LifeList!$E$2:$G$2036,1)</f>
        <v>Common Gallinule</v>
      </c>
      <c r="E813" s="3" t="str">
        <f>VLOOKUP(B813,[1]LifeList!$E$2:$G$2036,2)</f>
        <v>Gallinule d'Amérique</v>
      </c>
      <c r="F813" s="3" t="str">
        <f>VLOOKUP(B813,[1]LifeList!$E$2:$G$2036,3)</f>
        <v>Gallinula galeata</v>
      </c>
      <c r="G813" s="3" t="str">
        <f>VLOOKUP(B813,[1]LifeList!$E$2:$I$2036,4)</f>
        <v>Gruiformes</v>
      </c>
      <c r="H813" s="3" t="str">
        <f>VLOOKUP(B813,[1]LifeList!$E$2:$I$2036,5)</f>
        <v>Rallidae (Rails, Gallinules, and Coots)</v>
      </c>
    </row>
    <row r="814" spans="1:8" x14ac:dyDescent="0.15">
      <c r="A814" s="3" t="s">
        <v>774</v>
      </c>
      <c r="B814" s="3" t="s">
        <v>4248</v>
      </c>
      <c r="C814" s="3">
        <v>743</v>
      </c>
      <c r="D814" s="3" t="str">
        <f>VLOOKUP(B814,[1]LifeList!$E$2:$G$2036,1)</f>
        <v>Common Goldeneye</v>
      </c>
      <c r="E814" s="3" t="str">
        <f>VLOOKUP(B814,[1]LifeList!$E$2:$G$2036,2)</f>
        <v>Garrot à oeil d'or</v>
      </c>
      <c r="F814" s="3" t="str">
        <f>VLOOKUP(B814,[1]LifeList!$E$2:$G$2036,3)</f>
        <v>Bucephala clangula</v>
      </c>
      <c r="G814" s="3" t="str">
        <f>VLOOKUP(B814,[1]LifeList!$E$2:$I$2036,4)</f>
        <v>Anseriformes</v>
      </c>
      <c r="H814" s="3" t="str">
        <f>VLOOKUP(B814,[1]LifeList!$E$2:$I$2036,5)</f>
        <v>Anatidae (Ducks, Geese, and Waterfowl)</v>
      </c>
    </row>
    <row r="815" spans="1:8" x14ac:dyDescent="0.15">
      <c r="A815" s="3" t="s">
        <v>775</v>
      </c>
      <c r="B815" s="3" t="s">
        <v>4249</v>
      </c>
      <c r="C815" s="3">
        <v>33853</v>
      </c>
      <c r="D815" s="3" t="str">
        <f>VLOOKUP(B815,[1]LifeList!$E$2:$G$2036,1)</f>
        <v>Common Grackle</v>
      </c>
      <c r="E815" s="3" t="str">
        <f>VLOOKUP(B815,[1]LifeList!$E$2:$G$2036,2)</f>
        <v>Quiscale bronzé</v>
      </c>
      <c r="F815" s="3" t="str">
        <f>VLOOKUP(B815,[1]LifeList!$E$2:$G$2036,3)</f>
        <v>Quiscalus quiscula</v>
      </c>
      <c r="G815" s="3" t="str">
        <f>VLOOKUP(B815,[1]LifeList!$E$2:$I$2036,4)</f>
        <v>Passeriformes</v>
      </c>
      <c r="H815" s="3" t="str">
        <f>VLOOKUP(B815,[1]LifeList!$E$2:$I$2036,5)</f>
        <v>Icteridae (Troupials and Allies)</v>
      </c>
    </row>
    <row r="816" spans="1:8" x14ac:dyDescent="0.15">
      <c r="A816" s="3" t="s">
        <v>3841</v>
      </c>
      <c r="B816" s="3" t="s">
        <v>4249</v>
      </c>
      <c r="C816" s="3">
        <v>33853</v>
      </c>
      <c r="D816" s="3" t="str">
        <f>VLOOKUP(B816,[1]LifeList!$E$2:$G$2036,1)</f>
        <v>Common Grackle</v>
      </c>
      <c r="E816" s="3" t="str">
        <f>VLOOKUP(B816,[1]LifeList!$E$2:$G$2036,2)</f>
        <v>Quiscale bronzé</v>
      </c>
      <c r="F816" s="3" t="str">
        <f>VLOOKUP(B816,[1]LifeList!$E$2:$G$2036,3)</f>
        <v>Quiscalus quiscula</v>
      </c>
      <c r="G816" s="3" t="str">
        <f>VLOOKUP(B816,[1]LifeList!$E$2:$I$2036,4)</f>
        <v>Passeriformes</v>
      </c>
      <c r="H816" s="3" t="str">
        <f>VLOOKUP(B816,[1]LifeList!$E$2:$I$2036,5)</f>
        <v>Icteridae (Troupials and Allies)</v>
      </c>
    </row>
    <row r="817" spans="1:8" x14ac:dyDescent="0.15">
      <c r="A817" s="3" t="s">
        <v>776</v>
      </c>
      <c r="B817" s="3" t="s">
        <v>4249</v>
      </c>
      <c r="C817" s="3">
        <v>33853</v>
      </c>
      <c r="D817" s="3" t="str">
        <f>VLOOKUP(B817,[1]LifeList!$E$2:$G$2036,1)</f>
        <v>Common Grackle</v>
      </c>
      <c r="E817" s="3" t="str">
        <f>VLOOKUP(B817,[1]LifeList!$E$2:$G$2036,2)</f>
        <v>Quiscale bronzé</v>
      </c>
      <c r="F817" s="3" t="str">
        <f>VLOOKUP(B817,[1]LifeList!$E$2:$G$2036,3)</f>
        <v>Quiscalus quiscula</v>
      </c>
      <c r="G817" s="3" t="str">
        <f>VLOOKUP(B817,[1]LifeList!$E$2:$I$2036,4)</f>
        <v>Passeriformes</v>
      </c>
      <c r="H817" s="3" t="str">
        <f>VLOOKUP(B817,[1]LifeList!$E$2:$I$2036,5)</f>
        <v>Icteridae (Troupials and Allies)</v>
      </c>
    </row>
    <row r="818" spans="1:8" x14ac:dyDescent="0.15">
      <c r="A818" s="3" t="s">
        <v>777</v>
      </c>
      <c r="B818" s="3" t="s">
        <v>4249</v>
      </c>
      <c r="C818" s="3">
        <v>33853</v>
      </c>
      <c r="D818" s="3" t="str">
        <f>VLOOKUP(B818,[1]LifeList!$E$2:$G$2036,1)</f>
        <v>Common Grackle</v>
      </c>
      <c r="E818" s="3" t="str">
        <f>VLOOKUP(B818,[1]LifeList!$E$2:$G$2036,2)</f>
        <v>Quiscale bronzé</v>
      </c>
      <c r="F818" s="3" t="str">
        <f>VLOOKUP(B818,[1]LifeList!$E$2:$G$2036,3)</f>
        <v>Quiscalus quiscula</v>
      </c>
      <c r="G818" s="3" t="str">
        <f>VLOOKUP(B818,[1]LifeList!$E$2:$I$2036,4)</f>
        <v>Passeriformes</v>
      </c>
      <c r="H818" s="3" t="str">
        <f>VLOOKUP(B818,[1]LifeList!$E$2:$I$2036,5)</f>
        <v>Icteridae (Troupials and Allies)</v>
      </c>
    </row>
    <row r="819" spans="1:8" x14ac:dyDescent="0.15">
      <c r="A819" s="3" t="s">
        <v>778</v>
      </c>
      <c r="B819" s="3" t="s">
        <v>4249</v>
      </c>
      <c r="C819" s="3">
        <v>33853</v>
      </c>
      <c r="D819" s="3" t="str">
        <f>VLOOKUP(B819,[1]LifeList!$E$2:$G$2036,1)</f>
        <v>Common Grackle</v>
      </c>
      <c r="E819" s="3" t="str">
        <f>VLOOKUP(B819,[1]LifeList!$E$2:$G$2036,2)</f>
        <v>Quiscale bronzé</v>
      </c>
      <c r="F819" s="3" t="str">
        <f>VLOOKUP(B819,[1]LifeList!$E$2:$G$2036,3)</f>
        <v>Quiscalus quiscula</v>
      </c>
      <c r="G819" s="3" t="str">
        <f>VLOOKUP(B819,[1]LifeList!$E$2:$I$2036,4)</f>
        <v>Passeriformes</v>
      </c>
      <c r="H819" s="3" t="str">
        <f>VLOOKUP(B819,[1]LifeList!$E$2:$I$2036,5)</f>
        <v>Icteridae (Troupials and Allies)</v>
      </c>
    </row>
    <row r="820" spans="1:8" x14ac:dyDescent="0.15">
      <c r="A820" s="3" t="s">
        <v>779</v>
      </c>
      <c r="B820" s="3" t="s">
        <v>4249</v>
      </c>
      <c r="C820" s="3">
        <v>33853</v>
      </c>
      <c r="D820" s="3" t="str">
        <f>VLOOKUP(B820,[1]LifeList!$E$2:$G$2036,1)</f>
        <v>Common Grackle</v>
      </c>
      <c r="E820" s="3" t="str">
        <f>VLOOKUP(B820,[1]LifeList!$E$2:$G$2036,2)</f>
        <v>Quiscale bronzé</v>
      </c>
      <c r="F820" s="3" t="str">
        <f>VLOOKUP(B820,[1]LifeList!$E$2:$G$2036,3)</f>
        <v>Quiscalus quiscula</v>
      </c>
      <c r="G820" s="3" t="str">
        <f>VLOOKUP(B820,[1]LifeList!$E$2:$I$2036,4)</f>
        <v>Passeriformes</v>
      </c>
      <c r="H820" s="3" t="str">
        <f>VLOOKUP(B820,[1]LifeList!$E$2:$I$2036,5)</f>
        <v>Icteridae (Troupials and Allies)</v>
      </c>
    </row>
    <row r="821" spans="1:8" x14ac:dyDescent="0.15">
      <c r="A821" s="3" t="s">
        <v>780</v>
      </c>
      <c r="B821" s="3" t="s">
        <v>3751</v>
      </c>
      <c r="C821" s="3">
        <v>2243</v>
      </c>
      <c r="D821" s="3" t="str">
        <f>VLOOKUP(B821,[1]LifeList!$E$2:$G$2036,1)</f>
        <v>Common Ground Dove</v>
      </c>
      <c r="E821" s="3" t="str">
        <f>VLOOKUP(B821,[1]LifeList!$E$2:$G$2036,2)</f>
        <v>Colombe à queue noire</v>
      </c>
      <c r="F821" s="3" t="str">
        <f>VLOOKUP(B821,[1]LifeList!$E$2:$G$2036,3)</f>
        <v>Columbina passerina</v>
      </c>
      <c r="G821" s="3" t="str">
        <f>VLOOKUP(B821,[1]LifeList!$E$2:$I$2036,4)</f>
        <v>Columbiformes</v>
      </c>
      <c r="H821" s="3" t="str">
        <f>VLOOKUP(B821,[1]LifeList!$E$2:$I$2036,5)</f>
        <v>Columbidae (Pigeons and Doves)</v>
      </c>
    </row>
    <row r="822" spans="1:8" x14ac:dyDescent="0.15">
      <c r="A822" s="3" t="s">
        <v>781</v>
      </c>
      <c r="B822" s="3" t="s">
        <v>4250</v>
      </c>
      <c r="C822" s="3">
        <v>9604</v>
      </c>
      <c r="D822" s="3" t="str">
        <f>VLOOKUP(B822,[1]LifeList!$E$2:$G$2036,1)</f>
        <v>Common Hoopoe</v>
      </c>
      <c r="E822" s="3" t="str">
        <f>VLOOKUP(B822,[1]LifeList!$E$2:$G$2036,2)</f>
        <v>Huppe fasciée</v>
      </c>
      <c r="F822" s="3" t="str">
        <f>VLOOKUP(B822,[1]LifeList!$E$2:$G$2036,3)</f>
        <v>Upupa epops</v>
      </c>
      <c r="G822" s="3" t="str">
        <f>VLOOKUP(B822,[1]LifeList!$E$2:$I$2036,4)</f>
        <v>Bucerotiformes</v>
      </c>
      <c r="H822" s="3" t="str">
        <f>VLOOKUP(B822,[1]LifeList!$E$2:$I$2036,5)</f>
        <v>Upupidae (Hoopoes)</v>
      </c>
    </row>
    <row r="823" spans="1:8" x14ac:dyDescent="0.15">
      <c r="A823" s="3" t="s">
        <v>782</v>
      </c>
      <c r="B823" s="3" t="s">
        <v>4250</v>
      </c>
      <c r="C823" s="3">
        <v>9604</v>
      </c>
      <c r="D823" s="3" t="str">
        <f>VLOOKUP(B823,[1]LifeList!$E$2:$G$2036,1)</f>
        <v>Common Hoopoe</v>
      </c>
      <c r="E823" s="3" t="str">
        <f>VLOOKUP(B823,[1]LifeList!$E$2:$G$2036,2)</f>
        <v>Huppe fasciée</v>
      </c>
      <c r="F823" s="3" t="str">
        <f>VLOOKUP(B823,[1]LifeList!$E$2:$G$2036,3)</f>
        <v>Upupa epops</v>
      </c>
      <c r="G823" s="3" t="str">
        <f>VLOOKUP(B823,[1]LifeList!$E$2:$I$2036,4)</f>
        <v>Bucerotiformes</v>
      </c>
      <c r="H823" s="3" t="str">
        <f>VLOOKUP(B823,[1]LifeList!$E$2:$I$2036,5)</f>
        <v>Upupidae (Hoopoes)</v>
      </c>
    </row>
    <row r="824" spans="1:8" x14ac:dyDescent="0.15">
      <c r="A824" s="3" t="s">
        <v>783</v>
      </c>
      <c r="B824" s="3" t="s">
        <v>4250</v>
      </c>
      <c r="C824" s="3">
        <v>9604</v>
      </c>
      <c r="D824" s="3" t="str">
        <f>VLOOKUP(B824,[1]LifeList!$E$2:$G$2036,1)</f>
        <v>Common Hoopoe</v>
      </c>
      <c r="E824" s="3" t="str">
        <f>VLOOKUP(B824,[1]LifeList!$E$2:$G$2036,2)</f>
        <v>Huppe fasciée</v>
      </c>
      <c r="F824" s="3" t="str">
        <f>VLOOKUP(B824,[1]LifeList!$E$2:$G$2036,3)</f>
        <v>Upupa epops</v>
      </c>
      <c r="G824" s="3" t="str">
        <f>VLOOKUP(B824,[1]LifeList!$E$2:$I$2036,4)</f>
        <v>Bucerotiformes</v>
      </c>
      <c r="H824" s="3" t="str">
        <f>VLOOKUP(B824,[1]LifeList!$E$2:$I$2036,5)</f>
        <v>Upupidae (Hoopoes)</v>
      </c>
    </row>
    <row r="825" spans="1:8" x14ac:dyDescent="0.15">
      <c r="A825" s="3" t="s">
        <v>784</v>
      </c>
      <c r="B825" s="3" t="s">
        <v>4251</v>
      </c>
      <c r="C825" s="3">
        <v>22917</v>
      </c>
      <c r="D825" s="3" t="str">
        <f>VLOOKUP(B825,[1]LifeList!$E$2:$G$2036,1)</f>
        <v>Common Jery</v>
      </c>
      <c r="E825" s="3" t="str">
        <f>VLOOKUP(B825,[1]LifeList!$E$2:$G$2036,2)</f>
        <v>Petite Éroesse</v>
      </c>
      <c r="F825" s="3" t="str">
        <f>VLOOKUP(B825,[1]LifeList!$E$2:$G$2036,3)</f>
        <v>Neomixis tenella</v>
      </c>
      <c r="G825" s="3" t="str">
        <f>VLOOKUP(B825,[1]LifeList!$E$2:$I$2036,4)</f>
        <v>Passeriformes</v>
      </c>
      <c r="H825" s="3" t="str">
        <f>VLOOKUP(B825,[1]LifeList!$E$2:$I$2036,5)</f>
        <v>Cisticolidae (Cisticolas and Allies)</v>
      </c>
    </row>
    <row r="826" spans="1:8" x14ac:dyDescent="0.15">
      <c r="A826" s="3" t="s">
        <v>785</v>
      </c>
      <c r="B826" s="3" t="s">
        <v>4252</v>
      </c>
      <c r="C826" s="3">
        <v>6933</v>
      </c>
      <c r="D826" s="3" t="str">
        <f>VLOOKUP(B826,[1]LifeList!$E$2:$G$2036,1)</f>
        <v>Common Loon</v>
      </c>
      <c r="E826" s="3" t="str">
        <f>VLOOKUP(B826,[1]LifeList!$E$2:$G$2036,2)</f>
        <v>Plongeon huard</v>
      </c>
      <c r="F826" s="3" t="str">
        <f>VLOOKUP(B826,[1]LifeList!$E$2:$G$2036,3)</f>
        <v>Gavia immer</v>
      </c>
      <c r="G826" s="3" t="str">
        <f>VLOOKUP(B826,[1]LifeList!$E$2:$I$2036,4)</f>
        <v>Gaviiformes</v>
      </c>
      <c r="H826" s="3" t="str">
        <f>VLOOKUP(B826,[1]LifeList!$E$2:$I$2036,5)</f>
        <v>Gaviidae (Loons)</v>
      </c>
    </row>
    <row r="827" spans="1:8" x14ac:dyDescent="0.15">
      <c r="A827" s="3" t="s">
        <v>786</v>
      </c>
      <c r="B827" s="3" t="s">
        <v>4252</v>
      </c>
      <c r="C827" s="3">
        <v>6933</v>
      </c>
      <c r="D827" s="3" t="str">
        <f>VLOOKUP(B827,[1]LifeList!$E$2:$G$2036,1)</f>
        <v>Common Loon</v>
      </c>
      <c r="E827" s="3" t="str">
        <f>VLOOKUP(B827,[1]LifeList!$E$2:$G$2036,2)</f>
        <v>Plongeon huard</v>
      </c>
      <c r="F827" s="3" t="str">
        <f>VLOOKUP(B827,[1]LifeList!$E$2:$G$2036,3)</f>
        <v>Gavia immer</v>
      </c>
      <c r="G827" s="3" t="str">
        <f>VLOOKUP(B827,[1]LifeList!$E$2:$I$2036,4)</f>
        <v>Gaviiformes</v>
      </c>
      <c r="H827" s="3" t="str">
        <f>VLOOKUP(B827,[1]LifeList!$E$2:$I$2036,5)</f>
        <v>Gaviidae (Loons)</v>
      </c>
    </row>
    <row r="828" spans="1:8" x14ac:dyDescent="0.15">
      <c r="A828" s="3" t="s">
        <v>831</v>
      </c>
      <c r="B828" s="3" t="s">
        <v>4253</v>
      </c>
      <c r="C828" s="3">
        <v>762</v>
      </c>
      <c r="D828" s="3" t="str">
        <f>VLOOKUP(B828,[1]LifeList!$E$2:$G$2036,1)</f>
        <v>Common Merganser</v>
      </c>
      <c r="E828" s="3" t="str">
        <f>VLOOKUP(B828,[1]LifeList!$E$2:$G$2036,2)</f>
        <v>Grand Harle</v>
      </c>
      <c r="F828" s="3" t="str">
        <f>VLOOKUP(B828,[1]LifeList!$E$2:$G$2036,3)</f>
        <v>Mergus merganser</v>
      </c>
      <c r="G828" s="3" t="str">
        <f>VLOOKUP(B828,[1]LifeList!$E$2:$I$2036,4)</f>
        <v>Anseriformes</v>
      </c>
      <c r="H828" s="3" t="str">
        <f>VLOOKUP(B828,[1]LifeList!$E$2:$I$2036,5)</f>
        <v>Anatidae (Ducks, Geese, and Waterfowl)</v>
      </c>
    </row>
    <row r="829" spans="1:8" x14ac:dyDescent="0.15">
      <c r="A829" s="3" t="s">
        <v>832</v>
      </c>
      <c r="B829" s="3" t="s">
        <v>4253</v>
      </c>
      <c r="C829" s="3">
        <v>762</v>
      </c>
      <c r="D829" s="3" t="str">
        <f>VLOOKUP(B829,[1]LifeList!$E$2:$G$2036,1)</f>
        <v>Common Merganser</v>
      </c>
      <c r="E829" s="3" t="str">
        <f>VLOOKUP(B829,[1]LifeList!$E$2:$G$2036,2)</f>
        <v>Grand Harle</v>
      </c>
      <c r="F829" s="3" t="str">
        <f>VLOOKUP(B829,[1]LifeList!$E$2:$G$2036,3)</f>
        <v>Mergus merganser</v>
      </c>
      <c r="G829" s="3" t="str">
        <f>VLOOKUP(B829,[1]LifeList!$E$2:$I$2036,4)</f>
        <v>Anseriformes</v>
      </c>
      <c r="H829" s="3" t="str">
        <f>VLOOKUP(B829,[1]LifeList!$E$2:$I$2036,5)</f>
        <v>Anatidae (Ducks, Geese, and Waterfowl)</v>
      </c>
    </row>
    <row r="830" spans="1:8" x14ac:dyDescent="0.15">
      <c r="A830" s="3" t="s">
        <v>833</v>
      </c>
      <c r="B830" s="3" t="s">
        <v>4253</v>
      </c>
      <c r="C830" s="3">
        <v>762</v>
      </c>
      <c r="D830" s="3" t="str">
        <f>VLOOKUP(B830,[1]LifeList!$E$2:$G$2036,1)</f>
        <v>Common Merganser</v>
      </c>
      <c r="E830" s="3" t="str">
        <f>VLOOKUP(B830,[1]LifeList!$E$2:$G$2036,2)</f>
        <v>Grand Harle</v>
      </c>
      <c r="F830" s="3" t="str">
        <f>VLOOKUP(B830,[1]LifeList!$E$2:$G$2036,3)</f>
        <v>Mergus merganser</v>
      </c>
      <c r="G830" s="3" t="str">
        <f>VLOOKUP(B830,[1]LifeList!$E$2:$I$2036,4)</f>
        <v>Anseriformes</v>
      </c>
      <c r="H830" s="3" t="str">
        <f>VLOOKUP(B830,[1]LifeList!$E$2:$I$2036,5)</f>
        <v>Anatidae (Ducks, Geese, and Waterfowl)</v>
      </c>
    </row>
    <row r="831" spans="1:8" x14ac:dyDescent="0.15">
      <c r="A831" s="3" t="s">
        <v>787</v>
      </c>
      <c r="B831" s="3" t="s">
        <v>4254</v>
      </c>
      <c r="C831" s="3">
        <v>27859</v>
      </c>
      <c r="D831" s="3" t="str">
        <f>VLOOKUP(B831,[1]LifeList!$E$2:$G$2036,1)</f>
        <v>Common Myna</v>
      </c>
      <c r="E831" s="3" t="str">
        <f>VLOOKUP(B831,[1]LifeList!$E$2:$G$2036,2)</f>
        <v>Martin triste</v>
      </c>
      <c r="F831" s="3" t="str">
        <f>VLOOKUP(B831,[1]LifeList!$E$2:$G$2036,3)</f>
        <v>Acridotheres tristis</v>
      </c>
      <c r="G831" s="3" t="str">
        <f>VLOOKUP(B831,[1]LifeList!$E$2:$I$2036,4)</f>
        <v>Passeriformes</v>
      </c>
      <c r="H831" s="3" t="str">
        <f>VLOOKUP(B831,[1]LifeList!$E$2:$I$2036,5)</f>
        <v>Sturnidae (Starlings)</v>
      </c>
    </row>
    <row r="832" spans="1:8" x14ac:dyDescent="0.15">
      <c r="A832" s="3" t="s">
        <v>788</v>
      </c>
      <c r="B832" s="3" t="s">
        <v>4254</v>
      </c>
      <c r="C832" s="3">
        <v>27859</v>
      </c>
      <c r="D832" s="3" t="str">
        <f>VLOOKUP(B832,[1]LifeList!$E$2:$G$2036,1)</f>
        <v>Common Myna</v>
      </c>
      <c r="E832" s="3" t="str">
        <f>VLOOKUP(B832,[1]LifeList!$E$2:$G$2036,2)</f>
        <v>Martin triste</v>
      </c>
      <c r="F832" s="3" t="str">
        <f>VLOOKUP(B832,[1]LifeList!$E$2:$G$2036,3)</f>
        <v>Acridotheres tristis</v>
      </c>
      <c r="G832" s="3" t="str">
        <f>VLOOKUP(B832,[1]LifeList!$E$2:$I$2036,4)</f>
        <v>Passeriformes</v>
      </c>
      <c r="H832" s="3" t="str">
        <f>VLOOKUP(B832,[1]LifeList!$E$2:$I$2036,5)</f>
        <v>Sturnidae (Starlings)</v>
      </c>
    </row>
    <row r="833" spans="1:8" x14ac:dyDescent="0.15">
      <c r="A833" s="3" t="s">
        <v>789</v>
      </c>
      <c r="B833" s="3" t="s">
        <v>4254</v>
      </c>
      <c r="C833" s="3">
        <v>27859</v>
      </c>
      <c r="D833" s="3" t="str">
        <f>VLOOKUP(B833,[1]LifeList!$E$2:$G$2036,1)</f>
        <v>Common Myna</v>
      </c>
      <c r="E833" s="3" t="str">
        <f>VLOOKUP(B833,[1]LifeList!$E$2:$G$2036,2)</f>
        <v>Martin triste</v>
      </c>
      <c r="F833" s="3" t="str">
        <f>VLOOKUP(B833,[1]LifeList!$E$2:$G$2036,3)</f>
        <v>Acridotheres tristis</v>
      </c>
      <c r="G833" s="3" t="str">
        <f>VLOOKUP(B833,[1]LifeList!$E$2:$I$2036,4)</f>
        <v>Passeriformes</v>
      </c>
      <c r="H833" s="3" t="str">
        <f>VLOOKUP(B833,[1]LifeList!$E$2:$I$2036,5)</f>
        <v>Sturnidae (Starlings)</v>
      </c>
    </row>
    <row r="834" spans="1:8" x14ac:dyDescent="0.15">
      <c r="A834" s="3" t="s">
        <v>790</v>
      </c>
      <c r="B834" s="3" t="s">
        <v>4254</v>
      </c>
      <c r="C834" s="3">
        <v>27859</v>
      </c>
      <c r="D834" s="3" t="str">
        <f>VLOOKUP(B834,[1]LifeList!$E$2:$G$2036,1)</f>
        <v>Common Myna</v>
      </c>
      <c r="E834" s="3" t="str">
        <f>VLOOKUP(B834,[1]LifeList!$E$2:$G$2036,2)</f>
        <v>Martin triste</v>
      </c>
      <c r="F834" s="3" t="str">
        <f>VLOOKUP(B834,[1]LifeList!$E$2:$G$2036,3)</f>
        <v>Acridotheres tristis</v>
      </c>
      <c r="G834" s="3" t="str">
        <f>VLOOKUP(B834,[1]LifeList!$E$2:$I$2036,4)</f>
        <v>Passeriformes</v>
      </c>
      <c r="H834" s="3" t="str">
        <f>VLOOKUP(B834,[1]LifeList!$E$2:$I$2036,5)</f>
        <v>Sturnidae (Starlings)</v>
      </c>
    </row>
    <row r="835" spans="1:8" x14ac:dyDescent="0.15">
      <c r="A835" s="3" t="s">
        <v>791</v>
      </c>
      <c r="B835" s="3" t="s">
        <v>4255</v>
      </c>
      <c r="C835" s="3">
        <v>19970</v>
      </c>
      <c r="D835" s="3" t="str">
        <f>VLOOKUP(B835,[1]LifeList!$E$2:$G$2036,1)</f>
        <v>Common Newtonia</v>
      </c>
      <c r="E835" s="3" t="str">
        <f>VLOOKUP(B835,[1]LifeList!$E$2:$G$2036,2)</f>
        <v>Newtonie commune</v>
      </c>
      <c r="F835" s="3" t="str">
        <f>VLOOKUP(B835,[1]LifeList!$E$2:$G$2036,3)</f>
        <v>Newtonia brunneicauda</v>
      </c>
      <c r="G835" s="3" t="str">
        <f>VLOOKUP(B835,[1]LifeList!$E$2:$I$2036,4)</f>
        <v>Passeriformes</v>
      </c>
      <c r="H835" s="3" t="str">
        <f>VLOOKUP(B835,[1]LifeList!$E$2:$I$2036,5)</f>
        <v>Vangidae (Vangas, Helmetshrikes, and Allies)</v>
      </c>
    </row>
    <row r="836" spans="1:8" x14ac:dyDescent="0.15">
      <c r="A836" s="3" t="s">
        <v>792</v>
      </c>
      <c r="B836" s="3" t="s">
        <v>4256</v>
      </c>
      <c r="C836" s="3">
        <v>2</v>
      </c>
      <c r="D836" s="3" t="str">
        <f>VLOOKUP(B836,[1]LifeList!$E$2:$G$2036,1)</f>
        <v>Common Ostrich</v>
      </c>
      <c r="E836" s="3" t="str">
        <f>VLOOKUP(B836,[1]LifeList!$E$2:$G$2036,2)</f>
        <v>Autruche d'Afrique</v>
      </c>
      <c r="F836" s="3" t="str">
        <f>VLOOKUP(B836,[1]LifeList!$E$2:$G$2036,3)</f>
        <v>Struthio camelus</v>
      </c>
      <c r="G836" s="3" t="str">
        <f>VLOOKUP(B836,[1]LifeList!$E$2:$I$2036,4)</f>
        <v>Struthioniformes</v>
      </c>
      <c r="H836" s="3" t="str">
        <f>VLOOKUP(B836,[1]LifeList!$E$2:$I$2036,5)</f>
        <v>Struthionidae (Ostriches)</v>
      </c>
    </row>
    <row r="837" spans="1:8" x14ac:dyDescent="0.15">
      <c r="A837" s="3" t="s">
        <v>793</v>
      </c>
      <c r="B837" s="3" t="s">
        <v>4256</v>
      </c>
      <c r="C837" s="3">
        <v>2</v>
      </c>
      <c r="D837" s="3" t="str">
        <f>VLOOKUP(B837,[1]LifeList!$E$2:$G$2036,1)</f>
        <v>Common Ostrich</v>
      </c>
      <c r="E837" s="3" t="str">
        <f>VLOOKUP(B837,[1]LifeList!$E$2:$G$2036,2)</f>
        <v>Autruche d'Afrique</v>
      </c>
      <c r="F837" s="3" t="str">
        <f>VLOOKUP(B837,[1]LifeList!$E$2:$G$2036,3)</f>
        <v>Struthio camelus</v>
      </c>
      <c r="G837" s="3" t="str">
        <f>VLOOKUP(B837,[1]LifeList!$E$2:$I$2036,4)</f>
        <v>Struthioniformes</v>
      </c>
      <c r="H837" s="3" t="str">
        <f>VLOOKUP(B837,[1]LifeList!$E$2:$I$2036,5)</f>
        <v>Struthionidae (Ostriches)</v>
      </c>
    </row>
    <row r="838" spans="1:8" x14ac:dyDescent="0.15">
      <c r="A838" s="3" t="s">
        <v>794</v>
      </c>
      <c r="B838" s="3" t="s">
        <v>4256</v>
      </c>
      <c r="C838" s="3">
        <v>2</v>
      </c>
      <c r="D838" s="3" t="str">
        <f>VLOOKUP(B838,[1]LifeList!$E$2:$G$2036,1)</f>
        <v>Common Ostrich</v>
      </c>
      <c r="E838" s="3" t="str">
        <f>VLOOKUP(B838,[1]LifeList!$E$2:$G$2036,2)</f>
        <v>Autruche d'Afrique</v>
      </c>
      <c r="F838" s="3" t="str">
        <f>VLOOKUP(B838,[1]LifeList!$E$2:$G$2036,3)</f>
        <v>Struthio camelus</v>
      </c>
      <c r="G838" s="3" t="str">
        <f>VLOOKUP(B838,[1]LifeList!$E$2:$I$2036,4)</f>
        <v>Struthioniformes</v>
      </c>
      <c r="H838" s="3" t="str">
        <f>VLOOKUP(B838,[1]LifeList!$E$2:$I$2036,5)</f>
        <v>Struthionidae (Ostriches)</v>
      </c>
    </row>
    <row r="839" spans="1:8" x14ac:dyDescent="0.15">
      <c r="A839" s="3" t="s">
        <v>795</v>
      </c>
      <c r="B839" s="3" t="s">
        <v>4256</v>
      </c>
      <c r="C839" s="3">
        <v>2</v>
      </c>
      <c r="D839" s="3" t="str">
        <f>VLOOKUP(B839,[1]LifeList!$E$2:$G$2036,1)</f>
        <v>Common Ostrich</v>
      </c>
      <c r="E839" s="3" t="str">
        <f>VLOOKUP(B839,[1]LifeList!$E$2:$G$2036,2)</f>
        <v>Autruche d'Afrique</v>
      </c>
      <c r="F839" s="3" t="str">
        <f>VLOOKUP(B839,[1]LifeList!$E$2:$G$2036,3)</f>
        <v>Struthio camelus</v>
      </c>
      <c r="G839" s="3" t="str">
        <f>VLOOKUP(B839,[1]LifeList!$E$2:$I$2036,4)</f>
        <v>Struthioniformes</v>
      </c>
      <c r="H839" s="3" t="str">
        <f>VLOOKUP(B839,[1]LifeList!$E$2:$I$2036,5)</f>
        <v>Struthionidae (Ostriches)</v>
      </c>
    </row>
    <row r="840" spans="1:8" x14ac:dyDescent="0.15">
      <c r="A840" s="3" t="s">
        <v>796</v>
      </c>
      <c r="B840" s="3" t="s">
        <v>4257</v>
      </c>
      <c r="C840" s="3">
        <v>3751</v>
      </c>
      <c r="D840" s="3" t="str">
        <f>VLOOKUP(B840,[1]LifeList!$E$2:$G$2036,1)</f>
        <v>Common Potoo</v>
      </c>
      <c r="E840" s="3" t="str">
        <f>VLOOKUP(B840,[1]LifeList!$E$2:$G$2036,2)</f>
        <v>Ibijau gris</v>
      </c>
      <c r="F840" s="3" t="str">
        <f>VLOOKUP(B840,[1]LifeList!$E$2:$G$2036,3)</f>
        <v>Nyctibius griseus</v>
      </c>
      <c r="G840" s="3" t="str">
        <f>VLOOKUP(B840,[1]LifeList!$E$2:$I$2036,4)</f>
        <v>Nyctibiiformes</v>
      </c>
      <c r="H840" s="3" t="str">
        <f>VLOOKUP(B840,[1]LifeList!$E$2:$I$2036,5)</f>
        <v>Nyctibiidae (Potoos)</v>
      </c>
    </row>
    <row r="841" spans="1:8" x14ac:dyDescent="0.15">
      <c r="A841" s="3" t="s">
        <v>797</v>
      </c>
      <c r="B841" s="3" t="s">
        <v>4257</v>
      </c>
      <c r="C841" s="3">
        <v>3751</v>
      </c>
      <c r="D841" s="3" t="str">
        <f>VLOOKUP(B841,[1]LifeList!$E$2:$G$2036,1)</f>
        <v>Common Potoo</v>
      </c>
      <c r="E841" s="3" t="str">
        <f>VLOOKUP(B841,[1]LifeList!$E$2:$G$2036,2)</f>
        <v>Ibijau gris</v>
      </c>
      <c r="F841" s="3" t="str">
        <f>VLOOKUP(B841,[1]LifeList!$E$2:$G$2036,3)</f>
        <v>Nyctibius griseus</v>
      </c>
      <c r="G841" s="3" t="str">
        <f>VLOOKUP(B841,[1]LifeList!$E$2:$I$2036,4)</f>
        <v>Nyctibiiformes</v>
      </c>
      <c r="H841" s="3" t="str">
        <f>VLOOKUP(B841,[1]LifeList!$E$2:$I$2036,5)</f>
        <v>Nyctibiidae (Potoos)</v>
      </c>
    </row>
    <row r="842" spans="1:8" x14ac:dyDescent="0.15">
      <c r="A842" s="3" t="s">
        <v>798</v>
      </c>
      <c r="B842" s="3" t="s">
        <v>4257</v>
      </c>
      <c r="C842" s="3">
        <v>3751</v>
      </c>
      <c r="D842" s="3" t="str">
        <f>VLOOKUP(B842,[1]LifeList!$E$2:$G$2036,1)</f>
        <v>Common Potoo</v>
      </c>
      <c r="E842" s="3" t="str">
        <f>VLOOKUP(B842,[1]LifeList!$E$2:$G$2036,2)</f>
        <v>Ibijau gris</v>
      </c>
      <c r="F842" s="3" t="str">
        <f>VLOOKUP(B842,[1]LifeList!$E$2:$G$2036,3)</f>
        <v>Nyctibius griseus</v>
      </c>
      <c r="G842" s="3" t="str">
        <f>VLOOKUP(B842,[1]LifeList!$E$2:$I$2036,4)</f>
        <v>Nyctibiiformes</v>
      </c>
      <c r="H842" s="3" t="str">
        <f>VLOOKUP(B842,[1]LifeList!$E$2:$I$2036,5)</f>
        <v>Nyctibiidae (Potoos)</v>
      </c>
    </row>
    <row r="843" spans="1:8" x14ac:dyDescent="0.15">
      <c r="A843" s="3" t="s">
        <v>799</v>
      </c>
      <c r="B843" s="3" t="s">
        <v>4258</v>
      </c>
      <c r="C843" s="3">
        <v>6125</v>
      </c>
      <c r="D843" s="3" t="str">
        <f>VLOOKUP(B843,[1]LifeList!$E$2:$G$2036,1)</f>
        <v>Common Sandpiper</v>
      </c>
      <c r="E843" s="3" t="str">
        <f>VLOOKUP(B843,[1]LifeList!$E$2:$G$2036,2)</f>
        <v>Chevalier guignette</v>
      </c>
      <c r="F843" s="3" t="str">
        <f>VLOOKUP(B843,[1]LifeList!$E$2:$G$2036,3)</f>
        <v>Actitis hypoleucos</v>
      </c>
      <c r="G843" s="3" t="str">
        <f>VLOOKUP(B843,[1]LifeList!$E$2:$I$2036,4)</f>
        <v>Charadriiformes</v>
      </c>
      <c r="H843" s="3" t="str">
        <f>VLOOKUP(B843,[1]LifeList!$E$2:$I$2036,5)</f>
        <v>Scolopacidae (Sandpipers and Allies)</v>
      </c>
    </row>
    <row r="844" spans="1:8" x14ac:dyDescent="0.15">
      <c r="A844" s="3" t="s">
        <v>800</v>
      </c>
      <c r="B844" s="3" t="s">
        <v>4258</v>
      </c>
      <c r="C844" s="3">
        <v>6125</v>
      </c>
      <c r="D844" s="3" t="str">
        <f>VLOOKUP(B844,[1]LifeList!$E$2:$G$2036,1)</f>
        <v>Common Sandpiper</v>
      </c>
      <c r="E844" s="3" t="str">
        <f>VLOOKUP(B844,[1]LifeList!$E$2:$G$2036,2)</f>
        <v>Chevalier guignette</v>
      </c>
      <c r="F844" s="3" t="str">
        <f>VLOOKUP(B844,[1]LifeList!$E$2:$G$2036,3)</f>
        <v>Actitis hypoleucos</v>
      </c>
      <c r="G844" s="3" t="str">
        <f>VLOOKUP(B844,[1]LifeList!$E$2:$I$2036,4)</f>
        <v>Charadriiformes</v>
      </c>
      <c r="H844" s="3" t="str">
        <f>VLOOKUP(B844,[1]LifeList!$E$2:$I$2036,5)</f>
        <v>Scolopacidae (Sandpipers and Allies)</v>
      </c>
    </row>
    <row r="845" spans="1:8" x14ac:dyDescent="0.15">
      <c r="A845" s="3" t="s">
        <v>803</v>
      </c>
      <c r="B845" s="3" t="s">
        <v>4259</v>
      </c>
      <c r="C845" s="3">
        <v>3218</v>
      </c>
      <c r="D845" s="3" t="str">
        <f>VLOOKUP(B845,[1]LifeList!$E$2:$G$2036,1)</f>
        <v>Common Squirrel-Cuckoo</v>
      </c>
      <c r="E845" s="3" t="str">
        <f>VLOOKUP(B845,[1]LifeList!$E$2:$G$2036,2)</f>
        <v>Piaye écureuil</v>
      </c>
      <c r="F845" s="3" t="str">
        <f>VLOOKUP(B845,[1]LifeList!$E$2:$G$2036,3)</f>
        <v>Piaya cayana</v>
      </c>
      <c r="G845" s="3" t="str">
        <f>VLOOKUP(B845,[1]LifeList!$E$2:$I$2036,4)</f>
        <v>Cuculiformes</v>
      </c>
      <c r="H845" s="3" t="str">
        <f>VLOOKUP(B845,[1]LifeList!$E$2:$I$2036,5)</f>
        <v>Cuculidae (Cuckoos)</v>
      </c>
    </row>
    <row r="846" spans="1:8" x14ac:dyDescent="0.15">
      <c r="A846" s="3" t="s">
        <v>804</v>
      </c>
      <c r="B846" s="3" t="s">
        <v>4259</v>
      </c>
      <c r="C846" s="3">
        <v>3218</v>
      </c>
      <c r="D846" s="3" t="str">
        <f>VLOOKUP(B846,[1]LifeList!$E$2:$G$2036,1)</f>
        <v>Common Squirrel-Cuckoo</v>
      </c>
      <c r="E846" s="3" t="str">
        <f>VLOOKUP(B846,[1]LifeList!$E$2:$G$2036,2)</f>
        <v>Piaye écureuil</v>
      </c>
      <c r="F846" s="3" t="str">
        <f>VLOOKUP(B846,[1]LifeList!$E$2:$G$2036,3)</f>
        <v>Piaya cayana</v>
      </c>
      <c r="G846" s="3" t="str">
        <f>VLOOKUP(B846,[1]LifeList!$E$2:$I$2036,4)</f>
        <v>Cuculiformes</v>
      </c>
      <c r="H846" s="3" t="str">
        <f>VLOOKUP(B846,[1]LifeList!$E$2:$I$2036,5)</f>
        <v>Cuculidae (Cuckoos)</v>
      </c>
    </row>
    <row r="847" spans="1:8" x14ac:dyDescent="0.15">
      <c r="A847" s="3" t="s">
        <v>805</v>
      </c>
      <c r="B847" s="3" t="s">
        <v>4259</v>
      </c>
      <c r="C847" s="3">
        <v>3218</v>
      </c>
      <c r="D847" s="3" t="str">
        <f>VLOOKUP(B847,[1]LifeList!$E$2:$G$2036,1)</f>
        <v>Common Squirrel-Cuckoo</v>
      </c>
      <c r="E847" s="3" t="str">
        <f>VLOOKUP(B847,[1]LifeList!$E$2:$G$2036,2)</f>
        <v>Piaye écureuil</v>
      </c>
      <c r="F847" s="3" t="str">
        <f>VLOOKUP(B847,[1]LifeList!$E$2:$G$2036,3)</f>
        <v>Piaya cayana</v>
      </c>
      <c r="G847" s="3" t="str">
        <f>VLOOKUP(B847,[1]LifeList!$E$2:$I$2036,4)</f>
        <v>Cuculiformes</v>
      </c>
      <c r="H847" s="3" t="str">
        <f>VLOOKUP(B847,[1]LifeList!$E$2:$I$2036,5)</f>
        <v>Cuculidae (Cuckoos)</v>
      </c>
    </row>
    <row r="848" spans="1:8" x14ac:dyDescent="0.15">
      <c r="A848" s="3" t="s">
        <v>806</v>
      </c>
      <c r="B848" s="3" t="s">
        <v>4259</v>
      </c>
      <c r="C848" s="3">
        <v>3218</v>
      </c>
      <c r="D848" s="3" t="str">
        <f>VLOOKUP(B848,[1]LifeList!$E$2:$G$2036,1)</f>
        <v>Common Squirrel-Cuckoo</v>
      </c>
      <c r="E848" s="3" t="str">
        <f>VLOOKUP(B848,[1]LifeList!$E$2:$G$2036,2)</f>
        <v>Piaye écureuil</v>
      </c>
      <c r="F848" s="3" t="str">
        <f>VLOOKUP(B848,[1]LifeList!$E$2:$G$2036,3)</f>
        <v>Piaya cayana</v>
      </c>
      <c r="G848" s="3" t="str">
        <f>VLOOKUP(B848,[1]LifeList!$E$2:$I$2036,4)</f>
        <v>Cuculiformes</v>
      </c>
      <c r="H848" s="3" t="str">
        <f>VLOOKUP(B848,[1]LifeList!$E$2:$I$2036,5)</f>
        <v>Cuculidae (Cuckoos)</v>
      </c>
    </row>
    <row r="849" spans="1:8" x14ac:dyDescent="0.15">
      <c r="A849" s="3" t="s">
        <v>801</v>
      </c>
      <c r="B849" s="3" t="s">
        <v>4259</v>
      </c>
      <c r="C849" s="3">
        <v>3218</v>
      </c>
      <c r="D849" s="3" t="str">
        <f>VLOOKUP(B849,[1]LifeList!$E$2:$G$2036,1)</f>
        <v>Common Squirrel-Cuckoo</v>
      </c>
      <c r="E849" s="3" t="str">
        <f>VLOOKUP(B849,[1]LifeList!$E$2:$G$2036,2)</f>
        <v>Piaye écureuil</v>
      </c>
      <c r="F849" s="3" t="str">
        <f>VLOOKUP(B849,[1]LifeList!$E$2:$G$2036,3)</f>
        <v>Piaya cayana</v>
      </c>
      <c r="G849" s="3" t="str">
        <f>VLOOKUP(B849,[1]LifeList!$E$2:$I$2036,4)</f>
        <v>Cuculiformes</v>
      </c>
      <c r="H849" s="3" t="str">
        <f>VLOOKUP(B849,[1]LifeList!$E$2:$I$2036,5)</f>
        <v>Cuculidae (Cuckoos)</v>
      </c>
    </row>
    <row r="850" spans="1:8" x14ac:dyDescent="0.15">
      <c r="A850" s="3" t="s">
        <v>802</v>
      </c>
      <c r="B850" s="3" t="s">
        <v>4259</v>
      </c>
      <c r="C850" s="3">
        <v>3218</v>
      </c>
      <c r="D850" s="3" t="str">
        <f>VLOOKUP(B850,[1]LifeList!$E$2:$G$2036,1)</f>
        <v>Common Squirrel-Cuckoo</v>
      </c>
      <c r="E850" s="3" t="str">
        <f>VLOOKUP(B850,[1]LifeList!$E$2:$G$2036,2)</f>
        <v>Piaye écureuil</v>
      </c>
      <c r="F850" s="3" t="str">
        <f>VLOOKUP(B850,[1]LifeList!$E$2:$G$2036,3)</f>
        <v>Piaya cayana</v>
      </c>
      <c r="G850" s="3" t="str">
        <f>VLOOKUP(B850,[1]LifeList!$E$2:$I$2036,4)</f>
        <v>Cuculiformes</v>
      </c>
      <c r="H850" s="3" t="str">
        <f>VLOOKUP(B850,[1]LifeList!$E$2:$I$2036,5)</f>
        <v>Cuculidae (Cuckoos)</v>
      </c>
    </row>
    <row r="851" spans="1:8" x14ac:dyDescent="0.15">
      <c r="A851" s="3" t="s">
        <v>834</v>
      </c>
      <c r="B851" s="3" t="s">
        <v>4260</v>
      </c>
      <c r="C851" s="3">
        <v>6748</v>
      </c>
      <c r="D851" s="3" t="str">
        <f>VLOOKUP(B851,[1]LifeList!$E$2:$G$2036,1)</f>
        <v>Common Tern</v>
      </c>
      <c r="E851" s="3" t="str">
        <f>VLOOKUP(B851,[1]LifeList!$E$2:$G$2036,2)</f>
        <v>Sterne pierregarin</v>
      </c>
      <c r="F851" s="3" t="str">
        <f>VLOOKUP(B851,[1]LifeList!$E$2:$G$2036,3)</f>
        <v>Sterna hirundo</v>
      </c>
      <c r="G851" s="3" t="str">
        <f>VLOOKUP(B851,[1]LifeList!$E$2:$I$2036,4)</f>
        <v>Charadriiformes</v>
      </c>
      <c r="H851" s="3" t="str">
        <f>VLOOKUP(B851,[1]LifeList!$E$2:$I$2036,5)</f>
        <v>Laridae (Gulls, Terns, and Skimmers)</v>
      </c>
    </row>
    <row r="852" spans="1:8" x14ac:dyDescent="0.15">
      <c r="A852" s="3" t="s">
        <v>807</v>
      </c>
      <c r="B852" s="3" t="s">
        <v>4260</v>
      </c>
      <c r="C852" s="3">
        <v>6748</v>
      </c>
      <c r="D852" s="3" t="str">
        <f>VLOOKUP(B852,[1]LifeList!$E$2:$G$2036,1)</f>
        <v>Common Tern</v>
      </c>
      <c r="E852" s="3" t="str">
        <f>VLOOKUP(B852,[1]LifeList!$E$2:$G$2036,2)</f>
        <v>Sterne pierregarin</v>
      </c>
      <c r="F852" s="3" t="str">
        <f>VLOOKUP(B852,[1]LifeList!$E$2:$G$2036,3)</f>
        <v>Sterna hirundo</v>
      </c>
      <c r="G852" s="3" t="str">
        <f>VLOOKUP(B852,[1]LifeList!$E$2:$I$2036,4)</f>
        <v>Charadriiformes</v>
      </c>
      <c r="H852" s="3" t="str">
        <f>VLOOKUP(B852,[1]LifeList!$E$2:$I$2036,5)</f>
        <v>Laridae (Gulls, Terns, and Skimmers)</v>
      </c>
    </row>
    <row r="853" spans="1:8" x14ac:dyDescent="0.15">
      <c r="A853" s="3" t="s">
        <v>808</v>
      </c>
      <c r="B853" s="3" t="s">
        <v>4260</v>
      </c>
      <c r="C853" s="3">
        <v>6748</v>
      </c>
      <c r="D853" s="3" t="str">
        <f>VLOOKUP(B853,[1]LifeList!$E$2:$G$2036,1)</f>
        <v>Common Tern</v>
      </c>
      <c r="E853" s="3" t="str">
        <f>VLOOKUP(B853,[1]LifeList!$E$2:$G$2036,2)</f>
        <v>Sterne pierregarin</v>
      </c>
      <c r="F853" s="3" t="str">
        <f>VLOOKUP(B853,[1]LifeList!$E$2:$G$2036,3)</f>
        <v>Sterna hirundo</v>
      </c>
      <c r="G853" s="3" t="str">
        <f>VLOOKUP(B853,[1]LifeList!$E$2:$I$2036,4)</f>
        <v>Charadriiformes</v>
      </c>
      <c r="H853" s="3" t="str">
        <f>VLOOKUP(B853,[1]LifeList!$E$2:$I$2036,5)</f>
        <v>Laridae (Gulls, Terns, and Skimmers)</v>
      </c>
    </row>
    <row r="854" spans="1:8" x14ac:dyDescent="0.15">
      <c r="A854" s="3" t="s">
        <v>835</v>
      </c>
      <c r="B854" s="3" t="s">
        <v>4260</v>
      </c>
      <c r="C854" s="3">
        <v>6748</v>
      </c>
      <c r="D854" s="3" t="str">
        <f>VLOOKUP(B854,[1]LifeList!$E$2:$G$2036,1)</f>
        <v>Common Tern</v>
      </c>
      <c r="E854" s="3" t="str">
        <f>VLOOKUP(B854,[1]LifeList!$E$2:$G$2036,2)</f>
        <v>Sterne pierregarin</v>
      </c>
      <c r="F854" s="3" t="str">
        <f>VLOOKUP(B854,[1]LifeList!$E$2:$G$2036,3)</f>
        <v>Sterna hirundo</v>
      </c>
      <c r="G854" s="3" t="str">
        <f>VLOOKUP(B854,[1]LifeList!$E$2:$I$2036,4)</f>
        <v>Charadriiformes</v>
      </c>
      <c r="H854" s="3" t="str">
        <f>VLOOKUP(B854,[1]LifeList!$E$2:$I$2036,5)</f>
        <v>Laridae (Gulls, Terns, and Skimmers)</v>
      </c>
    </row>
    <row r="855" spans="1:8" x14ac:dyDescent="0.15">
      <c r="A855" s="3" t="s">
        <v>809</v>
      </c>
      <c r="B855" s="3" t="s">
        <v>4261</v>
      </c>
      <c r="C855" s="3">
        <v>16429</v>
      </c>
      <c r="D855" s="3" t="str">
        <f>VLOOKUP(B855,[1]LifeList!$E$2:$G$2036,1)</f>
        <v>Common Tody-Flycatcher</v>
      </c>
      <c r="E855" s="3" t="str">
        <f>VLOOKUP(B855,[1]LifeList!$E$2:$G$2036,2)</f>
        <v>Todirostre familier</v>
      </c>
      <c r="F855" s="3" t="str">
        <f>VLOOKUP(B855,[1]LifeList!$E$2:$G$2036,3)</f>
        <v>Todirostrum cinereum</v>
      </c>
      <c r="G855" s="3" t="str">
        <f>VLOOKUP(B855,[1]LifeList!$E$2:$I$2036,4)</f>
        <v>Passeriformes</v>
      </c>
      <c r="H855" s="3" t="str">
        <f>VLOOKUP(B855,[1]LifeList!$E$2:$I$2036,5)</f>
        <v>Tyrannidae (Tyrant Flycatchers)</v>
      </c>
    </row>
    <row r="856" spans="1:8" x14ac:dyDescent="0.15">
      <c r="A856" s="3" t="s">
        <v>810</v>
      </c>
      <c r="B856" s="3" t="s">
        <v>4261</v>
      </c>
      <c r="C856" s="3">
        <v>16429</v>
      </c>
      <c r="D856" s="3" t="str">
        <f>VLOOKUP(B856,[1]LifeList!$E$2:$G$2036,1)</f>
        <v>Common Tody-Flycatcher</v>
      </c>
      <c r="E856" s="3" t="str">
        <f>VLOOKUP(B856,[1]LifeList!$E$2:$G$2036,2)</f>
        <v>Todirostre familier</v>
      </c>
      <c r="F856" s="3" t="str">
        <f>VLOOKUP(B856,[1]LifeList!$E$2:$G$2036,3)</f>
        <v>Todirostrum cinereum</v>
      </c>
      <c r="G856" s="3" t="str">
        <f>VLOOKUP(B856,[1]LifeList!$E$2:$I$2036,4)</f>
        <v>Passeriformes</v>
      </c>
      <c r="H856" s="3" t="str">
        <f>VLOOKUP(B856,[1]LifeList!$E$2:$I$2036,5)</f>
        <v>Tyrannidae (Tyrant Flycatchers)</v>
      </c>
    </row>
    <row r="857" spans="1:8" x14ac:dyDescent="0.15">
      <c r="A857" s="3" t="s">
        <v>811</v>
      </c>
      <c r="B857" s="3" t="s">
        <v>4261</v>
      </c>
      <c r="C857" s="3">
        <v>16429</v>
      </c>
      <c r="D857" s="3" t="str">
        <f>VLOOKUP(B857,[1]LifeList!$E$2:$G$2036,1)</f>
        <v>Common Tody-Flycatcher</v>
      </c>
      <c r="E857" s="3" t="str">
        <f>VLOOKUP(B857,[1]LifeList!$E$2:$G$2036,2)</f>
        <v>Todirostre familier</v>
      </c>
      <c r="F857" s="3" t="str">
        <f>VLOOKUP(B857,[1]LifeList!$E$2:$G$2036,3)</f>
        <v>Todirostrum cinereum</v>
      </c>
      <c r="G857" s="3" t="str">
        <f>VLOOKUP(B857,[1]LifeList!$E$2:$I$2036,4)</f>
        <v>Passeriformes</v>
      </c>
      <c r="H857" s="3" t="str">
        <f>VLOOKUP(B857,[1]LifeList!$E$2:$I$2036,5)</f>
        <v>Tyrannidae (Tyrant Flycatchers)</v>
      </c>
    </row>
    <row r="858" spans="1:8" x14ac:dyDescent="0.15">
      <c r="A858" s="3" t="s">
        <v>812</v>
      </c>
      <c r="B858" s="3" t="s">
        <v>4262</v>
      </c>
      <c r="C858" s="3">
        <v>31298</v>
      </c>
      <c r="D858" s="3" t="str">
        <f>VLOOKUP(B858,[1]LifeList!$E$2:$G$2036,1)</f>
        <v>Common Waxbill</v>
      </c>
      <c r="E858" s="3" t="str">
        <f>VLOOKUP(B858,[1]LifeList!$E$2:$G$2036,2)</f>
        <v>Astrild ondulé</v>
      </c>
      <c r="F858" s="3" t="str">
        <f>VLOOKUP(B858,[1]LifeList!$E$2:$G$2036,3)</f>
        <v>Estrilda astrild</v>
      </c>
      <c r="G858" s="3" t="str">
        <f>VLOOKUP(B858,[1]LifeList!$E$2:$I$2036,4)</f>
        <v>Passeriformes</v>
      </c>
      <c r="H858" s="3" t="str">
        <f>VLOOKUP(B858,[1]LifeList!$E$2:$I$2036,5)</f>
        <v>Estrildidae (Waxbills and Allies)</v>
      </c>
    </row>
    <row r="859" spans="1:8" x14ac:dyDescent="0.15">
      <c r="A859" s="3" t="s">
        <v>814</v>
      </c>
      <c r="B859" s="3" t="s">
        <v>4263</v>
      </c>
      <c r="C859" s="3">
        <v>34028</v>
      </c>
      <c r="D859" s="3" t="str">
        <f>VLOOKUP(B859,[1]LifeList!$E$2:$G$2036,1)</f>
        <v>Common Yellowthroat</v>
      </c>
      <c r="E859" s="3" t="str">
        <f>VLOOKUP(B859,[1]LifeList!$E$2:$G$2036,2)</f>
        <v>Paruline masquée</v>
      </c>
      <c r="F859" s="3" t="str">
        <f>VLOOKUP(B859,[1]LifeList!$E$2:$G$2036,3)</f>
        <v>Geothlypis trichas</v>
      </c>
      <c r="G859" s="3" t="str">
        <f>VLOOKUP(B859,[1]LifeList!$E$2:$I$2036,4)</f>
        <v>Passeriformes</v>
      </c>
      <c r="H859" s="3" t="str">
        <f>VLOOKUP(B859,[1]LifeList!$E$2:$I$2036,5)</f>
        <v>Parulidae (New World Warblers)</v>
      </c>
    </row>
    <row r="860" spans="1:8" x14ac:dyDescent="0.15">
      <c r="A860" s="3" t="s">
        <v>815</v>
      </c>
      <c r="B860" s="3" t="s">
        <v>4263</v>
      </c>
      <c r="C860" s="3">
        <v>34028</v>
      </c>
      <c r="D860" s="3" t="str">
        <f>VLOOKUP(B860,[1]LifeList!$E$2:$G$2036,1)</f>
        <v>Common Yellowthroat</v>
      </c>
      <c r="E860" s="3" t="str">
        <f>VLOOKUP(B860,[1]LifeList!$E$2:$G$2036,2)</f>
        <v>Paruline masquée</v>
      </c>
      <c r="F860" s="3" t="str">
        <f>VLOOKUP(B860,[1]LifeList!$E$2:$G$2036,3)</f>
        <v>Geothlypis trichas</v>
      </c>
      <c r="G860" s="3" t="str">
        <f>VLOOKUP(B860,[1]LifeList!$E$2:$I$2036,4)</f>
        <v>Passeriformes</v>
      </c>
      <c r="H860" s="3" t="str">
        <f>VLOOKUP(B860,[1]LifeList!$E$2:$I$2036,5)</f>
        <v>Parulidae (New World Warblers)</v>
      </c>
    </row>
    <row r="861" spans="1:8" x14ac:dyDescent="0.15">
      <c r="A861" s="3" t="s">
        <v>816</v>
      </c>
      <c r="B861" s="3" t="s">
        <v>4263</v>
      </c>
      <c r="C861" s="3">
        <v>34028</v>
      </c>
      <c r="D861" s="3" t="str">
        <f>VLOOKUP(B861,[1]LifeList!$E$2:$G$2036,1)</f>
        <v>Common Yellowthroat</v>
      </c>
      <c r="E861" s="3" t="str">
        <f>VLOOKUP(B861,[1]LifeList!$E$2:$G$2036,2)</f>
        <v>Paruline masquée</v>
      </c>
      <c r="F861" s="3" t="str">
        <f>VLOOKUP(B861,[1]LifeList!$E$2:$G$2036,3)</f>
        <v>Geothlypis trichas</v>
      </c>
      <c r="G861" s="3" t="str">
        <f>VLOOKUP(B861,[1]LifeList!$E$2:$I$2036,4)</f>
        <v>Passeriformes</v>
      </c>
      <c r="H861" s="3" t="str">
        <f>VLOOKUP(B861,[1]LifeList!$E$2:$I$2036,5)</f>
        <v>Parulidae (New World Warblers)</v>
      </c>
    </row>
    <row r="862" spans="1:8" x14ac:dyDescent="0.15">
      <c r="A862" s="3" t="s">
        <v>817</v>
      </c>
      <c r="B862" s="3" t="s">
        <v>4263</v>
      </c>
      <c r="C862" s="3">
        <v>34028</v>
      </c>
      <c r="D862" s="3" t="str">
        <f>VLOOKUP(B862,[1]LifeList!$E$2:$G$2036,1)</f>
        <v>Common Yellowthroat</v>
      </c>
      <c r="E862" s="3" t="str">
        <f>VLOOKUP(B862,[1]LifeList!$E$2:$G$2036,2)</f>
        <v>Paruline masquée</v>
      </c>
      <c r="F862" s="3" t="str">
        <f>VLOOKUP(B862,[1]LifeList!$E$2:$G$2036,3)</f>
        <v>Geothlypis trichas</v>
      </c>
      <c r="G862" s="3" t="str">
        <f>VLOOKUP(B862,[1]LifeList!$E$2:$I$2036,4)</f>
        <v>Passeriformes</v>
      </c>
      <c r="H862" s="3" t="str">
        <f>VLOOKUP(B862,[1]LifeList!$E$2:$I$2036,5)</f>
        <v>Parulidae (New World Warblers)</v>
      </c>
    </row>
    <row r="863" spans="1:8" x14ac:dyDescent="0.15">
      <c r="A863" s="3" t="s">
        <v>818</v>
      </c>
      <c r="B863" s="3" t="s">
        <v>4263</v>
      </c>
      <c r="C863" s="3">
        <v>34028</v>
      </c>
      <c r="D863" s="3" t="str">
        <f>VLOOKUP(B863,[1]LifeList!$E$2:$G$2036,1)</f>
        <v>Common Yellowthroat</v>
      </c>
      <c r="E863" s="3" t="str">
        <f>VLOOKUP(B863,[1]LifeList!$E$2:$G$2036,2)</f>
        <v>Paruline masquée</v>
      </c>
      <c r="F863" s="3" t="str">
        <f>VLOOKUP(B863,[1]LifeList!$E$2:$G$2036,3)</f>
        <v>Geothlypis trichas</v>
      </c>
      <c r="G863" s="3" t="str">
        <f>VLOOKUP(B863,[1]LifeList!$E$2:$I$2036,4)</f>
        <v>Passeriformes</v>
      </c>
      <c r="H863" s="3" t="str">
        <f>VLOOKUP(B863,[1]LifeList!$E$2:$I$2036,5)</f>
        <v>Parulidae (New World Warblers)</v>
      </c>
    </row>
    <row r="864" spans="1:8" x14ac:dyDescent="0.15">
      <c r="A864" s="3" t="s">
        <v>819</v>
      </c>
      <c r="B864" s="3" t="s">
        <v>4263</v>
      </c>
      <c r="C864" s="3">
        <v>34028</v>
      </c>
      <c r="D864" s="3" t="str">
        <f>VLOOKUP(B864,[1]LifeList!$E$2:$G$2036,1)</f>
        <v>Common Yellowthroat</v>
      </c>
      <c r="E864" s="3" t="str">
        <f>VLOOKUP(B864,[1]LifeList!$E$2:$G$2036,2)</f>
        <v>Paruline masquée</v>
      </c>
      <c r="F864" s="3" t="str">
        <f>VLOOKUP(B864,[1]LifeList!$E$2:$G$2036,3)</f>
        <v>Geothlypis trichas</v>
      </c>
      <c r="G864" s="3" t="str">
        <f>VLOOKUP(B864,[1]LifeList!$E$2:$I$2036,4)</f>
        <v>Passeriformes</v>
      </c>
      <c r="H864" s="3" t="str">
        <f>VLOOKUP(B864,[1]LifeList!$E$2:$I$2036,5)</f>
        <v>Parulidae (New World Warblers)</v>
      </c>
    </row>
    <row r="865" spans="1:8" x14ac:dyDescent="0.15">
      <c r="A865" s="3" t="s">
        <v>820</v>
      </c>
      <c r="B865" s="3" t="s">
        <v>4263</v>
      </c>
      <c r="C865" s="3">
        <v>34028</v>
      </c>
      <c r="D865" s="3" t="str">
        <f>VLOOKUP(B865,[1]LifeList!$E$2:$G$2036,1)</f>
        <v>Common Yellowthroat</v>
      </c>
      <c r="E865" s="3" t="str">
        <f>VLOOKUP(B865,[1]LifeList!$E$2:$G$2036,2)</f>
        <v>Paruline masquée</v>
      </c>
      <c r="F865" s="3" t="str">
        <f>VLOOKUP(B865,[1]LifeList!$E$2:$G$2036,3)</f>
        <v>Geothlypis trichas</v>
      </c>
      <c r="G865" s="3" t="str">
        <f>VLOOKUP(B865,[1]LifeList!$E$2:$I$2036,4)</f>
        <v>Passeriformes</v>
      </c>
      <c r="H865" s="3" t="str">
        <f>VLOOKUP(B865,[1]LifeList!$E$2:$I$2036,5)</f>
        <v>Parulidae (New World Warblers)</v>
      </c>
    </row>
    <row r="866" spans="1:8" x14ac:dyDescent="0.15">
      <c r="A866" s="3" t="s">
        <v>821</v>
      </c>
      <c r="B866" s="3" t="s">
        <v>4263</v>
      </c>
      <c r="C866" s="3">
        <v>34028</v>
      </c>
      <c r="D866" s="3" t="str">
        <f>VLOOKUP(B866,[1]LifeList!$E$2:$G$2036,1)</f>
        <v>Common Yellowthroat</v>
      </c>
      <c r="E866" s="3" t="str">
        <f>VLOOKUP(B866,[1]LifeList!$E$2:$G$2036,2)</f>
        <v>Paruline masquée</v>
      </c>
      <c r="F866" s="3" t="str">
        <f>VLOOKUP(B866,[1]LifeList!$E$2:$G$2036,3)</f>
        <v>Geothlypis trichas</v>
      </c>
      <c r="G866" s="3" t="str">
        <f>VLOOKUP(B866,[1]LifeList!$E$2:$I$2036,4)</f>
        <v>Passeriformes</v>
      </c>
      <c r="H866" s="3" t="str">
        <f>VLOOKUP(B866,[1]LifeList!$E$2:$I$2036,5)</f>
        <v>Parulidae (New World Warblers)</v>
      </c>
    </row>
    <row r="867" spans="1:8" x14ac:dyDescent="0.15">
      <c r="A867" s="3" t="s">
        <v>822</v>
      </c>
      <c r="B867" s="3" t="s">
        <v>4263</v>
      </c>
      <c r="C867" s="3">
        <v>34028</v>
      </c>
      <c r="D867" s="3" t="str">
        <f>VLOOKUP(B867,[1]LifeList!$E$2:$G$2036,1)</f>
        <v>Common Yellowthroat</v>
      </c>
      <c r="E867" s="3" t="str">
        <f>VLOOKUP(B867,[1]LifeList!$E$2:$G$2036,2)</f>
        <v>Paruline masquée</v>
      </c>
      <c r="F867" s="3" t="str">
        <f>VLOOKUP(B867,[1]LifeList!$E$2:$G$2036,3)</f>
        <v>Geothlypis trichas</v>
      </c>
      <c r="G867" s="3" t="str">
        <f>VLOOKUP(B867,[1]LifeList!$E$2:$I$2036,4)</f>
        <v>Passeriformes</v>
      </c>
      <c r="H867" s="3" t="str">
        <f>VLOOKUP(B867,[1]LifeList!$E$2:$I$2036,5)</f>
        <v>Parulidae (New World Warblers)</v>
      </c>
    </row>
    <row r="868" spans="1:8" x14ac:dyDescent="0.15">
      <c r="A868" s="3" t="s">
        <v>823</v>
      </c>
      <c r="B868" s="3" t="s">
        <v>4263</v>
      </c>
      <c r="C868" s="3">
        <v>34028</v>
      </c>
      <c r="D868" s="3" t="str">
        <f>VLOOKUP(B868,[1]LifeList!$E$2:$G$2036,1)</f>
        <v>Common Yellowthroat</v>
      </c>
      <c r="E868" s="3" t="str">
        <f>VLOOKUP(B868,[1]LifeList!$E$2:$G$2036,2)</f>
        <v>Paruline masquée</v>
      </c>
      <c r="F868" s="3" t="str">
        <f>VLOOKUP(B868,[1]LifeList!$E$2:$G$2036,3)</f>
        <v>Geothlypis trichas</v>
      </c>
      <c r="G868" s="3" t="str">
        <f>VLOOKUP(B868,[1]LifeList!$E$2:$I$2036,4)</f>
        <v>Passeriformes</v>
      </c>
      <c r="H868" s="3" t="str">
        <f>VLOOKUP(B868,[1]LifeList!$E$2:$I$2036,5)</f>
        <v>Parulidae (New World Warblers)</v>
      </c>
    </row>
    <row r="869" spans="1:8" x14ac:dyDescent="0.15">
      <c r="A869" s="3" t="s">
        <v>824</v>
      </c>
      <c r="B869" s="3" t="s">
        <v>4263</v>
      </c>
      <c r="C869" s="3">
        <v>34028</v>
      </c>
      <c r="D869" s="3" t="str">
        <f>VLOOKUP(B869,[1]LifeList!$E$2:$G$2036,1)</f>
        <v>Common Yellowthroat</v>
      </c>
      <c r="E869" s="3" t="str">
        <f>VLOOKUP(B869,[1]LifeList!$E$2:$G$2036,2)</f>
        <v>Paruline masquée</v>
      </c>
      <c r="F869" s="3" t="str">
        <f>VLOOKUP(B869,[1]LifeList!$E$2:$G$2036,3)</f>
        <v>Geothlypis trichas</v>
      </c>
      <c r="G869" s="3" t="str">
        <f>VLOOKUP(B869,[1]LifeList!$E$2:$I$2036,4)</f>
        <v>Passeriformes</v>
      </c>
      <c r="H869" s="3" t="str">
        <f>VLOOKUP(B869,[1]LifeList!$E$2:$I$2036,5)</f>
        <v>Parulidae (New World Warblers)</v>
      </c>
    </row>
    <row r="870" spans="1:8" x14ac:dyDescent="0.15">
      <c r="A870" s="3" t="s">
        <v>825</v>
      </c>
      <c r="B870" s="3" t="s">
        <v>4263</v>
      </c>
      <c r="C870" s="3">
        <v>34028</v>
      </c>
      <c r="D870" s="3" t="str">
        <f>VLOOKUP(B870,[1]LifeList!$E$2:$G$2036,1)</f>
        <v>Common Yellowthroat</v>
      </c>
      <c r="E870" s="3" t="str">
        <f>VLOOKUP(B870,[1]LifeList!$E$2:$G$2036,2)</f>
        <v>Paruline masquée</v>
      </c>
      <c r="F870" s="3" t="str">
        <f>VLOOKUP(B870,[1]LifeList!$E$2:$G$2036,3)</f>
        <v>Geothlypis trichas</v>
      </c>
      <c r="G870" s="3" t="str">
        <f>VLOOKUP(B870,[1]LifeList!$E$2:$I$2036,4)</f>
        <v>Passeriformes</v>
      </c>
      <c r="H870" s="3" t="str">
        <f>VLOOKUP(B870,[1]LifeList!$E$2:$I$2036,5)</f>
        <v>Parulidae (New World Warblers)</v>
      </c>
    </row>
    <row r="871" spans="1:8" x14ac:dyDescent="0.15">
      <c r="A871" s="3" t="s">
        <v>826</v>
      </c>
      <c r="B871" s="3" t="s">
        <v>4263</v>
      </c>
      <c r="C871" s="3">
        <v>34028</v>
      </c>
      <c r="D871" s="3" t="str">
        <f>VLOOKUP(B871,[1]LifeList!$E$2:$G$2036,1)</f>
        <v>Common Yellowthroat</v>
      </c>
      <c r="E871" s="3" t="str">
        <f>VLOOKUP(B871,[1]LifeList!$E$2:$G$2036,2)</f>
        <v>Paruline masquée</v>
      </c>
      <c r="F871" s="3" t="str">
        <f>VLOOKUP(B871,[1]LifeList!$E$2:$G$2036,3)</f>
        <v>Geothlypis trichas</v>
      </c>
      <c r="G871" s="3" t="str">
        <f>VLOOKUP(B871,[1]LifeList!$E$2:$I$2036,4)</f>
        <v>Passeriformes</v>
      </c>
      <c r="H871" s="3" t="str">
        <f>VLOOKUP(B871,[1]LifeList!$E$2:$I$2036,5)</f>
        <v>Parulidae (New World Warblers)</v>
      </c>
    </row>
    <row r="872" spans="1:8" x14ac:dyDescent="0.15">
      <c r="A872" s="3" t="s">
        <v>827</v>
      </c>
      <c r="B872" s="3" t="s">
        <v>4263</v>
      </c>
      <c r="C872" s="3">
        <v>34028</v>
      </c>
      <c r="D872" s="3" t="str">
        <f>VLOOKUP(B872,[1]LifeList!$E$2:$G$2036,1)</f>
        <v>Common Yellowthroat</v>
      </c>
      <c r="E872" s="3" t="str">
        <f>VLOOKUP(B872,[1]LifeList!$E$2:$G$2036,2)</f>
        <v>Paruline masquée</v>
      </c>
      <c r="F872" s="3" t="str">
        <f>VLOOKUP(B872,[1]LifeList!$E$2:$G$2036,3)</f>
        <v>Geothlypis trichas</v>
      </c>
      <c r="G872" s="3" t="str">
        <f>VLOOKUP(B872,[1]LifeList!$E$2:$I$2036,4)</f>
        <v>Passeriformes</v>
      </c>
      <c r="H872" s="3" t="str">
        <f>VLOOKUP(B872,[1]LifeList!$E$2:$I$2036,5)</f>
        <v>Parulidae (New World Warblers)</v>
      </c>
    </row>
    <row r="873" spans="1:8" x14ac:dyDescent="0.15">
      <c r="A873" s="3" t="s">
        <v>828</v>
      </c>
      <c r="B873" s="3" t="s">
        <v>4263</v>
      </c>
      <c r="C873" s="3">
        <v>34028</v>
      </c>
      <c r="D873" s="3" t="str">
        <f>VLOOKUP(B873,[1]LifeList!$E$2:$G$2036,1)</f>
        <v>Common Yellowthroat</v>
      </c>
      <c r="E873" s="3" t="str">
        <f>VLOOKUP(B873,[1]LifeList!$E$2:$G$2036,2)</f>
        <v>Paruline masquée</v>
      </c>
      <c r="F873" s="3" t="str">
        <f>VLOOKUP(B873,[1]LifeList!$E$2:$G$2036,3)</f>
        <v>Geothlypis trichas</v>
      </c>
      <c r="G873" s="3" t="str">
        <f>VLOOKUP(B873,[1]LifeList!$E$2:$I$2036,4)</f>
        <v>Passeriformes</v>
      </c>
      <c r="H873" s="3" t="str">
        <f>VLOOKUP(B873,[1]LifeList!$E$2:$I$2036,5)</f>
        <v>Parulidae (New World Warblers)</v>
      </c>
    </row>
    <row r="874" spans="1:8" x14ac:dyDescent="0.15">
      <c r="A874" s="3" t="s">
        <v>3842</v>
      </c>
      <c r="B874" s="3" t="s">
        <v>4263</v>
      </c>
      <c r="C874" s="3">
        <v>34028</v>
      </c>
      <c r="D874" s="3" t="str">
        <f>VLOOKUP(B874,[1]LifeList!$E$2:$G$2036,1)</f>
        <v>Common Yellowthroat</v>
      </c>
      <c r="E874" s="3" t="str">
        <f>VLOOKUP(B874,[1]LifeList!$E$2:$G$2036,2)</f>
        <v>Paruline masquée</v>
      </c>
      <c r="F874" s="3" t="str">
        <f>VLOOKUP(B874,[1]LifeList!$E$2:$G$2036,3)</f>
        <v>Geothlypis trichas</v>
      </c>
      <c r="G874" s="3" t="str">
        <f>VLOOKUP(B874,[1]LifeList!$E$2:$I$2036,4)</f>
        <v>Passeriformes</v>
      </c>
      <c r="H874" s="3" t="str">
        <f>VLOOKUP(B874,[1]LifeList!$E$2:$I$2036,5)</f>
        <v>Parulidae (New World Warblers)</v>
      </c>
    </row>
    <row r="875" spans="1:8" x14ac:dyDescent="0.15">
      <c r="A875" s="3" t="s">
        <v>829</v>
      </c>
      <c r="B875" s="3" t="s">
        <v>4263</v>
      </c>
      <c r="C875" s="3">
        <v>34028</v>
      </c>
      <c r="D875" s="3" t="str">
        <f>VLOOKUP(B875,[1]LifeList!$E$2:$G$2036,1)</f>
        <v>Common Yellowthroat</v>
      </c>
      <c r="E875" s="3" t="str">
        <f>VLOOKUP(B875,[1]LifeList!$E$2:$G$2036,2)</f>
        <v>Paruline masquée</v>
      </c>
      <c r="F875" s="3" t="str">
        <f>VLOOKUP(B875,[1]LifeList!$E$2:$G$2036,3)</f>
        <v>Geothlypis trichas</v>
      </c>
      <c r="G875" s="3" t="str">
        <f>VLOOKUP(B875,[1]LifeList!$E$2:$I$2036,4)</f>
        <v>Passeriformes</v>
      </c>
      <c r="H875" s="3" t="str">
        <f>VLOOKUP(B875,[1]LifeList!$E$2:$I$2036,5)</f>
        <v>Parulidae (New World Warblers)</v>
      </c>
    </row>
    <row r="876" spans="1:8" x14ac:dyDescent="0.15">
      <c r="A876" s="3" t="s">
        <v>813</v>
      </c>
      <c r="B876" s="3" t="s">
        <v>4263</v>
      </c>
      <c r="C876" s="3">
        <v>34028</v>
      </c>
      <c r="D876" s="3" t="str">
        <f>VLOOKUP(B876,[1]LifeList!$E$2:$G$2036,1)</f>
        <v>Common Yellowthroat</v>
      </c>
      <c r="E876" s="3" t="str">
        <f>VLOOKUP(B876,[1]LifeList!$E$2:$G$2036,2)</f>
        <v>Paruline masquée</v>
      </c>
      <c r="F876" s="3" t="str">
        <f>VLOOKUP(B876,[1]LifeList!$E$2:$G$2036,3)</f>
        <v>Geothlypis trichas</v>
      </c>
      <c r="G876" s="3" t="str">
        <f>VLOOKUP(B876,[1]LifeList!$E$2:$I$2036,4)</f>
        <v>Passeriformes</v>
      </c>
      <c r="H876" s="3" t="str">
        <f>VLOOKUP(B876,[1]LifeList!$E$2:$I$2036,5)</f>
        <v>Parulidae (New World Warblers)</v>
      </c>
    </row>
    <row r="877" spans="1:8" x14ac:dyDescent="0.15">
      <c r="A877" s="3" t="s">
        <v>3843</v>
      </c>
      <c r="B877" s="3" t="s">
        <v>5220</v>
      </c>
      <c r="C877" s="3">
        <v>17808</v>
      </c>
      <c r="D877" s="3" t="str">
        <f>VLOOKUP(B877,[1]LifeList!$E$2:$G$2036,1)</f>
        <v>Cooper's Hawk</v>
      </c>
      <c r="E877" s="3" t="str">
        <f>VLOOKUP(B877,[1]LifeList!$E$2:$G$2036,2)</f>
        <v>Épervier de Cooper</v>
      </c>
      <c r="F877" s="3" t="str">
        <f>VLOOKUP(B877,[1]LifeList!$E$2:$G$2036,3)</f>
        <v>Astur cooperii</v>
      </c>
      <c r="G877" s="3" t="str">
        <f>VLOOKUP(B877,[1]LifeList!$E$2:$I$2036,4)</f>
        <v>Accipitriformes</v>
      </c>
      <c r="H877" s="3" t="str">
        <f>VLOOKUP(B877,[1]LifeList!$E$2:$I$2036,5)</f>
        <v>Accipitridae (Hawks, Eagles, and Kites)</v>
      </c>
    </row>
    <row r="878" spans="1:8" x14ac:dyDescent="0.15">
      <c r="A878" s="3" t="s">
        <v>3844</v>
      </c>
      <c r="B878" s="3" t="s">
        <v>5220</v>
      </c>
      <c r="C878" s="3">
        <v>17808</v>
      </c>
      <c r="D878" s="3" t="str">
        <f>VLOOKUP(B878,[1]LifeList!$E$2:$G$2036,1)</f>
        <v>Cooper's Hawk</v>
      </c>
      <c r="E878" s="3" t="str">
        <f>VLOOKUP(B878,[1]LifeList!$E$2:$G$2036,2)</f>
        <v>Épervier de Cooper</v>
      </c>
      <c r="F878" s="3" t="str">
        <f>VLOOKUP(B878,[1]LifeList!$E$2:$G$2036,3)</f>
        <v>Astur cooperii</v>
      </c>
      <c r="G878" s="3" t="str">
        <f>VLOOKUP(B878,[1]LifeList!$E$2:$I$2036,4)</f>
        <v>Accipitriformes</v>
      </c>
      <c r="H878" s="3" t="str">
        <f>VLOOKUP(B878,[1]LifeList!$E$2:$I$2036,5)</f>
        <v>Accipitridae (Hawks, Eagles, and Kites)</v>
      </c>
    </row>
    <row r="879" spans="1:8" x14ac:dyDescent="0.15">
      <c r="A879" s="3" t="s">
        <v>3845</v>
      </c>
      <c r="B879" s="3" t="s">
        <v>5220</v>
      </c>
      <c r="C879" s="3">
        <v>17808</v>
      </c>
      <c r="D879" s="3" t="str">
        <f>VLOOKUP(B879,[1]LifeList!$E$2:$G$2036,1)</f>
        <v>Cooper's Hawk</v>
      </c>
      <c r="E879" s="3" t="str">
        <f>VLOOKUP(B879,[1]LifeList!$E$2:$G$2036,2)</f>
        <v>Épervier de Cooper</v>
      </c>
      <c r="F879" s="3" t="str">
        <f>VLOOKUP(B879,[1]LifeList!$E$2:$G$2036,3)</f>
        <v>Astur cooperii</v>
      </c>
      <c r="G879" s="3" t="str">
        <f>VLOOKUP(B879,[1]LifeList!$E$2:$I$2036,4)</f>
        <v>Accipitriformes</v>
      </c>
      <c r="H879" s="3" t="str">
        <f>VLOOKUP(B879,[1]LifeList!$E$2:$I$2036,5)</f>
        <v>Accipitridae (Hawks, Eagles, and Kites)</v>
      </c>
    </row>
    <row r="880" spans="1:8" x14ac:dyDescent="0.15">
      <c r="A880" s="3" t="s">
        <v>836</v>
      </c>
      <c r="B880" s="3" t="s">
        <v>4264</v>
      </c>
      <c r="C880" s="3">
        <v>5091</v>
      </c>
      <c r="D880" s="3" t="str">
        <f>VLOOKUP(B880,[1]LifeList!$E$2:$G$2036,1)</f>
        <v>Copper-rumped Hummingbird</v>
      </c>
      <c r="E880" s="3" t="str">
        <f>VLOOKUP(B880,[1]LifeList!$E$2:$G$2036,2)</f>
        <v>Ariane de Félicie</v>
      </c>
      <c r="F880" s="3" t="str">
        <f>VLOOKUP(B880,[1]LifeList!$E$2:$G$2036,3)</f>
        <v>Saucerottia tobaci</v>
      </c>
      <c r="G880" s="3" t="str">
        <f>VLOOKUP(B880,[1]LifeList!$E$2:$I$2036,4)</f>
        <v>Apodiformes</v>
      </c>
      <c r="H880" s="3" t="str">
        <f>VLOOKUP(B880,[1]LifeList!$E$2:$I$2036,5)</f>
        <v>Trochilidae (Hummingbirds)</v>
      </c>
    </row>
    <row r="881" spans="1:8" x14ac:dyDescent="0.15">
      <c r="A881" s="3" t="s">
        <v>837</v>
      </c>
      <c r="B881" s="3" t="s">
        <v>4265</v>
      </c>
      <c r="C881" s="3">
        <v>5008</v>
      </c>
      <c r="D881" s="3" t="str">
        <f>VLOOKUP(B881,[1]LifeList!$E$2:$G$2036,1)</f>
        <v>Coppery-headed Emerald</v>
      </c>
      <c r="E881" s="3" t="str">
        <f>VLOOKUP(B881,[1]LifeList!$E$2:$G$2036,2)</f>
        <v>Colibri à tête cuivrée</v>
      </c>
      <c r="F881" s="3" t="str">
        <f>VLOOKUP(B881,[1]LifeList!$E$2:$G$2036,3)</f>
        <v>Microchera cupreiceps</v>
      </c>
      <c r="G881" s="3" t="str">
        <f>VLOOKUP(B881,[1]LifeList!$E$2:$I$2036,4)</f>
        <v>Apodiformes</v>
      </c>
      <c r="H881" s="3" t="str">
        <f>VLOOKUP(B881,[1]LifeList!$E$2:$I$2036,5)</f>
        <v>Trochilidae (Hummingbirds)</v>
      </c>
    </row>
    <row r="882" spans="1:8" x14ac:dyDescent="0.15">
      <c r="A882" s="3" t="s">
        <v>838</v>
      </c>
      <c r="B882" s="3" t="s">
        <v>4265</v>
      </c>
      <c r="C882" s="3">
        <v>5008</v>
      </c>
      <c r="D882" s="3" t="str">
        <f>VLOOKUP(B882,[1]LifeList!$E$2:$G$2036,1)</f>
        <v>Coppery-headed Emerald</v>
      </c>
      <c r="E882" s="3" t="str">
        <f>VLOOKUP(B882,[1]LifeList!$E$2:$G$2036,2)</f>
        <v>Colibri à tête cuivrée</v>
      </c>
      <c r="F882" s="3" t="str">
        <f>VLOOKUP(B882,[1]LifeList!$E$2:$G$2036,3)</f>
        <v>Microchera cupreiceps</v>
      </c>
      <c r="G882" s="3" t="str">
        <f>VLOOKUP(B882,[1]LifeList!$E$2:$I$2036,4)</f>
        <v>Apodiformes</v>
      </c>
      <c r="H882" s="3" t="str">
        <f>VLOOKUP(B882,[1]LifeList!$E$2:$I$2036,5)</f>
        <v>Trochilidae (Hummingbirds)</v>
      </c>
    </row>
    <row r="883" spans="1:8" x14ac:dyDescent="0.15">
      <c r="A883" s="3" t="s">
        <v>839</v>
      </c>
      <c r="B883" s="3" t="s">
        <v>4265</v>
      </c>
      <c r="C883" s="3">
        <v>5008</v>
      </c>
      <c r="D883" s="3" t="str">
        <f>VLOOKUP(B883,[1]LifeList!$E$2:$G$2036,1)</f>
        <v>Coppery-headed Emerald</v>
      </c>
      <c r="E883" s="3" t="str">
        <f>VLOOKUP(B883,[1]LifeList!$E$2:$G$2036,2)</f>
        <v>Colibri à tête cuivrée</v>
      </c>
      <c r="F883" s="3" t="str">
        <f>VLOOKUP(B883,[1]LifeList!$E$2:$G$2036,3)</f>
        <v>Microchera cupreiceps</v>
      </c>
      <c r="G883" s="3" t="str">
        <f>VLOOKUP(B883,[1]LifeList!$E$2:$I$2036,4)</f>
        <v>Apodiformes</v>
      </c>
      <c r="H883" s="3" t="str">
        <f>VLOOKUP(B883,[1]LifeList!$E$2:$I$2036,5)</f>
        <v>Trochilidae (Hummingbirds)</v>
      </c>
    </row>
    <row r="884" spans="1:8" x14ac:dyDescent="0.15">
      <c r="A884" s="3" t="s">
        <v>840</v>
      </c>
      <c r="B884" s="3" t="s">
        <v>4265</v>
      </c>
      <c r="C884" s="3">
        <v>5008</v>
      </c>
      <c r="D884" s="3" t="str">
        <f>VLOOKUP(B884,[1]LifeList!$E$2:$G$2036,1)</f>
        <v>Coppery-headed Emerald</v>
      </c>
      <c r="E884" s="3" t="str">
        <f>VLOOKUP(B884,[1]LifeList!$E$2:$G$2036,2)</f>
        <v>Colibri à tête cuivrée</v>
      </c>
      <c r="F884" s="3" t="str">
        <f>VLOOKUP(B884,[1]LifeList!$E$2:$G$2036,3)</f>
        <v>Microchera cupreiceps</v>
      </c>
      <c r="G884" s="3" t="str">
        <f>VLOOKUP(B884,[1]LifeList!$E$2:$I$2036,4)</f>
        <v>Apodiformes</v>
      </c>
      <c r="H884" s="3" t="str">
        <f>VLOOKUP(B884,[1]LifeList!$E$2:$I$2036,5)</f>
        <v>Trochilidae (Hummingbirds)</v>
      </c>
    </row>
    <row r="885" spans="1:8" x14ac:dyDescent="0.15">
      <c r="A885" s="3" t="s">
        <v>841</v>
      </c>
      <c r="B885" s="3" t="s">
        <v>4266</v>
      </c>
      <c r="C885" s="3">
        <v>3108</v>
      </c>
      <c r="D885" s="3" t="str">
        <f>VLOOKUP(B885,[1]LifeList!$E$2:$G$2036,1)</f>
        <v>Coppery-tailed Coucal</v>
      </c>
      <c r="E885" s="3" t="str">
        <f>VLOOKUP(B885,[1]LifeList!$E$2:$G$2036,2)</f>
        <v>Coucal des papyrus</v>
      </c>
      <c r="F885" s="3" t="str">
        <f>VLOOKUP(B885,[1]LifeList!$E$2:$G$2036,3)</f>
        <v>Centropus cupreicaudus</v>
      </c>
      <c r="G885" s="3" t="str">
        <f>VLOOKUP(B885,[1]LifeList!$E$2:$I$2036,4)</f>
        <v>Cuculiformes</v>
      </c>
      <c r="H885" s="3" t="str">
        <f>VLOOKUP(B885,[1]LifeList!$E$2:$I$2036,5)</f>
        <v>Cuculidae (Cuckoos)</v>
      </c>
    </row>
    <row r="886" spans="1:8" x14ac:dyDescent="0.15">
      <c r="A886" s="3" t="s">
        <v>3846</v>
      </c>
      <c r="B886" s="3" t="s">
        <v>5221</v>
      </c>
      <c r="C886" s="3">
        <v>17808</v>
      </c>
      <c r="D886" s="3" t="str">
        <f>VLOOKUP(B886,[1]LifeList!$E$2:$G$2036,1)</f>
        <v>Coquerel's Coua</v>
      </c>
      <c r="E886" s="3" t="str">
        <f>VLOOKUP(B886,[1]LifeList!$E$2:$G$2036,2)</f>
        <v>Coua de Coquerel</v>
      </c>
      <c r="F886" s="3" t="str">
        <f>VLOOKUP(B886,[1]LifeList!$E$2:$G$2036,3)</f>
        <v>Coua coquereli</v>
      </c>
      <c r="G886" s="3" t="str">
        <f>VLOOKUP(B886,[1]LifeList!$E$2:$I$2036,4)</f>
        <v>Cuculiformes</v>
      </c>
      <c r="H886" s="3" t="str">
        <f>VLOOKUP(B886,[1]LifeList!$E$2:$I$2036,5)</f>
        <v>Cuculidae (Cuckoos)</v>
      </c>
    </row>
    <row r="887" spans="1:8" x14ac:dyDescent="0.15">
      <c r="A887" s="3" t="s">
        <v>842</v>
      </c>
      <c r="B887" s="3" t="s">
        <v>4267</v>
      </c>
      <c r="C887" s="3">
        <v>1660</v>
      </c>
      <c r="D887" s="3" t="str">
        <f>VLOOKUP(B887,[1]LifeList!$E$2:$G$2036,1)</f>
        <v>Coqui Francolin</v>
      </c>
      <c r="E887" s="3" t="str">
        <f>VLOOKUP(B887,[1]LifeList!$E$2:$G$2036,2)</f>
        <v>Francolin coqui</v>
      </c>
      <c r="F887" s="3" t="str">
        <f>VLOOKUP(B887,[1]LifeList!$E$2:$G$2036,3)</f>
        <v>Campocolinus coqui</v>
      </c>
      <c r="G887" s="3" t="str">
        <f>VLOOKUP(B887,[1]LifeList!$E$2:$I$2036,4)</f>
        <v>Galliformes</v>
      </c>
      <c r="H887" s="3" t="str">
        <f>VLOOKUP(B887,[1]LifeList!$E$2:$I$2036,5)</f>
        <v>Phasianidae (Pheasants, Grouse, and Allies)</v>
      </c>
    </row>
    <row r="888" spans="1:8" x14ac:dyDescent="0.15">
      <c r="A888" s="3" t="s">
        <v>843</v>
      </c>
      <c r="B888" s="3" t="s">
        <v>3752</v>
      </c>
      <c r="C888" s="3">
        <v>34268</v>
      </c>
      <c r="D888" s="3" t="str">
        <f>VLOOKUP(B888,[1]LifeList!$E$2:$G$2036,1)</f>
        <v>Costa Rican Warbler</v>
      </c>
      <c r="E888" s="3" t="str">
        <f>VLOOKUP(B888,[1]LifeList!$E$2:$G$2036,2)</f>
        <v>Paruline du Costa Rica</v>
      </c>
      <c r="F888" s="3" t="str">
        <f>VLOOKUP(B888,[1]LifeList!$E$2:$G$2036,3)</f>
        <v>Basileuterus melanotis</v>
      </c>
      <c r="G888" s="3" t="str">
        <f>VLOOKUP(B888,[1]LifeList!$E$2:$I$2036,4)</f>
        <v>Passeriformes</v>
      </c>
      <c r="H888" s="3" t="str">
        <f>VLOOKUP(B888,[1]LifeList!$E$2:$I$2036,5)</f>
        <v>Parulidae (New World Warblers)</v>
      </c>
    </row>
    <row r="889" spans="1:8" x14ac:dyDescent="0.15">
      <c r="A889" s="3" t="s">
        <v>844</v>
      </c>
      <c r="B889" s="3" t="s">
        <v>4268</v>
      </c>
      <c r="C889" s="3">
        <v>6306</v>
      </c>
      <c r="D889" s="3" t="str">
        <f>VLOOKUP(B889,[1]LifeList!$E$2:$G$2036,1)</f>
        <v>Crab-Plover</v>
      </c>
      <c r="E889" s="3" t="str">
        <f>VLOOKUP(B889,[1]LifeList!$E$2:$G$2036,2)</f>
        <v>Drome ardéole</v>
      </c>
      <c r="F889" s="3" t="str">
        <f>VLOOKUP(B889,[1]LifeList!$E$2:$G$2036,3)</f>
        <v>Dromas ardeola</v>
      </c>
      <c r="G889" s="3" t="str">
        <f>VLOOKUP(B889,[1]LifeList!$E$2:$I$2036,4)</f>
        <v>Charadriiformes</v>
      </c>
      <c r="H889" s="3" t="str">
        <f>VLOOKUP(B889,[1]LifeList!$E$2:$I$2036,5)</f>
        <v>Dromadidae (Crab-Plover)</v>
      </c>
    </row>
    <row r="890" spans="1:8" x14ac:dyDescent="0.15">
      <c r="A890" s="3" t="s">
        <v>845</v>
      </c>
      <c r="B890" s="3" t="s">
        <v>4268</v>
      </c>
      <c r="C890" s="3">
        <v>6306</v>
      </c>
      <c r="D890" s="3" t="str">
        <f>VLOOKUP(B890,[1]LifeList!$E$2:$G$2036,1)</f>
        <v>Crab-Plover</v>
      </c>
      <c r="E890" s="3" t="str">
        <f>VLOOKUP(B890,[1]LifeList!$E$2:$G$2036,2)</f>
        <v>Drome ardéole</v>
      </c>
      <c r="F890" s="3" t="str">
        <f>VLOOKUP(B890,[1]LifeList!$E$2:$G$2036,3)</f>
        <v>Dromas ardeola</v>
      </c>
      <c r="G890" s="3" t="str">
        <f>VLOOKUP(B890,[1]LifeList!$E$2:$I$2036,4)</f>
        <v>Charadriiformes</v>
      </c>
      <c r="H890" s="3" t="str">
        <f>VLOOKUP(B890,[1]LifeList!$E$2:$I$2036,5)</f>
        <v>Dromadidae (Crab-Plover)</v>
      </c>
    </row>
    <row r="891" spans="1:8" x14ac:dyDescent="0.15">
      <c r="A891" s="3" t="s">
        <v>846</v>
      </c>
      <c r="B891" s="3" t="s">
        <v>4269</v>
      </c>
      <c r="C891" s="3">
        <v>18099</v>
      </c>
      <c r="D891" s="3" t="str">
        <f>VLOOKUP(B891,[1]LifeList!$E$2:$G$2036,1)</f>
        <v>Crescent Honeyeater</v>
      </c>
      <c r="E891" s="3" t="str">
        <f>VLOOKUP(B891,[1]LifeList!$E$2:$G$2036,2)</f>
        <v>Méliphage à croissants</v>
      </c>
      <c r="F891" s="3" t="str">
        <f>VLOOKUP(B891,[1]LifeList!$E$2:$G$2036,3)</f>
        <v>Phylidonyris pyrrhopterus</v>
      </c>
      <c r="G891" s="3" t="str">
        <f>VLOOKUP(B891,[1]LifeList!$E$2:$I$2036,4)</f>
        <v>Passeriformes</v>
      </c>
      <c r="H891" s="3" t="str">
        <f>VLOOKUP(B891,[1]LifeList!$E$2:$I$2036,5)</f>
        <v>Meliphagidae (Honeyeaters)</v>
      </c>
    </row>
    <row r="892" spans="1:8" x14ac:dyDescent="0.15">
      <c r="A892" s="3" t="s">
        <v>847</v>
      </c>
      <c r="B892" s="3" t="s">
        <v>4270</v>
      </c>
      <c r="C892" s="3">
        <v>10535</v>
      </c>
      <c r="D892" s="3" t="str">
        <f>VLOOKUP(B892,[1]LifeList!$E$2:$G$2036,1)</f>
        <v>Crested Barbet</v>
      </c>
      <c r="E892" s="3" t="str">
        <f>VLOOKUP(B892,[1]LifeList!$E$2:$G$2036,2)</f>
        <v>Barbican promépic</v>
      </c>
      <c r="F892" s="3" t="str">
        <f>VLOOKUP(B892,[1]LifeList!$E$2:$G$2036,3)</f>
        <v>Trachyphonus vaillantii</v>
      </c>
      <c r="G892" s="3" t="str">
        <f>VLOOKUP(B892,[1]LifeList!$E$2:$I$2036,4)</f>
        <v>Piciformes</v>
      </c>
      <c r="H892" s="3" t="str">
        <f>VLOOKUP(B892,[1]LifeList!$E$2:$I$2036,5)</f>
        <v>Lybiidae (African Barbets)</v>
      </c>
    </row>
    <row r="893" spans="1:8" x14ac:dyDescent="0.15">
      <c r="A893" s="3" t="s">
        <v>848</v>
      </c>
      <c r="B893" s="3" t="s">
        <v>4271</v>
      </c>
      <c r="C893" s="3">
        <v>11962</v>
      </c>
      <c r="D893" s="3" t="str">
        <f>VLOOKUP(B893,[1]LifeList!$E$2:$G$2036,1)</f>
        <v>Crested Caracara</v>
      </c>
      <c r="E893" s="3" t="str">
        <f>VLOOKUP(B893,[1]LifeList!$E$2:$G$2036,2)</f>
        <v>Caracara huppé</v>
      </c>
      <c r="F893" s="3" t="str">
        <f>VLOOKUP(B893,[1]LifeList!$E$2:$G$2036,3)</f>
        <v>Caracara plancus</v>
      </c>
      <c r="G893" s="3" t="str">
        <f>VLOOKUP(B893,[1]LifeList!$E$2:$I$2036,4)</f>
        <v>Falconiformes</v>
      </c>
      <c r="H893" s="3" t="str">
        <f>VLOOKUP(B893,[1]LifeList!$E$2:$I$2036,5)</f>
        <v>Falconidae (Falcons and Caracaras)</v>
      </c>
    </row>
    <row r="894" spans="1:8" x14ac:dyDescent="0.15">
      <c r="A894" s="3" t="s">
        <v>849</v>
      </c>
      <c r="B894" s="3" t="s">
        <v>4271</v>
      </c>
      <c r="C894" s="3">
        <v>11962</v>
      </c>
      <c r="D894" s="3" t="str">
        <f>VLOOKUP(B894,[1]LifeList!$E$2:$G$2036,1)</f>
        <v>Crested Caracara</v>
      </c>
      <c r="E894" s="3" t="str">
        <f>VLOOKUP(B894,[1]LifeList!$E$2:$G$2036,2)</f>
        <v>Caracara huppé</v>
      </c>
      <c r="F894" s="3" t="str">
        <f>VLOOKUP(B894,[1]LifeList!$E$2:$G$2036,3)</f>
        <v>Caracara plancus</v>
      </c>
      <c r="G894" s="3" t="str">
        <f>VLOOKUP(B894,[1]LifeList!$E$2:$I$2036,4)</f>
        <v>Falconiformes</v>
      </c>
      <c r="H894" s="3" t="str">
        <f>VLOOKUP(B894,[1]LifeList!$E$2:$I$2036,5)</f>
        <v>Falconidae (Falcons and Caracaras)</v>
      </c>
    </row>
    <row r="895" spans="1:8" x14ac:dyDescent="0.15">
      <c r="A895" s="3" t="s">
        <v>850</v>
      </c>
      <c r="B895" s="3" t="s">
        <v>4271</v>
      </c>
      <c r="C895" s="3">
        <v>11962</v>
      </c>
      <c r="D895" s="3" t="str">
        <f>VLOOKUP(B895,[1]LifeList!$E$2:$G$2036,1)</f>
        <v>Crested Caracara</v>
      </c>
      <c r="E895" s="3" t="str">
        <f>VLOOKUP(B895,[1]LifeList!$E$2:$G$2036,2)</f>
        <v>Caracara huppé</v>
      </c>
      <c r="F895" s="3" t="str">
        <f>VLOOKUP(B895,[1]LifeList!$E$2:$G$2036,3)</f>
        <v>Caracara plancus</v>
      </c>
      <c r="G895" s="3" t="str">
        <f>VLOOKUP(B895,[1]LifeList!$E$2:$I$2036,4)</f>
        <v>Falconiformes</v>
      </c>
      <c r="H895" s="3" t="str">
        <f>VLOOKUP(B895,[1]LifeList!$E$2:$I$2036,5)</f>
        <v>Falconidae (Falcons and Caracaras)</v>
      </c>
    </row>
    <row r="896" spans="1:8" x14ac:dyDescent="0.15">
      <c r="A896" s="3" t="s">
        <v>851</v>
      </c>
      <c r="B896" s="3" t="s">
        <v>4271</v>
      </c>
      <c r="C896" s="3">
        <v>11962</v>
      </c>
      <c r="D896" s="3" t="str">
        <f>VLOOKUP(B896,[1]LifeList!$E$2:$G$2036,1)</f>
        <v>Crested Caracara</v>
      </c>
      <c r="E896" s="3" t="str">
        <f>VLOOKUP(B896,[1]LifeList!$E$2:$G$2036,2)</f>
        <v>Caracara huppé</v>
      </c>
      <c r="F896" s="3" t="str">
        <f>VLOOKUP(B896,[1]LifeList!$E$2:$G$2036,3)</f>
        <v>Caracara plancus</v>
      </c>
      <c r="G896" s="3" t="str">
        <f>VLOOKUP(B896,[1]LifeList!$E$2:$I$2036,4)</f>
        <v>Falconiformes</v>
      </c>
      <c r="H896" s="3" t="str">
        <f>VLOOKUP(B896,[1]LifeList!$E$2:$I$2036,5)</f>
        <v>Falconidae (Falcons and Caracaras)</v>
      </c>
    </row>
    <row r="897" spans="1:8" x14ac:dyDescent="0.15">
      <c r="A897" s="3" t="s">
        <v>852</v>
      </c>
      <c r="B897" s="3" t="s">
        <v>4271</v>
      </c>
      <c r="C897" s="3">
        <v>11962</v>
      </c>
      <c r="D897" s="3" t="str">
        <f>VLOOKUP(B897,[1]LifeList!$E$2:$G$2036,1)</f>
        <v>Crested Caracara</v>
      </c>
      <c r="E897" s="3" t="str">
        <f>VLOOKUP(B897,[1]LifeList!$E$2:$G$2036,2)</f>
        <v>Caracara huppé</v>
      </c>
      <c r="F897" s="3" t="str">
        <f>VLOOKUP(B897,[1]LifeList!$E$2:$G$2036,3)</f>
        <v>Caracara plancus</v>
      </c>
      <c r="G897" s="3" t="str">
        <f>VLOOKUP(B897,[1]LifeList!$E$2:$I$2036,4)</f>
        <v>Falconiformes</v>
      </c>
      <c r="H897" s="3" t="str">
        <f>VLOOKUP(B897,[1]LifeList!$E$2:$I$2036,5)</f>
        <v>Falconidae (Falcons and Caracaras)</v>
      </c>
    </row>
    <row r="898" spans="1:8" x14ac:dyDescent="0.15">
      <c r="A898" s="3" t="s">
        <v>853</v>
      </c>
      <c r="B898" s="3" t="s">
        <v>4271</v>
      </c>
      <c r="C898" s="3">
        <v>11962</v>
      </c>
      <c r="D898" s="3" t="str">
        <f>VLOOKUP(B898,[1]LifeList!$E$2:$G$2036,1)</f>
        <v>Crested Caracara</v>
      </c>
      <c r="E898" s="3" t="str">
        <f>VLOOKUP(B898,[1]LifeList!$E$2:$G$2036,2)</f>
        <v>Caracara huppé</v>
      </c>
      <c r="F898" s="3" t="str">
        <f>VLOOKUP(B898,[1]LifeList!$E$2:$G$2036,3)</f>
        <v>Caracara plancus</v>
      </c>
      <c r="G898" s="3" t="str">
        <f>VLOOKUP(B898,[1]LifeList!$E$2:$I$2036,4)</f>
        <v>Falconiformes</v>
      </c>
      <c r="H898" s="3" t="str">
        <f>VLOOKUP(B898,[1]LifeList!$E$2:$I$2036,5)</f>
        <v>Falconidae (Falcons and Caracaras)</v>
      </c>
    </row>
    <row r="899" spans="1:8" x14ac:dyDescent="0.15">
      <c r="A899" s="3" t="s">
        <v>854</v>
      </c>
      <c r="B899" s="3" t="s">
        <v>4272</v>
      </c>
      <c r="C899" s="3">
        <v>3058</v>
      </c>
      <c r="D899" s="3" t="str">
        <f>VLOOKUP(B899,[1]LifeList!$E$2:$G$2036,1)</f>
        <v>Crested Coua</v>
      </c>
      <c r="E899" s="3" t="str">
        <f>VLOOKUP(B899,[1]LifeList!$E$2:$G$2036,2)</f>
        <v>Coua huppé</v>
      </c>
      <c r="F899" s="3" t="str">
        <f>VLOOKUP(B899,[1]LifeList!$E$2:$G$2036,3)</f>
        <v>Coua cristata</v>
      </c>
      <c r="G899" s="3" t="str">
        <f>VLOOKUP(B899,[1]LifeList!$E$2:$I$2036,4)</f>
        <v>Cuculiformes</v>
      </c>
      <c r="H899" s="3" t="str">
        <f>VLOOKUP(B899,[1]LifeList!$E$2:$I$2036,5)</f>
        <v>Cuculidae (Cuckoos)</v>
      </c>
    </row>
    <row r="900" spans="1:8" x14ac:dyDescent="0.15">
      <c r="A900" s="3" t="s">
        <v>855</v>
      </c>
      <c r="B900" s="3" t="s">
        <v>4272</v>
      </c>
      <c r="C900" s="3">
        <v>3058</v>
      </c>
      <c r="D900" s="3" t="str">
        <f>VLOOKUP(B900,[1]LifeList!$E$2:$G$2036,1)</f>
        <v>Crested Coua</v>
      </c>
      <c r="E900" s="3" t="str">
        <f>VLOOKUP(B900,[1]LifeList!$E$2:$G$2036,2)</f>
        <v>Coua huppé</v>
      </c>
      <c r="F900" s="3" t="str">
        <f>VLOOKUP(B900,[1]LifeList!$E$2:$G$2036,3)</f>
        <v>Coua cristata</v>
      </c>
      <c r="G900" s="3" t="str">
        <f>VLOOKUP(B900,[1]LifeList!$E$2:$I$2036,4)</f>
        <v>Cuculiformes</v>
      </c>
      <c r="H900" s="3" t="str">
        <f>VLOOKUP(B900,[1]LifeList!$E$2:$I$2036,5)</f>
        <v>Cuculidae (Cuckoos)</v>
      </c>
    </row>
    <row r="901" spans="1:8" x14ac:dyDescent="0.15">
      <c r="A901" s="3" t="s">
        <v>856</v>
      </c>
      <c r="B901" s="3" t="s">
        <v>4273</v>
      </c>
      <c r="C901" s="3">
        <v>20430</v>
      </c>
      <c r="D901" s="3" t="str">
        <f>VLOOKUP(B901,[1]LifeList!$E$2:$G$2036,1)</f>
        <v>Crested Drongo</v>
      </c>
      <c r="E901" s="3" t="str">
        <f>VLOOKUP(B901,[1]LifeList!$E$2:$G$2036,2)</f>
        <v>Drongo malgache</v>
      </c>
      <c r="F901" s="3" t="str">
        <f>VLOOKUP(B901,[1]LifeList!$E$2:$G$2036,3)</f>
        <v>Dicrurus forficatus</v>
      </c>
      <c r="G901" s="3" t="str">
        <f>VLOOKUP(B901,[1]LifeList!$E$2:$I$2036,4)</f>
        <v>Passeriformes</v>
      </c>
      <c r="H901" s="3" t="str">
        <f>VLOOKUP(B901,[1]LifeList!$E$2:$I$2036,5)</f>
        <v>Dicruridae (Drongos)</v>
      </c>
    </row>
    <row r="902" spans="1:8" x14ac:dyDescent="0.15">
      <c r="A902" s="3" t="s">
        <v>857</v>
      </c>
      <c r="B902" s="3" t="s">
        <v>4273</v>
      </c>
      <c r="C902" s="3">
        <v>20430</v>
      </c>
      <c r="D902" s="3" t="str">
        <f>VLOOKUP(B902,[1]LifeList!$E$2:$G$2036,1)</f>
        <v>Crested Drongo</v>
      </c>
      <c r="E902" s="3" t="str">
        <f>VLOOKUP(B902,[1]LifeList!$E$2:$G$2036,2)</f>
        <v>Drongo malgache</v>
      </c>
      <c r="F902" s="3" t="str">
        <f>VLOOKUP(B902,[1]LifeList!$E$2:$G$2036,3)</f>
        <v>Dicrurus forficatus</v>
      </c>
      <c r="G902" s="3" t="str">
        <f>VLOOKUP(B902,[1]LifeList!$E$2:$I$2036,4)</f>
        <v>Passeriformes</v>
      </c>
      <c r="H902" s="3" t="str">
        <f>VLOOKUP(B902,[1]LifeList!$E$2:$I$2036,5)</f>
        <v>Dicruridae (Drongos)</v>
      </c>
    </row>
    <row r="903" spans="1:8" x14ac:dyDescent="0.15">
      <c r="A903" s="3" t="s">
        <v>858</v>
      </c>
      <c r="B903" s="3" t="s">
        <v>4273</v>
      </c>
      <c r="C903" s="3">
        <v>20430</v>
      </c>
      <c r="D903" s="3" t="str">
        <f>VLOOKUP(B903,[1]LifeList!$E$2:$G$2036,1)</f>
        <v>Crested Drongo</v>
      </c>
      <c r="E903" s="3" t="str">
        <f>VLOOKUP(B903,[1]LifeList!$E$2:$G$2036,2)</f>
        <v>Drongo malgache</v>
      </c>
      <c r="F903" s="3" t="str">
        <f>VLOOKUP(B903,[1]LifeList!$E$2:$G$2036,3)</f>
        <v>Dicrurus forficatus</v>
      </c>
      <c r="G903" s="3" t="str">
        <f>VLOOKUP(B903,[1]LifeList!$E$2:$I$2036,4)</f>
        <v>Passeriformes</v>
      </c>
      <c r="H903" s="3" t="str">
        <f>VLOOKUP(B903,[1]LifeList!$E$2:$I$2036,5)</f>
        <v>Dicruridae (Drongos)</v>
      </c>
    </row>
    <row r="904" spans="1:8" x14ac:dyDescent="0.15">
      <c r="A904" s="3" t="s">
        <v>859</v>
      </c>
      <c r="B904" s="3" t="s">
        <v>4274</v>
      </c>
      <c r="C904" s="3">
        <v>8083</v>
      </c>
      <c r="D904" s="3" t="str">
        <f>VLOOKUP(B904,[1]LifeList!$E$2:$G$2036,1)</f>
        <v>Crested Eagle</v>
      </c>
      <c r="E904" s="3" t="str">
        <f>VLOOKUP(B904,[1]LifeList!$E$2:$G$2036,2)</f>
        <v>Harpie huppée</v>
      </c>
      <c r="F904" s="3" t="str">
        <f>VLOOKUP(B904,[1]LifeList!$E$2:$G$2036,3)</f>
        <v>Morphnus guianensis</v>
      </c>
      <c r="G904" s="3" t="str">
        <f>VLOOKUP(B904,[1]LifeList!$E$2:$I$2036,4)</f>
        <v>Accipitriformes</v>
      </c>
      <c r="H904" s="3" t="str">
        <f>VLOOKUP(B904,[1]LifeList!$E$2:$I$2036,5)</f>
        <v>Accipitridae (Hawks, Eagles, and Kites)</v>
      </c>
    </row>
    <row r="905" spans="1:8" x14ac:dyDescent="0.15">
      <c r="A905" s="3" t="s">
        <v>860</v>
      </c>
      <c r="B905" s="3" t="s">
        <v>4274</v>
      </c>
      <c r="C905" s="3">
        <v>8083</v>
      </c>
      <c r="D905" s="3" t="str">
        <f>VLOOKUP(B905,[1]LifeList!$E$2:$G$2036,1)</f>
        <v>Crested Eagle</v>
      </c>
      <c r="E905" s="3" t="str">
        <f>VLOOKUP(B905,[1]LifeList!$E$2:$G$2036,2)</f>
        <v>Harpie huppée</v>
      </c>
      <c r="F905" s="3" t="str">
        <f>VLOOKUP(B905,[1]LifeList!$E$2:$G$2036,3)</f>
        <v>Morphnus guianensis</v>
      </c>
      <c r="G905" s="3" t="str">
        <f>VLOOKUP(B905,[1]LifeList!$E$2:$I$2036,4)</f>
        <v>Accipitriformes</v>
      </c>
      <c r="H905" s="3" t="str">
        <f>VLOOKUP(B905,[1]LifeList!$E$2:$I$2036,5)</f>
        <v>Accipitridae (Hawks, Eagles, and Kites)</v>
      </c>
    </row>
    <row r="906" spans="1:8" x14ac:dyDescent="0.15">
      <c r="A906" s="3" t="s">
        <v>861</v>
      </c>
      <c r="B906" s="3" t="s">
        <v>4275</v>
      </c>
      <c r="C906" s="3">
        <v>1632</v>
      </c>
      <c r="D906" s="3" t="str">
        <f>VLOOKUP(B906,[1]LifeList!$E$2:$G$2036,1)</f>
        <v>Crested Francolin</v>
      </c>
      <c r="E906" s="3" t="str">
        <f>VLOOKUP(B906,[1]LifeList!$E$2:$G$2036,2)</f>
        <v>Francolin huppé</v>
      </c>
      <c r="F906" s="3" t="str">
        <f>VLOOKUP(B906,[1]LifeList!$E$2:$G$2036,3)</f>
        <v>Ortygornis sephaena</v>
      </c>
      <c r="G906" s="3" t="str">
        <f>VLOOKUP(B906,[1]LifeList!$E$2:$I$2036,4)</f>
        <v>Galliformes</v>
      </c>
      <c r="H906" s="3" t="str">
        <f>VLOOKUP(B906,[1]LifeList!$E$2:$I$2036,5)</f>
        <v>Phasianidae (Pheasants, Grouse, and Allies)</v>
      </c>
    </row>
    <row r="907" spans="1:8" x14ac:dyDescent="0.15">
      <c r="A907" s="3" t="s">
        <v>862</v>
      </c>
      <c r="B907" s="3" t="s">
        <v>4275</v>
      </c>
      <c r="C907" s="3">
        <v>1632</v>
      </c>
      <c r="D907" s="3" t="str">
        <f>VLOOKUP(B907,[1]LifeList!$E$2:$G$2036,1)</f>
        <v>Crested Francolin</v>
      </c>
      <c r="E907" s="3" t="str">
        <f>VLOOKUP(B907,[1]LifeList!$E$2:$G$2036,2)</f>
        <v>Francolin huppé</v>
      </c>
      <c r="F907" s="3" t="str">
        <f>VLOOKUP(B907,[1]LifeList!$E$2:$G$2036,3)</f>
        <v>Ortygornis sephaena</v>
      </c>
      <c r="G907" s="3" t="str">
        <f>VLOOKUP(B907,[1]LifeList!$E$2:$I$2036,4)</f>
        <v>Galliformes</v>
      </c>
      <c r="H907" s="3" t="str">
        <f>VLOOKUP(B907,[1]LifeList!$E$2:$I$2036,5)</f>
        <v>Phasianidae (Pheasants, Grouse, and Allies)</v>
      </c>
    </row>
    <row r="908" spans="1:8" x14ac:dyDescent="0.15">
      <c r="A908" s="3" t="s">
        <v>863</v>
      </c>
      <c r="B908" s="3" t="s">
        <v>4276</v>
      </c>
      <c r="C908" s="3">
        <v>884</v>
      </c>
      <c r="D908" s="3" t="str">
        <f>VLOOKUP(B908,[1]LifeList!$E$2:$G$2036,1)</f>
        <v>Crested Guan</v>
      </c>
      <c r="E908" s="3" t="str">
        <f>VLOOKUP(B908,[1]LifeList!$E$2:$G$2036,2)</f>
        <v>Pénélope panachée</v>
      </c>
      <c r="F908" s="3" t="str">
        <f>VLOOKUP(B908,[1]LifeList!$E$2:$G$2036,3)</f>
        <v>Penelope purpurascens</v>
      </c>
      <c r="G908" s="3" t="str">
        <f>VLOOKUP(B908,[1]LifeList!$E$2:$I$2036,4)</f>
        <v>Galliformes</v>
      </c>
      <c r="H908" s="3" t="str">
        <f>VLOOKUP(B908,[1]LifeList!$E$2:$I$2036,5)</f>
        <v>Cracidae (Guans, Chachalacas, and Curassows)</v>
      </c>
    </row>
    <row r="909" spans="1:8" x14ac:dyDescent="0.15">
      <c r="A909" s="3" t="s">
        <v>864</v>
      </c>
      <c r="B909" s="3" t="s">
        <v>4276</v>
      </c>
      <c r="C909" s="3">
        <v>884</v>
      </c>
      <c r="D909" s="3" t="str">
        <f>VLOOKUP(B909,[1]LifeList!$E$2:$G$2036,1)</f>
        <v>Crested Guan</v>
      </c>
      <c r="E909" s="3" t="str">
        <f>VLOOKUP(B909,[1]LifeList!$E$2:$G$2036,2)</f>
        <v>Pénélope panachée</v>
      </c>
      <c r="F909" s="3" t="str">
        <f>VLOOKUP(B909,[1]LifeList!$E$2:$G$2036,3)</f>
        <v>Penelope purpurascens</v>
      </c>
      <c r="G909" s="3" t="str">
        <f>VLOOKUP(B909,[1]LifeList!$E$2:$I$2036,4)</f>
        <v>Galliformes</v>
      </c>
      <c r="H909" s="3" t="str">
        <f>VLOOKUP(B909,[1]LifeList!$E$2:$I$2036,5)</f>
        <v>Cracidae (Guans, Chachalacas, and Curassows)</v>
      </c>
    </row>
    <row r="910" spans="1:8" x14ac:dyDescent="0.15">
      <c r="A910" s="3" t="s">
        <v>865</v>
      </c>
      <c r="B910" s="3" t="s">
        <v>4276</v>
      </c>
      <c r="C910" s="3">
        <v>884</v>
      </c>
      <c r="D910" s="3" t="str">
        <f>VLOOKUP(B910,[1]LifeList!$E$2:$G$2036,1)</f>
        <v>Crested Guan</v>
      </c>
      <c r="E910" s="3" t="str">
        <f>VLOOKUP(B910,[1]LifeList!$E$2:$G$2036,2)</f>
        <v>Pénélope panachée</v>
      </c>
      <c r="F910" s="3" t="str">
        <f>VLOOKUP(B910,[1]LifeList!$E$2:$G$2036,3)</f>
        <v>Penelope purpurascens</v>
      </c>
      <c r="G910" s="3" t="str">
        <f>VLOOKUP(B910,[1]LifeList!$E$2:$I$2036,4)</f>
        <v>Galliformes</v>
      </c>
      <c r="H910" s="3" t="str">
        <f>VLOOKUP(B910,[1]LifeList!$E$2:$I$2036,5)</f>
        <v>Cracidae (Guans, Chachalacas, and Curassows)</v>
      </c>
    </row>
    <row r="911" spans="1:8" x14ac:dyDescent="0.15">
      <c r="A911" s="3" t="s">
        <v>867</v>
      </c>
      <c r="B911" s="3" t="s">
        <v>4277</v>
      </c>
      <c r="C911" s="3">
        <v>33624</v>
      </c>
      <c r="D911" s="3" t="str">
        <f>VLOOKUP(B911,[1]LifeList!$E$2:$G$2036,1)</f>
        <v>Crested Oropendola</v>
      </c>
      <c r="E911" s="3" t="str">
        <f>VLOOKUP(B911,[1]LifeList!$E$2:$G$2036,2)</f>
        <v>Cassique huppé</v>
      </c>
      <c r="F911" s="3" t="str">
        <f>VLOOKUP(B911,[1]LifeList!$E$2:$G$2036,3)</f>
        <v>Psarocolius decumanus</v>
      </c>
      <c r="G911" s="3" t="str">
        <f>VLOOKUP(B911,[1]LifeList!$E$2:$I$2036,4)</f>
        <v>Passeriformes</v>
      </c>
      <c r="H911" s="3" t="str">
        <f>VLOOKUP(B911,[1]LifeList!$E$2:$I$2036,5)</f>
        <v>Icteridae (Troupials and Allies)</v>
      </c>
    </row>
    <row r="912" spans="1:8" x14ac:dyDescent="0.15">
      <c r="A912" s="3" t="s">
        <v>868</v>
      </c>
      <c r="B912" s="3" t="s">
        <v>4277</v>
      </c>
      <c r="C912" s="3">
        <v>33624</v>
      </c>
      <c r="D912" s="3" t="str">
        <f>VLOOKUP(B912,[1]LifeList!$E$2:$G$2036,1)</f>
        <v>Crested Oropendola</v>
      </c>
      <c r="E912" s="3" t="str">
        <f>VLOOKUP(B912,[1]LifeList!$E$2:$G$2036,2)</f>
        <v>Cassique huppé</v>
      </c>
      <c r="F912" s="3" t="str">
        <f>VLOOKUP(B912,[1]LifeList!$E$2:$G$2036,3)</f>
        <v>Psarocolius decumanus</v>
      </c>
      <c r="G912" s="3" t="str">
        <f>VLOOKUP(B912,[1]LifeList!$E$2:$I$2036,4)</f>
        <v>Passeriformes</v>
      </c>
      <c r="H912" s="3" t="str">
        <f>VLOOKUP(B912,[1]LifeList!$E$2:$I$2036,5)</f>
        <v>Icteridae (Troupials and Allies)</v>
      </c>
    </row>
    <row r="913" spans="1:8" x14ac:dyDescent="0.15">
      <c r="A913" s="3" t="s">
        <v>869</v>
      </c>
      <c r="B913" s="3" t="s">
        <v>4277</v>
      </c>
      <c r="C913" s="3">
        <v>33624</v>
      </c>
      <c r="D913" s="3" t="str">
        <f>VLOOKUP(B913,[1]LifeList!$E$2:$G$2036,1)</f>
        <v>Crested Oropendola</v>
      </c>
      <c r="E913" s="3" t="str">
        <f>VLOOKUP(B913,[1]LifeList!$E$2:$G$2036,2)</f>
        <v>Cassique huppé</v>
      </c>
      <c r="F913" s="3" t="str">
        <f>VLOOKUP(B913,[1]LifeList!$E$2:$G$2036,3)</f>
        <v>Psarocolius decumanus</v>
      </c>
      <c r="G913" s="3" t="str">
        <f>VLOOKUP(B913,[1]LifeList!$E$2:$I$2036,4)</f>
        <v>Passeriformes</v>
      </c>
      <c r="H913" s="3" t="str">
        <f>VLOOKUP(B913,[1]LifeList!$E$2:$I$2036,5)</f>
        <v>Icteridae (Troupials and Allies)</v>
      </c>
    </row>
    <row r="914" spans="1:8" x14ac:dyDescent="0.15">
      <c r="A914" s="3" t="s">
        <v>870</v>
      </c>
      <c r="B914" s="3" t="s">
        <v>4277</v>
      </c>
      <c r="C914" s="3">
        <v>33624</v>
      </c>
      <c r="D914" s="3" t="str">
        <f>VLOOKUP(B914,[1]LifeList!$E$2:$G$2036,1)</f>
        <v>Crested Oropendola</v>
      </c>
      <c r="E914" s="3" t="str">
        <f>VLOOKUP(B914,[1]LifeList!$E$2:$G$2036,2)</f>
        <v>Cassique huppé</v>
      </c>
      <c r="F914" s="3" t="str">
        <f>VLOOKUP(B914,[1]LifeList!$E$2:$G$2036,3)</f>
        <v>Psarocolius decumanus</v>
      </c>
      <c r="G914" s="3" t="str">
        <f>VLOOKUP(B914,[1]LifeList!$E$2:$I$2036,4)</f>
        <v>Passeriformes</v>
      </c>
      <c r="H914" s="3" t="str">
        <f>VLOOKUP(B914,[1]LifeList!$E$2:$I$2036,5)</f>
        <v>Icteridae (Troupials and Allies)</v>
      </c>
    </row>
    <row r="915" spans="1:8" x14ac:dyDescent="0.15">
      <c r="A915" s="3" t="s">
        <v>871</v>
      </c>
      <c r="B915" s="3" t="s">
        <v>4277</v>
      </c>
      <c r="C915" s="3">
        <v>33624</v>
      </c>
      <c r="D915" s="3" t="str">
        <f>VLOOKUP(B915,[1]LifeList!$E$2:$G$2036,1)</f>
        <v>Crested Oropendola</v>
      </c>
      <c r="E915" s="3" t="str">
        <f>VLOOKUP(B915,[1]LifeList!$E$2:$G$2036,2)</f>
        <v>Cassique huppé</v>
      </c>
      <c r="F915" s="3" t="str">
        <f>VLOOKUP(B915,[1]LifeList!$E$2:$G$2036,3)</f>
        <v>Psarocolius decumanus</v>
      </c>
      <c r="G915" s="3" t="str">
        <f>VLOOKUP(B915,[1]LifeList!$E$2:$I$2036,4)</f>
        <v>Passeriformes</v>
      </c>
      <c r="H915" s="3" t="str">
        <f>VLOOKUP(B915,[1]LifeList!$E$2:$I$2036,5)</f>
        <v>Icteridae (Troupials and Allies)</v>
      </c>
    </row>
    <row r="916" spans="1:8" x14ac:dyDescent="0.15">
      <c r="A916" s="3" t="s">
        <v>872</v>
      </c>
      <c r="B916" s="3" t="s">
        <v>4277</v>
      </c>
      <c r="C916" s="3">
        <v>33624</v>
      </c>
      <c r="D916" s="3" t="str">
        <f>VLOOKUP(B916,[1]LifeList!$E$2:$G$2036,1)</f>
        <v>Crested Oropendola</v>
      </c>
      <c r="E916" s="3" t="str">
        <f>VLOOKUP(B916,[1]LifeList!$E$2:$G$2036,2)</f>
        <v>Cassique huppé</v>
      </c>
      <c r="F916" s="3" t="str">
        <f>VLOOKUP(B916,[1]LifeList!$E$2:$G$2036,3)</f>
        <v>Psarocolius decumanus</v>
      </c>
      <c r="G916" s="3" t="str">
        <f>VLOOKUP(B916,[1]LifeList!$E$2:$I$2036,4)</f>
        <v>Passeriformes</v>
      </c>
      <c r="H916" s="3" t="str">
        <f>VLOOKUP(B916,[1]LifeList!$E$2:$I$2036,5)</f>
        <v>Icteridae (Troupials and Allies)</v>
      </c>
    </row>
    <row r="917" spans="1:8" x14ac:dyDescent="0.15">
      <c r="A917" s="3" t="s">
        <v>866</v>
      </c>
      <c r="B917" s="3" t="s">
        <v>4277</v>
      </c>
      <c r="C917" s="3">
        <v>33624</v>
      </c>
      <c r="D917" s="3" t="str">
        <f>VLOOKUP(B917,[1]LifeList!$E$2:$G$2036,1)</f>
        <v>Crested Oropendola</v>
      </c>
      <c r="E917" s="3" t="str">
        <f>VLOOKUP(B917,[1]LifeList!$E$2:$G$2036,2)</f>
        <v>Cassique huppé</v>
      </c>
      <c r="F917" s="3" t="str">
        <f>VLOOKUP(B917,[1]LifeList!$E$2:$G$2036,3)</f>
        <v>Psarocolius decumanus</v>
      </c>
      <c r="G917" s="3" t="str">
        <f>VLOOKUP(B917,[1]LifeList!$E$2:$I$2036,4)</f>
        <v>Passeriformes</v>
      </c>
      <c r="H917" s="3" t="str">
        <f>VLOOKUP(B917,[1]LifeList!$E$2:$I$2036,5)</f>
        <v>Icteridae (Troupials and Allies)</v>
      </c>
    </row>
    <row r="918" spans="1:8" x14ac:dyDescent="0.15">
      <c r="A918" s="3" t="s">
        <v>873</v>
      </c>
      <c r="B918" s="3" t="s">
        <v>4278</v>
      </c>
      <c r="C918" s="3">
        <v>8892</v>
      </c>
      <c r="D918" s="3" t="str">
        <f>VLOOKUP(B918,[1]LifeList!$E$2:$G$2036,1)</f>
        <v>Crested Owl</v>
      </c>
      <c r="E918" s="3" t="str">
        <f>VLOOKUP(B918,[1]LifeList!$E$2:$G$2036,2)</f>
        <v>Duc à aigrettes</v>
      </c>
      <c r="F918" s="3" t="str">
        <f>VLOOKUP(B918,[1]LifeList!$E$2:$G$2036,3)</f>
        <v>Lophostrix cristata</v>
      </c>
      <c r="G918" s="3" t="str">
        <f>VLOOKUP(B918,[1]LifeList!$E$2:$I$2036,4)</f>
        <v>Strigiformes</v>
      </c>
      <c r="H918" s="3" t="str">
        <f>VLOOKUP(B918,[1]LifeList!$E$2:$I$2036,5)</f>
        <v>Strigidae (Owls)</v>
      </c>
    </row>
    <row r="919" spans="1:8" x14ac:dyDescent="0.15">
      <c r="A919" s="3" t="s">
        <v>874</v>
      </c>
      <c r="B919" s="3" t="s">
        <v>4279</v>
      </c>
      <c r="C919" s="3">
        <v>2212</v>
      </c>
      <c r="D919" s="3" t="str">
        <f>VLOOKUP(B919,[1]LifeList!$E$2:$G$2036,1)</f>
        <v>Crested Pigeon</v>
      </c>
      <c r="E919" s="3" t="str">
        <f>VLOOKUP(B919,[1]LifeList!$E$2:$G$2036,2)</f>
        <v>Colombine longup</v>
      </c>
      <c r="F919" s="3" t="str">
        <f>VLOOKUP(B919,[1]LifeList!$E$2:$G$2036,3)</f>
        <v>Ocyphaps lophotes</v>
      </c>
      <c r="G919" s="3" t="str">
        <f>VLOOKUP(B919,[1]LifeList!$E$2:$I$2036,4)</f>
        <v>Columbiformes</v>
      </c>
      <c r="H919" s="3" t="str">
        <f>VLOOKUP(B919,[1]LifeList!$E$2:$I$2036,5)</f>
        <v>Columbidae (Pigeons and Doves)</v>
      </c>
    </row>
    <row r="920" spans="1:8" x14ac:dyDescent="0.15">
      <c r="A920" s="3" t="s">
        <v>896</v>
      </c>
      <c r="B920" s="3" t="s">
        <v>4280</v>
      </c>
      <c r="C920" s="3">
        <v>12480</v>
      </c>
      <c r="D920" s="3" t="str">
        <f>VLOOKUP(B920,[1]LifeList!$E$2:$G$2036,1)</f>
        <v>Crimson Rosella</v>
      </c>
      <c r="E920" s="3" t="str">
        <f>VLOOKUP(B920,[1]LifeList!$E$2:$G$2036,2)</f>
        <v>Perruche de Pennant</v>
      </c>
      <c r="F920" s="3" t="str">
        <f>VLOOKUP(B920,[1]LifeList!$E$2:$G$2036,3)</f>
        <v>Platycercus elegans</v>
      </c>
      <c r="G920" s="3" t="str">
        <f>VLOOKUP(B920,[1]LifeList!$E$2:$I$2036,4)</f>
        <v>Psittaciformes</v>
      </c>
      <c r="H920" s="3" t="str">
        <f>VLOOKUP(B920,[1]LifeList!$E$2:$I$2036,5)</f>
        <v>Psittaculidae (Old World Parrots)</v>
      </c>
    </row>
    <row r="921" spans="1:8" x14ac:dyDescent="0.15">
      <c r="A921" s="3" t="s">
        <v>897</v>
      </c>
      <c r="B921" s="3" t="s">
        <v>4280</v>
      </c>
      <c r="C921" s="3">
        <v>12480</v>
      </c>
      <c r="D921" s="3" t="str">
        <f>VLOOKUP(B921,[1]LifeList!$E$2:$G$2036,1)</f>
        <v>Crimson Rosella</v>
      </c>
      <c r="E921" s="3" t="str">
        <f>VLOOKUP(B921,[1]LifeList!$E$2:$G$2036,2)</f>
        <v>Perruche de Pennant</v>
      </c>
      <c r="F921" s="3" t="str">
        <f>VLOOKUP(B921,[1]LifeList!$E$2:$G$2036,3)</f>
        <v>Platycercus elegans</v>
      </c>
      <c r="G921" s="3" t="str">
        <f>VLOOKUP(B921,[1]LifeList!$E$2:$I$2036,4)</f>
        <v>Psittaciformes</v>
      </c>
      <c r="H921" s="3" t="str">
        <f>VLOOKUP(B921,[1]LifeList!$E$2:$I$2036,5)</f>
        <v>Psittaculidae (Old World Parrots)</v>
      </c>
    </row>
    <row r="922" spans="1:8" x14ac:dyDescent="0.15">
      <c r="A922" s="3" t="s">
        <v>898</v>
      </c>
      <c r="B922" s="3" t="s">
        <v>4280</v>
      </c>
      <c r="C922" s="3">
        <v>12480</v>
      </c>
      <c r="D922" s="3" t="str">
        <f>VLOOKUP(B922,[1]LifeList!$E$2:$G$2036,1)</f>
        <v>Crimson Rosella</v>
      </c>
      <c r="E922" s="3" t="str">
        <f>VLOOKUP(B922,[1]LifeList!$E$2:$G$2036,2)</f>
        <v>Perruche de Pennant</v>
      </c>
      <c r="F922" s="3" t="str">
        <f>VLOOKUP(B922,[1]LifeList!$E$2:$G$2036,3)</f>
        <v>Platycercus elegans</v>
      </c>
      <c r="G922" s="3" t="str">
        <f>VLOOKUP(B922,[1]LifeList!$E$2:$I$2036,4)</f>
        <v>Psittaciformes</v>
      </c>
      <c r="H922" s="3" t="str">
        <f>VLOOKUP(B922,[1]LifeList!$E$2:$I$2036,5)</f>
        <v>Psittaculidae (Old World Parrots)</v>
      </c>
    </row>
    <row r="923" spans="1:8" x14ac:dyDescent="0.15">
      <c r="A923" s="3" t="s">
        <v>899</v>
      </c>
      <c r="B923" s="3" t="s">
        <v>4280</v>
      </c>
      <c r="C923" s="3">
        <v>12480</v>
      </c>
      <c r="D923" s="3" t="str">
        <f>VLOOKUP(B923,[1]LifeList!$E$2:$G$2036,1)</f>
        <v>Crimson Rosella</v>
      </c>
      <c r="E923" s="3" t="str">
        <f>VLOOKUP(B923,[1]LifeList!$E$2:$G$2036,2)</f>
        <v>Perruche de Pennant</v>
      </c>
      <c r="F923" s="3" t="str">
        <f>VLOOKUP(B923,[1]LifeList!$E$2:$G$2036,3)</f>
        <v>Platycercus elegans</v>
      </c>
      <c r="G923" s="3" t="str">
        <f>VLOOKUP(B923,[1]LifeList!$E$2:$I$2036,4)</f>
        <v>Psittaciformes</v>
      </c>
      <c r="H923" s="3" t="str">
        <f>VLOOKUP(B923,[1]LifeList!$E$2:$I$2036,5)</f>
        <v>Psittaculidae (Old World Parrots)</v>
      </c>
    </row>
    <row r="924" spans="1:8" x14ac:dyDescent="0.15">
      <c r="A924" s="3" t="s">
        <v>875</v>
      </c>
      <c r="B924" s="3" t="s">
        <v>4281</v>
      </c>
      <c r="C924" s="3">
        <v>34820</v>
      </c>
      <c r="D924" s="3" t="str">
        <f>VLOOKUP(B924,[1]LifeList!$E$2:$G$2036,1)</f>
        <v>Crimson-backed Tanager</v>
      </c>
      <c r="E924" s="3" t="str">
        <f>VLOOKUP(B924,[1]LifeList!$E$2:$G$2036,2)</f>
        <v>Tangara à dos rouge</v>
      </c>
      <c r="F924" s="3" t="str">
        <f>VLOOKUP(B924,[1]LifeList!$E$2:$G$2036,3)</f>
        <v>Ramphocelus dimidiatus</v>
      </c>
      <c r="G924" s="3" t="str">
        <f>VLOOKUP(B924,[1]LifeList!$E$2:$I$2036,4)</f>
        <v>Passeriformes</v>
      </c>
      <c r="H924" s="3" t="str">
        <f>VLOOKUP(B924,[1]LifeList!$E$2:$I$2036,5)</f>
        <v>Thraupidae (Tanagers and Allies)</v>
      </c>
    </row>
    <row r="925" spans="1:8" x14ac:dyDescent="0.15">
      <c r="A925" s="3" t="s">
        <v>876</v>
      </c>
      <c r="B925" s="3" t="s">
        <v>4281</v>
      </c>
      <c r="C925" s="3">
        <v>34820</v>
      </c>
      <c r="D925" s="3" t="str">
        <f>VLOOKUP(B925,[1]LifeList!$E$2:$G$2036,1)</f>
        <v>Crimson-backed Tanager</v>
      </c>
      <c r="E925" s="3" t="str">
        <f>VLOOKUP(B925,[1]LifeList!$E$2:$G$2036,2)</f>
        <v>Tangara à dos rouge</v>
      </c>
      <c r="F925" s="3" t="str">
        <f>VLOOKUP(B925,[1]LifeList!$E$2:$G$2036,3)</f>
        <v>Ramphocelus dimidiatus</v>
      </c>
      <c r="G925" s="3" t="str">
        <f>VLOOKUP(B925,[1]LifeList!$E$2:$I$2036,4)</f>
        <v>Passeriformes</v>
      </c>
      <c r="H925" s="3" t="str">
        <f>VLOOKUP(B925,[1]LifeList!$E$2:$I$2036,5)</f>
        <v>Thraupidae (Tanagers and Allies)</v>
      </c>
    </row>
    <row r="926" spans="1:8" x14ac:dyDescent="0.15">
      <c r="A926" s="3" t="s">
        <v>877</v>
      </c>
      <c r="B926" s="3" t="s">
        <v>4281</v>
      </c>
      <c r="C926" s="3">
        <v>34820</v>
      </c>
      <c r="D926" s="3" t="str">
        <f>VLOOKUP(B926,[1]LifeList!$E$2:$G$2036,1)</f>
        <v>Crimson-backed Tanager</v>
      </c>
      <c r="E926" s="3" t="str">
        <f>VLOOKUP(B926,[1]LifeList!$E$2:$G$2036,2)</f>
        <v>Tangara à dos rouge</v>
      </c>
      <c r="F926" s="3" t="str">
        <f>VLOOKUP(B926,[1]LifeList!$E$2:$G$2036,3)</f>
        <v>Ramphocelus dimidiatus</v>
      </c>
      <c r="G926" s="3" t="str">
        <f>VLOOKUP(B926,[1]LifeList!$E$2:$I$2036,4)</f>
        <v>Passeriformes</v>
      </c>
      <c r="H926" s="3" t="str">
        <f>VLOOKUP(B926,[1]LifeList!$E$2:$I$2036,5)</f>
        <v>Thraupidae (Tanagers and Allies)</v>
      </c>
    </row>
    <row r="927" spans="1:8" x14ac:dyDescent="0.15">
      <c r="A927" s="3" t="s">
        <v>878</v>
      </c>
      <c r="B927" s="3" t="s">
        <v>4281</v>
      </c>
      <c r="C927" s="3">
        <v>34820</v>
      </c>
      <c r="D927" s="3" t="str">
        <f>VLOOKUP(B927,[1]LifeList!$E$2:$G$2036,1)</f>
        <v>Crimson-backed Tanager</v>
      </c>
      <c r="E927" s="3" t="str">
        <f>VLOOKUP(B927,[1]LifeList!$E$2:$G$2036,2)</f>
        <v>Tangara à dos rouge</v>
      </c>
      <c r="F927" s="3" t="str">
        <f>VLOOKUP(B927,[1]LifeList!$E$2:$G$2036,3)</f>
        <v>Ramphocelus dimidiatus</v>
      </c>
      <c r="G927" s="3" t="str">
        <f>VLOOKUP(B927,[1]LifeList!$E$2:$I$2036,4)</f>
        <v>Passeriformes</v>
      </c>
      <c r="H927" s="3" t="str">
        <f>VLOOKUP(B927,[1]LifeList!$E$2:$I$2036,5)</f>
        <v>Thraupidae (Tanagers and Allies)</v>
      </c>
    </row>
    <row r="928" spans="1:8" x14ac:dyDescent="0.15">
      <c r="A928" s="3" t="s">
        <v>879</v>
      </c>
      <c r="B928" s="3" t="s">
        <v>4281</v>
      </c>
      <c r="C928" s="3">
        <v>34820</v>
      </c>
      <c r="D928" s="3" t="str">
        <f>VLOOKUP(B928,[1]LifeList!$E$2:$G$2036,1)</f>
        <v>Crimson-backed Tanager</v>
      </c>
      <c r="E928" s="3" t="str">
        <f>VLOOKUP(B928,[1]LifeList!$E$2:$G$2036,2)</f>
        <v>Tangara à dos rouge</v>
      </c>
      <c r="F928" s="3" t="str">
        <f>VLOOKUP(B928,[1]LifeList!$E$2:$G$2036,3)</f>
        <v>Ramphocelus dimidiatus</v>
      </c>
      <c r="G928" s="3" t="str">
        <f>VLOOKUP(B928,[1]LifeList!$E$2:$I$2036,4)</f>
        <v>Passeriformes</v>
      </c>
      <c r="H928" s="3" t="str">
        <f>VLOOKUP(B928,[1]LifeList!$E$2:$I$2036,5)</f>
        <v>Thraupidae (Tanagers and Allies)</v>
      </c>
    </row>
    <row r="929" spans="1:8" x14ac:dyDescent="0.15">
      <c r="A929" s="3" t="s">
        <v>880</v>
      </c>
      <c r="B929" s="3" t="s">
        <v>4282</v>
      </c>
      <c r="C929" s="3">
        <v>20133</v>
      </c>
      <c r="D929" s="3" t="str">
        <f>VLOOKUP(B929,[1]LifeList!$E$2:$G$2036,1)</f>
        <v>Crimson-breasted Gonolek</v>
      </c>
      <c r="E929" s="3" t="str">
        <f>VLOOKUP(B929,[1]LifeList!$E$2:$G$2036,2)</f>
        <v>Gonolek rouge et noir</v>
      </c>
      <c r="F929" s="3" t="str">
        <f>VLOOKUP(B929,[1]LifeList!$E$2:$G$2036,3)</f>
        <v>Laniarius atrococcineus</v>
      </c>
      <c r="G929" s="3" t="str">
        <f>VLOOKUP(B929,[1]LifeList!$E$2:$I$2036,4)</f>
        <v>Passeriformes</v>
      </c>
      <c r="H929" s="3" t="str">
        <f>VLOOKUP(B929,[1]LifeList!$E$2:$I$2036,5)</f>
        <v>Malaconotidae (Bushshrikes and Allies)</v>
      </c>
    </row>
    <row r="930" spans="1:8" x14ac:dyDescent="0.15">
      <c r="A930" s="3" t="s">
        <v>881</v>
      </c>
      <c r="B930" s="3" t="s">
        <v>4282</v>
      </c>
      <c r="C930" s="3">
        <v>20133</v>
      </c>
      <c r="D930" s="3" t="str">
        <f>VLOOKUP(B930,[1]LifeList!$E$2:$G$2036,1)</f>
        <v>Crimson-breasted Gonolek</v>
      </c>
      <c r="E930" s="3" t="str">
        <f>VLOOKUP(B930,[1]LifeList!$E$2:$G$2036,2)</f>
        <v>Gonolek rouge et noir</v>
      </c>
      <c r="F930" s="3" t="str">
        <f>VLOOKUP(B930,[1]LifeList!$E$2:$G$2036,3)</f>
        <v>Laniarius atrococcineus</v>
      </c>
      <c r="G930" s="3" t="str">
        <f>VLOOKUP(B930,[1]LifeList!$E$2:$I$2036,4)</f>
        <v>Passeriformes</v>
      </c>
      <c r="H930" s="3" t="str">
        <f>VLOOKUP(B930,[1]LifeList!$E$2:$I$2036,5)</f>
        <v>Malaconotidae (Bushshrikes and Allies)</v>
      </c>
    </row>
    <row r="931" spans="1:8" x14ac:dyDescent="0.15">
      <c r="A931" s="3" t="s">
        <v>882</v>
      </c>
      <c r="B931" s="3" t="s">
        <v>4283</v>
      </c>
      <c r="C931" s="3">
        <v>34793</v>
      </c>
      <c r="D931" s="3" t="str">
        <f>VLOOKUP(B931,[1]LifeList!$E$2:$G$2036,1)</f>
        <v>Crimson-collared Tanager</v>
      </c>
      <c r="E931" s="3" t="str">
        <f>VLOOKUP(B931,[1]LifeList!$E$2:$G$2036,2)</f>
        <v>Tangara ceinturé</v>
      </c>
      <c r="F931" s="3" t="str">
        <f>VLOOKUP(B931,[1]LifeList!$E$2:$G$2036,3)</f>
        <v>Ramphocelus sanguinolentus</v>
      </c>
      <c r="G931" s="3" t="str">
        <f>VLOOKUP(B931,[1]LifeList!$E$2:$I$2036,4)</f>
        <v>Passeriformes</v>
      </c>
      <c r="H931" s="3" t="str">
        <f>VLOOKUP(B931,[1]LifeList!$E$2:$I$2036,5)</f>
        <v>Thraupidae (Tanagers and Allies)</v>
      </c>
    </row>
    <row r="932" spans="1:8" x14ac:dyDescent="0.15">
      <c r="A932" s="3" t="s">
        <v>884</v>
      </c>
      <c r="B932" s="3" t="s">
        <v>4284</v>
      </c>
      <c r="C932" s="3">
        <v>11558</v>
      </c>
      <c r="D932" s="3" t="str">
        <f>VLOOKUP(B932,[1]LifeList!$E$2:$G$2036,1)</f>
        <v>Crimson-crested Woodpecker</v>
      </c>
      <c r="E932" s="3" t="str">
        <f>VLOOKUP(B932,[1]LifeList!$E$2:$G$2036,2)</f>
        <v>Pic de Malherbe</v>
      </c>
      <c r="F932" s="3" t="str">
        <f>VLOOKUP(B932,[1]LifeList!$E$2:$G$2036,3)</f>
        <v>Campephilus melanoleucos</v>
      </c>
      <c r="G932" s="3" t="str">
        <f>VLOOKUP(B932,[1]LifeList!$E$2:$I$2036,4)</f>
        <v>Piciformes</v>
      </c>
      <c r="H932" s="3" t="str">
        <f>VLOOKUP(B932,[1]LifeList!$E$2:$I$2036,5)</f>
        <v>Picidae (Woodpeckers)</v>
      </c>
    </row>
    <row r="933" spans="1:8" x14ac:dyDescent="0.15">
      <c r="A933" s="3" t="s">
        <v>885</v>
      </c>
      <c r="B933" s="3" t="s">
        <v>4284</v>
      </c>
      <c r="C933" s="3">
        <v>11558</v>
      </c>
      <c r="D933" s="3" t="str">
        <f>VLOOKUP(B933,[1]LifeList!$E$2:$G$2036,1)</f>
        <v>Crimson-crested Woodpecker</v>
      </c>
      <c r="E933" s="3" t="str">
        <f>VLOOKUP(B933,[1]LifeList!$E$2:$G$2036,2)</f>
        <v>Pic de Malherbe</v>
      </c>
      <c r="F933" s="3" t="str">
        <f>VLOOKUP(B933,[1]LifeList!$E$2:$G$2036,3)</f>
        <v>Campephilus melanoleucos</v>
      </c>
      <c r="G933" s="3" t="str">
        <f>VLOOKUP(B933,[1]LifeList!$E$2:$I$2036,4)</f>
        <v>Piciformes</v>
      </c>
      <c r="H933" s="3" t="str">
        <f>VLOOKUP(B933,[1]LifeList!$E$2:$I$2036,5)</f>
        <v>Picidae (Woodpeckers)</v>
      </c>
    </row>
    <row r="934" spans="1:8" x14ac:dyDescent="0.15">
      <c r="A934" s="3" t="s">
        <v>886</v>
      </c>
      <c r="B934" s="3" t="s">
        <v>4284</v>
      </c>
      <c r="C934" s="3">
        <v>11558</v>
      </c>
      <c r="D934" s="3" t="str">
        <f>VLOOKUP(B934,[1]LifeList!$E$2:$G$2036,1)</f>
        <v>Crimson-crested Woodpecker</v>
      </c>
      <c r="E934" s="3" t="str">
        <f>VLOOKUP(B934,[1]LifeList!$E$2:$G$2036,2)</f>
        <v>Pic de Malherbe</v>
      </c>
      <c r="F934" s="3" t="str">
        <f>VLOOKUP(B934,[1]LifeList!$E$2:$G$2036,3)</f>
        <v>Campephilus melanoleucos</v>
      </c>
      <c r="G934" s="3" t="str">
        <f>VLOOKUP(B934,[1]LifeList!$E$2:$I$2036,4)</f>
        <v>Piciformes</v>
      </c>
      <c r="H934" s="3" t="str">
        <f>VLOOKUP(B934,[1]LifeList!$E$2:$I$2036,5)</f>
        <v>Picidae (Woodpeckers)</v>
      </c>
    </row>
    <row r="935" spans="1:8" x14ac:dyDescent="0.15">
      <c r="A935" s="3" t="s">
        <v>887</v>
      </c>
      <c r="B935" s="3" t="s">
        <v>4284</v>
      </c>
      <c r="C935" s="3">
        <v>11558</v>
      </c>
      <c r="D935" s="3" t="str">
        <f>VLOOKUP(B935,[1]LifeList!$E$2:$G$2036,1)</f>
        <v>Crimson-crested Woodpecker</v>
      </c>
      <c r="E935" s="3" t="str">
        <f>VLOOKUP(B935,[1]LifeList!$E$2:$G$2036,2)</f>
        <v>Pic de Malherbe</v>
      </c>
      <c r="F935" s="3" t="str">
        <f>VLOOKUP(B935,[1]LifeList!$E$2:$G$2036,3)</f>
        <v>Campephilus melanoleucos</v>
      </c>
      <c r="G935" s="3" t="str">
        <f>VLOOKUP(B935,[1]LifeList!$E$2:$I$2036,4)</f>
        <v>Piciformes</v>
      </c>
      <c r="H935" s="3" t="str">
        <f>VLOOKUP(B935,[1]LifeList!$E$2:$I$2036,5)</f>
        <v>Picidae (Woodpeckers)</v>
      </c>
    </row>
    <row r="936" spans="1:8" x14ac:dyDescent="0.15">
      <c r="A936" s="3" t="s">
        <v>888</v>
      </c>
      <c r="B936" s="3" t="s">
        <v>4284</v>
      </c>
      <c r="C936" s="3">
        <v>11558</v>
      </c>
      <c r="D936" s="3" t="str">
        <f>VLOOKUP(B936,[1]LifeList!$E$2:$G$2036,1)</f>
        <v>Crimson-crested Woodpecker</v>
      </c>
      <c r="E936" s="3" t="str">
        <f>VLOOKUP(B936,[1]LifeList!$E$2:$G$2036,2)</f>
        <v>Pic de Malherbe</v>
      </c>
      <c r="F936" s="3" t="str">
        <f>VLOOKUP(B936,[1]LifeList!$E$2:$G$2036,3)</f>
        <v>Campephilus melanoleucos</v>
      </c>
      <c r="G936" s="3" t="str">
        <f>VLOOKUP(B936,[1]LifeList!$E$2:$I$2036,4)</f>
        <v>Piciformes</v>
      </c>
      <c r="H936" s="3" t="str">
        <f>VLOOKUP(B936,[1]LifeList!$E$2:$I$2036,5)</f>
        <v>Picidae (Woodpeckers)</v>
      </c>
    </row>
    <row r="937" spans="1:8" x14ac:dyDescent="0.15">
      <c r="A937" s="3" t="s">
        <v>889</v>
      </c>
      <c r="B937" s="3" t="s">
        <v>4284</v>
      </c>
      <c r="C937" s="3">
        <v>11558</v>
      </c>
      <c r="D937" s="3" t="str">
        <f>VLOOKUP(B937,[1]LifeList!$E$2:$G$2036,1)</f>
        <v>Crimson-crested Woodpecker</v>
      </c>
      <c r="E937" s="3" t="str">
        <f>VLOOKUP(B937,[1]LifeList!$E$2:$G$2036,2)</f>
        <v>Pic de Malherbe</v>
      </c>
      <c r="F937" s="3" t="str">
        <f>VLOOKUP(B937,[1]LifeList!$E$2:$G$2036,3)</f>
        <v>Campephilus melanoleucos</v>
      </c>
      <c r="G937" s="3" t="str">
        <f>VLOOKUP(B937,[1]LifeList!$E$2:$I$2036,4)</f>
        <v>Piciformes</v>
      </c>
      <c r="H937" s="3" t="str">
        <f>VLOOKUP(B937,[1]LifeList!$E$2:$I$2036,5)</f>
        <v>Picidae (Woodpeckers)</v>
      </c>
    </row>
    <row r="938" spans="1:8" x14ac:dyDescent="0.15">
      <c r="A938" s="3" t="s">
        <v>883</v>
      </c>
      <c r="B938" s="3" t="s">
        <v>4284</v>
      </c>
      <c r="C938" s="3">
        <v>11558</v>
      </c>
      <c r="D938" s="3" t="str">
        <f>VLOOKUP(B938,[1]LifeList!$E$2:$G$2036,1)</f>
        <v>Crimson-crested Woodpecker</v>
      </c>
      <c r="E938" s="3" t="str">
        <f>VLOOKUP(B938,[1]LifeList!$E$2:$G$2036,2)</f>
        <v>Pic de Malherbe</v>
      </c>
      <c r="F938" s="3" t="str">
        <f>VLOOKUP(B938,[1]LifeList!$E$2:$G$2036,3)</f>
        <v>Campephilus melanoleucos</v>
      </c>
      <c r="G938" s="3" t="str">
        <f>VLOOKUP(B938,[1]LifeList!$E$2:$I$2036,4)</f>
        <v>Piciformes</v>
      </c>
      <c r="H938" s="3" t="str">
        <f>VLOOKUP(B938,[1]LifeList!$E$2:$I$2036,5)</f>
        <v>Picidae (Woodpeckers)</v>
      </c>
    </row>
    <row r="939" spans="1:8" x14ac:dyDescent="0.15">
      <c r="A939" s="3" t="s">
        <v>890</v>
      </c>
      <c r="B939" s="3" t="s">
        <v>4285</v>
      </c>
      <c r="C939" s="3">
        <v>13187</v>
      </c>
      <c r="D939" s="3" t="str">
        <f>VLOOKUP(B939,[1]LifeList!$E$2:$G$2036,1)</f>
        <v>Crimson-fronted Parakeet</v>
      </c>
      <c r="E939" s="3" t="str">
        <f>VLOOKUP(B939,[1]LifeList!$E$2:$G$2036,2)</f>
        <v>Conure de Finsch</v>
      </c>
      <c r="F939" s="3" t="str">
        <f>VLOOKUP(B939,[1]LifeList!$E$2:$G$2036,3)</f>
        <v>Psittacara finschi</v>
      </c>
      <c r="G939" s="3" t="str">
        <f>VLOOKUP(B939,[1]LifeList!$E$2:$I$2036,4)</f>
        <v>Psittaciformes</v>
      </c>
      <c r="H939" s="3" t="str">
        <f>VLOOKUP(B939,[1]LifeList!$E$2:$I$2036,5)</f>
        <v>Psittacidae (New World and African Parrots)</v>
      </c>
    </row>
    <row r="940" spans="1:8" x14ac:dyDescent="0.15">
      <c r="A940" s="3" t="s">
        <v>892</v>
      </c>
      <c r="B940" s="3" t="s">
        <v>4286</v>
      </c>
      <c r="C940" s="3">
        <v>11874</v>
      </c>
      <c r="D940" s="3" t="str">
        <f>VLOOKUP(B940,[1]LifeList!$E$2:$G$2036,1)</f>
        <v>Crimson-mantled Woodpecker</v>
      </c>
      <c r="E940" s="3" t="str">
        <f>VLOOKUP(B940,[1]LifeList!$E$2:$G$2036,2)</f>
        <v>Pic de Rivoli</v>
      </c>
      <c r="F940" s="3" t="str">
        <f>VLOOKUP(B940,[1]LifeList!$E$2:$G$2036,3)</f>
        <v>Colaptes rivolii</v>
      </c>
      <c r="G940" s="3" t="str">
        <f>VLOOKUP(B940,[1]LifeList!$E$2:$I$2036,4)</f>
        <v>Piciformes</v>
      </c>
      <c r="H940" s="3" t="str">
        <f>VLOOKUP(B940,[1]LifeList!$E$2:$I$2036,5)</f>
        <v>Picidae (Woodpeckers)</v>
      </c>
    </row>
    <row r="941" spans="1:8" x14ac:dyDescent="0.15">
      <c r="A941" s="3" t="s">
        <v>893</v>
      </c>
      <c r="B941" s="3" t="s">
        <v>4286</v>
      </c>
      <c r="C941" s="3">
        <v>11874</v>
      </c>
      <c r="D941" s="3" t="str">
        <f>VLOOKUP(B941,[1]LifeList!$E$2:$G$2036,1)</f>
        <v>Crimson-mantled Woodpecker</v>
      </c>
      <c r="E941" s="3" t="str">
        <f>VLOOKUP(B941,[1]LifeList!$E$2:$G$2036,2)</f>
        <v>Pic de Rivoli</v>
      </c>
      <c r="F941" s="3" t="str">
        <f>VLOOKUP(B941,[1]LifeList!$E$2:$G$2036,3)</f>
        <v>Colaptes rivolii</v>
      </c>
      <c r="G941" s="3" t="str">
        <f>VLOOKUP(B941,[1]LifeList!$E$2:$I$2036,4)</f>
        <v>Piciformes</v>
      </c>
      <c r="H941" s="3" t="str">
        <f>VLOOKUP(B941,[1]LifeList!$E$2:$I$2036,5)</f>
        <v>Picidae (Woodpeckers)</v>
      </c>
    </row>
    <row r="942" spans="1:8" x14ac:dyDescent="0.15">
      <c r="A942" s="3" t="s">
        <v>894</v>
      </c>
      <c r="B942" s="3" t="s">
        <v>4286</v>
      </c>
      <c r="C942" s="3">
        <v>11874</v>
      </c>
      <c r="D942" s="3" t="str">
        <f>VLOOKUP(B942,[1]LifeList!$E$2:$G$2036,1)</f>
        <v>Crimson-mantled Woodpecker</v>
      </c>
      <c r="E942" s="3" t="str">
        <f>VLOOKUP(B942,[1]LifeList!$E$2:$G$2036,2)</f>
        <v>Pic de Rivoli</v>
      </c>
      <c r="F942" s="3" t="str">
        <f>VLOOKUP(B942,[1]LifeList!$E$2:$G$2036,3)</f>
        <v>Colaptes rivolii</v>
      </c>
      <c r="G942" s="3" t="str">
        <f>VLOOKUP(B942,[1]LifeList!$E$2:$I$2036,4)</f>
        <v>Piciformes</v>
      </c>
      <c r="H942" s="3" t="str">
        <f>VLOOKUP(B942,[1]LifeList!$E$2:$I$2036,5)</f>
        <v>Picidae (Woodpeckers)</v>
      </c>
    </row>
    <row r="943" spans="1:8" x14ac:dyDescent="0.15">
      <c r="A943" s="3" t="s">
        <v>891</v>
      </c>
      <c r="B943" s="3" t="s">
        <v>4286</v>
      </c>
      <c r="C943" s="3">
        <v>11874</v>
      </c>
      <c r="D943" s="3" t="str">
        <f>VLOOKUP(B943,[1]LifeList!$E$2:$G$2036,1)</f>
        <v>Crimson-mantled Woodpecker</v>
      </c>
      <c r="E943" s="3" t="str">
        <f>VLOOKUP(B943,[1]LifeList!$E$2:$G$2036,2)</f>
        <v>Pic de Rivoli</v>
      </c>
      <c r="F943" s="3" t="str">
        <f>VLOOKUP(B943,[1]LifeList!$E$2:$G$2036,3)</f>
        <v>Colaptes rivolii</v>
      </c>
      <c r="G943" s="3" t="str">
        <f>VLOOKUP(B943,[1]LifeList!$E$2:$I$2036,4)</f>
        <v>Piciformes</v>
      </c>
      <c r="H943" s="3" t="str">
        <f>VLOOKUP(B943,[1]LifeList!$E$2:$I$2036,5)</f>
        <v>Picidae (Woodpeckers)</v>
      </c>
    </row>
    <row r="944" spans="1:8" x14ac:dyDescent="0.15">
      <c r="A944" s="3" t="s">
        <v>895</v>
      </c>
      <c r="B944" s="3" t="s">
        <v>4287</v>
      </c>
      <c r="C944" s="3">
        <v>10865</v>
      </c>
      <c r="D944" s="3" t="str">
        <f>VLOOKUP(B944,[1]LifeList!$E$2:$G$2036,1)</f>
        <v>Crimson-rumped Toucanet</v>
      </c>
      <c r="E944" s="3" t="str">
        <f>VLOOKUP(B944,[1]LifeList!$E$2:$G$2036,2)</f>
        <v>Toucanet à croupion rouge</v>
      </c>
      <c r="F944" s="3" t="str">
        <f>VLOOKUP(B944,[1]LifeList!$E$2:$G$2036,3)</f>
        <v>Aulacorhynchus haematopygus</v>
      </c>
      <c r="G944" s="3" t="str">
        <f>VLOOKUP(B944,[1]LifeList!$E$2:$I$2036,4)</f>
        <v>Piciformes</v>
      </c>
      <c r="H944" s="3" t="str">
        <f>VLOOKUP(B944,[1]LifeList!$E$2:$I$2036,5)</f>
        <v>Ramphastidae (Toucans)</v>
      </c>
    </row>
    <row r="945" spans="1:8" x14ac:dyDescent="0.15">
      <c r="A945" s="3" t="s">
        <v>900</v>
      </c>
      <c r="B945" s="3" t="s">
        <v>4288</v>
      </c>
      <c r="C945" s="3">
        <v>9658</v>
      </c>
      <c r="D945" s="3" t="str">
        <f>VLOOKUP(B945,[1]LifeList!$E$2:$G$2036,1)</f>
        <v>Crowned Hornbill</v>
      </c>
      <c r="E945" s="3" t="str">
        <f>VLOOKUP(B945,[1]LifeList!$E$2:$G$2036,2)</f>
        <v>Calao couronné</v>
      </c>
      <c r="F945" s="3" t="str">
        <f>VLOOKUP(B945,[1]LifeList!$E$2:$G$2036,3)</f>
        <v>Lophoceros alboterminatus</v>
      </c>
      <c r="G945" s="3" t="str">
        <f>VLOOKUP(B945,[1]LifeList!$E$2:$I$2036,4)</f>
        <v>Bucerotiformes</v>
      </c>
      <c r="H945" s="3" t="str">
        <f>VLOOKUP(B945,[1]LifeList!$E$2:$I$2036,5)</f>
        <v>Bucerotidae (Hornbills)</v>
      </c>
    </row>
    <row r="946" spans="1:8" x14ac:dyDescent="0.15">
      <c r="A946" s="3" t="s">
        <v>901</v>
      </c>
      <c r="B946" s="3" t="s">
        <v>4289</v>
      </c>
      <c r="C946" s="3">
        <v>5873</v>
      </c>
      <c r="D946" s="3" t="str">
        <f>VLOOKUP(B946,[1]LifeList!$E$2:$G$2036,1)</f>
        <v>Crowned Lapwing</v>
      </c>
      <c r="E946" s="3" t="str">
        <f>VLOOKUP(B946,[1]LifeList!$E$2:$G$2036,2)</f>
        <v>Vanneau couronné</v>
      </c>
      <c r="F946" s="3" t="str">
        <f>VLOOKUP(B946,[1]LifeList!$E$2:$G$2036,3)</f>
        <v>Vanellus coronatus</v>
      </c>
      <c r="G946" s="3" t="str">
        <f>VLOOKUP(B946,[1]LifeList!$E$2:$I$2036,4)</f>
        <v>Charadriiformes</v>
      </c>
      <c r="H946" s="3" t="str">
        <f>VLOOKUP(B946,[1]LifeList!$E$2:$I$2036,5)</f>
        <v>Charadriidae (Plovers and Lapwings)</v>
      </c>
    </row>
    <row r="947" spans="1:8" x14ac:dyDescent="0.15">
      <c r="A947" s="3" t="s">
        <v>902</v>
      </c>
      <c r="B947" s="3" t="s">
        <v>4289</v>
      </c>
      <c r="C947" s="3">
        <v>5873</v>
      </c>
      <c r="D947" s="3" t="str">
        <f>VLOOKUP(B947,[1]LifeList!$E$2:$G$2036,1)</f>
        <v>Crowned Lapwing</v>
      </c>
      <c r="E947" s="3" t="str">
        <f>VLOOKUP(B947,[1]LifeList!$E$2:$G$2036,2)</f>
        <v>Vanneau couronné</v>
      </c>
      <c r="F947" s="3" t="str">
        <f>VLOOKUP(B947,[1]LifeList!$E$2:$G$2036,3)</f>
        <v>Vanellus coronatus</v>
      </c>
      <c r="G947" s="3" t="str">
        <f>VLOOKUP(B947,[1]LifeList!$E$2:$I$2036,4)</f>
        <v>Charadriiformes</v>
      </c>
      <c r="H947" s="3" t="str">
        <f>VLOOKUP(B947,[1]LifeList!$E$2:$I$2036,5)</f>
        <v>Charadriidae (Plovers and Lapwings)</v>
      </c>
    </row>
    <row r="948" spans="1:8" x14ac:dyDescent="0.15">
      <c r="A948" s="3" t="s">
        <v>903</v>
      </c>
      <c r="B948" s="3" t="s">
        <v>4290</v>
      </c>
      <c r="C948" s="3">
        <v>4976</v>
      </c>
      <c r="D948" s="3" t="str">
        <f>VLOOKUP(B948,[1]LifeList!$E$2:$G$2036,1)</f>
        <v>Crowned Woodnymph</v>
      </c>
      <c r="E948" s="3" t="str">
        <f>VLOOKUP(B948,[1]LifeList!$E$2:$G$2036,2)</f>
        <v>Dryade couronnée</v>
      </c>
      <c r="F948" s="3" t="str">
        <f>VLOOKUP(B948,[1]LifeList!$E$2:$G$2036,3)</f>
        <v>Thalurania colombica</v>
      </c>
      <c r="G948" s="3" t="str">
        <f>VLOOKUP(B948,[1]LifeList!$E$2:$I$2036,4)</f>
        <v>Apodiformes</v>
      </c>
      <c r="H948" s="3" t="str">
        <f>VLOOKUP(B948,[1]LifeList!$E$2:$I$2036,5)</f>
        <v>Trochilidae (Hummingbirds)</v>
      </c>
    </row>
    <row r="949" spans="1:8" x14ac:dyDescent="0.15">
      <c r="A949" s="3" t="s">
        <v>904</v>
      </c>
      <c r="B949" s="3" t="s">
        <v>4290</v>
      </c>
      <c r="C949" s="3">
        <v>4976</v>
      </c>
      <c r="D949" s="3" t="str">
        <f>VLOOKUP(B949,[1]LifeList!$E$2:$G$2036,1)</f>
        <v>Crowned Woodnymph</v>
      </c>
      <c r="E949" s="3" t="str">
        <f>VLOOKUP(B949,[1]LifeList!$E$2:$G$2036,2)</f>
        <v>Dryade couronnée</v>
      </c>
      <c r="F949" s="3" t="str">
        <f>VLOOKUP(B949,[1]LifeList!$E$2:$G$2036,3)</f>
        <v>Thalurania colombica</v>
      </c>
      <c r="G949" s="3" t="str">
        <f>VLOOKUP(B949,[1]LifeList!$E$2:$I$2036,4)</f>
        <v>Apodiformes</v>
      </c>
      <c r="H949" s="3" t="str">
        <f>VLOOKUP(B949,[1]LifeList!$E$2:$I$2036,5)</f>
        <v>Trochilidae (Hummingbirds)</v>
      </c>
    </row>
    <row r="950" spans="1:8" x14ac:dyDescent="0.15">
      <c r="A950" s="3" t="s">
        <v>905</v>
      </c>
      <c r="B950" s="3" t="s">
        <v>4290</v>
      </c>
      <c r="C950" s="3">
        <v>4976</v>
      </c>
      <c r="D950" s="3" t="str">
        <f>VLOOKUP(B950,[1]LifeList!$E$2:$G$2036,1)</f>
        <v>Crowned Woodnymph</v>
      </c>
      <c r="E950" s="3" t="str">
        <f>VLOOKUP(B950,[1]LifeList!$E$2:$G$2036,2)</f>
        <v>Dryade couronnée</v>
      </c>
      <c r="F950" s="3" t="str">
        <f>VLOOKUP(B950,[1]LifeList!$E$2:$G$2036,3)</f>
        <v>Thalurania colombica</v>
      </c>
      <c r="G950" s="3" t="str">
        <f>VLOOKUP(B950,[1]LifeList!$E$2:$I$2036,4)</f>
        <v>Apodiformes</v>
      </c>
      <c r="H950" s="3" t="str">
        <f>VLOOKUP(B950,[1]LifeList!$E$2:$I$2036,5)</f>
        <v>Trochilidae (Hummingbirds)</v>
      </c>
    </row>
    <row r="951" spans="1:8" x14ac:dyDescent="0.15">
      <c r="A951" s="3" t="s">
        <v>906</v>
      </c>
      <c r="B951" s="3" t="s">
        <v>4290</v>
      </c>
      <c r="C951" s="3">
        <v>4976</v>
      </c>
      <c r="D951" s="3" t="str">
        <f>VLOOKUP(B951,[1]LifeList!$E$2:$G$2036,1)</f>
        <v>Crowned Woodnymph</v>
      </c>
      <c r="E951" s="3" t="str">
        <f>VLOOKUP(B951,[1]LifeList!$E$2:$G$2036,2)</f>
        <v>Dryade couronnée</v>
      </c>
      <c r="F951" s="3" t="str">
        <f>VLOOKUP(B951,[1]LifeList!$E$2:$G$2036,3)</f>
        <v>Thalurania colombica</v>
      </c>
      <c r="G951" s="3" t="str">
        <f>VLOOKUP(B951,[1]LifeList!$E$2:$I$2036,4)</f>
        <v>Apodiformes</v>
      </c>
      <c r="H951" s="3" t="str">
        <f>VLOOKUP(B951,[1]LifeList!$E$2:$I$2036,5)</f>
        <v>Trochilidae (Hummingbirds)</v>
      </c>
    </row>
    <row r="952" spans="1:8" x14ac:dyDescent="0.15">
      <c r="A952" s="3" t="s">
        <v>907</v>
      </c>
      <c r="B952" s="3" t="s">
        <v>4290</v>
      </c>
      <c r="C952" s="3">
        <v>4976</v>
      </c>
      <c r="D952" s="3" t="str">
        <f>VLOOKUP(B952,[1]LifeList!$E$2:$G$2036,1)</f>
        <v>Crowned Woodnymph</v>
      </c>
      <c r="E952" s="3" t="str">
        <f>VLOOKUP(B952,[1]LifeList!$E$2:$G$2036,2)</f>
        <v>Dryade couronnée</v>
      </c>
      <c r="F952" s="3" t="str">
        <f>VLOOKUP(B952,[1]LifeList!$E$2:$G$2036,3)</f>
        <v>Thalurania colombica</v>
      </c>
      <c r="G952" s="3" t="str">
        <f>VLOOKUP(B952,[1]LifeList!$E$2:$I$2036,4)</f>
        <v>Apodiformes</v>
      </c>
      <c r="H952" s="3" t="str">
        <f>VLOOKUP(B952,[1]LifeList!$E$2:$I$2036,5)</f>
        <v>Trochilidae (Hummingbirds)</v>
      </c>
    </row>
    <row r="953" spans="1:8" x14ac:dyDescent="0.15">
      <c r="A953" s="3" t="s">
        <v>908</v>
      </c>
      <c r="B953" s="3" t="s">
        <v>4290</v>
      </c>
      <c r="C953" s="3">
        <v>4976</v>
      </c>
      <c r="D953" s="3" t="str">
        <f>VLOOKUP(B953,[1]LifeList!$E$2:$G$2036,1)</f>
        <v>Crowned Woodnymph</v>
      </c>
      <c r="E953" s="3" t="str">
        <f>VLOOKUP(B953,[1]LifeList!$E$2:$G$2036,2)</f>
        <v>Dryade couronnée</v>
      </c>
      <c r="F953" s="3" t="str">
        <f>VLOOKUP(B953,[1]LifeList!$E$2:$G$2036,3)</f>
        <v>Thalurania colombica</v>
      </c>
      <c r="G953" s="3" t="str">
        <f>VLOOKUP(B953,[1]LifeList!$E$2:$I$2036,4)</f>
        <v>Apodiformes</v>
      </c>
      <c r="H953" s="3" t="str">
        <f>VLOOKUP(B953,[1]LifeList!$E$2:$I$2036,5)</f>
        <v>Trochilidae (Hummingbirds)</v>
      </c>
    </row>
    <row r="954" spans="1:8" x14ac:dyDescent="0.15">
      <c r="A954" s="3" t="s">
        <v>909</v>
      </c>
      <c r="B954" s="3" t="s">
        <v>4290</v>
      </c>
      <c r="C954" s="3">
        <v>4976</v>
      </c>
      <c r="D954" s="3" t="str">
        <f>VLOOKUP(B954,[1]LifeList!$E$2:$G$2036,1)</f>
        <v>Crowned Woodnymph</v>
      </c>
      <c r="E954" s="3" t="str">
        <f>VLOOKUP(B954,[1]LifeList!$E$2:$G$2036,2)</f>
        <v>Dryade couronnée</v>
      </c>
      <c r="F954" s="3" t="str">
        <f>VLOOKUP(B954,[1]LifeList!$E$2:$G$2036,3)</f>
        <v>Thalurania colombica</v>
      </c>
      <c r="G954" s="3" t="str">
        <f>VLOOKUP(B954,[1]LifeList!$E$2:$I$2036,4)</f>
        <v>Apodiformes</v>
      </c>
      <c r="H954" s="3" t="str">
        <f>VLOOKUP(B954,[1]LifeList!$E$2:$I$2036,5)</f>
        <v>Trochilidae (Hummingbirds)</v>
      </c>
    </row>
    <row r="955" spans="1:8" x14ac:dyDescent="0.15">
      <c r="A955" s="3" t="s">
        <v>910</v>
      </c>
      <c r="B955" s="3" t="s">
        <v>4291</v>
      </c>
      <c r="C955" s="3">
        <v>9444</v>
      </c>
      <c r="D955" s="3" t="str">
        <f>VLOOKUP(B955,[1]LifeList!$E$2:$G$2036,1)</f>
        <v>Cuckoo-roller</v>
      </c>
      <c r="E955" s="3" t="str">
        <f>VLOOKUP(B955,[1]LifeList!$E$2:$G$2036,2)</f>
        <v>Courol vouroudriou</v>
      </c>
      <c r="F955" s="3" t="str">
        <f>VLOOKUP(B955,[1]LifeList!$E$2:$G$2036,3)</f>
        <v>Leptosomus discolor</v>
      </c>
      <c r="G955" s="3" t="str">
        <f>VLOOKUP(B955,[1]LifeList!$E$2:$I$2036,4)</f>
        <v>Leptosomiformes</v>
      </c>
      <c r="H955" s="3" t="str">
        <f>VLOOKUP(B955,[1]LifeList!$E$2:$I$2036,5)</f>
        <v>Leptosomidae (Cuckoo-roller)</v>
      </c>
    </row>
    <row r="956" spans="1:8" x14ac:dyDescent="0.15">
      <c r="A956" s="3" t="s">
        <v>911</v>
      </c>
      <c r="B956" s="3" t="s">
        <v>4292</v>
      </c>
      <c r="C956" s="3">
        <v>6182</v>
      </c>
      <c r="D956" s="3" t="str">
        <f>VLOOKUP(B956,[1]LifeList!$E$2:$G$2036,1)</f>
        <v>Curlew Sandpiper</v>
      </c>
      <c r="E956" s="3" t="str">
        <f>VLOOKUP(B956,[1]LifeList!$E$2:$G$2036,2)</f>
        <v>Bécasseau cocorli</v>
      </c>
      <c r="F956" s="3" t="str">
        <f>VLOOKUP(B956,[1]LifeList!$E$2:$G$2036,3)</f>
        <v>Calidris ferruginea</v>
      </c>
      <c r="G956" s="3" t="str">
        <f>VLOOKUP(B956,[1]LifeList!$E$2:$I$2036,4)</f>
        <v>Charadriiformes</v>
      </c>
      <c r="H956" s="3" t="str">
        <f>VLOOKUP(B956,[1]LifeList!$E$2:$I$2036,5)</f>
        <v>Scolopacidae (Sandpipers and Allies)</v>
      </c>
    </row>
    <row r="957" spans="1:8" x14ac:dyDescent="0.15">
      <c r="A957" s="3" t="s">
        <v>912</v>
      </c>
      <c r="B957" s="3" t="s">
        <v>4292</v>
      </c>
      <c r="C957" s="3">
        <v>6182</v>
      </c>
      <c r="D957" s="3" t="str">
        <f>VLOOKUP(B957,[1]LifeList!$E$2:$G$2036,1)</f>
        <v>Curlew Sandpiper</v>
      </c>
      <c r="E957" s="3" t="str">
        <f>VLOOKUP(B957,[1]LifeList!$E$2:$G$2036,2)</f>
        <v>Bécasseau cocorli</v>
      </c>
      <c r="F957" s="3" t="str">
        <f>VLOOKUP(B957,[1]LifeList!$E$2:$G$2036,3)</f>
        <v>Calidris ferruginea</v>
      </c>
      <c r="G957" s="3" t="str">
        <f>VLOOKUP(B957,[1]LifeList!$E$2:$I$2036,4)</f>
        <v>Charadriiformes</v>
      </c>
      <c r="H957" s="3" t="str">
        <f>VLOOKUP(B957,[1]LifeList!$E$2:$I$2036,5)</f>
        <v>Scolopacidae (Sandpipers and Allies)</v>
      </c>
    </row>
    <row r="958" spans="1:8" x14ac:dyDescent="0.15">
      <c r="A958" s="3" t="s">
        <v>914</v>
      </c>
      <c r="B958" s="3" t="s">
        <v>4293</v>
      </c>
      <c r="C958" s="3">
        <v>16895</v>
      </c>
      <c r="D958" s="3" t="str">
        <f>VLOOKUP(B958,[1]LifeList!$E$2:$G$2036,1)</f>
        <v>Dark Pewee</v>
      </c>
      <c r="E958" s="3" t="str">
        <f>VLOOKUP(B958,[1]LifeList!$E$2:$G$2036,2)</f>
        <v>Moucherolle ombré</v>
      </c>
      <c r="F958" s="3" t="str">
        <f>VLOOKUP(B958,[1]LifeList!$E$2:$G$2036,3)</f>
        <v>Contopus lugubris</v>
      </c>
      <c r="G958" s="3" t="str">
        <f>VLOOKUP(B958,[1]LifeList!$E$2:$I$2036,4)</f>
        <v>Passeriformes</v>
      </c>
      <c r="H958" s="3" t="str">
        <f>VLOOKUP(B958,[1]LifeList!$E$2:$I$2036,5)</f>
        <v>Tyrannidae (Tyrant Flycatchers)</v>
      </c>
    </row>
    <row r="959" spans="1:8" x14ac:dyDescent="0.15">
      <c r="A959" s="3" t="s">
        <v>913</v>
      </c>
      <c r="B959" s="3" t="s">
        <v>4294</v>
      </c>
      <c r="C959" s="3">
        <v>33124</v>
      </c>
      <c r="D959" s="3" t="str">
        <f>VLOOKUP(B959,[1]LifeList!$E$2:$G$2036,1)</f>
        <v>Dark-eyed Junco</v>
      </c>
      <c r="E959" s="3" t="str">
        <f>VLOOKUP(B959,[1]LifeList!$E$2:$G$2036,2)</f>
        <v>Junco ardoisé</v>
      </c>
      <c r="F959" s="3" t="str">
        <f>VLOOKUP(B959,[1]LifeList!$E$2:$G$2036,3)</f>
        <v>Junco hyemalis</v>
      </c>
      <c r="G959" s="3" t="str">
        <f>VLOOKUP(B959,[1]LifeList!$E$2:$I$2036,4)</f>
        <v>Passeriformes</v>
      </c>
      <c r="H959" s="3" t="str">
        <f>VLOOKUP(B959,[1]LifeList!$E$2:$I$2036,5)</f>
        <v>Passerellidae (New World Sparrows)</v>
      </c>
    </row>
    <row r="960" spans="1:8" x14ac:dyDescent="0.15">
      <c r="A960" s="3" t="s">
        <v>915</v>
      </c>
      <c r="B960" s="3" t="s">
        <v>4295</v>
      </c>
      <c r="C960" s="3">
        <v>10358</v>
      </c>
      <c r="D960" s="3" t="str">
        <f>VLOOKUP(B960,[1]LifeList!$E$2:$G$2036,1)</f>
        <v>Dollarbird</v>
      </c>
      <c r="E960" s="3" t="str">
        <f>VLOOKUP(B960,[1]LifeList!$E$2:$G$2036,2)</f>
        <v>Rolle oriental</v>
      </c>
      <c r="F960" s="3" t="str">
        <f>VLOOKUP(B960,[1]LifeList!$E$2:$G$2036,3)</f>
        <v>Eurystomus orientalis</v>
      </c>
      <c r="G960" s="3" t="str">
        <f>VLOOKUP(B960,[1]LifeList!$E$2:$I$2036,4)</f>
        <v>Coraciiformes</v>
      </c>
      <c r="H960" s="3" t="str">
        <f>VLOOKUP(B960,[1]LifeList!$E$2:$I$2036,5)</f>
        <v>Coraciidae (Rollers)</v>
      </c>
    </row>
    <row r="961" spans="1:8" x14ac:dyDescent="0.15">
      <c r="A961" s="3" t="s">
        <v>916</v>
      </c>
      <c r="B961" s="3" t="s">
        <v>4296</v>
      </c>
      <c r="C961" s="3">
        <v>13817</v>
      </c>
      <c r="D961" s="3" t="str">
        <f>VLOOKUP(B961,[1]LifeList!$E$2:$G$2036,1)</f>
        <v>Dot-winged Antwren</v>
      </c>
      <c r="E961" s="3" t="str">
        <f>VLOOKUP(B961,[1]LifeList!$E$2:$G$2036,2)</f>
        <v>Grisin étoilé</v>
      </c>
      <c r="F961" s="3" t="str">
        <f>VLOOKUP(B961,[1]LifeList!$E$2:$G$2036,3)</f>
        <v>Microrhopias quixensis</v>
      </c>
      <c r="G961" s="3" t="str">
        <f>VLOOKUP(B961,[1]LifeList!$E$2:$I$2036,4)</f>
        <v>Passeriformes</v>
      </c>
      <c r="H961" s="3" t="str">
        <f>VLOOKUP(B961,[1]LifeList!$E$2:$I$2036,5)</f>
        <v>Thamnophilidae (Typical Antbirds)</v>
      </c>
    </row>
    <row r="962" spans="1:8" x14ac:dyDescent="0.15">
      <c r="A962" s="3" t="s">
        <v>917</v>
      </c>
      <c r="B962" s="3" t="s">
        <v>4296</v>
      </c>
      <c r="C962" s="3">
        <v>13817</v>
      </c>
      <c r="D962" s="3" t="str">
        <f>VLOOKUP(B962,[1]LifeList!$E$2:$G$2036,1)</f>
        <v>Dot-winged Antwren</v>
      </c>
      <c r="E962" s="3" t="str">
        <f>VLOOKUP(B962,[1]LifeList!$E$2:$G$2036,2)</f>
        <v>Grisin étoilé</v>
      </c>
      <c r="F962" s="3" t="str">
        <f>VLOOKUP(B962,[1]LifeList!$E$2:$G$2036,3)</f>
        <v>Microrhopias quixensis</v>
      </c>
      <c r="G962" s="3" t="str">
        <f>VLOOKUP(B962,[1]LifeList!$E$2:$I$2036,4)</f>
        <v>Passeriformes</v>
      </c>
      <c r="H962" s="3" t="str">
        <f>VLOOKUP(B962,[1]LifeList!$E$2:$I$2036,5)</f>
        <v>Thamnophilidae (Typical Antbirds)</v>
      </c>
    </row>
    <row r="963" spans="1:8" x14ac:dyDescent="0.15">
      <c r="A963" s="3" t="s">
        <v>918</v>
      </c>
      <c r="B963" s="3" t="s">
        <v>4296</v>
      </c>
      <c r="C963" s="3">
        <v>13817</v>
      </c>
      <c r="D963" s="3" t="str">
        <f>VLOOKUP(B963,[1]LifeList!$E$2:$G$2036,1)</f>
        <v>Dot-winged Antwren</v>
      </c>
      <c r="E963" s="3" t="str">
        <f>VLOOKUP(B963,[1]LifeList!$E$2:$G$2036,2)</f>
        <v>Grisin étoilé</v>
      </c>
      <c r="F963" s="3" t="str">
        <f>VLOOKUP(B963,[1]LifeList!$E$2:$G$2036,3)</f>
        <v>Microrhopias quixensis</v>
      </c>
      <c r="G963" s="3" t="str">
        <f>VLOOKUP(B963,[1]LifeList!$E$2:$I$2036,4)</f>
        <v>Passeriformes</v>
      </c>
      <c r="H963" s="3" t="str">
        <f>VLOOKUP(B963,[1]LifeList!$E$2:$I$2036,5)</f>
        <v>Thamnophilidae (Typical Antbirds)</v>
      </c>
    </row>
    <row r="964" spans="1:8" x14ac:dyDescent="0.15">
      <c r="A964" s="3" t="s">
        <v>919</v>
      </c>
      <c r="B964" s="3" t="s">
        <v>4296</v>
      </c>
      <c r="C964" s="3">
        <v>13817</v>
      </c>
      <c r="D964" s="3" t="str">
        <f>VLOOKUP(B964,[1]LifeList!$E$2:$G$2036,1)</f>
        <v>Dot-winged Antwren</v>
      </c>
      <c r="E964" s="3" t="str">
        <f>VLOOKUP(B964,[1]LifeList!$E$2:$G$2036,2)</f>
        <v>Grisin étoilé</v>
      </c>
      <c r="F964" s="3" t="str">
        <f>VLOOKUP(B964,[1]LifeList!$E$2:$G$2036,3)</f>
        <v>Microrhopias quixensis</v>
      </c>
      <c r="G964" s="3" t="str">
        <f>VLOOKUP(B964,[1]LifeList!$E$2:$I$2036,4)</f>
        <v>Passeriformes</v>
      </c>
      <c r="H964" s="3" t="str">
        <f>VLOOKUP(B964,[1]LifeList!$E$2:$I$2036,5)</f>
        <v>Thamnophilidae (Typical Antbirds)</v>
      </c>
    </row>
    <row r="965" spans="1:8" x14ac:dyDescent="0.15">
      <c r="A965" s="3" t="s">
        <v>920</v>
      </c>
      <c r="B965" s="3" t="s">
        <v>4297</v>
      </c>
      <c r="C965" s="3">
        <v>2901</v>
      </c>
      <c r="D965" s="3" t="str">
        <f>VLOOKUP(B965,[1]LifeList!$E$2:$G$2036,1)</f>
        <v>Double-banded Sandgrouse</v>
      </c>
      <c r="E965" s="3" t="str">
        <f>VLOOKUP(B965,[1]LifeList!$E$2:$G$2036,2)</f>
        <v>Ganga bibande</v>
      </c>
      <c r="F965" s="3" t="str">
        <f>VLOOKUP(B965,[1]LifeList!$E$2:$G$2036,3)</f>
        <v>Pterocles bicinctus</v>
      </c>
      <c r="G965" s="3" t="str">
        <f>VLOOKUP(B965,[1]LifeList!$E$2:$I$2036,4)</f>
        <v>Pterocliformes</v>
      </c>
      <c r="H965" s="3" t="str">
        <f>VLOOKUP(B965,[1]LifeList!$E$2:$I$2036,5)</f>
        <v>Pteroclidae (Sandgrouse)</v>
      </c>
    </row>
    <row r="966" spans="1:8" x14ac:dyDescent="0.15">
      <c r="A966" s="3" t="s">
        <v>922</v>
      </c>
      <c r="B966" s="3" t="s">
        <v>4298</v>
      </c>
      <c r="C966" s="3">
        <v>7424</v>
      </c>
      <c r="D966" s="3" t="str">
        <f>VLOOKUP(B966,[1]LifeList!$E$2:$G$2036,1)</f>
        <v>Double-crested Cormorant</v>
      </c>
      <c r="E966" s="3" t="str">
        <f>VLOOKUP(B966,[1]LifeList!$E$2:$G$2036,2)</f>
        <v>Cormoran à aigrettes</v>
      </c>
      <c r="F966" s="3" t="str">
        <f>VLOOKUP(B966,[1]LifeList!$E$2:$G$2036,3)</f>
        <v>Nannopterum auritum</v>
      </c>
      <c r="G966" s="3" t="str">
        <f>VLOOKUP(B966,[1]LifeList!$E$2:$I$2036,4)</f>
        <v>Suliformes</v>
      </c>
      <c r="H966" s="3" t="str">
        <f>VLOOKUP(B966,[1]LifeList!$E$2:$I$2036,5)</f>
        <v>Phalacrocoracidae (Cormorants and Shags)</v>
      </c>
    </row>
    <row r="967" spans="1:8" x14ac:dyDescent="0.15">
      <c r="A967" s="3" t="s">
        <v>923</v>
      </c>
      <c r="B967" s="3" t="s">
        <v>4298</v>
      </c>
      <c r="C967" s="3">
        <v>7424</v>
      </c>
      <c r="D967" s="3" t="str">
        <f>VLOOKUP(B967,[1]LifeList!$E$2:$G$2036,1)</f>
        <v>Double-crested Cormorant</v>
      </c>
      <c r="E967" s="3" t="str">
        <f>VLOOKUP(B967,[1]LifeList!$E$2:$G$2036,2)</f>
        <v>Cormoran à aigrettes</v>
      </c>
      <c r="F967" s="3" t="str">
        <f>VLOOKUP(B967,[1]LifeList!$E$2:$G$2036,3)</f>
        <v>Nannopterum auritum</v>
      </c>
      <c r="G967" s="3" t="str">
        <f>VLOOKUP(B967,[1]LifeList!$E$2:$I$2036,4)</f>
        <v>Suliformes</v>
      </c>
      <c r="H967" s="3" t="str">
        <f>VLOOKUP(B967,[1]LifeList!$E$2:$I$2036,5)</f>
        <v>Phalacrocoracidae (Cormorants and Shags)</v>
      </c>
    </row>
    <row r="968" spans="1:8" x14ac:dyDescent="0.15">
      <c r="A968" s="3" t="s">
        <v>924</v>
      </c>
      <c r="B968" s="3" t="s">
        <v>4298</v>
      </c>
      <c r="C968" s="3">
        <v>7424</v>
      </c>
      <c r="D968" s="3" t="str">
        <f>VLOOKUP(B968,[1]LifeList!$E$2:$G$2036,1)</f>
        <v>Double-crested Cormorant</v>
      </c>
      <c r="E968" s="3" t="str">
        <f>VLOOKUP(B968,[1]LifeList!$E$2:$G$2036,2)</f>
        <v>Cormoran à aigrettes</v>
      </c>
      <c r="F968" s="3" t="str">
        <f>VLOOKUP(B968,[1]LifeList!$E$2:$G$2036,3)</f>
        <v>Nannopterum auritum</v>
      </c>
      <c r="G968" s="3" t="str">
        <f>VLOOKUP(B968,[1]LifeList!$E$2:$I$2036,4)</f>
        <v>Suliformes</v>
      </c>
      <c r="H968" s="3" t="str">
        <f>VLOOKUP(B968,[1]LifeList!$E$2:$I$2036,5)</f>
        <v>Phalacrocoracidae (Cormorants and Shags)</v>
      </c>
    </row>
    <row r="969" spans="1:8" x14ac:dyDescent="0.15">
      <c r="A969" s="3" t="s">
        <v>925</v>
      </c>
      <c r="B969" s="3" t="s">
        <v>4298</v>
      </c>
      <c r="C969" s="3">
        <v>7424</v>
      </c>
      <c r="D969" s="3" t="str">
        <f>VLOOKUP(B969,[1]LifeList!$E$2:$G$2036,1)</f>
        <v>Double-crested Cormorant</v>
      </c>
      <c r="E969" s="3" t="str">
        <f>VLOOKUP(B969,[1]LifeList!$E$2:$G$2036,2)</f>
        <v>Cormoran à aigrettes</v>
      </c>
      <c r="F969" s="3" t="str">
        <f>VLOOKUP(B969,[1]LifeList!$E$2:$G$2036,3)</f>
        <v>Nannopterum auritum</v>
      </c>
      <c r="G969" s="3" t="str">
        <f>VLOOKUP(B969,[1]LifeList!$E$2:$I$2036,4)</f>
        <v>Suliformes</v>
      </c>
      <c r="H969" s="3" t="str">
        <f>VLOOKUP(B969,[1]LifeList!$E$2:$I$2036,5)</f>
        <v>Phalacrocoracidae (Cormorants and Shags)</v>
      </c>
    </row>
    <row r="970" spans="1:8" x14ac:dyDescent="0.15">
      <c r="A970" s="3" t="s">
        <v>926</v>
      </c>
      <c r="B970" s="3" t="s">
        <v>4298</v>
      </c>
      <c r="C970" s="3">
        <v>7424</v>
      </c>
      <c r="D970" s="3" t="str">
        <f>VLOOKUP(B970,[1]LifeList!$E$2:$G$2036,1)</f>
        <v>Double-crested Cormorant</v>
      </c>
      <c r="E970" s="3" t="str">
        <f>VLOOKUP(B970,[1]LifeList!$E$2:$G$2036,2)</f>
        <v>Cormoran à aigrettes</v>
      </c>
      <c r="F970" s="3" t="str">
        <f>VLOOKUP(B970,[1]LifeList!$E$2:$G$2036,3)</f>
        <v>Nannopterum auritum</v>
      </c>
      <c r="G970" s="3" t="str">
        <f>VLOOKUP(B970,[1]LifeList!$E$2:$I$2036,4)</f>
        <v>Suliformes</v>
      </c>
      <c r="H970" s="3" t="str">
        <f>VLOOKUP(B970,[1]LifeList!$E$2:$I$2036,5)</f>
        <v>Phalacrocoracidae (Cormorants and Shags)</v>
      </c>
    </row>
    <row r="971" spans="1:8" x14ac:dyDescent="0.15">
      <c r="A971" s="3" t="s">
        <v>927</v>
      </c>
      <c r="B971" s="3" t="s">
        <v>4298</v>
      </c>
      <c r="C971" s="3">
        <v>7424</v>
      </c>
      <c r="D971" s="3" t="str">
        <f>VLOOKUP(B971,[1]LifeList!$E$2:$G$2036,1)</f>
        <v>Double-crested Cormorant</v>
      </c>
      <c r="E971" s="3" t="str">
        <f>VLOOKUP(B971,[1]LifeList!$E$2:$G$2036,2)</f>
        <v>Cormoran à aigrettes</v>
      </c>
      <c r="F971" s="3" t="str">
        <f>VLOOKUP(B971,[1]LifeList!$E$2:$G$2036,3)</f>
        <v>Nannopterum auritum</v>
      </c>
      <c r="G971" s="3" t="str">
        <f>VLOOKUP(B971,[1]LifeList!$E$2:$I$2036,4)</f>
        <v>Suliformes</v>
      </c>
      <c r="H971" s="3" t="str">
        <f>VLOOKUP(B971,[1]LifeList!$E$2:$I$2036,5)</f>
        <v>Phalacrocoracidae (Cormorants and Shags)</v>
      </c>
    </row>
    <row r="972" spans="1:8" x14ac:dyDescent="0.15">
      <c r="A972" s="3" t="s">
        <v>928</v>
      </c>
      <c r="B972" s="3" t="s">
        <v>4298</v>
      </c>
      <c r="C972" s="3">
        <v>7424</v>
      </c>
      <c r="D972" s="3" t="str">
        <f>VLOOKUP(B972,[1]LifeList!$E$2:$G$2036,1)</f>
        <v>Double-crested Cormorant</v>
      </c>
      <c r="E972" s="3" t="str">
        <f>VLOOKUP(B972,[1]LifeList!$E$2:$G$2036,2)</f>
        <v>Cormoran à aigrettes</v>
      </c>
      <c r="F972" s="3" t="str">
        <f>VLOOKUP(B972,[1]LifeList!$E$2:$G$2036,3)</f>
        <v>Nannopterum auritum</v>
      </c>
      <c r="G972" s="3" t="str">
        <f>VLOOKUP(B972,[1]LifeList!$E$2:$I$2036,4)</f>
        <v>Suliformes</v>
      </c>
      <c r="H972" s="3" t="str">
        <f>VLOOKUP(B972,[1]LifeList!$E$2:$I$2036,5)</f>
        <v>Phalacrocoracidae (Cormorants and Shags)</v>
      </c>
    </row>
    <row r="973" spans="1:8" x14ac:dyDescent="0.15">
      <c r="A973" s="3" t="s">
        <v>929</v>
      </c>
      <c r="B973" s="3" t="s">
        <v>4298</v>
      </c>
      <c r="C973" s="3">
        <v>7424</v>
      </c>
      <c r="D973" s="3" t="str">
        <f>VLOOKUP(B973,[1]LifeList!$E$2:$G$2036,1)</f>
        <v>Double-crested Cormorant</v>
      </c>
      <c r="E973" s="3" t="str">
        <f>VLOOKUP(B973,[1]LifeList!$E$2:$G$2036,2)</f>
        <v>Cormoran à aigrettes</v>
      </c>
      <c r="F973" s="3" t="str">
        <f>VLOOKUP(B973,[1]LifeList!$E$2:$G$2036,3)</f>
        <v>Nannopterum auritum</v>
      </c>
      <c r="G973" s="3" t="str">
        <f>VLOOKUP(B973,[1]LifeList!$E$2:$I$2036,4)</f>
        <v>Suliformes</v>
      </c>
      <c r="H973" s="3" t="str">
        <f>VLOOKUP(B973,[1]LifeList!$E$2:$I$2036,5)</f>
        <v>Phalacrocoracidae (Cormorants and Shags)</v>
      </c>
    </row>
    <row r="974" spans="1:8" x14ac:dyDescent="0.15">
      <c r="A974" s="3" t="s">
        <v>921</v>
      </c>
      <c r="B974" s="3" t="s">
        <v>4298</v>
      </c>
      <c r="C974" s="3">
        <v>7424</v>
      </c>
      <c r="D974" s="3" t="str">
        <f>VLOOKUP(B974,[1]LifeList!$E$2:$G$2036,1)</f>
        <v>Double-crested Cormorant</v>
      </c>
      <c r="E974" s="3" t="str">
        <f>VLOOKUP(B974,[1]LifeList!$E$2:$G$2036,2)</f>
        <v>Cormoran à aigrettes</v>
      </c>
      <c r="F974" s="3" t="str">
        <f>VLOOKUP(B974,[1]LifeList!$E$2:$G$2036,3)</f>
        <v>Nannopterum auritum</v>
      </c>
      <c r="G974" s="3" t="str">
        <f>VLOOKUP(B974,[1]LifeList!$E$2:$I$2036,4)</f>
        <v>Suliformes</v>
      </c>
      <c r="H974" s="3" t="str">
        <f>VLOOKUP(B974,[1]LifeList!$E$2:$I$2036,5)</f>
        <v>Phalacrocoracidae (Cormorants and Shags)</v>
      </c>
    </row>
    <row r="975" spans="1:8" x14ac:dyDescent="0.15">
      <c r="A975" s="3" t="s">
        <v>930</v>
      </c>
      <c r="B975" s="3" t="s">
        <v>4299</v>
      </c>
      <c r="C975" s="3">
        <v>5734</v>
      </c>
      <c r="D975" s="3" t="str">
        <f>VLOOKUP(B975,[1]LifeList!$E$2:$G$2036,1)</f>
        <v>Double-striped Thick-knee</v>
      </c>
      <c r="E975" s="3" t="str">
        <f>VLOOKUP(B975,[1]LifeList!$E$2:$G$2036,2)</f>
        <v>Oedicnème bistrié</v>
      </c>
      <c r="F975" s="3" t="str">
        <f>VLOOKUP(B975,[1]LifeList!$E$2:$G$2036,3)</f>
        <v>Hesperoburhinus bistriatus</v>
      </c>
      <c r="G975" s="3" t="str">
        <f>VLOOKUP(B975,[1]LifeList!$E$2:$I$2036,4)</f>
        <v>Charadriiformes</v>
      </c>
      <c r="H975" s="3" t="str">
        <f>VLOOKUP(B975,[1]LifeList!$E$2:$I$2036,5)</f>
        <v>Burhinidae (Thick-knees)</v>
      </c>
    </row>
    <row r="976" spans="1:8" x14ac:dyDescent="0.15">
      <c r="A976" s="3" t="s">
        <v>931</v>
      </c>
      <c r="B976" s="3" t="s">
        <v>4299</v>
      </c>
      <c r="C976" s="3">
        <v>5734</v>
      </c>
      <c r="D976" s="3" t="str">
        <f>VLOOKUP(B976,[1]LifeList!$E$2:$G$2036,1)</f>
        <v>Double-striped Thick-knee</v>
      </c>
      <c r="E976" s="3" t="str">
        <f>VLOOKUP(B976,[1]LifeList!$E$2:$G$2036,2)</f>
        <v>Oedicnème bistrié</v>
      </c>
      <c r="F976" s="3" t="str">
        <f>VLOOKUP(B976,[1]LifeList!$E$2:$G$2036,3)</f>
        <v>Hesperoburhinus bistriatus</v>
      </c>
      <c r="G976" s="3" t="str">
        <f>VLOOKUP(B976,[1]LifeList!$E$2:$I$2036,4)</f>
        <v>Charadriiformes</v>
      </c>
      <c r="H976" s="3" t="str">
        <f>VLOOKUP(B976,[1]LifeList!$E$2:$I$2036,5)</f>
        <v>Burhinidae (Thick-knees)</v>
      </c>
    </row>
    <row r="977" spans="1:8" x14ac:dyDescent="0.15">
      <c r="A977" s="3" t="s">
        <v>932</v>
      </c>
      <c r="B977" s="3" t="s">
        <v>4299</v>
      </c>
      <c r="C977" s="3">
        <v>5734</v>
      </c>
      <c r="D977" s="3" t="str">
        <f>VLOOKUP(B977,[1]LifeList!$E$2:$G$2036,1)</f>
        <v>Double-striped Thick-knee</v>
      </c>
      <c r="E977" s="3" t="str">
        <f>VLOOKUP(B977,[1]LifeList!$E$2:$G$2036,2)</f>
        <v>Oedicnème bistrié</v>
      </c>
      <c r="F977" s="3" t="str">
        <f>VLOOKUP(B977,[1]LifeList!$E$2:$G$2036,3)</f>
        <v>Hesperoburhinus bistriatus</v>
      </c>
      <c r="G977" s="3" t="str">
        <f>VLOOKUP(B977,[1]LifeList!$E$2:$I$2036,4)</f>
        <v>Charadriiformes</v>
      </c>
      <c r="H977" s="3" t="str">
        <f>VLOOKUP(B977,[1]LifeList!$E$2:$I$2036,5)</f>
        <v>Burhinidae (Thick-knees)</v>
      </c>
    </row>
    <row r="978" spans="1:8" x14ac:dyDescent="0.15">
      <c r="A978" s="3" t="s">
        <v>933</v>
      </c>
      <c r="B978" s="3" t="s">
        <v>4300</v>
      </c>
      <c r="C978" s="3">
        <v>11400</v>
      </c>
      <c r="D978" s="3" t="str">
        <f>VLOOKUP(B978,[1]LifeList!$E$2:$G$2036,1)</f>
        <v>Downy Woodpecker</v>
      </c>
      <c r="E978" s="3" t="str">
        <f>VLOOKUP(B978,[1]LifeList!$E$2:$G$2036,2)</f>
        <v>Pic mineur</v>
      </c>
      <c r="F978" s="3" t="str">
        <f>VLOOKUP(B978,[1]LifeList!$E$2:$G$2036,3)</f>
        <v>Dryobates pubescens</v>
      </c>
      <c r="G978" s="3" t="str">
        <f>VLOOKUP(B978,[1]LifeList!$E$2:$I$2036,4)</f>
        <v>Piciformes</v>
      </c>
      <c r="H978" s="3" t="str">
        <f>VLOOKUP(B978,[1]LifeList!$E$2:$I$2036,5)</f>
        <v>Picidae (Woodpeckers)</v>
      </c>
    </row>
    <row r="979" spans="1:8" x14ac:dyDescent="0.15">
      <c r="A979" s="3" t="s">
        <v>934</v>
      </c>
      <c r="B979" s="3" t="s">
        <v>4300</v>
      </c>
      <c r="C979" s="3">
        <v>11400</v>
      </c>
      <c r="D979" s="3" t="str">
        <f>VLOOKUP(B979,[1]LifeList!$E$2:$G$2036,1)</f>
        <v>Downy Woodpecker</v>
      </c>
      <c r="E979" s="3" t="str">
        <f>VLOOKUP(B979,[1]LifeList!$E$2:$G$2036,2)</f>
        <v>Pic mineur</v>
      </c>
      <c r="F979" s="3" t="str">
        <f>VLOOKUP(B979,[1]LifeList!$E$2:$G$2036,3)</f>
        <v>Dryobates pubescens</v>
      </c>
      <c r="G979" s="3" t="str">
        <f>VLOOKUP(B979,[1]LifeList!$E$2:$I$2036,4)</f>
        <v>Piciformes</v>
      </c>
      <c r="H979" s="3" t="str">
        <f>VLOOKUP(B979,[1]LifeList!$E$2:$I$2036,5)</f>
        <v>Picidae (Woodpeckers)</v>
      </c>
    </row>
    <row r="980" spans="1:8" x14ac:dyDescent="0.15">
      <c r="A980" s="3" t="s">
        <v>935</v>
      </c>
      <c r="B980" s="3" t="s">
        <v>4301</v>
      </c>
      <c r="C980" s="3">
        <v>35731</v>
      </c>
      <c r="D980" s="3" t="str">
        <f>VLOOKUP(B980,[1]LifeList!$E$2:$G$2036,1)</f>
        <v>Dull-colored Grassquit</v>
      </c>
      <c r="E980" s="3" t="str">
        <f>VLOOKUP(B980,[1]LifeList!$E$2:$G$2036,2)</f>
        <v>Cici obscur</v>
      </c>
      <c r="F980" s="3" t="str">
        <f>VLOOKUP(B980,[1]LifeList!$E$2:$G$2036,3)</f>
        <v>Asemospiza obscura</v>
      </c>
      <c r="G980" s="3" t="str">
        <f>VLOOKUP(B980,[1]LifeList!$E$2:$I$2036,4)</f>
        <v>Passeriformes</v>
      </c>
      <c r="H980" s="3" t="str">
        <f>VLOOKUP(B980,[1]LifeList!$E$2:$I$2036,5)</f>
        <v>Thraupidae (Tanagers and Allies)</v>
      </c>
    </row>
    <row r="981" spans="1:8" x14ac:dyDescent="0.15">
      <c r="A981" s="3" t="s">
        <v>936</v>
      </c>
      <c r="B981" s="3" t="s">
        <v>4302</v>
      </c>
      <c r="C981" s="3">
        <v>14029</v>
      </c>
      <c r="D981" s="3" t="str">
        <f>VLOOKUP(B981,[1]LifeList!$E$2:$G$2036,1)</f>
        <v>Dull-mantled Antbird</v>
      </c>
      <c r="E981" s="3" t="str">
        <f>VLOOKUP(B981,[1]LifeList!$E$2:$G$2036,2)</f>
        <v>Alapi tabac</v>
      </c>
      <c r="F981" s="3" t="str">
        <f>VLOOKUP(B981,[1]LifeList!$E$2:$G$2036,3)</f>
        <v>Sipia laemosticta</v>
      </c>
      <c r="G981" s="3" t="str">
        <f>VLOOKUP(B981,[1]LifeList!$E$2:$I$2036,4)</f>
        <v>Passeriformes</v>
      </c>
      <c r="H981" s="3" t="str">
        <f>VLOOKUP(B981,[1]LifeList!$E$2:$I$2036,5)</f>
        <v>Thamnophilidae (Typical Antbirds)</v>
      </c>
    </row>
    <row r="982" spans="1:8" x14ac:dyDescent="0.15">
      <c r="A982" s="3" t="s">
        <v>937</v>
      </c>
      <c r="B982" s="3" t="s">
        <v>4303</v>
      </c>
      <c r="C982" s="3">
        <v>6192</v>
      </c>
      <c r="D982" s="3" t="str">
        <f>VLOOKUP(B982,[1]LifeList!$E$2:$G$2036,1)</f>
        <v>Dunlin</v>
      </c>
      <c r="E982" s="3" t="str">
        <f>VLOOKUP(B982,[1]LifeList!$E$2:$G$2036,2)</f>
        <v>Bécasseau variable</v>
      </c>
      <c r="F982" s="3" t="str">
        <f>VLOOKUP(B982,[1]LifeList!$E$2:$G$2036,3)</f>
        <v>Calidris alpina</v>
      </c>
      <c r="G982" s="3" t="str">
        <f>VLOOKUP(B982,[1]LifeList!$E$2:$I$2036,4)</f>
        <v>Charadriiformes</v>
      </c>
      <c r="H982" s="3" t="str">
        <f>VLOOKUP(B982,[1]LifeList!$E$2:$I$2036,5)</f>
        <v>Scolopacidae (Sandpipers and Allies)</v>
      </c>
    </row>
    <row r="983" spans="1:8" x14ac:dyDescent="0.15">
      <c r="A983" s="3" t="s">
        <v>938</v>
      </c>
      <c r="B983" s="3" t="s">
        <v>4303</v>
      </c>
      <c r="C983" s="3">
        <v>6192</v>
      </c>
      <c r="D983" s="3" t="str">
        <f>VLOOKUP(B983,[1]LifeList!$E$2:$G$2036,1)</f>
        <v>Dunlin</v>
      </c>
      <c r="E983" s="3" t="str">
        <f>VLOOKUP(B983,[1]LifeList!$E$2:$G$2036,2)</f>
        <v>Bécasseau variable</v>
      </c>
      <c r="F983" s="3" t="str">
        <f>VLOOKUP(B983,[1]LifeList!$E$2:$G$2036,3)</f>
        <v>Calidris alpina</v>
      </c>
      <c r="G983" s="3" t="str">
        <f>VLOOKUP(B983,[1]LifeList!$E$2:$I$2036,4)</f>
        <v>Charadriiformes</v>
      </c>
      <c r="H983" s="3" t="str">
        <f>VLOOKUP(B983,[1]LifeList!$E$2:$I$2036,5)</f>
        <v>Scolopacidae (Sandpipers and Allies)</v>
      </c>
    </row>
    <row r="984" spans="1:8" x14ac:dyDescent="0.15">
      <c r="A984" s="3" t="s">
        <v>939</v>
      </c>
      <c r="B984" s="3" t="s">
        <v>4303</v>
      </c>
      <c r="C984" s="3">
        <v>6192</v>
      </c>
      <c r="D984" s="3" t="str">
        <f>VLOOKUP(B984,[1]LifeList!$E$2:$G$2036,1)</f>
        <v>Dunlin</v>
      </c>
      <c r="E984" s="3" t="str">
        <f>VLOOKUP(B984,[1]LifeList!$E$2:$G$2036,2)</f>
        <v>Bécasseau variable</v>
      </c>
      <c r="F984" s="3" t="str">
        <f>VLOOKUP(B984,[1]LifeList!$E$2:$G$2036,3)</f>
        <v>Calidris alpina</v>
      </c>
      <c r="G984" s="3" t="str">
        <f>VLOOKUP(B984,[1]LifeList!$E$2:$I$2036,4)</f>
        <v>Charadriiformes</v>
      </c>
      <c r="H984" s="3" t="str">
        <f>VLOOKUP(B984,[1]LifeList!$E$2:$I$2036,5)</f>
        <v>Scolopacidae (Sandpipers and Allies)</v>
      </c>
    </row>
    <row r="985" spans="1:8" x14ac:dyDescent="0.15">
      <c r="A985" s="3" t="s">
        <v>940</v>
      </c>
      <c r="B985" s="3" t="s">
        <v>4303</v>
      </c>
      <c r="C985" s="3">
        <v>6192</v>
      </c>
      <c r="D985" s="3" t="str">
        <f>VLOOKUP(B985,[1]LifeList!$E$2:$G$2036,1)</f>
        <v>Dunlin</v>
      </c>
      <c r="E985" s="3" t="str">
        <f>VLOOKUP(B985,[1]LifeList!$E$2:$G$2036,2)</f>
        <v>Bécasseau variable</v>
      </c>
      <c r="F985" s="3" t="str">
        <f>VLOOKUP(B985,[1]LifeList!$E$2:$G$2036,3)</f>
        <v>Calidris alpina</v>
      </c>
      <c r="G985" s="3" t="str">
        <f>VLOOKUP(B985,[1]LifeList!$E$2:$I$2036,4)</f>
        <v>Charadriiformes</v>
      </c>
      <c r="H985" s="3" t="str">
        <f>VLOOKUP(B985,[1]LifeList!$E$2:$I$2036,5)</f>
        <v>Scolopacidae (Sandpipers and Allies)</v>
      </c>
    </row>
    <row r="986" spans="1:8" x14ac:dyDescent="0.15">
      <c r="A986" s="3" t="s">
        <v>941</v>
      </c>
      <c r="B986" s="3" t="s">
        <v>4303</v>
      </c>
      <c r="C986" s="3">
        <v>6192</v>
      </c>
      <c r="D986" s="3" t="str">
        <f>VLOOKUP(B986,[1]LifeList!$E$2:$G$2036,1)</f>
        <v>Dunlin</v>
      </c>
      <c r="E986" s="3" t="str">
        <f>VLOOKUP(B986,[1]LifeList!$E$2:$G$2036,2)</f>
        <v>Bécasseau variable</v>
      </c>
      <c r="F986" s="3" t="str">
        <f>VLOOKUP(B986,[1]LifeList!$E$2:$G$2036,3)</f>
        <v>Calidris alpina</v>
      </c>
      <c r="G986" s="3" t="str">
        <f>VLOOKUP(B986,[1]LifeList!$E$2:$I$2036,4)</f>
        <v>Charadriiformes</v>
      </c>
      <c r="H986" s="3" t="str">
        <f>VLOOKUP(B986,[1]LifeList!$E$2:$I$2036,5)</f>
        <v>Scolopacidae (Sandpipers and Allies)</v>
      </c>
    </row>
    <row r="987" spans="1:8" x14ac:dyDescent="0.15">
      <c r="A987" s="3" t="s">
        <v>942</v>
      </c>
      <c r="B987" s="3" t="s">
        <v>4303</v>
      </c>
      <c r="C987" s="3">
        <v>6192</v>
      </c>
      <c r="D987" s="3" t="str">
        <f>VLOOKUP(B987,[1]LifeList!$E$2:$G$2036,1)</f>
        <v>Dunlin</v>
      </c>
      <c r="E987" s="3" t="str">
        <f>VLOOKUP(B987,[1]LifeList!$E$2:$G$2036,2)</f>
        <v>Bécasseau variable</v>
      </c>
      <c r="F987" s="3" t="str">
        <f>VLOOKUP(B987,[1]LifeList!$E$2:$G$2036,3)</f>
        <v>Calidris alpina</v>
      </c>
      <c r="G987" s="3" t="str">
        <f>VLOOKUP(B987,[1]LifeList!$E$2:$I$2036,4)</f>
        <v>Charadriiformes</v>
      </c>
      <c r="H987" s="3" t="str">
        <f>VLOOKUP(B987,[1]LifeList!$E$2:$I$2036,5)</f>
        <v>Scolopacidae (Sandpipers and Allies)</v>
      </c>
    </row>
    <row r="988" spans="1:8" x14ac:dyDescent="0.15">
      <c r="A988" s="3" t="s">
        <v>943</v>
      </c>
      <c r="B988" s="3" t="s">
        <v>4303</v>
      </c>
      <c r="C988" s="3">
        <v>6192</v>
      </c>
      <c r="D988" s="3" t="str">
        <f>VLOOKUP(B988,[1]LifeList!$E$2:$G$2036,1)</f>
        <v>Dunlin</v>
      </c>
      <c r="E988" s="3" t="str">
        <f>VLOOKUP(B988,[1]LifeList!$E$2:$G$2036,2)</f>
        <v>Bécasseau variable</v>
      </c>
      <c r="F988" s="3" t="str">
        <f>VLOOKUP(B988,[1]LifeList!$E$2:$G$2036,3)</f>
        <v>Calidris alpina</v>
      </c>
      <c r="G988" s="3" t="str">
        <f>VLOOKUP(B988,[1]LifeList!$E$2:$I$2036,4)</f>
        <v>Charadriiformes</v>
      </c>
      <c r="H988" s="3" t="str">
        <f>VLOOKUP(B988,[1]LifeList!$E$2:$I$2036,5)</f>
        <v>Scolopacidae (Sandpipers and Allies)</v>
      </c>
    </row>
    <row r="989" spans="1:8" x14ac:dyDescent="0.15">
      <c r="A989" s="3" t="s">
        <v>951</v>
      </c>
      <c r="B989" s="3" t="s">
        <v>4304</v>
      </c>
      <c r="C989" s="3">
        <v>13906</v>
      </c>
      <c r="D989" s="3" t="str">
        <f>VLOOKUP(B989,[1]LifeList!$E$2:$G$2036,1)</f>
        <v>Dusky Antbird</v>
      </c>
      <c r="E989" s="3" t="str">
        <f>VLOOKUP(B989,[1]LifeList!$E$2:$G$2036,2)</f>
        <v>Grisin sombre</v>
      </c>
      <c r="F989" s="3" t="str">
        <f>VLOOKUP(B989,[1]LifeList!$E$2:$G$2036,3)</f>
        <v>Cercomacroides tyrannina</v>
      </c>
      <c r="G989" s="3" t="str">
        <f>VLOOKUP(B989,[1]LifeList!$E$2:$I$2036,4)</f>
        <v>Passeriformes</v>
      </c>
      <c r="H989" s="3" t="str">
        <f>VLOOKUP(B989,[1]LifeList!$E$2:$I$2036,5)</f>
        <v>Thamnophilidae (Typical Antbirds)</v>
      </c>
    </row>
    <row r="990" spans="1:8" x14ac:dyDescent="0.15">
      <c r="A990" s="3" t="s">
        <v>952</v>
      </c>
      <c r="B990" s="3" t="s">
        <v>4305</v>
      </c>
      <c r="C990" s="3">
        <v>5478</v>
      </c>
      <c r="D990" s="3" t="str">
        <f>VLOOKUP(B990,[1]LifeList!$E$2:$G$2036,1)</f>
        <v>Dusky Moorhen</v>
      </c>
      <c r="E990" s="3" t="str">
        <f>VLOOKUP(B990,[1]LifeList!$E$2:$G$2036,2)</f>
        <v>Gallinule sombre</v>
      </c>
      <c r="F990" s="3" t="str">
        <f>VLOOKUP(B990,[1]LifeList!$E$2:$G$2036,3)</f>
        <v>Gallinula tenebrosa</v>
      </c>
      <c r="G990" s="3" t="str">
        <f>VLOOKUP(B990,[1]LifeList!$E$2:$I$2036,4)</f>
        <v>Gruiformes</v>
      </c>
      <c r="H990" s="3" t="str">
        <f>VLOOKUP(B990,[1]LifeList!$E$2:$I$2036,5)</f>
        <v>Rallidae (Rails, Gallinules, and Coots)</v>
      </c>
    </row>
    <row r="991" spans="1:8" x14ac:dyDescent="0.15">
      <c r="A991" s="3" t="s">
        <v>953</v>
      </c>
      <c r="B991" s="3" t="s">
        <v>4305</v>
      </c>
      <c r="C991" s="3">
        <v>5478</v>
      </c>
      <c r="D991" s="3" t="str">
        <f>VLOOKUP(B991,[1]LifeList!$E$2:$G$2036,1)</f>
        <v>Dusky Moorhen</v>
      </c>
      <c r="E991" s="3" t="str">
        <f>VLOOKUP(B991,[1]LifeList!$E$2:$G$2036,2)</f>
        <v>Gallinule sombre</v>
      </c>
      <c r="F991" s="3" t="str">
        <f>VLOOKUP(B991,[1]LifeList!$E$2:$G$2036,3)</f>
        <v>Gallinula tenebrosa</v>
      </c>
      <c r="G991" s="3" t="str">
        <f>VLOOKUP(B991,[1]LifeList!$E$2:$I$2036,4)</f>
        <v>Gruiformes</v>
      </c>
      <c r="H991" s="3" t="str">
        <f>VLOOKUP(B991,[1]LifeList!$E$2:$I$2036,5)</f>
        <v>Rallidae (Rails, Gallinules, and Coots)</v>
      </c>
    </row>
    <row r="992" spans="1:8" x14ac:dyDescent="0.15">
      <c r="A992" s="3" t="s">
        <v>954</v>
      </c>
      <c r="B992" s="3" t="s">
        <v>4306</v>
      </c>
      <c r="C992" s="3">
        <v>21831</v>
      </c>
      <c r="D992" s="3" t="str">
        <f>VLOOKUP(B992,[1]LifeList!$E$2:$G$2036,1)</f>
        <v>Dusky Robin</v>
      </c>
      <c r="E992" s="3" t="str">
        <f>VLOOKUP(B992,[1]LifeList!$E$2:$G$2036,2)</f>
        <v>Miro de Tasmanie</v>
      </c>
      <c r="F992" s="3" t="str">
        <f>VLOOKUP(B992,[1]LifeList!$E$2:$G$2036,3)</f>
        <v>Melanodryas vittata</v>
      </c>
      <c r="G992" s="3" t="str">
        <f>VLOOKUP(B992,[1]LifeList!$E$2:$I$2036,4)</f>
        <v>Passeriformes</v>
      </c>
      <c r="H992" s="3" t="str">
        <f>VLOOKUP(B992,[1]LifeList!$E$2:$I$2036,5)</f>
        <v>Petroicidae (Australasian Robins)</v>
      </c>
    </row>
    <row r="993" spans="1:8" x14ac:dyDescent="0.15">
      <c r="A993" s="3" t="s">
        <v>944</v>
      </c>
      <c r="B993" s="3" t="s">
        <v>4307</v>
      </c>
      <c r="C993" s="3">
        <v>10493</v>
      </c>
      <c r="D993" s="3" t="str">
        <f>VLOOKUP(B993,[1]LifeList!$E$2:$G$2036,1)</f>
        <v>Dusky-backed Jacamar</v>
      </c>
      <c r="E993" s="3" t="str">
        <f>VLOOKUP(B993,[1]LifeList!$E$2:$G$2036,2)</f>
        <v>Jacamar sombre</v>
      </c>
      <c r="F993" s="3" t="str">
        <f>VLOOKUP(B993,[1]LifeList!$E$2:$G$2036,3)</f>
        <v>Brachygalba salmoni</v>
      </c>
      <c r="G993" s="3" t="str">
        <f>VLOOKUP(B993,[1]LifeList!$E$2:$I$2036,4)</f>
        <v>Piciformes</v>
      </c>
      <c r="H993" s="3" t="str">
        <f>VLOOKUP(B993,[1]LifeList!$E$2:$I$2036,5)</f>
        <v>Galbulidae (Jacamars)</v>
      </c>
    </row>
    <row r="994" spans="1:8" x14ac:dyDescent="0.15">
      <c r="A994" s="3" t="s">
        <v>945</v>
      </c>
      <c r="B994" s="3" t="s">
        <v>4308</v>
      </c>
      <c r="C994" s="3">
        <v>17284</v>
      </c>
      <c r="D994" s="3" t="str">
        <f>VLOOKUP(B994,[1]LifeList!$E$2:$G$2036,1)</f>
        <v>Dusky-capped Flycatcher</v>
      </c>
      <c r="E994" s="3" t="str">
        <f>VLOOKUP(B994,[1]LifeList!$E$2:$G$2036,2)</f>
        <v>Tyran olivâtre</v>
      </c>
      <c r="F994" s="3" t="str">
        <f>VLOOKUP(B994,[1]LifeList!$E$2:$G$2036,3)</f>
        <v>Myiarchus tuberculifer</v>
      </c>
      <c r="G994" s="3" t="str">
        <f>VLOOKUP(B994,[1]LifeList!$E$2:$I$2036,4)</f>
        <v>Passeriformes</v>
      </c>
      <c r="H994" s="3" t="str">
        <f>VLOOKUP(B994,[1]LifeList!$E$2:$I$2036,5)</f>
        <v>Tyrannidae (Tyrant Flycatchers)</v>
      </c>
    </row>
    <row r="995" spans="1:8" x14ac:dyDescent="0.15">
      <c r="A995" s="3" t="s">
        <v>946</v>
      </c>
      <c r="B995" s="3" t="s">
        <v>4308</v>
      </c>
      <c r="C995" s="3">
        <v>17284</v>
      </c>
      <c r="D995" s="3" t="str">
        <f>VLOOKUP(B995,[1]LifeList!$E$2:$G$2036,1)</f>
        <v>Dusky-capped Flycatcher</v>
      </c>
      <c r="E995" s="3" t="str">
        <f>VLOOKUP(B995,[1]LifeList!$E$2:$G$2036,2)</f>
        <v>Tyran olivâtre</v>
      </c>
      <c r="F995" s="3" t="str">
        <f>VLOOKUP(B995,[1]LifeList!$E$2:$G$2036,3)</f>
        <v>Myiarchus tuberculifer</v>
      </c>
      <c r="G995" s="3" t="str">
        <f>VLOOKUP(B995,[1]LifeList!$E$2:$I$2036,4)</f>
        <v>Passeriformes</v>
      </c>
      <c r="H995" s="3" t="str">
        <f>VLOOKUP(B995,[1]LifeList!$E$2:$I$2036,5)</f>
        <v>Tyrannidae (Tyrant Flycatchers)</v>
      </c>
    </row>
    <row r="996" spans="1:8" x14ac:dyDescent="0.15">
      <c r="A996" s="3" t="s">
        <v>947</v>
      </c>
      <c r="B996" s="3" t="s">
        <v>4308</v>
      </c>
      <c r="C996" s="3">
        <v>17284</v>
      </c>
      <c r="D996" s="3" t="str">
        <f>VLOOKUP(B996,[1]LifeList!$E$2:$G$2036,1)</f>
        <v>Dusky-capped Flycatcher</v>
      </c>
      <c r="E996" s="3" t="str">
        <f>VLOOKUP(B996,[1]LifeList!$E$2:$G$2036,2)</f>
        <v>Tyran olivâtre</v>
      </c>
      <c r="F996" s="3" t="str">
        <f>VLOOKUP(B996,[1]LifeList!$E$2:$G$2036,3)</f>
        <v>Myiarchus tuberculifer</v>
      </c>
      <c r="G996" s="3" t="str">
        <f>VLOOKUP(B996,[1]LifeList!$E$2:$I$2036,4)</f>
        <v>Passeriformes</v>
      </c>
      <c r="H996" s="3" t="str">
        <f>VLOOKUP(B996,[1]LifeList!$E$2:$I$2036,5)</f>
        <v>Tyrannidae (Tyrant Flycatchers)</v>
      </c>
    </row>
    <row r="997" spans="1:8" x14ac:dyDescent="0.15">
      <c r="A997" s="3" t="s">
        <v>948</v>
      </c>
      <c r="B997" s="3" t="s">
        <v>4308</v>
      </c>
      <c r="C997" s="3">
        <v>17284</v>
      </c>
      <c r="D997" s="3" t="str">
        <f>VLOOKUP(B997,[1]LifeList!$E$2:$G$2036,1)</f>
        <v>Dusky-capped Flycatcher</v>
      </c>
      <c r="E997" s="3" t="str">
        <f>VLOOKUP(B997,[1]LifeList!$E$2:$G$2036,2)</f>
        <v>Tyran olivâtre</v>
      </c>
      <c r="F997" s="3" t="str">
        <f>VLOOKUP(B997,[1]LifeList!$E$2:$G$2036,3)</f>
        <v>Myiarchus tuberculifer</v>
      </c>
      <c r="G997" s="3" t="str">
        <f>VLOOKUP(B997,[1]LifeList!$E$2:$I$2036,4)</f>
        <v>Passeriformes</v>
      </c>
      <c r="H997" s="3" t="str">
        <f>VLOOKUP(B997,[1]LifeList!$E$2:$I$2036,5)</f>
        <v>Tyrannidae (Tyrant Flycatchers)</v>
      </c>
    </row>
    <row r="998" spans="1:8" x14ac:dyDescent="0.15">
      <c r="A998" s="3" t="s">
        <v>949</v>
      </c>
      <c r="B998" s="3" t="s">
        <v>4308</v>
      </c>
      <c r="C998" s="3">
        <v>17284</v>
      </c>
      <c r="D998" s="3" t="str">
        <f>VLOOKUP(B998,[1]LifeList!$E$2:$G$2036,1)</f>
        <v>Dusky-capped Flycatcher</v>
      </c>
      <c r="E998" s="3" t="str">
        <f>VLOOKUP(B998,[1]LifeList!$E$2:$G$2036,2)</f>
        <v>Tyran olivâtre</v>
      </c>
      <c r="F998" s="3" t="str">
        <f>VLOOKUP(B998,[1]LifeList!$E$2:$G$2036,3)</f>
        <v>Myiarchus tuberculifer</v>
      </c>
      <c r="G998" s="3" t="str">
        <f>VLOOKUP(B998,[1]LifeList!$E$2:$I$2036,4)</f>
        <v>Passeriformes</v>
      </c>
      <c r="H998" s="3" t="str">
        <f>VLOOKUP(B998,[1]LifeList!$E$2:$I$2036,5)</f>
        <v>Tyrannidae (Tyrant Flycatchers)</v>
      </c>
    </row>
    <row r="999" spans="1:8" x14ac:dyDescent="0.15">
      <c r="A999" s="3" t="s">
        <v>3847</v>
      </c>
      <c r="B999" s="3" t="s">
        <v>4308</v>
      </c>
      <c r="C999" s="3">
        <v>17284</v>
      </c>
      <c r="D999" s="3" t="str">
        <f>VLOOKUP(B999,[1]LifeList!$E$2:$G$2036,1)</f>
        <v>Dusky-capped Flycatcher</v>
      </c>
      <c r="E999" s="3" t="str">
        <f>VLOOKUP(B999,[1]LifeList!$E$2:$G$2036,2)</f>
        <v>Tyran olivâtre</v>
      </c>
      <c r="F999" s="3" t="str">
        <f>VLOOKUP(B999,[1]LifeList!$E$2:$G$2036,3)</f>
        <v>Myiarchus tuberculifer</v>
      </c>
      <c r="G999" s="3" t="str">
        <f>VLOOKUP(B999,[1]LifeList!$E$2:$I$2036,4)</f>
        <v>Passeriformes</v>
      </c>
      <c r="H999" s="3" t="str">
        <f>VLOOKUP(B999,[1]LifeList!$E$2:$I$2036,5)</f>
        <v>Tyrannidae (Tyrant Flycatchers)</v>
      </c>
    </row>
    <row r="1000" spans="1:8" x14ac:dyDescent="0.15">
      <c r="A1000" s="3" t="s">
        <v>950</v>
      </c>
      <c r="B1000" s="3" t="s">
        <v>4309</v>
      </c>
      <c r="C1000" s="3">
        <v>34400</v>
      </c>
      <c r="D1000" s="3" t="str">
        <f>VLOOKUP(B1000,[1]LifeList!$E$2:$G$2036,1)</f>
        <v>Dusky-faced Tanager</v>
      </c>
      <c r="E1000" s="3" t="str">
        <f>VLOOKUP(B1000,[1]LifeList!$E$2:$G$2036,2)</f>
        <v>Mitrospin obscur</v>
      </c>
      <c r="F1000" s="3" t="str">
        <f>VLOOKUP(B1000,[1]LifeList!$E$2:$G$2036,3)</f>
        <v>Mitrospingus cassinii</v>
      </c>
      <c r="G1000" s="3" t="str">
        <f>VLOOKUP(B1000,[1]LifeList!$E$2:$I$2036,4)</f>
        <v>Passeriformes</v>
      </c>
      <c r="H1000" s="3" t="str">
        <f>VLOOKUP(B1000,[1]LifeList!$E$2:$I$2036,5)</f>
        <v>Mitrospingidae (Mitrospingid Tanagers)</v>
      </c>
    </row>
    <row r="1001" spans="1:8" x14ac:dyDescent="0.15">
      <c r="A1001" s="3" t="s">
        <v>955</v>
      </c>
      <c r="B1001" s="3" t="s">
        <v>4310</v>
      </c>
      <c r="C1001" s="3">
        <v>2400</v>
      </c>
      <c r="D1001" s="3" t="str">
        <f>VLOOKUP(B1001,[1]LifeList!$E$2:$G$2036,1)</f>
        <v>Eared Dove</v>
      </c>
      <c r="E1001" s="3" t="str">
        <f>VLOOKUP(B1001,[1]LifeList!$E$2:$G$2036,2)</f>
        <v>Tourterelle oreillarde</v>
      </c>
      <c r="F1001" s="3" t="str">
        <f>VLOOKUP(B1001,[1]LifeList!$E$2:$G$2036,3)</f>
        <v>Zenaida auriculata</v>
      </c>
      <c r="G1001" s="3" t="str">
        <f>VLOOKUP(B1001,[1]LifeList!$E$2:$I$2036,4)</f>
        <v>Columbiformes</v>
      </c>
      <c r="H1001" s="3" t="str">
        <f>VLOOKUP(B1001,[1]LifeList!$E$2:$I$2036,5)</f>
        <v>Columbidae (Pigeons and Doves)</v>
      </c>
    </row>
    <row r="1002" spans="1:8" x14ac:dyDescent="0.15">
      <c r="A1002" s="3" t="s">
        <v>956</v>
      </c>
      <c r="B1002" s="3" t="s">
        <v>4310</v>
      </c>
      <c r="C1002" s="3">
        <v>2400</v>
      </c>
      <c r="D1002" s="3" t="str">
        <f>VLOOKUP(B1002,[1]LifeList!$E$2:$G$2036,1)</f>
        <v>Eared Dove</v>
      </c>
      <c r="E1002" s="3" t="str">
        <f>VLOOKUP(B1002,[1]LifeList!$E$2:$G$2036,2)</f>
        <v>Tourterelle oreillarde</v>
      </c>
      <c r="F1002" s="3" t="str">
        <f>VLOOKUP(B1002,[1]LifeList!$E$2:$G$2036,3)</f>
        <v>Zenaida auriculata</v>
      </c>
      <c r="G1002" s="3" t="str">
        <f>VLOOKUP(B1002,[1]LifeList!$E$2:$I$2036,4)</f>
        <v>Columbiformes</v>
      </c>
      <c r="H1002" s="3" t="str">
        <f>VLOOKUP(B1002,[1]LifeList!$E$2:$I$2036,5)</f>
        <v>Columbidae (Pigeons and Doves)</v>
      </c>
    </row>
    <row r="1003" spans="1:8" x14ac:dyDescent="0.15">
      <c r="A1003" s="3" t="s">
        <v>957</v>
      </c>
      <c r="B1003" s="3" t="s">
        <v>4310</v>
      </c>
      <c r="C1003" s="3">
        <v>2400</v>
      </c>
      <c r="D1003" s="3" t="str">
        <f>VLOOKUP(B1003,[1]LifeList!$E$2:$G$2036,1)</f>
        <v>Eared Dove</v>
      </c>
      <c r="E1003" s="3" t="str">
        <f>VLOOKUP(B1003,[1]LifeList!$E$2:$G$2036,2)</f>
        <v>Tourterelle oreillarde</v>
      </c>
      <c r="F1003" s="3" t="str">
        <f>VLOOKUP(B1003,[1]LifeList!$E$2:$G$2036,3)</f>
        <v>Zenaida auriculata</v>
      </c>
      <c r="G1003" s="3" t="str">
        <f>VLOOKUP(B1003,[1]LifeList!$E$2:$I$2036,4)</f>
        <v>Columbiformes</v>
      </c>
      <c r="H1003" s="3" t="str">
        <f>VLOOKUP(B1003,[1]LifeList!$E$2:$I$2036,5)</f>
        <v>Columbidae (Pigeons and Doves)</v>
      </c>
    </row>
    <row r="1004" spans="1:8" x14ac:dyDescent="0.15">
      <c r="A1004" s="3" t="s">
        <v>958</v>
      </c>
      <c r="B1004" s="3" t="s">
        <v>4311</v>
      </c>
      <c r="C1004" s="3">
        <v>28126</v>
      </c>
      <c r="D1004" s="3" t="str">
        <f>VLOOKUP(B1004,[1]LifeList!$E$2:$G$2036,1)</f>
        <v>Eastern Bluebird</v>
      </c>
      <c r="E1004" s="3" t="str">
        <f>VLOOKUP(B1004,[1]LifeList!$E$2:$G$2036,2)</f>
        <v>Merlebleu de l'Est</v>
      </c>
      <c r="F1004" s="3" t="str">
        <f>VLOOKUP(B1004,[1]LifeList!$E$2:$G$2036,3)</f>
        <v>Sialia sialis</v>
      </c>
      <c r="G1004" s="3" t="str">
        <f>VLOOKUP(B1004,[1]LifeList!$E$2:$I$2036,4)</f>
        <v>Passeriformes</v>
      </c>
      <c r="H1004" s="3" t="str">
        <f>VLOOKUP(B1004,[1]LifeList!$E$2:$I$2036,5)</f>
        <v>Turdidae (Thrushes and Allies)</v>
      </c>
    </row>
    <row r="1005" spans="1:8" x14ac:dyDescent="0.15">
      <c r="A1005" s="3" t="s">
        <v>959</v>
      </c>
      <c r="B1005" s="3" t="s">
        <v>4311</v>
      </c>
      <c r="C1005" s="3">
        <v>28126</v>
      </c>
      <c r="D1005" s="3" t="str">
        <f>VLOOKUP(B1005,[1]LifeList!$E$2:$G$2036,1)</f>
        <v>Eastern Bluebird</v>
      </c>
      <c r="E1005" s="3" t="str">
        <f>VLOOKUP(B1005,[1]LifeList!$E$2:$G$2036,2)</f>
        <v>Merlebleu de l'Est</v>
      </c>
      <c r="F1005" s="3" t="str">
        <f>VLOOKUP(B1005,[1]LifeList!$E$2:$G$2036,3)</f>
        <v>Sialia sialis</v>
      </c>
      <c r="G1005" s="3" t="str">
        <f>VLOOKUP(B1005,[1]LifeList!$E$2:$I$2036,4)</f>
        <v>Passeriformes</v>
      </c>
      <c r="H1005" s="3" t="str">
        <f>VLOOKUP(B1005,[1]LifeList!$E$2:$I$2036,5)</f>
        <v>Turdidae (Thrushes and Allies)</v>
      </c>
    </row>
    <row r="1006" spans="1:8" x14ac:dyDescent="0.15">
      <c r="A1006" s="3" t="s">
        <v>960</v>
      </c>
      <c r="B1006" s="3" t="s">
        <v>4312</v>
      </c>
      <c r="C1006" s="3">
        <v>7726</v>
      </c>
      <c r="D1006" s="3" t="str">
        <f>VLOOKUP(B1006,[1]LifeList!$E$2:$G$2036,1)</f>
        <v>Eastern Cattle-Egret</v>
      </c>
      <c r="E1006" s="3" t="str">
        <f>VLOOKUP(B1006,[1]LifeList!$E$2:$G$2036,2)</f>
        <v>Héron de Coromandel</v>
      </c>
      <c r="F1006" s="3" t="str">
        <f>VLOOKUP(B1006,[1]LifeList!$E$2:$G$2036,3)</f>
        <v>Ardea coromanda</v>
      </c>
      <c r="G1006" s="3" t="str">
        <f>VLOOKUP(B1006,[1]LifeList!$E$2:$I$2036,4)</f>
        <v>Pelecaniformes</v>
      </c>
      <c r="H1006" s="3" t="str">
        <f>VLOOKUP(B1006,[1]LifeList!$E$2:$I$2036,5)</f>
        <v>Ardeidae (Herons, Egrets, and Bitterns)</v>
      </c>
    </row>
    <row r="1007" spans="1:8" x14ac:dyDescent="0.15">
      <c r="A1007" s="3" t="s">
        <v>961</v>
      </c>
      <c r="B1007" s="3" t="s">
        <v>4312</v>
      </c>
      <c r="C1007" s="3">
        <v>7726</v>
      </c>
      <c r="D1007" s="3" t="str">
        <f>VLOOKUP(B1007,[1]LifeList!$E$2:$G$2036,1)</f>
        <v>Eastern Cattle-Egret</v>
      </c>
      <c r="E1007" s="3" t="str">
        <f>VLOOKUP(B1007,[1]LifeList!$E$2:$G$2036,2)</f>
        <v>Héron de Coromandel</v>
      </c>
      <c r="F1007" s="3" t="str">
        <f>VLOOKUP(B1007,[1]LifeList!$E$2:$G$2036,3)</f>
        <v>Ardea coromanda</v>
      </c>
      <c r="G1007" s="3" t="str">
        <f>VLOOKUP(B1007,[1]LifeList!$E$2:$I$2036,4)</f>
        <v>Pelecaniformes</v>
      </c>
      <c r="H1007" s="3" t="str">
        <f>VLOOKUP(B1007,[1]LifeList!$E$2:$I$2036,5)</f>
        <v>Ardeidae (Herons, Egrets, and Bitterns)</v>
      </c>
    </row>
    <row r="1008" spans="1:8" x14ac:dyDescent="0.15">
      <c r="A1008" s="3" t="s">
        <v>962</v>
      </c>
      <c r="B1008" s="3" t="s">
        <v>4312</v>
      </c>
      <c r="C1008" s="3">
        <v>7726</v>
      </c>
      <c r="D1008" s="3" t="str">
        <f>VLOOKUP(B1008,[1]LifeList!$E$2:$G$2036,1)</f>
        <v>Eastern Cattle-Egret</v>
      </c>
      <c r="E1008" s="3" t="str">
        <f>VLOOKUP(B1008,[1]LifeList!$E$2:$G$2036,2)</f>
        <v>Héron de Coromandel</v>
      </c>
      <c r="F1008" s="3" t="str">
        <f>VLOOKUP(B1008,[1]LifeList!$E$2:$G$2036,3)</f>
        <v>Ardea coromanda</v>
      </c>
      <c r="G1008" s="3" t="str">
        <f>VLOOKUP(B1008,[1]LifeList!$E$2:$I$2036,4)</f>
        <v>Pelecaniformes</v>
      </c>
      <c r="H1008" s="3" t="str">
        <f>VLOOKUP(B1008,[1]LifeList!$E$2:$I$2036,5)</f>
        <v>Ardeidae (Herons, Egrets, and Bitterns)</v>
      </c>
    </row>
    <row r="1009" spans="1:8" x14ac:dyDescent="0.15">
      <c r="A1009" s="3" t="s">
        <v>963</v>
      </c>
      <c r="B1009" s="3" t="s">
        <v>4312</v>
      </c>
      <c r="C1009" s="3">
        <v>7726</v>
      </c>
      <c r="D1009" s="3" t="str">
        <f>VLOOKUP(B1009,[1]LifeList!$E$2:$G$2036,1)</f>
        <v>Eastern Cattle-Egret</v>
      </c>
      <c r="E1009" s="3" t="str">
        <f>VLOOKUP(B1009,[1]LifeList!$E$2:$G$2036,2)</f>
        <v>Héron de Coromandel</v>
      </c>
      <c r="F1009" s="3" t="str">
        <f>VLOOKUP(B1009,[1]LifeList!$E$2:$G$2036,3)</f>
        <v>Ardea coromanda</v>
      </c>
      <c r="G1009" s="3" t="str">
        <f>VLOOKUP(B1009,[1]LifeList!$E$2:$I$2036,4)</f>
        <v>Pelecaniformes</v>
      </c>
      <c r="H1009" s="3" t="str">
        <f>VLOOKUP(B1009,[1]LifeList!$E$2:$I$2036,5)</f>
        <v>Ardeidae (Herons, Egrets, and Bitterns)</v>
      </c>
    </row>
    <row r="1010" spans="1:8" x14ac:dyDescent="0.15">
      <c r="A1010" s="3" t="s">
        <v>964</v>
      </c>
      <c r="B1010" s="3" t="s">
        <v>4312</v>
      </c>
      <c r="C1010" s="3">
        <v>7726</v>
      </c>
      <c r="D1010" s="3" t="str">
        <f>VLOOKUP(B1010,[1]LifeList!$E$2:$G$2036,1)</f>
        <v>Eastern Cattle-Egret</v>
      </c>
      <c r="E1010" s="3" t="str">
        <f>VLOOKUP(B1010,[1]LifeList!$E$2:$G$2036,2)</f>
        <v>Héron de Coromandel</v>
      </c>
      <c r="F1010" s="3" t="str">
        <f>VLOOKUP(B1010,[1]LifeList!$E$2:$G$2036,3)</f>
        <v>Ardea coromanda</v>
      </c>
      <c r="G1010" s="3" t="str">
        <f>VLOOKUP(B1010,[1]LifeList!$E$2:$I$2036,4)</f>
        <v>Pelecaniformes</v>
      </c>
      <c r="H1010" s="3" t="str">
        <f>VLOOKUP(B1010,[1]LifeList!$E$2:$I$2036,5)</f>
        <v>Ardeidae (Herons, Egrets, and Bitterns)</v>
      </c>
    </row>
    <row r="1011" spans="1:8" x14ac:dyDescent="0.15">
      <c r="A1011" s="3" t="s">
        <v>965</v>
      </c>
      <c r="B1011" s="3" t="s">
        <v>4312</v>
      </c>
      <c r="C1011" s="3">
        <v>7726</v>
      </c>
      <c r="D1011" s="3" t="str">
        <f>VLOOKUP(B1011,[1]LifeList!$E$2:$G$2036,1)</f>
        <v>Eastern Cattle-Egret</v>
      </c>
      <c r="E1011" s="3" t="str">
        <f>VLOOKUP(B1011,[1]LifeList!$E$2:$G$2036,2)</f>
        <v>Héron de Coromandel</v>
      </c>
      <c r="F1011" s="3" t="str">
        <f>VLOOKUP(B1011,[1]LifeList!$E$2:$G$2036,3)</f>
        <v>Ardea coromanda</v>
      </c>
      <c r="G1011" s="3" t="str">
        <f>VLOOKUP(B1011,[1]LifeList!$E$2:$I$2036,4)</f>
        <v>Pelecaniformes</v>
      </c>
      <c r="H1011" s="3" t="str">
        <f>VLOOKUP(B1011,[1]LifeList!$E$2:$I$2036,5)</f>
        <v>Ardeidae (Herons, Egrets, and Bitterns)</v>
      </c>
    </row>
    <row r="1012" spans="1:8" x14ac:dyDescent="0.15">
      <c r="A1012" s="3" t="s">
        <v>967</v>
      </c>
      <c r="B1012" s="3" t="s">
        <v>4313</v>
      </c>
      <c r="C1012" s="3">
        <v>17472</v>
      </c>
      <c r="D1012" s="3" t="str">
        <f>VLOOKUP(B1012,[1]LifeList!$E$2:$G$2036,1)</f>
        <v>Eastern Kingbird</v>
      </c>
      <c r="E1012" s="3" t="str">
        <f>VLOOKUP(B1012,[1]LifeList!$E$2:$G$2036,2)</f>
        <v>Tyran tritri</v>
      </c>
      <c r="F1012" s="3" t="str">
        <f>VLOOKUP(B1012,[1]LifeList!$E$2:$G$2036,3)</f>
        <v>Tyrannus tyrannus</v>
      </c>
      <c r="G1012" s="3" t="str">
        <f>VLOOKUP(B1012,[1]LifeList!$E$2:$I$2036,4)</f>
        <v>Passeriformes</v>
      </c>
      <c r="H1012" s="3" t="str">
        <f>VLOOKUP(B1012,[1]LifeList!$E$2:$I$2036,5)</f>
        <v>Tyrannidae (Tyrant Flycatchers)</v>
      </c>
    </row>
    <row r="1013" spans="1:8" x14ac:dyDescent="0.15">
      <c r="A1013" s="3" t="s">
        <v>968</v>
      </c>
      <c r="B1013" s="3" t="s">
        <v>4313</v>
      </c>
      <c r="C1013" s="3">
        <v>17472</v>
      </c>
      <c r="D1013" s="3" t="str">
        <f>VLOOKUP(B1013,[1]LifeList!$E$2:$G$2036,1)</f>
        <v>Eastern Kingbird</v>
      </c>
      <c r="E1013" s="3" t="str">
        <f>VLOOKUP(B1013,[1]LifeList!$E$2:$G$2036,2)</f>
        <v>Tyran tritri</v>
      </c>
      <c r="F1013" s="3" t="str">
        <f>VLOOKUP(B1013,[1]LifeList!$E$2:$G$2036,3)</f>
        <v>Tyrannus tyrannus</v>
      </c>
      <c r="G1013" s="3" t="str">
        <f>VLOOKUP(B1013,[1]LifeList!$E$2:$I$2036,4)</f>
        <v>Passeriformes</v>
      </c>
      <c r="H1013" s="3" t="str">
        <f>VLOOKUP(B1013,[1]LifeList!$E$2:$I$2036,5)</f>
        <v>Tyrannidae (Tyrant Flycatchers)</v>
      </c>
    </row>
    <row r="1014" spans="1:8" x14ac:dyDescent="0.15">
      <c r="A1014" s="3" t="s">
        <v>969</v>
      </c>
      <c r="B1014" s="3" t="s">
        <v>4313</v>
      </c>
      <c r="C1014" s="3">
        <v>17472</v>
      </c>
      <c r="D1014" s="3" t="str">
        <f>VLOOKUP(B1014,[1]LifeList!$E$2:$G$2036,1)</f>
        <v>Eastern Kingbird</v>
      </c>
      <c r="E1014" s="3" t="str">
        <f>VLOOKUP(B1014,[1]LifeList!$E$2:$G$2036,2)</f>
        <v>Tyran tritri</v>
      </c>
      <c r="F1014" s="3" t="str">
        <f>VLOOKUP(B1014,[1]LifeList!$E$2:$G$2036,3)</f>
        <v>Tyrannus tyrannus</v>
      </c>
      <c r="G1014" s="3" t="str">
        <f>VLOOKUP(B1014,[1]LifeList!$E$2:$I$2036,4)</f>
        <v>Passeriformes</v>
      </c>
      <c r="H1014" s="3" t="str">
        <f>VLOOKUP(B1014,[1]LifeList!$E$2:$I$2036,5)</f>
        <v>Tyrannidae (Tyrant Flycatchers)</v>
      </c>
    </row>
    <row r="1015" spans="1:8" x14ac:dyDescent="0.15">
      <c r="A1015" s="3" t="s">
        <v>970</v>
      </c>
      <c r="B1015" s="3" t="s">
        <v>4313</v>
      </c>
      <c r="C1015" s="3">
        <v>17472</v>
      </c>
      <c r="D1015" s="3" t="str">
        <f>VLOOKUP(B1015,[1]LifeList!$E$2:$G$2036,1)</f>
        <v>Eastern Kingbird</v>
      </c>
      <c r="E1015" s="3" t="str">
        <f>VLOOKUP(B1015,[1]LifeList!$E$2:$G$2036,2)</f>
        <v>Tyran tritri</v>
      </c>
      <c r="F1015" s="3" t="str">
        <f>VLOOKUP(B1015,[1]LifeList!$E$2:$G$2036,3)</f>
        <v>Tyrannus tyrannus</v>
      </c>
      <c r="G1015" s="3" t="str">
        <f>VLOOKUP(B1015,[1]LifeList!$E$2:$I$2036,4)</f>
        <v>Passeriformes</v>
      </c>
      <c r="H1015" s="3" t="str">
        <f>VLOOKUP(B1015,[1]LifeList!$E$2:$I$2036,5)</f>
        <v>Tyrannidae (Tyrant Flycatchers)</v>
      </c>
    </row>
    <row r="1016" spans="1:8" x14ac:dyDescent="0.15">
      <c r="A1016" s="3" t="s">
        <v>971</v>
      </c>
      <c r="B1016" s="3" t="s">
        <v>4313</v>
      </c>
      <c r="C1016" s="3">
        <v>17472</v>
      </c>
      <c r="D1016" s="3" t="str">
        <f>VLOOKUP(B1016,[1]LifeList!$E$2:$G$2036,1)</f>
        <v>Eastern Kingbird</v>
      </c>
      <c r="E1016" s="3" t="str">
        <f>VLOOKUP(B1016,[1]LifeList!$E$2:$G$2036,2)</f>
        <v>Tyran tritri</v>
      </c>
      <c r="F1016" s="3" t="str">
        <f>VLOOKUP(B1016,[1]LifeList!$E$2:$G$2036,3)</f>
        <v>Tyrannus tyrannus</v>
      </c>
      <c r="G1016" s="3" t="str">
        <f>VLOOKUP(B1016,[1]LifeList!$E$2:$I$2036,4)</f>
        <v>Passeriformes</v>
      </c>
      <c r="H1016" s="3" t="str">
        <f>VLOOKUP(B1016,[1]LifeList!$E$2:$I$2036,5)</f>
        <v>Tyrannidae (Tyrant Flycatchers)</v>
      </c>
    </row>
    <row r="1017" spans="1:8" x14ac:dyDescent="0.15">
      <c r="A1017" s="3" t="s">
        <v>972</v>
      </c>
      <c r="B1017" s="3" t="s">
        <v>4313</v>
      </c>
      <c r="C1017" s="3">
        <v>17472</v>
      </c>
      <c r="D1017" s="3" t="str">
        <f>VLOOKUP(B1017,[1]LifeList!$E$2:$G$2036,1)</f>
        <v>Eastern Kingbird</v>
      </c>
      <c r="E1017" s="3" t="str">
        <f>VLOOKUP(B1017,[1]LifeList!$E$2:$G$2036,2)</f>
        <v>Tyran tritri</v>
      </c>
      <c r="F1017" s="3" t="str">
        <f>VLOOKUP(B1017,[1]LifeList!$E$2:$G$2036,3)</f>
        <v>Tyrannus tyrannus</v>
      </c>
      <c r="G1017" s="3" t="str">
        <f>VLOOKUP(B1017,[1]LifeList!$E$2:$I$2036,4)</f>
        <v>Passeriformes</v>
      </c>
      <c r="H1017" s="3" t="str">
        <f>VLOOKUP(B1017,[1]LifeList!$E$2:$I$2036,5)</f>
        <v>Tyrannidae (Tyrant Flycatchers)</v>
      </c>
    </row>
    <row r="1018" spans="1:8" x14ac:dyDescent="0.15">
      <c r="A1018" s="3" t="s">
        <v>973</v>
      </c>
      <c r="B1018" s="3" t="s">
        <v>4313</v>
      </c>
      <c r="C1018" s="3">
        <v>17472</v>
      </c>
      <c r="D1018" s="3" t="str">
        <f>VLOOKUP(B1018,[1]LifeList!$E$2:$G$2036,1)</f>
        <v>Eastern Kingbird</v>
      </c>
      <c r="E1018" s="3" t="str">
        <f>VLOOKUP(B1018,[1]LifeList!$E$2:$G$2036,2)</f>
        <v>Tyran tritri</v>
      </c>
      <c r="F1018" s="3" t="str">
        <f>VLOOKUP(B1018,[1]LifeList!$E$2:$G$2036,3)</f>
        <v>Tyrannus tyrannus</v>
      </c>
      <c r="G1018" s="3" t="str">
        <f>VLOOKUP(B1018,[1]LifeList!$E$2:$I$2036,4)</f>
        <v>Passeriformes</v>
      </c>
      <c r="H1018" s="3" t="str">
        <f>VLOOKUP(B1018,[1]LifeList!$E$2:$I$2036,5)</f>
        <v>Tyrannidae (Tyrant Flycatchers)</v>
      </c>
    </row>
    <row r="1019" spans="1:8" x14ac:dyDescent="0.15">
      <c r="A1019" s="3" t="s">
        <v>974</v>
      </c>
      <c r="B1019" s="3" t="s">
        <v>4313</v>
      </c>
      <c r="C1019" s="3">
        <v>17472</v>
      </c>
      <c r="D1019" s="3" t="str">
        <f>VLOOKUP(B1019,[1]LifeList!$E$2:$G$2036,1)</f>
        <v>Eastern Kingbird</v>
      </c>
      <c r="E1019" s="3" t="str">
        <f>VLOOKUP(B1019,[1]LifeList!$E$2:$G$2036,2)</f>
        <v>Tyran tritri</v>
      </c>
      <c r="F1019" s="3" t="str">
        <f>VLOOKUP(B1019,[1]LifeList!$E$2:$G$2036,3)</f>
        <v>Tyrannus tyrannus</v>
      </c>
      <c r="G1019" s="3" t="str">
        <f>VLOOKUP(B1019,[1]LifeList!$E$2:$I$2036,4)</f>
        <v>Passeriformes</v>
      </c>
      <c r="H1019" s="3" t="str">
        <f>VLOOKUP(B1019,[1]LifeList!$E$2:$I$2036,5)</f>
        <v>Tyrannidae (Tyrant Flycatchers)</v>
      </c>
    </row>
    <row r="1020" spans="1:8" x14ac:dyDescent="0.15">
      <c r="A1020" s="3" t="s">
        <v>975</v>
      </c>
      <c r="B1020" s="3" t="s">
        <v>4313</v>
      </c>
      <c r="C1020" s="3">
        <v>17472</v>
      </c>
      <c r="D1020" s="3" t="str">
        <f>VLOOKUP(B1020,[1]LifeList!$E$2:$G$2036,1)</f>
        <v>Eastern Kingbird</v>
      </c>
      <c r="E1020" s="3" t="str">
        <f>VLOOKUP(B1020,[1]LifeList!$E$2:$G$2036,2)</f>
        <v>Tyran tritri</v>
      </c>
      <c r="F1020" s="3" t="str">
        <f>VLOOKUP(B1020,[1]LifeList!$E$2:$G$2036,3)</f>
        <v>Tyrannus tyrannus</v>
      </c>
      <c r="G1020" s="3" t="str">
        <f>VLOOKUP(B1020,[1]LifeList!$E$2:$I$2036,4)</f>
        <v>Passeriformes</v>
      </c>
      <c r="H1020" s="3" t="str">
        <f>VLOOKUP(B1020,[1]LifeList!$E$2:$I$2036,5)</f>
        <v>Tyrannidae (Tyrant Flycatchers)</v>
      </c>
    </row>
    <row r="1021" spans="1:8" x14ac:dyDescent="0.15">
      <c r="A1021" s="3" t="s">
        <v>976</v>
      </c>
      <c r="B1021" s="3" t="s">
        <v>4313</v>
      </c>
      <c r="C1021" s="3">
        <v>17472</v>
      </c>
      <c r="D1021" s="3" t="str">
        <f>VLOOKUP(B1021,[1]LifeList!$E$2:$G$2036,1)</f>
        <v>Eastern Kingbird</v>
      </c>
      <c r="E1021" s="3" t="str">
        <f>VLOOKUP(B1021,[1]LifeList!$E$2:$G$2036,2)</f>
        <v>Tyran tritri</v>
      </c>
      <c r="F1021" s="3" t="str">
        <f>VLOOKUP(B1021,[1]LifeList!$E$2:$G$2036,3)</f>
        <v>Tyrannus tyrannus</v>
      </c>
      <c r="G1021" s="3" t="str">
        <f>VLOOKUP(B1021,[1]LifeList!$E$2:$I$2036,4)</f>
        <v>Passeriformes</v>
      </c>
      <c r="H1021" s="3" t="str">
        <f>VLOOKUP(B1021,[1]LifeList!$E$2:$I$2036,5)</f>
        <v>Tyrannidae (Tyrant Flycatchers)</v>
      </c>
    </row>
    <row r="1022" spans="1:8" x14ac:dyDescent="0.15">
      <c r="A1022" s="3" t="s">
        <v>966</v>
      </c>
      <c r="B1022" s="3" t="s">
        <v>4313</v>
      </c>
      <c r="C1022" s="3">
        <v>17472</v>
      </c>
      <c r="D1022" s="3" t="str">
        <f>VLOOKUP(B1022,[1]LifeList!$E$2:$G$2036,1)</f>
        <v>Eastern Kingbird</v>
      </c>
      <c r="E1022" s="3" t="str">
        <f>VLOOKUP(B1022,[1]LifeList!$E$2:$G$2036,2)</f>
        <v>Tyran tritri</v>
      </c>
      <c r="F1022" s="3" t="str">
        <f>VLOOKUP(B1022,[1]LifeList!$E$2:$G$2036,3)</f>
        <v>Tyrannus tyrannus</v>
      </c>
      <c r="G1022" s="3" t="str">
        <f>VLOOKUP(B1022,[1]LifeList!$E$2:$I$2036,4)</f>
        <v>Passeriformes</v>
      </c>
      <c r="H1022" s="3" t="str">
        <f>VLOOKUP(B1022,[1]LifeList!$E$2:$I$2036,5)</f>
        <v>Tyrannidae (Tyrant Flycatchers)</v>
      </c>
    </row>
    <row r="1023" spans="1:8" x14ac:dyDescent="0.15">
      <c r="A1023" s="3" t="s">
        <v>977</v>
      </c>
      <c r="B1023" s="3" t="s">
        <v>4314</v>
      </c>
      <c r="C1023" s="3">
        <v>33568</v>
      </c>
      <c r="D1023" s="3" t="str">
        <f>VLOOKUP(B1023,[1]LifeList!$E$2:$G$2036,1)</f>
        <v>Eastern Meadowlark</v>
      </c>
      <c r="E1023" s="3" t="str">
        <f>VLOOKUP(B1023,[1]LifeList!$E$2:$G$2036,2)</f>
        <v>Sturnelle des prés</v>
      </c>
      <c r="F1023" s="3" t="str">
        <f>VLOOKUP(B1023,[1]LifeList!$E$2:$G$2036,3)</f>
        <v>Sturnella magna</v>
      </c>
      <c r="G1023" s="3" t="str">
        <f>VLOOKUP(B1023,[1]LifeList!$E$2:$I$2036,4)</f>
        <v>Passeriformes</v>
      </c>
      <c r="H1023" s="3" t="str">
        <f>VLOOKUP(B1023,[1]LifeList!$E$2:$I$2036,5)</f>
        <v>Icteridae (Troupials and Allies)</v>
      </c>
    </row>
    <row r="1024" spans="1:8" x14ac:dyDescent="0.15">
      <c r="A1024" s="3" t="s">
        <v>978</v>
      </c>
      <c r="B1024" s="3" t="s">
        <v>4314</v>
      </c>
      <c r="C1024" s="3">
        <v>33568</v>
      </c>
      <c r="D1024" s="3" t="str">
        <f>VLOOKUP(B1024,[1]LifeList!$E$2:$G$2036,1)</f>
        <v>Eastern Meadowlark</v>
      </c>
      <c r="E1024" s="3" t="str">
        <f>VLOOKUP(B1024,[1]LifeList!$E$2:$G$2036,2)</f>
        <v>Sturnelle des prés</v>
      </c>
      <c r="F1024" s="3" t="str">
        <f>VLOOKUP(B1024,[1]LifeList!$E$2:$G$2036,3)</f>
        <v>Sturnella magna</v>
      </c>
      <c r="G1024" s="3" t="str">
        <f>VLOOKUP(B1024,[1]LifeList!$E$2:$I$2036,4)</f>
        <v>Passeriformes</v>
      </c>
      <c r="H1024" s="3" t="str">
        <f>VLOOKUP(B1024,[1]LifeList!$E$2:$I$2036,5)</f>
        <v>Icteridae (Troupials and Allies)</v>
      </c>
    </row>
    <row r="1025" spans="1:8" x14ac:dyDescent="0.15">
      <c r="A1025" s="3" t="s">
        <v>979</v>
      </c>
      <c r="B1025" s="3" t="s">
        <v>4314</v>
      </c>
      <c r="C1025" s="3">
        <v>33568</v>
      </c>
      <c r="D1025" s="3" t="str">
        <f>VLOOKUP(B1025,[1]LifeList!$E$2:$G$2036,1)</f>
        <v>Eastern Meadowlark</v>
      </c>
      <c r="E1025" s="3" t="str">
        <f>VLOOKUP(B1025,[1]LifeList!$E$2:$G$2036,2)</f>
        <v>Sturnelle des prés</v>
      </c>
      <c r="F1025" s="3" t="str">
        <f>VLOOKUP(B1025,[1]LifeList!$E$2:$G$2036,3)</f>
        <v>Sturnella magna</v>
      </c>
      <c r="G1025" s="3" t="str">
        <f>VLOOKUP(B1025,[1]LifeList!$E$2:$I$2036,4)</f>
        <v>Passeriformes</v>
      </c>
      <c r="H1025" s="3" t="str">
        <f>VLOOKUP(B1025,[1]LifeList!$E$2:$I$2036,5)</f>
        <v>Icteridae (Troupials and Allies)</v>
      </c>
    </row>
    <row r="1026" spans="1:8" x14ac:dyDescent="0.15">
      <c r="A1026" s="3" t="s">
        <v>980</v>
      </c>
      <c r="B1026" s="3" t="s">
        <v>4314</v>
      </c>
      <c r="C1026" s="3">
        <v>33568</v>
      </c>
      <c r="D1026" s="3" t="str">
        <f>VLOOKUP(B1026,[1]LifeList!$E$2:$G$2036,1)</f>
        <v>Eastern Meadowlark</v>
      </c>
      <c r="E1026" s="3" t="str">
        <f>VLOOKUP(B1026,[1]LifeList!$E$2:$G$2036,2)</f>
        <v>Sturnelle des prés</v>
      </c>
      <c r="F1026" s="3" t="str">
        <f>VLOOKUP(B1026,[1]LifeList!$E$2:$G$2036,3)</f>
        <v>Sturnella magna</v>
      </c>
      <c r="G1026" s="3" t="str">
        <f>VLOOKUP(B1026,[1]LifeList!$E$2:$I$2036,4)</f>
        <v>Passeriformes</v>
      </c>
      <c r="H1026" s="3" t="str">
        <f>VLOOKUP(B1026,[1]LifeList!$E$2:$I$2036,5)</f>
        <v>Icteridae (Troupials and Allies)</v>
      </c>
    </row>
    <row r="1027" spans="1:8" x14ac:dyDescent="0.15">
      <c r="A1027" s="3" t="s">
        <v>981</v>
      </c>
      <c r="B1027" s="3" t="s">
        <v>4315</v>
      </c>
      <c r="C1027" s="3">
        <v>17007</v>
      </c>
      <c r="D1027" s="3" t="str">
        <f>VLOOKUP(B1027,[1]LifeList!$E$2:$G$2036,1)</f>
        <v>Eastern Phoebe</v>
      </c>
      <c r="E1027" s="3" t="str">
        <f>VLOOKUP(B1027,[1]LifeList!$E$2:$G$2036,2)</f>
        <v>Moucherolle phébi</v>
      </c>
      <c r="F1027" s="3" t="str">
        <f>VLOOKUP(B1027,[1]LifeList!$E$2:$G$2036,3)</f>
        <v>Sayornis phoebe</v>
      </c>
      <c r="G1027" s="3" t="str">
        <f>VLOOKUP(B1027,[1]LifeList!$E$2:$I$2036,4)</f>
        <v>Passeriformes</v>
      </c>
      <c r="H1027" s="3" t="str">
        <f>VLOOKUP(B1027,[1]LifeList!$E$2:$I$2036,5)</f>
        <v>Tyrannidae (Tyrant Flycatchers)</v>
      </c>
    </row>
    <row r="1028" spans="1:8" x14ac:dyDescent="0.15">
      <c r="A1028" s="3" t="s">
        <v>982</v>
      </c>
      <c r="B1028" s="3" t="s">
        <v>4315</v>
      </c>
      <c r="C1028" s="3">
        <v>17007</v>
      </c>
      <c r="D1028" s="3" t="str">
        <f>VLOOKUP(B1028,[1]LifeList!$E$2:$G$2036,1)</f>
        <v>Eastern Phoebe</v>
      </c>
      <c r="E1028" s="3" t="str">
        <f>VLOOKUP(B1028,[1]LifeList!$E$2:$G$2036,2)</f>
        <v>Moucherolle phébi</v>
      </c>
      <c r="F1028" s="3" t="str">
        <f>VLOOKUP(B1028,[1]LifeList!$E$2:$G$2036,3)</f>
        <v>Sayornis phoebe</v>
      </c>
      <c r="G1028" s="3" t="str">
        <f>VLOOKUP(B1028,[1]LifeList!$E$2:$I$2036,4)</f>
        <v>Passeriformes</v>
      </c>
      <c r="H1028" s="3" t="str">
        <f>VLOOKUP(B1028,[1]LifeList!$E$2:$I$2036,5)</f>
        <v>Tyrannidae (Tyrant Flycatchers)</v>
      </c>
    </row>
    <row r="1029" spans="1:8" x14ac:dyDescent="0.15">
      <c r="A1029" s="3" t="s">
        <v>983</v>
      </c>
      <c r="B1029" s="3" t="s">
        <v>4315</v>
      </c>
      <c r="C1029" s="3">
        <v>17007</v>
      </c>
      <c r="D1029" s="3" t="str">
        <f>VLOOKUP(B1029,[1]LifeList!$E$2:$G$2036,1)</f>
        <v>Eastern Phoebe</v>
      </c>
      <c r="E1029" s="3" t="str">
        <f>VLOOKUP(B1029,[1]LifeList!$E$2:$G$2036,2)</f>
        <v>Moucherolle phébi</v>
      </c>
      <c r="F1029" s="3" t="str">
        <f>VLOOKUP(B1029,[1]LifeList!$E$2:$G$2036,3)</f>
        <v>Sayornis phoebe</v>
      </c>
      <c r="G1029" s="3" t="str">
        <f>VLOOKUP(B1029,[1]LifeList!$E$2:$I$2036,4)</f>
        <v>Passeriformes</v>
      </c>
      <c r="H1029" s="3" t="str">
        <f>VLOOKUP(B1029,[1]LifeList!$E$2:$I$2036,5)</f>
        <v>Tyrannidae (Tyrant Flycatchers)</v>
      </c>
    </row>
    <row r="1030" spans="1:8" x14ac:dyDescent="0.15">
      <c r="A1030" s="3" t="s">
        <v>984</v>
      </c>
      <c r="B1030" s="3" t="s">
        <v>4315</v>
      </c>
      <c r="C1030" s="3">
        <v>17007</v>
      </c>
      <c r="D1030" s="3" t="str">
        <f>VLOOKUP(B1030,[1]LifeList!$E$2:$G$2036,1)</f>
        <v>Eastern Phoebe</v>
      </c>
      <c r="E1030" s="3" t="str">
        <f>VLOOKUP(B1030,[1]LifeList!$E$2:$G$2036,2)</f>
        <v>Moucherolle phébi</v>
      </c>
      <c r="F1030" s="3" t="str">
        <f>VLOOKUP(B1030,[1]LifeList!$E$2:$G$2036,3)</f>
        <v>Sayornis phoebe</v>
      </c>
      <c r="G1030" s="3" t="str">
        <f>VLOOKUP(B1030,[1]LifeList!$E$2:$I$2036,4)</f>
        <v>Passeriformes</v>
      </c>
      <c r="H1030" s="3" t="str">
        <f>VLOOKUP(B1030,[1]LifeList!$E$2:$I$2036,5)</f>
        <v>Tyrannidae (Tyrant Flycatchers)</v>
      </c>
    </row>
    <row r="1031" spans="1:8" x14ac:dyDescent="0.15">
      <c r="A1031" s="3" t="s">
        <v>985</v>
      </c>
      <c r="B1031" s="3" t="s">
        <v>4315</v>
      </c>
      <c r="C1031" s="3">
        <v>17007</v>
      </c>
      <c r="D1031" s="3" t="str">
        <f>VLOOKUP(B1031,[1]LifeList!$E$2:$G$2036,1)</f>
        <v>Eastern Phoebe</v>
      </c>
      <c r="E1031" s="3" t="str">
        <f>VLOOKUP(B1031,[1]LifeList!$E$2:$G$2036,2)</f>
        <v>Moucherolle phébi</v>
      </c>
      <c r="F1031" s="3" t="str">
        <f>VLOOKUP(B1031,[1]LifeList!$E$2:$G$2036,3)</f>
        <v>Sayornis phoebe</v>
      </c>
      <c r="G1031" s="3" t="str">
        <f>VLOOKUP(B1031,[1]LifeList!$E$2:$I$2036,4)</f>
        <v>Passeriformes</v>
      </c>
      <c r="H1031" s="3" t="str">
        <f>VLOOKUP(B1031,[1]LifeList!$E$2:$I$2036,5)</f>
        <v>Tyrannidae (Tyrant Flycatchers)</v>
      </c>
    </row>
    <row r="1032" spans="1:8" x14ac:dyDescent="0.15">
      <c r="A1032" s="3" t="s">
        <v>986</v>
      </c>
      <c r="B1032" s="3" t="s">
        <v>4315</v>
      </c>
      <c r="C1032" s="3">
        <v>17007</v>
      </c>
      <c r="D1032" s="3" t="str">
        <f>VLOOKUP(B1032,[1]LifeList!$E$2:$G$2036,1)</f>
        <v>Eastern Phoebe</v>
      </c>
      <c r="E1032" s="3" t="str">
        <f>VLOOKUP(B1032,[1]LifeList!$E$2:$G$2036,2)</f>
        <v>Moucherolle phébi</v>
      </c>
      <c r="F1032" s="3" t="str">
        <f>VLOOKUP(B1032,[1]LifeList!$E$2:$G$2036,3)</f>
        <v>Sayornis phoebe</v>
      </c>
      <c r="G1032" s="3" t="str">
        <f>VLOOKUP(B1032,[1]LifeList!$E$2:$I$2036,4)</f>
        <v>Passeriformes</v>
      </c>
      <c r="H1032" s="3" t="str">
        <f>VLOOKUP(B1032,[1]LifeList!$E$2:$I$2036,5)</f>
        <v>Tyrannidae (Tyrant Flycatchers)</v>
      </c>
    </row>
    <row r="1033" spans="1:8" x14ac:dyDescent="0.15">
      <c r="A1033" s="3" t="s">
        <v>987</v>
      </c>
      <c r="B1033" s="3" t="s">
        <v>4316</v>
      </c>
      <c r="C1033" s="3">
        <v>12492</v>
      </c>
      <c r="D1033" s="3" t="str">
        <f>VLOOKUP(B1033,[1]LifeList!$E$2:$G$2036,1)</f>
        <v>Eastern Rosella</v>
      </c>
      <c r="E1033" s="3" t="str">
        <f>VLOOKUP(B1033,[1]LifeList!$E$2:$G$2036,2)</f>
        <v>Perruche omnicolore</v>
      </c>
      <c r="F1033" s="3" t="str">
        <f>VLOOKUP(B1033,[1]LifeList!$E$2:$G$2036,3)</f>
        <v>Platycercus eximius</v>
      </c>
      <c r="G1033" s="3" t="str">
        <f>VLOOKUP(B1033,[1]LifeList!$E$2:$I$2036,4)</f>
        <v>Psittaciformes</v>
      </c>
      <c r="H1033" s="3" t="str">
        <f>VLOOKUP(B1033,[1]LifeList!$E$2:$I$2036,5)</f>
        <v>Psittaculidae (Old World Parrots)</v>
      </c>
    </row>
    <row r="1034" spans="1:8" x14ac:dyDescent="0.15">
      <c r="A1034" s="3" t="s">
        <v>988</v>
      </c>
      <c r="B1034" s="3" t="s">
        <v>4316</v>
      </c>
      <c r="C1034" s="3">
        <v>12492</v>
      </c>
      <c r="D1034" s="3" t="str">
        <f>VLOOKUP(B1034,[1]LifeList!$E$2:$G$2036,1)</f>
        <v>Eastern Rosella</v>
      </c>
      <c r="E1034" s="3" t="str">
        <f>VLOOKUP(B1034,[1]LifeList!$E$2:$G$2036,2)</f>
        <v>Perruche omnicolore</v>
      </c>
      <c r="F1034" s="3" t="str">
        <f>VLOOKUP(B1034,[1]LifeList!$E$2:$G$2036,3)</f>
        <v>Platycercus eximius</v>
      </c>
      <c r="G1034" s="3" t="str">
        <f>VLOOKUP(B1034,[1]LifeList!$E$2:$I$2036,4)</f>
        <v>Psittaciformes</v>
      </c>
      <c r="H1034" s="3" t="str">
        <f>VLOOKUP(B1034,[1]LifeList!$E$2:$I$2036,5)</f>
        <v>Psittaculidae (Old World Parrots)</v>
      </c>
    </row>
    <row r="1035" spans="1:8" x14ac:dyDescent="0.15">
      <c r="A1035" s="3" t="s">
        <v>989</v>
      </c>
      <c r="B1035" s="3" t="s">
        <v>4317</v>
      </c>
      <c r="C1035" s="3">
        <v>8866</v>
      </c>
      <c r="D1035" s="3" t="str">
        <f>VLOOKUP(B1035,[1]LifeList!$E$2:$G$2036,1)</f>
        <v>Eastern Screech-Owl</v>
      </c>
      <c r="E1035" s="3" t="str">
        <f>VLOOKUP(B1035,[1]LifeList!$E$2:$G$2036,2)</f>
        <v>Petit-duc maculé</v>
      </c>
      <c r="F1035" s="3" t="str">
        <f>VLOOKUP(B1035,[1]LifeList!$E$2:$G$2036,3)</f>
        <v>Megascops asio</v>
      </c>
      <c r="G1035" s="3" t="str">
        <f>VLOOKUP(B1035,[1]LifeList!$E$2:$I$2036,4)</f>
        <v>Strigiformes</v>
      </c>
      <c r="H1035" s="3" t="str">
        <f>VLOOKUP(B1035,[1]LifeList!$E$2:$I$2036,5)</f>
        <v>Strigidae (Owls)</v>
      </c>
    </row>
    <row r="1036" spans="1:8" x14ac:dyDescent="0.15">
      <c r="A1036" s="3" t="s">
        <v>990</v>
      </c>
      <c r="B1036" s="3" t="s">
        <v>4317</v>
      </c>
      <c r="C1036" s="3">
        <v>8866</v>
      </c>
      <c r="D1036" s="3" t="str">
        <f>VLOOKUP(B1036,[1]LifeList!$E$2:$G$2036,1)</f>
        <v>Eastern Screech-Owl</v>
      </c>
      <c r="E1036" s="3" t="str">
        <f>VLOOKUP(B1036,[1]LifeList!$E$2:$G$2036,2)</f>
        <v>Petit-duc maculé</v>
      </c>
      <c r="F1036" s="3" t="str">
        <f>VLOOKUP(B1036,[1]LifeList!$E$2:$G$2036,3)</f>
        <v>Megascops asio</v>
      </c>
      <c r="G1036" s="3" t="str">
        <f>VLOOKUP(B1036,[1]LifeList!$E$2:$I$2036,4)</f>
        <v>Strigiformes</v>
      </c>
      <c r="H1036" s="3" t="str">
        <f>VLOOKUP(B1036,[1]LifeList!$E$2:$I$2036,5)</f>
        <v>Strigidae (Owls)</v>
      </c>
    </row>
    <row r="1037" spans="1:8" x14ac:dyDescent="0.15">
      <c r="A1037" s="3" t="s">
        <v>991</v>
      </c>
      <c r="B1037" s="3" t="s">
        <v>4317</v>
      </c>
      <c r="C1037" s="3">
        <v>8866</v>
      </c>
      <c r="D1037" s="3" t="str">
        <f>VLOOKUP(B1037,[1]LifeList!$E$2:$G$2036,1)</f>
        <v>Eastern Screech-Owl</v>
      </c>
      <c r="E1037" s="3" t="str">
        <f>VLOOKUP(B1037,[1]LifeList!$E$2:$G$2036,2)</f>
        <v>Petit-duc maculé</v>
      </c>
      <c r="F1037" s="3" t="str">
        <f>VLOOKUP(B1037,[1]LifeList!$E$2:$G$2036,3)</f>
        <v>Megascops asio</v>
      </c>
      <c r="G1037" s="3" t="str">
        <f>VLOOKUP(B1037,[1]LifeList!$E$2:$I$2036,4)</f>
        <v>Strigiformes</v>
      </c>
      <c r="H1037" s="3" t="str">
        <f>VLOOKUP(B1037,[1]LifeList!$E$2:$I$2036,5)</f>
        <v>Strigidae (Owls)</v>
      </c>
    </row>
    <row r="1038" spans="1:8" x14ac:dyDescent="0.15">
      <c r="A1038" s="3" t="s">
        <v>992</v>
      </c>
      <c r="B1038" s="3" t="s">
        <v>4318</v>
      </c>
      <c r="C1038" s="3">
        <v>17706</v>
      </c>
      <c r="D1038" s="3" t="str">
        <f>VLOOKUP(B1038,[1]LifeList!$E$2:$G$2036,1)</f>
        <v>Eastern Spinebill</v>
      </c>
      <c r="E1038" s="3" t="str">
        <f>VLOOKUP(B1038,[1]LifeList!$E$2:$G$2036,2)</f>
        <v>Méliphage à bec grêle</v>
      </c>
      <c r="F1038" s="3" t="str">
        <f>VLOOKUP(B1038,[1]LifeList!$E$2:$G$2036,3)</f>
        <v>Acanthorhynchus tenuirostris</v>
      </c>
      <c r="G1038" s="3" t="str">
        <f>VLOOKUP(B1038,[1]LifeList!$E$2:$I$2036,4)</f>
        <v>Passeriformes</v>
      </c>
      <c r="H1038" s="3" t="str">
        <f>VLOOKUP(B1038,[1]LifeList!$E$2:$I$2036,5)</f>
        <v>Meliphagidae (Honeyeaters)</v>
      </c>
    </row>
    <row r="1039" spans="1:8" x14ac:dyDescent="0.15">
      <c r="A1039" s="3" t="s">
        <v>993</v>
      </c>
      <c r="B1039" s="3" t="s">
        <v>4318</v>
      </c>
      <c r="C1039" s="3">
        <v>17706</v>
      </c>
      <c r="D1039" s="3" t="str">
        <f>VLOOKUP(B1039,[1]LifeList!$E$2:$G$2036,1)</f>
        <v>Eastern Spinebill</v>
      </c>
      <c r="E1039" s="3" t="str">
        <f>VLOOKUP(B1039,[1]LifeList!$E$2:$G$2036,2)</f>
        <v>Méliphage à bec grêle</v>
      </c>
      <c r="F1039" s="3" t="str">
        <f>VLOOKUP(B1039,[1]LifeList!$E$2:$G$2036,3)</f>
        <v>Acanthorhynchus tenuirostris</v>
      </c>
      <c r="G1039" s="3" t="str">
        <f>VLOOKUP(B1039,[1]LifeList!$E$2:$I$2036,4)</f>
        <v>Passeriformes</v>
      </c>
      <c r="H1039" s="3" t="str">
        <f>VLOOKUP(B1039,[1]LifeList!$E$2:$I$2036,5)</f>
        <v>Meliphagidae (Honeyeaters)</v>
      </c>
    </row>
    <row r="1040" spans="1:8" x14ac:dyDescent="0.15">
      <c r="A1040" s="3" t="s">
        <v>994</v>
      </c>
      <c r="B1040" s="3" t="s">
        <v>4319</v>
      </c>
      <c r="C1040" s="3">
        <v>33415</v>
      </c>
      <c r="D1040" s="3" t="str">
        <f>VLOOKUP(B1040,[1]LifeList!$E$2:$G$2036,1)</f>
        <v>Eastern Towhee</v>
      </c>
      <c r="E1040" s="3" t="str">
        <f>VLOOKUP(B1040,[1]LifeList!$E$2:$G$2036,2)</f>
        <v>Tohi à flancs roux</v>
      </c>
      <c r="F1040" s="3" t="str">
        <f>VLOOKUP(B1040,[1]LifeList!$E$2:$G$2036,3)</f>
        <v>Pipilo erythrophthalmus</v>
      </c>
      <c r="G1040" s="3" t="str">
        <f>VLOOKUP(B1040,[1]LifeList!$E$2:$I$2036,4)</f>
        <v>Passeriformes</v>
      </c>
      <c r="H1040" s="3" t="str">
        <f>VLOOKUP(B1040,[1]LifeList!$E$2:$I$2036,5)</f>
        <v>Passerellidae (New World Sparrows)</v>
      </c>
    </row>
    <row r="1041" spans="1:8" x14ac:dyDescent="0.15">
      <c r="A1041" s="3" t="s">
        <v>995</v>
      </c>
      <c r="B1041" s="3" t="s">
        <v>4319</v>
      </c>
      <c r="C1041" s="3">
        <v>33415</v>
      </c>
      <c r="D1041" s="3" t="str">
        <f>VLOOKUP(B1041,[1]LifeList!$E$2:$G$2036,1)</f>
        <v>Eastern Towhee</v>
      </c>
      <c r="E1041" s="3" t="str">
        <f>VLOOKUP(B1041,[1]LifeList!$E$2:$G$2036,2)</f>
        <v>Tohi à flancs roux</v>
      </c>
      <c r="F1041" s="3" t="str">
        <f>VLOOKUP(B1041,[1]LifeList!$E$2:$G$2036,3)</f>
        <v>Pipilo erythrophthalmus</v>
      </c>
      <c r="G1041" s="3" t="str">
        <f>VLOOKUP(B1041,[1]LifeList!$E$2:$I$2036,4)</f>
        <v>Passeriformes</v>
      </c>
      <c r="H1041" s="3" t="str">
        <f>VLOOKUP(B1041,[1]LifeList!$E$2:$I$2036,5)</f>
        <v>Passerellidae (New World Sparrows)</v>
      </c>
    </row>
    <row r="1042" spans="1:8" x14ac:dyDescent="0.15">
      <c r="A1042" s="3" t="s">
        <v>996</v>
      </c>
      <c r="B1042" s="3" t="s">
        <v>3753</v>
      </c>
      <c r="C1042" s="3">
        <v>19245</v>
      </c>
      <c r="D1042" s="3" t="str">
        <f>VLOOKUP(B1042,[1]LifeList!$E$2:$G$2036,1)</f>
        <v>Eastern Warbling Vireo</v>
      </c>
      <c r="E1042" s="3" t="str">
        <f>VLOOKUP(B1042,[1]LifeList!$E$2:$G$2036,2)</f>
        <v>Viréo mélodieux</v>
      </c>
      <c r="F1042" s="3" t="str">
        <f>VLOOKUP(B1042,[1]LifeList!$E$2:$G$2036,3)</f>
        <v>Vireo gilvus</v>
      </c>
      <c r="G1042" s="3" t="str">
        <f>VLOOKUP(B1042,[1]LifeList!$E$2:$I$2036,4)</f>
        <v>Passeriformes</v>
      </c>
      <c r="H1042" s="3" t="str">
        <f>VLOOKUP(B1042,[1]LifeList!$E$2:$I$2036,5)</f>
        <v>Vireonidae (Vireos, Shrike-Babblers, and Erpornis)</v>
      </c>
    </row>
    <row r="1043" spans="1:8" x14ac:dyDescent="0.15">
      <c r="A1043" s="3" t="s">
        <v>997</v>
      </c>
      <c r="B1043" s="3" t="s">
        <v>3753</v>
      </c>
      <c r="C1043" s="3">
        <v>19245</v>
      </c>
      <c r="D1043" s="3" t="str">
        <f>VLOOKUP(B1043,[1]LifeList!$E$2:$G$2036,1)</f>
        <v>Eastern Warbling Vireo</v>
      </c>
      <c r="E1043" s="3" t="str">
        <f>VLOOKUP(B1043,[1]LifeList!$E$2:$G$2036,2)</f>
        <v>Viréo mélodieux</v>
      </c>
      <c r="F1043" s="3" t="str">
        <f>VLOOKUP(B1043,[1]LifeList!$E$2:$G$2036,3)</f>
        <v>Vireo gilvus</v>
      </c>
      <c r="G1043" s="3" t="str">
        <f>VLOOKUP(B1043,[1]LifeList!$E$2:$I$2036,4)</f>
        <v>Passeriformes</v>
      </c>
      <c r="H1043" s="3" t="str">
        <f>VLOOKUP(B1043,[1]LifeList!$E$2:$I$2036,5)</f>
        <v>Vireonidae (Vireos, Shrike-Babblers, and Erpornis)</v>
      </c>
    </row>
    <row r="1044" spans="1:8" x14ac:dyDescent="0.15">
      <c r="A1044" s="3" t="s">
        <v>998</v>
      </c>
      <c r="B1044" s="3" t="s">
        <v>3753</v>
      </c>
      <c r="C1044" s="3">
        <v>19245</v>
      </c>
      <c r="D1044" s="3" t="str">
        <f>VLOOKUP(B1044,[1]LifeList!$E$2:$G$2036,1)</f>
        <v>Eastern Warbling Vireo</v>
      </c>
      <c r="E1044" s="3" t="str">
        <f>VLOOKUP(B1044,[1]LifeList!$E$2:$G$2036,2)</f>
        <v>Viréo mélodieux</v>
      </c>
      <c r="F1044" s="3" t="str">
        <f>VLOOKUP(B1044,[1]LifeList!$E$2:$G$2036,3)</f>
        <v>Vireo gilvus</v>
      </c>
      <c r="G1044" s="3" t="str">
        <f>VLOOKUP(B1044,[1]LifeList!$E$2:$I$2036,4)</f>
        <v>Passeriformes</v>
      </c>
      <c r="H1044" s="3" t="str">
        <f>VLOOKUP(B1044,[1]LifeList!$E$2:$I$2036,5)</f>
        <v>Vireonidae (Vireos, Shrike-Babblers, and Erpornis)</v>
      </c>
    </row>
    <row r="1045" spans="1:8" x14ac:dyDescent="0.15">
      <c r="A1045" s="3" t="s">
        <v>3848</v>
      </c>
      <c r="B1045" s="3" t="s">
        <v>3753</v>
      </c>
      <c r="C1045" s="3">
        <v>19245</v>
      </c>
      <c r="D1045" s="3" t="str">
        <f>VLOOKUP(B1045,[1]LifeList!$E$2:$G$2036,1)</f>
        <v>Eastern Warbling Vireo</v>
      </c>
      <c r="E1045" s="3" t="str">
        <f>VLOOKUP(B1045,[1]LifeList!$E$2:$G$2036,2)</f>
        <v>Viréo mélodieux</v>
      </c>
      <c r="F1045" s="3" t="str">
        <f>VLOOKUP(B1045,[1]LifeList!$E$2:$G$2036,3)</f>
        <v>Vireo gilvus</v>
      </c>
      <c r="G1045" s="3" t="str">
        <f>VLOOKUP(B1045,[1]LifeList!$E$2:$I$2036,4)</f>
        <v>Passeriformes</v>
      </c>
      <c r="H1045" s="3" t="str">
        <f>VLOOKUP(B1045,[1]LifeList!$E$2:$I$2036,5)</f>
        <v>Vireonidae (Vireos, Shrike-Babblers, and Erpornis)</v>
      </c>
    </row>
    <row r="1046" spans="1:8" x14ac:dyDescent="0.15">
      <c r="A1046" s="3" t="s">
        <v>999</v>
      </c>
      <c r="B1046" s="3" t="s">
        <v>3753</v>
      </c>
      <c r="C1046" s="3">
        <v>19245</v>
      </c>
      <c r="D1046" s="3" t="str">
        <f>VLOOKUP(B1046,[1]LifeList!$E$2:$G$2036,1)</f>
        <v>Eastern Warbling Vireo</v>
      </c>
      <c r="E1046" s="3" t="str">
        <f>VLOOKUP(B1046,[1]LifeList!$E$2:$G$2036,2)</f>
        <v>Viréo mélodieux</v>
      </c>
      <c r="F1046" s="3" t="str">
        <f>VLOOKUP(B1046,[1]LifeList!$E$2:$G$2036,3)</f>
        <v>Vireo gilvus</v>
      </c>
      <c r="G1046" s="3" t="str">
        <f>VLOOKUP(B1046,[1]LifeList!$E$2:$I$2036,4)</f>
        <v>Passeriformes</v>
      </c>
      <c r="H1046" s="3" t="str">
        <f>VLOOKUP(B1046,[1]LifeList!$E$2:$I$2036,5)</f>
        <v>Vireonidae (Vireos, Shrike-Babblers, and Erpornis)</v>
      </c>
    </row>
    <row r="1047" spans="1:8" x14ac:dyDescent="0.15">
      <c r="A1047" s="3" t="s">
        <v>1005</v>
      </c>
      <c r="B1047" s="3" t="s">
        <v>3753</v>
      </c>
      <c r="C1047" s="3">
        <v>19245</v>
      </c>
      <c r="D1047" s="3" t="str">
        <f>VLOOKUP(B1047,[1]LifeList!$E$2:$G$2036,1)</f>
        <v>Eastern Warbling Vireo</v>
      </c>
      <c r="E1047" s="3" t="str">
        <f>VLOOKUP(B1047,[1]LifeList!$E$2:$G$2036,2)</f>
        <v>Viréo mélodieux</v>
      </c>
      <c r="F1047" s="3" t="str">
        <f>VLOOKUP(B1047,[1]LifeList!$E$2:$G$2036,3)</f>
        <v>Vireo gilvus</v>
      </c>
      <c r="G1047" s="3" t="str">
        <f>VLOOKUP(B1047,[1]LifeList!$E$2:$I$2036,4)</f>
        <v>Passeriformes</v>
      </c>
      <c r="H1047" s="3" t="str">
        <f>VLOOKUP(B1047,[1]LifeList!$E$2:$I$2036,5)</f>
        <v>Vireonidae (Vireos, Shrike-Babblers, and Erpornis)</v>
      </c>
    </row>
    <row r="1048" spans="1:8" x14ac:dyDescent="0.15">
      <c r="A1048" s="3" t="s">
        <v>1000</v>
      </c>
      <c r="B1048" s="3" t="s">
        <v>3753</v>
      </c>
      <c r="C1048" s="3">
        <v>19245</v>
      </c>
      <c r="D1048" s="3" t="str">
        <f>VLOOKUP(B1048,[1]LifeList!$E$2:$G$2036,1)</f>
        <v>Eastern Warbling Vireo</v>
      </c>
      <c r="E1048" s="3" t="str">
        <f>VLOOKUP(B1048,[1]LifeList!$E$2:$G$2036,2)</f>
        <v>Viréo mélodieux</v>
      </c>
      <c r="F1048" s="3" t="str">
        <f>VLOOKUP(B1048,[1]LifeList!$E$2:$G$2036,3)</f>
        <v>Vireo gilvus</v>
      </c>
      <c r="G1048" s="3" t="str">
        <f>VLOOKUP(B1048,[1]LifeList!$E$2:$I$2036,4)</f>
        <v>Passeriformes</v>
      </c>
      <c r="H1048" s="3" t="str">
        <f>VLOOKUP(B1048,[1]LifeList!$E$2:$I$2036,5)</f>
        <v>Vireonidae (Vireos, Shrike-Babblers, and Erpornis)</v>
      </c>
    </row>
    <row r="1049" spans="1:8" x14ac:dyDescent="0.15">
      <c r="A1049" s="3" t="s">
        <v>1001</v>
      </c>
      <c r="B1049" s="3" t="s">
        <v>3753</v>
      </c>
      <c r="C1049" s="3">
        <v>19245</v>
      </c>
      <c r="D1049" s="3" t="str">
        <f>VLOOKUP(B1049,[1]LifeList!$E$2:$G$2036,1)</f>
        <v>Eastern Warbling Vireo</v>
      </c>
      <c r="E1049" s="3" t="str">
        <f>VLOOKUP(B1049,[1]LifeList!$E$2:$G$2036,2)</f>
        <v>Viréo mélodieux</v>
      </c>
      <c r="F1049" s="3" t="str">
        <f>VLOOKUP(B1049,[1]LifeList!$E$2:$G$2036,3)</f>
        <v>Vireo gilvus</v>
      </c>
      <c r="G1049" s="3" t="str">
        <f>VLOOKUP(B1049,[1]LifeList!$E$2:$I$2036,4)</f>
        <v>Passeriformes</v>
      </c>
      <c r="H1049" s="3" t="str">
        <f>VLOOKUP(B1049,[1]LifeList!$E$2:$I$2036,5)</f>
        <v>Vireonidae (Vireos, Shrike-Babblers, and Erpornis)</v>
      </c>
    </row>
    <row r="1050" spans="1:8" x14ac:dyDescent="0.15">
      <c r="A1050" s="3" t="s">
        <v>1002</v>
      </c>
      <c r="B1050" s="3" t="s">
        <v>3753</v>
      </c>
      <c r="C1050" s="3">
        <v>19245</v>
      </c>
      <c r="D1050" s="3" t="str">
        <f>VLOOKUP(B1050,[1]LifeList!$E$2:$G$2036,1)</f>
        <v>Eastern Warbling Vireo</v>
      </c>
      <c r="E1050" s="3" t="str">
        <f>VLOOKUP(B1050,[1]LifeList!$E$2:$G$2036,2)</f>
        <v>Viréo mélodieux</v>
      </c>
      <c r="F1050" s="3" t="str">
        <f>VLOOKUP(B1050,[1]LifeList!$E$2:$G$2036,3)</f>
        <v>Vireo gilvus</v>
      </c>
      <c r="G1050" s="3" t="str">
        <f>VLOOKUP(B1050,[1]LifeList!$E$2:$I$2036,4)</f>
        <v>Passeriformes</v>
      </c>
      <c r="H1050" s="3" t="str">
        <f>VLOOKUP(B1050,[1]LifeList!$E$2:$I$2036,5)</f>
        <v>Vireonidae (Vireos, Shrike-Babblers, and Erpornis)</v>
      </c>
    </row>
    <row r="1051" spans="1:8" x14ac:dyDescent="0.15">
      <c r="A1051" s="3" t="s">
        <v>1003</v>
      </c>
      <c r="B1051" s="3" t="s">
        <v>3753</v>
      </c>
      <c r="C1051" s="3">
        <v>19245</v>
      </c>
      <c r="D1051" s="3" t="str">
        <f>VLOOKUP(B1051,[1]LifeList!$E$2:$G$2036,1)</f>
        <v>Eastern Warbling Vireo</v>
      </c>
      <c r="E1051" s="3" t="str">
        <f>VLOOKUP(B1051,[1]LifeList!$E$2:$G$2036,2)</f>
        <v>Viréo mélodieux</v>
      </c>
      <c r="F1051" s="3" t="str">
        <f>VLOOKUP(B1051,[1]LifeList!$E$2:$G$2036,3)</f>
        <v>Vireo gilvus</v>
      </c>
      <c r="G1051" s="3" t="str">
        <f>VLOOKUP(B1051,[1]LifeList!$E$2:$I$2036,4)</f>
        <v>Passeriformes</v>
      </c>
      <c r="H1051" s="3" t="str">
        <f>VLOOKUP(B1051,[1]LifeList!$E$2:$I$2036,5)</f>
        <v>Vireonidae (Vireos, Shrike-Babblers, and Erpornis)</v>
      </c>
    </row>
    <row r="1052" spans="1:8" x14ac:dyDescent="0.15">
      <c r="A1052" s="3" t="s">
        <v>1004</v>
      </c>
      <c r="B1052" s="3" t="s">
        <v>3753</v>
      </c>
      <c r="C1052" s="3">
        <v>19245</v>
      </c>
      <c r="D1052" s="3" t="str">
        <f>VLOOKUP(B1052,[1]LifeList!$E$2:$G$2036,1)</f>
        <v>Eastern Warbling Vireo</v>
      </c>
      <c r="E1052" s="3" t="str">
        <f>VLOOKUP(B1052,[1]LifeList!$E$2:$G$2036,2)</f>
        <v>Viréo mélodieux</v>
      </c>
      <c r="F1052" s="3" t="str">
        <f>VLOOKUP(B1052,[1]LifeList!$E$2:$G$2036,3)</f>
        <v>Vireo gilvus</v>
      </c>
      <c r="G1052" s="3" t="str">
        <f>VLOOKUP(B1052,[1]LifeList!$E$2:$I$2036,4)</f>
        <v>Passeriformes</v>
      </c>
      <c r="H1052" s="3" t="str">
        <f>VLOOKUP(B1052,[1]LifeList!$E$2:$I$2036,5)</f>
        <v>Vireonidae (Vireos, Shrike-Babblers, and Erpornis)</v>
      </c>
    </row>
    <row r="1053" spans="1:8" x14ac:dyDescent="0.15">
      <c r="A1053" s="3" t="s">
        <v>1006</v>
      </c>
      <c r="B1053" s="3" t="s">
        <v>4320</v>
      </c>
      <c r="C1053" s="3">
        <v>3614</v>
      </c>
      <c r="D1053" s="3" t="str">
        <f>VLOOKUP(B1053,[1]LifeList!$E$2:$G$2036,1)</f>
        <v>Eastern Whip-poor-will</v>
      </c>
      <c r="E1053" s="3" t="str">
        <f>VLOOKUP(B1053,[1]LifeList!$E$2:$G$2036,2)</f>
        <v>Engoulevent bois-pourri</v>
      </c>
      <c r="F1053" s="3" t="str">
        <f>VLOOKUP(B1053,[1]LifeList!$E$2:$G$2036,3)</f>
        <v>Antrostomus vociferus</v>
      </c>
      <c r="G1053" s="3" t="str">
        <f>VLOOKUP(B1053,[1]LifeList!$E$2:$I$2036,4)</f>
        <v>Caprimulgiformes</v>
      </c>
      <c r="H1053" s="3" t="str">
        <f>VLOOKUP(B1053,[1]LifeList!$E$2:$I$2036,5)</f>
        <v>Caprimulgidae (Nightjars and Allies)</v>
      </c>
    </row>
    <row r="1054" spans="1:8" x14ac:dyDescent="0.15">
      <c r="A1054" s="3" t="s">
        <v>1007</v>
      </c>
      <c r="B1054" s="3" t="s">
        <v>4320</v>
      </c>
      <c r="C1054" s="3">
        <v>3614</v>
      </c>
      <c r="D1054" s="3" t="str">
        <f>VLOOKUP(B1054,[1]LifeList!$E$2:$G$2036,1)</f>
        <v>Eastern Whip-poor-will</v>
      </c>
      <c r="E1054" s="3" t="str">
        <f>VLOOKUP(B1054,[1]LifeList!$E$2:$G$2036,2)</f>
        <v>Engoulevent bois-pourri</v>
      </c>
      <c r="F1054" s="3" t="str">
        <f>VLOOKUP(B1054,[1]LifeList!$E$2:$G$2036,3)</f>
        <v>Antrostomus vociferus</v>
      </c>
      <c r="G1054" s="3" t="str">
        <f>VLOOKUP(B1054,[1]LifeList!$E$2:$I$2036,4)</f>
        <v>Caprimulgiformes</v>
      </c>
      <c r="H1054" s="3" t="str">
        <f>VLOOKUP(B1054,[1]LifeList!$E$2:$I$2036,5)</f>
        <v>Caprimulgidae (Nightjars and Allies)</v>
      </c>
    </row>
    <row r="1055" spans="1:8" x14ac:dyDescent="0.15">
      <c r="A1055" s="3" t="s">
        <v>1008</v>
      </c>
      <c r="B1055" s="3" t="s">
        <v>4320</v>
      </c>
      <c r="C1055" s="3">
        <v>3614</v>
      </c>
      <c r="D1055" s="3" t="str">
        <f>VLOOKUP(B1055,[1]LifeList!$E$2:$G$2036,1)</f>
        <v>Eastern Whip-poor-will</v>
      </c>
      <c r="E1055" s="3" t="str">
        <f>VLOOKUP(B1055,[1]LifeList!$E$2:$G$2036,2)</f>
        <v>Engoulevent bois-pourri</v>
      </c>
      <c r="F1055" s="3" t="str">
        <f>VLOOKUP(B1055,[1]LifeList!$E$2:$G$2036,3)</f>
        <v>Antrostomus vociferus</v>
      </c>
      <c r="G1055" s="3" t="str">
        <f>VLOOKUP(B1055,[1]LifeList!$E$2:$I$2036,4)</f>
        <v>Caprimulgiformes</v>
      </c>
      <c r="H1055" s="3" t="str">
        <f>VLOOKUP(B1055,[1]LifeList!$E$2:$I$2036,5)</f>
        <v>Caprimulgidae (Nightjars and Allies)</v>
      </c>
    </row>
    <row r="1056" spans="1:8" x14ac:dyDescent="0.15">
      <c r="A1056" s="3" t="s">
        <v>1010</v>
      </c>
      <c r="B1056" s="3" t="s">
        <v>4321</v>
      </c>
      <c r="C1056" s="3">
        <v>16924</v>
      </c>
      <c r="D1056" s="3" t="str">
        <f>VLOOKUP(B1056,[1]LifeList!$E$2:$G$2036,1)</f>
        <v>Eastern Wood-Pewee</v>
      </c>
      <c r="E1056" s="3" t="str">
        <f>VLOOKUP(B1056,[1]LifeList!$E$2:$G$2036,2)</f>
        <v>Pioui de l'Est</v>
      </c>
      <c r="F1056" s="3" t="str">
        <f>VLOOKUP(B1056,[1]LifeList!$E$2:$G$2036,3)</f>
        <v>Contopus virens</v>
      </c>
      <c r="G1056" s="3" t="str">
        <f>VLOOKUP(B1056,[1]LifeList!$E$2:$I$2036,4)</f>
        <v>Passeriformes</v>
      </c>
      <c r="H1056" s="3" t="str">
        <f>VLOOKUP(B1056,[1]LifeList!$E$2:$I$2036,5)</f>
        <v>Tyrannidae (Tyrant Flycatchers)</v>
      </c>
    </row>
    <row r="1057" spans="1:8" x14ac:dyDescent="0.15">
      <c r="A1057" s="3" t="s">
        <v>1011</v>
      </c>
      <c r="B1057" s="3" t="s">
        <v>4321</v>
      </c>
      <c r="C1057" s="3">
        <v>16924</v>
      </c>
      <c r="D1057" s="3" t="str">
        <f>VLOOKUP(B1057,[1]LifeList!$E$2:$G$2036,1)</f>
        <v>Eastern Wood-Pewee</v>
      </c>
      <c r="E1057" s="3" t="str">
        <f>VLOOKUP(B1057,[1]LifeList!$E$2:$G$2036,2)</f>
        <v>Pioui de l'Est</v>
      </c>
      <c r="F1057" s="3" t="str">
        <f>VLOOKUP(B1057,[1]LifeList!$E$2:$G$2036,3)</f>
        <v>Contopus virens</v>
      </c>
      <c r="G1057" s="3" t="str">
        <f>VLOOKUP(B1057,[1]LifeList!$E$2:$I$2036,4)</f>
        <v>Passeriformes</v>
      </c>
      <c r="H1057" s="3" t="str">
        <f>VLOOKUP(B1057,[1]LifeList!$E$2:$I$2036,5)</f>
        <v>Tyrannidae (Tyrant Flycatchers)</v>
      </c>
    </row>
    <row r="1058" spans="1:8" x14ac:dyDescent="0.15">
      <c r="A1058" s="3" t="s">
        <v>1012</v>
      </c>
      <c r="B1058" s="3" t="s">
        <v>4321</v>
      </c>
      <c r="C1058" s="3">
        <v>16924</v>
      </c>
      <c r="D1058" s="3" t="str">
        <f>VLOOKUP(B1058,[1]LifeList!$E$2:$G$2036,1)</f>
        <v>Eastern Wood-Pewee</v>
      </c>
      <c r="E1058" s="3" t="str">
        <f>VLOOKUP(B1058,[1]LifeList!$E$2:$G$2036,2)</f>
        <v>Pioui de l'Est</v>
      </c>
      <c r="F1058" s="3" t="str">
        <f>VLOOKUP(B1058,[1]LifeList!$E$2:$G$2036,3)</f>
        <v>Contopus virens</v>
      </c>
      <c r="G1058" s="3" t="str">
        <f>VLOOKUP(B1058,[1]LifeList!$E$2:$I$2036,4)</f>
        <v>Passeriformes</v>
      </c>
      <c r="H1058" s="3" t="str">
        <f>VLOOKUP(B1058,[1]LifeList!$E$2:$I$2036,5)</f>
        <v>Tyrannidae (Tyrant Flycatchers)</v>
      </c>
    </row>
    <row r="1059" spans="1:8" x14ac:dyDescent="0.15">
      <c r="A1059" s="3" t="s">
        <v>1013</v>
      </c>
      <c r="B1059" s="3" t="s">
        <v>4321</v>
      </c>
      <c r="C1059" s="3">
        <v>16924</v>
      </c>
      <c r="D1059" s="3" t="str">
        <f>VLOOKUP(B1059,[1]LifeList!$E$2:$G$2036,1)</f>
        <v>Eastern Wood-Pewee</v>
      </c>
      <c r="E1059" s="3" t="str">
        <f>VLOOKUP(B1059,[1]LifeList!$E$2:$G$2036,2)</f>
        <v>Pioui de l'Est</v>
      </c>
      <c r="F1059" s="3" t="str">
        <f>VLOOKUP(B1059,[1]LifeList!$E$2:$G$2036,3)</f>
        <v>Contopus virens</v>
      </c>
      <c r="G1059" s="3" t="str">
        <f>VLOOKUP(B1059,[1]LifeList!$E$2:$I$2036,4)</f>
        <v>Passeriformes</v>
      </c>
      <c r="H1059" s="3" t="str">
        <f>VLOOKUP(B1059,[1]LifeList!$E$2:$I$2036,5)</f>
        <v>Tyrannidae (Tyrant Flycatchers)</v>
      </c>
    </row>
    <row r="1060" spans="1:8" x14ac:dyDescent="0.15">
      <c r="A1060" s="3" t="s">
        <v>1014</v>
      </c>
      <c r="B1060" s="3" t="s">
        <v>4321</v>
      </c>
      <c r="C1060" s="3">
        <v>16924</v>
      </c>
      <c r="D1060" s="3" t="str">
        <f>VLOOKUP(B1060,[1]LifeList!$E$2:$G$2036,1)</f>
        <v>Eastern Wood-Pewee</v>
      </c>
      <c r="E1060" s="3" t="str">
        <f>VLOOKUP(B1060,[1]LifeList!$E$2:$G$2036,2)</f>
        <v>Pioui de l'Est</v>
      </c>
      <c r="F1060" s="3" t="str">
        <f>VLOOKUP(B1060,[1]LifeList!$E$2:$G$2036,3)</f>
        <v>Contopus virens</v>
      </c>
      <c r="G1060" s="3" t="str">
        <f>VLOOKUP(B1060,[1]LifeList!$E$2:$I$2036,4)</f>
        <v>Passeriformes</v>
      </c>
      <c r="H1060" s="3" t="str">
        <f>VLOOKUP(B1060,[1]LifeList!$E$2:$I$2036,5)</f>
        <v>Tyrannidae (Tyrant Flycatchers)</v>
      </c>
    </row>
    <row r="1061" spans="1:8" x14ac:dyDescent="0.15">
      <c r="A1061" s="3" t="s">
        <v>1015</v>
      </c>
      <c r="B1061" s="3" t="s">
        <v>4321</v>
      </c>
      <c r="C1061" s="3">
        <v>16924</v>
      </c>
      <c r="D1061" s="3" t="str">
        <f>VLOOKUP(B1061,[1]LifeList!$E$2:$G$2036,1)</f>
        <v>Eastern Wood-Pewee</v>
      </c>
      <c r="E1061" s="3" t="str">
        <f>VLOOKUP(B1061,[1]LifeList!$E$2:$G$2036,2)</f>
        <v>Pioui de l'Est</v>
      </c>
      <c r="F1061" s="3" t="str">
        <f>VLOOKUP(B1061,[1]LifeList!$E$2:$G$2036,3)</f>
        <v>Contopus virens</v>
      </c>
      <c r="G1061" s="3" t="str">
        <f>VLOOKUP(B1061,[1]LifeList!$E$2:$I$2036,4)</f>
        <v>Passeriformes</v>
      </c>
      <c r="H1061" s="3" t="str">
        <f>VLOOKUP(B1061,[1]LifeList!$E$2:$I$2036,5)</f>
        <v>Tyrannidae (Tyrant Flycatchers)</v>
      </c>
    </row>
    <row r="1062" spans="1:8" x14ac:dyDescent="0.15">
      <c r="A1062" s="3" t="s">
        <v>1016</v>
      </c>
      <c r="B1062" s="3" t="s">
        <v>4321</v>
      </c>
      <c r="C1062" s="3">
        <v>16924</v>
      </c>
      <c r="D1062" s="3" t="str">
        <f>VLOOKUP(B1062,[1]LifeList!$E$2:$G$2036,1)</f>
        <v>Eastern Wood-Pewee</v>
      </c>
      <c r="E1062" s="3" t="str">
        <f>VLOOKUP(B1062,[1]LifeList!$E$2:$G$2036,2)</f>
        <v>Pioui de l'Est</v>
      </c>
      <c r="F1062" s="3" t="str">
        <f>VLOOKUP(B1062,[1]LifeList!$E$2:$G$2036,3)</f>
        <v>Contopus virens</v>
      </c>
      <c r="G1062" s="3" t="str">
        <f>VLOOKUP(B1062,[1]LifeList!$E$2:$I$2036,4)</f>
        <v>Passeriformes</v>
      </c>
      <c r="H1062" s="3" t="str">
        <f>VLOOKUP(B1062,[1]LifeList!$E$2:$I$2036,5)</f>
        <v>Tyrannidae (Tyrant Flycatchers)</v>
      </c>
    </row>
    <row r="1063" spans="1:8" x14ac:dyDescent="0.15">
      <c r="A1063" s="3" t="s">
        <v>1009</v>
      </c>
      <c r="B1063" s="3" t="s">
        <v>4321</v>
      </c>
      <c r="C1063" s="3">
        <v>16924</v>
      </c>
      <c r="D1063" s="3" t="str">
        <f>VLOOKUP(B1063,[1]LifeList!$E$2:$G$2036,1)</f>
        <v>Eastern Wood-Pewee</v>
      </c>
      <c r="E1063" s="3" t="str">
        <f>VLOOKUP(B1063,[1]LifeList!$E$2:$G$2036,2)</f>
        <v>Pioui de l'Est</v>
      </c>
      <c r="F1063" s="3" t="str">
        <f>VLOOKUP(B1063,[1]LifeList!$E$2:$G$2036,3)</f>
        <v>Contopus virens</v>
      </c>
      <c r="G1063" s="3" t="str">
        <f>VLOOKUP(B1063,[1]LifeList!$E$2:$I$2036,4)</f>
        <v>Passeriformes</v>
      </c>
      <c r="H1063" s="3" t="str">
        <f>VLOOKUP(B1063,[1]LifeList!$E$2:$I$2036,5)</f>
        <v>Tyrannidae (Tyrant Flycatchers)</v>
      </c>
    </row>
    <row r="1064" spans="1:8" x14ac:dyDescent="0.15">
      <c r="A1064" s="3" t="s">
        <v>1017</v>
      </c>
      <c r="B1064" s="3" t="s">
        <v>3754</v>
      </c>
      <c r="C1064" s="3">
        <v>21861</v>
      </c>
      <c r="D1064" s="3" t="str">
        <f>VLOOKUP(B1064,[1]LifeList!$E$2:$G$2036,1)</f>
        <v>Eastern Yellow Robin</v>
      </c>
      <c r="E1064" s="3" t="str">
        <f>VLOOKUP(B1064,[1]LifeList!$E$2:$G$2036,2)</f>
        <v>Miro à poitrine jaune</v>
      </c>
      <c r="F1064" s="3" t="str">
        <f>VLOOKUP(B1064,[1]LifeList!$E$2:$G$2036,3)</f>
        <v>Eopsaltria australis</v>
      </c>
      <c r="G1064" s="3" t="str">
        <f>VLOOKUP(B1064,[1]LifeList!$E$2:$I$2036,4)</f>
        <v>Passeriformes</v>
      </c>
      <c r="H1064" s="3" t="str">
        <f>VLOOKUP(B1064,[1]LifeList!$E$2:$I$2036,5)</f>
        <v>Petroicidae (Australasian Robins)</v>
      </c>
    </row>
    <row r="1065" spans="1:8" x14ac:dyDescent="0.15">
      <c r="A1065" s="3" t="s">
        <v>1018</v>
      </c>
      <c r="B1065" s="3" t="s">
        <v>4322</v>
      </c>
      <c r="C1065" s="3">
        <v>4487</v>
      </c>
      <c r="D1065" s="3" t="str">
        <f>VLOOKUP(B1065,[1]LifeList!$E$2:$G$2036,1)</f>
        <v>Ecuadorian Hillstar</v>
      </c>
      <c r="E1065" s="3" t="str">
        <f>VLOOKUP(B1065,[1]LifeList!$E$2:$G$2036,2)</f>
        <v>Colibri du Chimborazo</v>
      </c>
      <c r="F1065" s="3" t="str">
        <f>VLOOKUP(B1065,[1]LifeList!$E$2:$G$2036,3)</f>
        <v>Oreotrochilus chimborazo</v>
      </c>
      <c r="G1065" s="3" t="str">
        <f>VLOOKUP(B1065,[1]LifeList!$E$2:$I$2036,4)</f>
        <v>Apodiformes</v>
      </c>
      <c r="H1065" s="3" t="str">
        <f>VLOOKUP(B1065,[1]LifeList!$E$2:$I$2036,5)</f>
        <v>Trochilidae (Hummingbirds)</v>
      </c>
    </row>
    <row r="1066" spans="1:8" x14ac:dyDescent="0.15">
      <c r="A1066" s="3" t="s">
        <v>1019</v>
      </c>
      <c r="B1066" s="3" t="s">
        <v>4322</v>
      </c>
      <c r="C1066" s="3">
        <v>4487</v>
      </c>
      <c r="D1066" s="3" t="str">
        <f>VLOOKUP(B1066,[1]LifeList!$E$2:$G$2036,1)</f>
        <v>Ecuadorian Hillstar</v>
      </c>
      <c r="E1066" s="3" t="str">
        <f>VLOOKUP(B1066,[1]LifeList!$E$2:$G$2036,2)</f>
        <v>Colibri du Chimborazo</v>
      </c>
      <c r="F1066" s="3" t="str">
        <f>VLOOKUP(B1066,[1]LifeList!$E$2:$G$2036,3)</f>
        <v>Oreotrochilus chimborazo</v>
      </c>
      <c r="G1066" s="3" t="str">
        <f>VLOOKUP(B1066,[1]LifeList!$E$2:$I$2036,4)</f>
        <v>Apodiformes</v>
      </c>
      <c r="H1066" s="3" t="str">
        <f>VLOOKUP(B1066,[1]LifeList!$E$2:$I$2036,5)</f>
        <v>Trochilidae (Hummingbirds)</v>
      </c>
    </row>
    <row r="1067" spans="1:8" x14ac:dyDescent="0.15">
      <c r="A1067" s="3" t="s">
        <v>1020</v>
      </c>
      <c r="B1067" s="3" t="s">
        <v>4323</v>
      </c>
      <c r="C1067" s="3">
        <v>28766</v>
      </c>
      <c r="D1067" s="3" t="str">
        <f>VLOOKUP(B1067,[1]LifeList!$E$2:$G$2036,1)</f>
        <v>Ecuadorian Thrush</v>
      </c>
      <c r="E1067" s="3" t="str">
        <f>VLOOKUP(B1067,[1]LifeList!$E$2:$G$2036,2)</f>
        <v>Merle d'Équateur</v>
      </c>
      <c r="F1067" s="3" t="str">
        <f>VLOOKUP(B1067,[1]LifeList!$E$2:$G$2036,3)</f>
        <v>Turdus maculirostris</v>
      </c>
      <c r="G1067" s="3" t="str">
        <f>VLOOKUP(B1067,[1]LifeList!$E$2:$I$2036,4)</f>
        <v>Passeriformes</v>
      </c>
      <c r="H1067" s="3" t="str">
        <f>VLOOKUP(B1067,[1]LifeList!$E$2:$I$2036,5)</f>
        <v>Turdidae (Thrushes and Allies)</v>
      </c>
    </row>
    <row r="1068" spans="1:8" x14ac:dyDescent="0.15">
      <c r="A1068" s="3" t="s">
        <v>1021</v>
      </c>
      <c r="B1068" s="3" t="s">
        <v>4324</v>
      </c>
      <c r="C1068" s="3">
        <v>417</v>
      </c>
      <c r="D1068" s="3" t="str">
        <f>VLOOKUP(B1068,[1]LifeList!$E$2:$G$2036,1)</f>
        <v>Egyptian Goose</v>
      </c>
      <c r="E1068" s="3" t="str">
        <f>VLOOKUP(B1068,[1]LifeList!$E$2:$G$2036,2)</f>
        <v>Ouette d'Égypte</v>
      </c>
      <c r="F1068" s="3" t="str">
        <f>VLOOKUP(B1068,[1]LifeList!$E$2:$G$2036,3)</f>
        <v>Alopochen aegyptiaca</v>
      </c>
      <c r="G1068" s="3" t="str">
        <f>VLOOKUP(B1068,[1]LifeList!$E$2:$I$2036,4)</f>
        <v>Anseriformes</v>
      </c>
      <c r="H1068" s="3" t="str">
        <f>VLOOKUP(B1068,[1]LifeList!$E$2:$I$2036,5)</f>
        <v>Anatidae (Ducks, Geese, and Waterfowl)</v>
      </c>
    </row>
    <row r="1069" spans="1:8" x14ac:dyDescent="0.15">
      <c r="A1069" s="3" t="s">
        <v>1022</v>
      </c>
      <c r="B1069" s="3" t="s">
        <v>4324</v>
      </c>
      <c r="C1069" s="3">
        <v>417</v>
      </c>
      <c r="D1069" s="3" t="str">
        <f>VLOOKUP(B1069,[1]LifeList!$E$2:$G$2036,1)</f>
        <v>Egyptian Goose</v>
      </c>
      <c r="E1069" s="3" t="str">
        <f>VLOOKUP(B1069,[1]LifeList!$E$2:$G$2036,2)</f>
        <v>Ouette d'Égypte</v>
      </c>
      <c r="F1069" s="3" t="str">
        <f>VLOOKUP(B1069,[1]LifeList!$E$2:$G$2036,3)</f>
        <v>Alopochen aegyptiaca</v>
      </c>
      <c r="G1069" s="3" t="str">
        <f>VLOOKUP(B1069,[1]LifeList!$E$2:$I$2036,4)</f>
        <v>Anseriformes</v>
      </c>
      <c r="H1069" s="3" t="str">
        <f>VLOOKUP(B1069,[1]LifeList!$E$2:$I$2036,5)</f>
        <v>Anatidae (Ducks, Geese, and Waterfowl)</v>
      </c>
    </row>
    <row r="1070" spans="1:8" x14ac:dyDescent="0.15">
      <c r="A1070" s="3" t="s">
        <v>1023</v>
      </c>
      <c r="B1070" s="3" t="s">
        <v>4324</v>
      </c>
      <c r="C1070" s="3">
        <v>417</v>
      </c>
      <c r="D1070" s="3" t="str">
        <f>VLOOKUP(B1070,[1]LifeList!$E$2:$G$2036,1)</f>
        <v>Egyptian Goose</v>
      </c>
      <c r="E1070" s="3" t="str">
        <f>VLOOKUP(B1070,[1]LifeList!$E$2:$G$2036,2)</f>
        <v>Ouette d'Égypte</v>
      </c>
      <c r="F1070" s="3" t="str">
        <f>VLOOKUP(B1070,[1]LifeList!$E$2:$G$2036,3)</f>
        <v>Alopochen aegyptiaca</v>
      </c>
      <c r="G1070" s="3" t="str">
        <f>VLOOKUP(B1070,[1]LifeList!$E$2:$I$2036,4)</f>
        <v>Anseriformes</v>
      </c>
      <c r="H1070" s="3" t="str">
        <f>VLOOKUP(B1070,[1]LifeList!$E$2:$I$2036,5)</f>
        <v>Anatidae (Ducks, Geese, and Waterfowl)</v>
      </c>
    </row>
    <row r="1071" spans="1:8" x14ac:dyDescent="0.15">
      <c r="A1071" s="3" t="s">
        <v>1026</v>
      </c>
      <c r="B1071" s="3" t="s">
        <v>4325</v>
      </c>
      <c r="C1071" s="3">
        <v>35127</v>
      </c>
      <c r="D1071" s="3" t="str">
        <f>VLOOKUP(B1071,[1]LifeList!$E$2:$G$2036,1)</f>
        <v>Emerald Tanager</v>
      </c>
      <c r="E1071" s="3" t="str">
        <f>VLOOKUP(B1071,[1]LifeList!$E$2:$G$2036,2)</f>
        <v>Calliste émeraude</v>
      </c>
      <c r="F1071" s="3" t="str">
        <f>VLOOKUP(B1071,[1]LifeList!$E$2:$G$2036,3)</f>
        <v>Tangara florida</v>
      </c>
      <c r="G1071" s="3" t="str">
        <f>VLOOKUP(B1071,[1]LifeList!$E$2:$I$2036,4)</f>
        <v>Passeriformes</v>
      </c>
      <c r="H1071" s="3" t="str">
        <f>VLOOKUP(B1071,[1]LifeList!$E$2:$I$2036,5)</f>
        <v>Thraupidae (Tanagers and Allies)</v>
      </c>
    </row>
    <row r="1072" spans="1:8" x14ac:dyDescent="0.15">
      <c r="A1072" s="3" t="s">
        <v>1025</v>
      </c>
      <c r="B1072" s="3" t="s">
        <v>4325</v>
      </c>
      <c r="C1072" s="3">
        <v>35127</v>
      </c>
      <c r="D1072" s="3" t="str">
        <f>VLOOKUP(B1072,[1]LifeList!$E$2:$G$2036,1)</f>
        <v>Emerald Tanager</v>
      </c>
      <c r="E1072" s="3" t="str">
        <f>VLOOKUP(B1072,[1]LifeList!$E$2:$G$2036,2)</f>
        <v>Calliste émeraude</v>
      </c>
      <c r="F1072" s="3" t="str">
        <f>VLOOKUP(B1072,[1]LifeList!$E$2:$G$2036,3)</f>
        <v>Tangara florida</v>
      </c>
      <c r="G1072" s="3" t="str">
        <f>VLOOKUP(B1072,[1]LifeList!$E$2:$I$2036,4)</f>
        <v>Passeriformes</v>
      </c>
      <c r="H1072" s="3" t="str">
        <f>VLOOKUP(B1072,[1]LifeList!$E$2:$I$2036,5)</f>
        <v>Thraupidae (Tanagers and Allies)</v>
      </c>
    </row>
    <row r="1073" spans="1:8" x14ac:dyDescent="0.15">
      <c r="A1073" s="3" t="s">
        <v>1024</v>
      </c>
      <c r="B1073" s="3" t="s">
        <v>4326</v>
      </c>
      <c r="C1073" s="3">
        <v>2151</v>
      </c>
      <c r="D1073" s="3" t="str">
        <f>VLOOKUP(B1073,[1]LifeList!$E$2:$G$2036,1)</f>
        <v>Emerald-spotted Wood-Dove</v>
      </c>
      <c r="E1073" s="3" t="str">
        <f>VLOOKUP(B1073,[1]LifeList!$E$2:$G$2036,2)</f>
        <v>Tourtelette émeraudine</v>
      </c>
      <c r="F1073" s="3" t="str">
        <f>VLOOKUP(B1073,[1]LifeList!$E$2:$G$2036,3)</f>
        <v>Turtur chalcospilos</v>
      </c>
      <c r="G1073" s="3" t="str">
        <f>VLOOKUP(B1073,[1]LifeList!$E$2:$I$2036,4)</f>
        <v>Columbiformes</v>
      </c>
      <c r="H1073" s="3" t="str">
        <f>VLOOKUP(B1073,[1]LifeList!$E$2:$I$2036,5)</f>
        <v>Columbidae (Pigeons and Doves)</v>
      </c>
    </row>
    <row r="1074" spans="1:8" x14ac:dyDescent="0.15">
      <c r="A1074" s="3" t="s">
        <v>1027</v>
      </c>
      <c r="B1074" s="3" t="s">
        <v>4327</v>
      </c>
      <c r="C1074" s="3">
        <v>15</v>
      </c>
      <c r="D1074" s="3" t="str">
        <f>VLOOKUP(B1074,[1]LifeList!$E$2:$G$2036,1)</f>
        <v>Emu</v>
      </c>
      <c r="E1074" s="3" t="str">
        <f>VLOOKUP(B1074,[1]LifeList!$E$2:$G$2036,2)</f>
        <v>Émeu d'Australie</v>
      </c>
      <c r="F1074" s="3" t="str">
        <f>VLOOKUP(B1074,[1]LifeList!$E$2:$G$2036,3)</f>
        <v>Dromaius novaehollandiae</v>
      </c>
      <c r="G1074" s="3" t="str">
        <f>VLOOKUP(B1074,[1]LifeList!$E$2:$I$2036,4)</f>
        <v>Casuariiformes</v>
      </c>
      <c r="H1074" s="3" t="str">
        <f>VLOOKUP(B1074,[1]LifeList!$E$2:$I$2036,5)</f>
        <v>Casuariidae (Cassowaries and Emu)</v>
      </c>
    </row>
    <row r="1075" spans="1:8" x14ac:dyDescent="0.15">
      <c r="A1075" s="3" t="s">
        <v>1028</v>
      </c>
      <c r="B1075" s="3" t="s">
        <v>4327</v>
      </c>
      <c r="C1075" s="3">
        <v>15</v>
      </c>
      <c r="D1075" s="3" t="str">
        <f>VLOOKUP(B1075,[1]LifeList!$E$2:$G$2036,1)</f>
        <v>Emu</v>
      </c>
      <c r="E1075" s="3" t="str">
        <f>VLOOKUP(B1075,[1]LifeList!$E$2:$G$2036,2)</f>
        <v>Émeu d'Australie</v>
      </c>
      <c r="F1075" s="3" t="str">
        <f>VLOOKUP(B1075,[1]LifeList!$E$2:$G$2036,3)</f>
        <v>Dromaius novaehollandiae</v>
      </c>
      <c r="G1075" s="3" t="str">
        <f>VLOOKUP(B1075,[1]LifeList!$E$2:$I$2036,4)</f>
        <v>Casuariiformes</v>
      </c>
      <c r="H1075" s="3" t="str">
        <f>VLOOKUP(B1075,[1]LifeList!$E$2:$I$2036,5)</f>
        <v>Casuariidae (Cassowaries and Emu)</v>
      </c>
    </row>
    <row r="1076" spans="1:8" x14ac:dyDescent="0.15">
      <c r="A1076" s="3" t="s">
        <v>1029</v>
      </c>
      <c r="B1076" s="3" t="s">
        <v>4328</v>
      </c>
      <c r="C1076" s="3">
        <v>14277</v>
      </c>
      <c r="D1076" s="3" t="str">
        <f>VLOOKUP(B1076,[1]LifeList!$E$2:$G$2036,1)</f>
        <v>Equatorial Antpitta</v>
      </c>
      <c r="E1076" s="3" t="str">
        <f>VLOOKUP(B1076,[1]LifeList!$E$2:$G$2036,2)</f>
        <v>Grallaire d'Équateur</v>
      </c>
      <c r="F1076" s="3" t="str">
        <f>VLOOKUP(B1076,[1]LifeList!$E$2:$G$2036,3)</f>
        <v>Grallaria saturata</v>
      </c>
      <c r="G1076" s="3" t="str">
        <f>VLOOKUP(B1076,[1]LifeList!$E$2:$I$2036,4)</f>
        <v>Passeriformes</v>
      </c>
      <c r="H1076" s="3" t="str">
        <f>VLOOKUP(B1076,[1]LifeList!$E$2:$I$2036,5)</f>
        <v>Grallariidae (Antpittas)</v>
      </c>
    </row>
    <row r="1077" spans="1:8" x14ac:dyDescent="0.15">
      <c r="A1077" s="3" t="s">
        <v>3849</v>
      </c>
      <c r="B1077" s="3" t="s">
        <v>5222</v>
      </c>
      <c r="C1077" s="3">
        <v>17808</v>
      </c>
      <c r="D1077" s="3" t="str">
        <f>VLOOKUP(B1077,[1]LifeList!$E$2:$G$2036,1)</f>
        <v>Erckel's Spurfowl</v>
      </c>
      <c r="E1077" s="3" t="str">
        <f>VLOOKUP(B1077,[1]LifeList!$E$2:$G$2036,2)</f>
        <v>Francolin d'Erckel</v>
      </c>
      <c r="F1077" s="3" t="str">
        <f>VLOOKUP(B1077,[1]LifeList!$E$2:$G$2036,3)</f>
        <v>Pternistis erckelii</v>
      </c>
      <c r="G1077" s="3" t="str">
        <f>VLOOKUP(B1077,[1]LifeList!$E$2:$I$2036,4)</f>
        <v>Galliformes</v>
      </c>
      <c r="H1077" s="3" t="str">
        <f>VLOOKUP(B1077,[1]LifeList!$E$2:$I$2036,5)</f>
        <v>Phasianidae (Pheasants, Grouse, and Allies)</v>
      </c>
    </row>
    <row r="1078" spans="1:8" x14ac:dyDescent="0.15">
      <c r="A1078" s="3" t="s">
        <v>1030</v>
      </c>
      <c r="B1078" s="3" t="s">
        <v>4329</v>
      </c>
      <c r="C1078" s="3">
        <v>28500</v>
      </c>
      <c r="D1078" s="3" t="str">
        <f>VLOOKUP(B1078,[1]LifeList!$E$2:$G$2036,1)</f>
        <v>Eurasian Blackbird</v>
      </c>
      <c r="E1078" s="3" t="str">
        <f>VLOOKUP(B1078,[1]LifeList!$E$2:$G$2036,2)</f>
        <v>Merle noir</v>
      </c>
      <c r="F1078" s="3" t="str">
        <f>VLOOKUP(B1078,[1]LifeList!$E$2:$G$2036,3)</f>
        <v>Turdus merula</v>
      </c>
      <c r="G1078" s="3" t="str">
        <f>VLOOKUP(B1078,[1]LifeList!$E$2:$I$2036,4)</f>
        <v>Passeriformes</v>
      </c>
      <c r="H1078" s="3" t="str">
        <f>VLOOKUP(B1078,[1]LifeList!$E$2:$I$2036,5)</f>
        <v>Turdidae (Thrushes and Allies)</v>
      </c>
    </row>
    <row r="1079" spans="1:8" x14ac:dyDescent="0.15">
      <c r="A1079" s="3" t="s">
        <v>1031</v>
      </c>
      <c r="B1079" s="3" t="s">
        <v>4329</v>
      </c>
      <c r="C1079" s="3">
        <v>28500</v>
      </c>
      <c r="D1079" s="3" t="str">
        <f>VLOOKUP(B1079,[1]LifeList!$E$2:$G$2036,1)</f>
        <v>Eurasian Blackbird</v>
      </c>
      <c r="E1079" s="3" t="str">
        <f>VLOOKUP(B1079,[1]LifeList!$E$2:$G$2036,2)</f>
        <v>Merle noir</v>
      </c>
      <c r="F1079" s="3" t="str">
        <f>VLOOKUP(B1079,[1]LifeList!$E$2:$G$2036,3)</f>
        <v>Turdus merula</v>
      </c>
      <c r="G1079" s="3" t="str">
        <f>VLOOKUP(B1079,[1]LifeList!$E$2:$I$2036,4)</f>
        <v>Passeriformes</v>
      </c>
      <c r="H1079" s="3" t="str">
        <f>VLOOKUP(B1079,[1]LifeList!$E$2:$I$2036,5)</f>
        <v>Turdidae (Thrushes and Allies)</v>
      </c>
    </row>
    <row r="1080" spans="1:8" x14ac:dyDescent="0.15">
      <c r="A1080" s="3" t="s">
        <v>1032</v>
      </c>
      <c r="B1080" s="3" t="s">
        <v>4330</v>
      </c>
      <c r="C1080" s="3">
        <v>2031</v>
      </c>
      <c r="D1080" s="3" t="str">
        <f>VLOOKUP(B1080,[1]LifeList!$E$2:$G$2036,1)</f>
        <v>Eurasian Collared-Dove</v>
      </c>
      <c r="E1080" s="3" t="str">
        <f>VLOOKUP(B1080,[1]LifeList!$E$2:$G$2036,2)</f>
        <v>Tourterelle turque</v>
      </c>
      <c r="F1080" s="3" t="str">
        <f>VLOOKUP(B1080,[1]LifeList!$E$2:$G$2036,3)</f>
        <v>Streptopelia decaocto</v>
      </c>
      <c r="G1080" s="3" t="str">
        <f>VLOOKUP(B1080,[1]LifeList!$E$2:$I$2036,4)</f>
        <v>Columbiformes</v>
      </c>
      <c r="H1080" s="3" t="str">
        <f>VLOOKUP(B1080,[1]LifeList!$E$2:$I$2036,5)</f>
        <v>Columbidae (Pigeons and Doves)</v>
      </c>
    </row>
    <row r="1081" spans="1:8" x14ac:dyDescent="0.15">
      <c r="A1081" s="3" t="s">
        <v>1033</v>
      </c>
      <c r="B1081" s="3" t="s">
        <v>4330</v>
      </c>
      <c r="C1081" s="3">
        <v>2031</v>
      </c>
      <c r="D1081" s="3" t="str">
        <f>VLOOKUP(B1081,[1]LifeList!$E$2:$G$2036,1)</f>
        <v>Eurasian Collared-Dove</v>
      </c>
      <c r="E1081" s="3" t="str">
        <f>VLOOKUP(B1081,[1]LifeList!$E$2:$G$2036,2)</f>
        <v>Tourterelle turque</v>
      </c>
      <c r="F1081" s="3" t="str">
        <f>VLOOKUP(B1081,[1]LifeList!$E$2:$G$2036,3)</f>
        <v>Streptopelia decaocto</v>
      </c>
      <c r="G1081" s="3" t="str">
        <f>VLOOKUP(B1081,[1]LifeList!$E$2:$I$2036,4)</f>
        <v>Columbiformes</v>
      </c>
      <c r="H1081" s="3" t="str">
        <f>VLOOKUP(B1081,[1]LifeList!$E$2:$I$2036,5)</f>
        <v>Columbidae (Pigeons and Doves)</v>
      </c>
    </row>
    <row r="1082" spans="1:8" x14ac:dyDescent="0.15">
      <c r="A1082" s="3" t="s">
        <v>1034</v>
      </c>
      <c r="B1082" s="3" t="s">
        <v>4331</v>
      </c>
      <c r="C1082" s="3">
        <v>5462</v>
      </c>
      <c r="D1082" s="3" t="str">
        <f>VLOOKUP(B1082,[1]LifeList!$E$2:$G$2036,1)</f>
        <v>Eurasian Moorhen</v>
      </c>
      <c r="E1082" s="3" t="str">
        <f>VLOOKUP(B1082,[1]LifeList!$E$2:$G$2036,2)</f>
        <v>Gallinule poule-d'eau</v>
      </c>
      <c r="F1082" s="3" t="str">
        <f>VLOOKUP(B1082,[1]LifeList!$E$2:$G$2036,3)</f>
        <v>Gallinula chloropus</v>
      </c>
      <c r="G1082" s="3" t="str">
        <f>VLOOKUP(B1082,[1]LifeList!$E$2:$I$2036,4)</f>
        <v>Gruiformes</v>
      </c>
      <c r="H1082" s="3" t="str">
        <f>VLOOKUP(B1082,[1]LifeList!$E$2:$I$2036,5)</f>
        <v>Rallidae (Rails, Gallinules, and Coots)</v>
      </c>
    </row>
    <row r="1083" spans="1:8" x14ac:dyDescent="0.15">
      <c r="A1083" s="3" t="s">
        <v>1035</v>
      </c>
      <c r="B1083" s="3" t="s">
        <v>4331</v>
      </c>
      <c r="C1083" s="3">
        <v>5462</v>
      </c>
      <c r="D1083" s="3" t="str">
        <f>VLOOKUP(B1083,[1]LifeList!$E$2:$G$2036,1)</f>
        <v>Eurasian Moorhen</v>
      </c>
      <c r="E1083" s="3" t="str">
        <f>VLOOKUP(B1083,[1]LifeList!$E$2:$G$2036,2)</f>
        <v>Gallinule poule-d'eau</v>
      </c>
      <c r="F1083" s="3" t="str">
        <f>VLOOKUP(B1083,[1]LifeList!$E$2:$G$2036,3)</f>
        <v>Gallinula chloropus</v>
      </c>
      <c r="G1083" s="3" t="str">
        <f>VLOOKUP(B1083,[1]LifeList!$E$2:$I$2036,4)</f>
        <v>Gruiformes</v>
      </c>
      <c r="H1083" s="3" t="str">
        <f>VLOOKUP(B1083,[1]LifeList!$E$2:$I$2036,5)</f>
        <v>Rallidae (Rails, Gallinules, and Coots)</v>
      </c>
    </row>
    <row r="1084" spans="1:8" x14ac:dyDescent="0.15">
      <c r="A1084" s="3" t="s">
        <v>1036</v>
      </c>
      <c r="B1084" s="3" t="s">
        <v>4331</v>
      </c>
      <c r="C1084" s="3">
        <v>5462</v>
      </c>
      <c r="D1084" s="3" t="str">
        <f>VLOOKUP(B1084,[1]LifeList!$E$2:$G$2036,1)</f>
        <v>Eurasian Moorhen</v>
      </c>
      <c r="E1084" s="3" t="str">
        <f>VLOOKUP(B1084,[1]LifeList!$E$2:$G$2036,2)</f>
        <v>Gallinule poule-d'eau</v>
      </c>
      <c r="F1084" s="3" t="str">
        <f>VLOOKUP(B1084,[1]LifeList!$E$2:$G$2036,3)</f>
        <v>Gallinula chloropus</v>
      </c>
      <c r="G1084" s="3" t="str">
        <f>VLOOKUP(B1084,[1]LifeList!$E$2:$I$2036,4)</f>
        <v>Gruiformes</v>
      </c>
      <c r="H1084" s="3" t="str">
        <f>VLOOKUP(B1084,[1]LifeList!$E$2:$I$2036,5)</f>
        <v>Rallidae (Rails, Gallinules, and Coots)</v>
      </c>
    </row>
    <row r="1085" spans="1:8" x14ac:dyDescent="0.15">
      <c r="A1085" s="3" t="s">
        <v>1037</v>
      </c>
      <c r="B1085" s="3" t="s">
        <v>4332</v>
      </c>
      <c r="C1085" s="3">
        <v>22615</v>
      </c>
      <c r="D1085" s="3" t="str">
        <f>VLOOKUP(B1085,[1]LifeList!$E$2:$G$2036,1)</f>
        <v>Eurasian Skylark</v>
      </c>
      <c r="E1085" s="3" t="str">
        <f>VLOOKUP(B1085,[1]LifeList!$E$2:$G$2036,2)</f>
        <v>Alouette des champs</v>
      </c>
      <c r="F1085" s="3" t="str">
        <f>VLOOKUP(B1085,[1]LifeList!$E$2:$G$2036,3)</f>
        <v>Alauda arvensis</v>
      </c>
      <c r="G1085" s="3" t="str">
        <f>VLOOKUP(B1085,[1]LifeList!$E$2:$I$2036,4)</f>
        <v>Passeriformes</v>
      </c>
      <c r="H1085" s="3" t="str">
        <f>VLOOKUP(B1085,[1]LifeList!$E$2:$I$2036,5)</f>
        <v>Alaudidae (Larks)</v>
      </c>
    </row>
    <row r="1086" spans="1:8" x14ac:dyDescent="0.15">
      <c r="A1086" s="3" t="s">
        <v>1038</v>
      </c>
      <c r="B1086" s="3" t="s">
        <v>4332</v>
      </c>
      <c r="C1086" s="3">
        <v>22615</v>
      </c>
      <c r="D1086" s="3" t="str">
        <f>VLOOKUP(B1086,[1]LifeList!$E$2:$G$2036,1)</f>
        <v>Eurasian Skylark</v>
      </c>
      <c r="E1086" s="3" t="str">
        <f>VLOOKUP(B1086,[1]LifeList!$E$2:$G$2036,2)</f>
        <v>Alouette des champs</v>
      </c>
      <c r="F1086" s="3" t="str">
        <f>VLOOKUP(B1086,[1]LifeList!$E$2:$G$2036,3)</f>
        <v>Alauda arvensis</v>
      </c>
      <c r="G1086" s="3" t="str">
        <f>VLOOKUP(B1086,[1]LifeList!$E$2:$I$2036,4)</f>
        <v>Passeriformes</v>
      </c>
      <c r="H1086" s="3" t="str">
        <f>VLOOKUP(B1086,[1]LifeList!$E$2:$I$2036,5)</f>
        <v>Alaudidae (Larks)</v>
      </c>
    </row>
    <row r="1087" spans="1:8" x14ac:dyDescent="0.15">
      <c r="A1087" s="3" t="s">
        <v>1039</v>
      </c>
      <c r="B1087" s="3" t="s">
        <v>4333</v>
      </c>
      <c r="C1087" s="3">
        <v>6012</v>
      </c>
      <c r="D1087" s="3" t="str">
        <f>VLOOKUP(B1087,[1]LifeList!$E$2:$G$2036,1)</f>
        <v>Eurasian Whimbrel</v>
      </c>
      <c r="E1087" s="3" t="str">
        <f>VLOOKUP(B1087,[1]LifeList!$E$2:$G$2036,2)</f>
        <v>Courlis corlieu</v>
      </c>
      <c r="F1087" s="3" t="str">
        <f>VLOOKUP(B1087,[1]LifeList!$E$2:$G$2036,3)</f>
        <v>Numenius phaeopus</v>
      </c>
      <c r="G1087" s="3" t="str">
        <f>VLOOKUP(B1087,[1]LifeList!$E$2:$I$2036,4)</f>
        <v>Charadriiformes</v>
      </c>
      <c r="H1087" s="3" t="str">
        <f>VLOOKUP(B1087,[1]LifeList!$E$2:$I$2036,5)</f>
        <v>Scolopacidae (Sandpipers and Allies)</v>
      </c>
    </row>
    <row r="1088" spans="1:8" x14ac:dyDescent="0.15">
      <c r="A1088" s="3" t="s">
        <v>1040</v>
      </c>
      <c r="B1088" s="3" t="s">
        <v>4333</v>
      </c>
      <c r="C1088" s="3">
        <v>6012</v>
      </c>
      <c r="D1088" s="3" t="str">
        <f>VLOOKUP(B1088,[1]LifeList!$E$2:$G$2036,1)</f>
        <v>Eurasian Whimbrel</v>
      </c>
      <c r="E1088" s="3" t="str">
        <f>VLOOKUP(B1088,[1]LifeList!$E$2:$G$2036,2)</f>
        <v>Courlis corlieu</v>
      </c>
      <c r="F1088" s="3" t="str">
        <f>VLOOKUP(B1088,[1]LifeList!$E$2:$G$2036,3)</f>
        <v>Numenius phaeopus</v>
      </c>
      <c r="G1088" s="3" t="str">
        <f>VLOOKUP(B1088,[1]LifeList!$E$2:$I$2036,4)</f>
        <v>Charadriiformes</v>
      </c>
      <c r="H1088" s="3" t="str">
        <f>VLOOKUP(B1088,[1]LifeList!$E$2:$I$2036,5)</f>
        <v>Scolopacidae (Sandpipers and Allies)</v>
      </c>
    </row>
    <row r="1089" spans="1:8" x14ac:dyDescent="0.15">
      <c r="A1089" s="3" t="s">
        <v>1041</v>
      </c>
      <c r="B1089" s="3" t="s">
        <v>4333</v>
      </c>
      <c r="C1089" s="3">
        <v>6012</v>
      </c>
      <c r="D1089" s="3" t="str">
        <f>VLOOKUP(B1089,[1]LifeList!$E$2:$G$2036,1)</f>
        <v>Eurasian Whimbrel</v>
      </c>
      <c r="E1089" s="3" t="str">
        <f>VLOOKUP(B1089,[1]LifeList!$E$2:$G$2036,2)</f>
        <v>Courlis corlieu</v>
      </c>
      <c r="F1089" s="3" t="str">
        <f>VLOOKUP(B1089,[1]LifeList!$E$2:$G$2036,3)</f>
        <v>Numenius phaeopus</v>
      </c>
      <c r="G1089" s="3" t="str">
        <f>VLOOKUP(B1089,[1]LifeList!$E$2:$I$2036,4)</f>
        <v>Charadriiformes</v>
      </c>
      <c r="H1089" s="3" t="str">
        <f>VLOOKUP(B1089,[1]LifeList!$E$2:$I$2036,5)</f>
        <v>Scolopacidae (Sandpipers and Allies)</v>
      </c>
    </row>
    <row r="1090" spans="1:8" x14ac:dyDescent="0.15">
      <c r="A1090" s="3" t="s">
        <v>1042</v>
      </c>
      <c r="B1090" s="3" t="s">
        <v>4333</v>
      </c>
      <c r="C1090" s="3">
        <v>6012</v>
      </c>
      <c r="D1090" s="3" t="str">
        <f>VLOOKUP(B1090,[1]LifeList!$E$2:$G$2036,1)</f>
        <v>Eurasian Whimbrel</v>
      </c>
      <c r="E1090" s="3" t="str">
        <f>VLOOKUP(B1090,[1]LifeList!$E$2:$G$2036,2)</f>
        <v>Courlis corlieu</v>
      </c>
      <c r="F1090" s="3" t="str">
        <f>VLOOKUP(B1090,[1]LifeList!$E$2:$G$2036,3)</f>
        <v>Numenius phaeopus</v>
      </c>
      <c r="G1090" s="3" t="str">
        <f>VLOOKUP(B1090,[1]LifeList!$E$2:$I$2036,4)</f>
        <v>Charadriiformes</v>
      </c>
      <c r="H1090" s="3" t="str">
        <f>VLOOKUP(B1090,[1]LifeList!$E$2:$I$2036,5)</f>
        <v>Scolopacidae (Sandpipers and Allies)</v>
      </c>
    </row>
    <row r="1091" spans="1:8" x14ac:dyDescent="0.15">
      <c r="A1091" s="3" t="s">
        <v>1043</v>
      </c>
      <c r="B1091" s="3" t="s">
        <v>4333</v>
      </c>
      <c r="C1091" s="3">
        <v>6012</v>
      </c>
      <c r="D1091" s="3" t="str">
        <f>VLOOKUP(B1091,[1]LifeList!$E$2:$G$2036,1)</f>
        <v>Eurasian Whimbrel</v>
      </c>
      <c r="E1091" s="3" t="str">
        <f>VLOOKUP(B1091,[1]LifeList!$E$2:$G$2036,2)</f>
        <v>Courlis corlieu</v>
      </c>
      <c r="F1091" s="3" t="str">
        <f>VLOOKUP(B1091,[1]LifeList!$E$2:$G$2036,3)</f>
        <v>Numenius phaeopus</v>
      </c>
      <c r="G1091" s="3" t="str">
        <f>VLOOKUP(B1091,[1]LifeList!$E$2:$I$2036,4)</f>
        <v>Charadriiformes</v>
      </c>
      <c r="H1091" s="3" t="str">
        <f>VLOOKUP(B1091,[1]LifeList!$E$2:$I$2036,5)</f>
        <v>Scolopacidae (Sandpipers and Allies)</v>
      </c>
    </row>
    <row r="1092" spans="1:8" x14ac:dyDescent="0.15">
      <c r="A1092" s="3" t="s">
        <v>1044</v>
      </c>
      <c r="B1092" s="3" t="s">
        <v>4333</v>
      </c>
      <c r="C1092" s="3">
        <v>6012</v>
      </c>
      <c r="D1092" s="3" t="str">
        <f>VLOOKUP(B1092,[1]LifeList!$E$2:$G$2036,1)</f>
        <v>Eurasian Whimbrel</v>
      </c>
      <c r="E1092" s="3" t="str">
        <f>VLOOKUP(B1092,[1]LifeList!$E$2:$G$2036,2)</f>
        <v>Courlis corlieu</v>
      </c>
      <c r="F1092" s="3" t="str">
        <f>VLOOKUP(B1092,[1]LifeList!$E$2:$G$2036,3)</f>
        <v>Numenius phaeopus</v>
      </c>
      <c r="G1092" s="3" t="str">
        <f>VLOOKUP(B1092,[1]LifeList!$E$2:$I$2036,4)</f>
        <v>Charadriiformes</v>
      </c>
      <c r="H1092" s="3" t="str">
        <f>VLOOKUP(B1092,[1]LifeList!$E$2:$I$2036,5)</f>
        <v>Scolopacidae (Sandpipers and Allies)</v>
      </c>
    </row>
    <row r="1093" spans="1:8" x14ac:dyDescent="0.15">
      <c r="A1093" s="3" t="s">
        <v>1045</v>
      </c>
      <c r="B1093" s="3" t="s">
        <v>4334</v>
      </c>
      <c r="C1093" s="3">
        <v>512</v>
      </c>
      <c r="D1093" s="3" t="str">
        <f>VLOOKUP(B1093,[1]LifeList!$E$2:$G$2036,1)</f>
        <v>Eurasian Wigeon</v>
      </c>
      <c r="E1093" s="3" t="str">
        <f>VLOOKUP(B1093,[1]LifeList!$E$2:$G$2036,2)</f>
        <v>Canard siffleur</v>
      </c>
      <c r="F1093" s="3" t="str">
        <f>VLOOKUP(B1093,[1]LifeList!$E$2:$G$2036,3)</f>
        <v>Mareca penelope</v>
      </c>
      <c r="G1093" s="3" t="str">
        <f>VLOOKUP(B1093,[1]LifeList!$E$2:$I$2036,4)</f>
        <v>Anseriformes</v>
      </c>
      <c r="H1093" s="3" t="str">
        <f>VLOOKUP(B1093,[1]LifeList!$E$2:$I$2036,5)</f>
        <v>Anatidae (Ducks, Geese, and Waterfowl)</v>
      </c>
    </row>
    <row r="1094" spans="1:8" x14ac:dyDescent="0.15">
      <c r="A1094" s="3" t="s">
        <v>1046</v>
      </c>
      <c r="B1094" s="3" t="s">
        <v>4335</v>
      </c>
      <c r="C1094" s="3">
        <v>32552</v>
      </c>
      <c r="D1094" s="3" t="str">
        <f>VLOOKUP(B1094,[1]LifeList!$E$2:$G$2036,1)</f>
        <v>European Goldfinch</v>
      </c>
      <c r="E1094" s="3" t="str">
        <f>VLOOKUP(B1094,[1]LifeList!$E$2:$G$2036,2)</f>
        <v>Chardonneret élégant</v>
      </c>
      <c r="F1094" s="3" t="str">
        <f>VLOOKUP(B1094,[1]LifeList!$E$2:$G$2036,3)</f>
        <v>Carduelis carduelis</v>
      </c>
      <c r="G1094" s="3" t="str">
        <f>VLOOKUP(B1094,[1]LifeList!$E$2:$I$2036,4)</f>
        <v>Passeriformes</v>
      </c>
      <c r="H1094" s="3" t="str">
        <f>VLOOKUP(B1094,[1]LifeList!$E$2:$I$2036,5)</f>
        <v>Fringillidae (Finches, Euphonias, and Allies)</v>
      </c>
    </row>
    <row r="1095" spans="1:8" x14ac:dyDescent="0.15">
      <c r="A1095" s="3" t="s">
        <v>1047</v>
      </c>
      <c r="B1095" s="3" t="s">
        <v>4336</v>
      </c>
      <c r="C1095" s="3">
        <v>27813</v>
      </c>
      <c r="D1095" s="3" t="str">
        <f>VLOOKUP(B1095,[1]LifeList!$E$2:$G$2036,1)</f>
        <v>European Starling</v>
      </c>
      <c r="E1095" s="3" t="str">
        <f>VLOOKUP(B1095,[1]LifeList!$E$2:$G$2036,2)</f>
        <v>Étourneau sansonnet</v>
      </c>
      <c r="F1095" s="3" t="str">
        <f>VLOOKUP(B1095,[1]LifeList!$E$2:$G$2036,3)</f>
        <v>Sturnus vulgaris</v>
      </c>
      <c r="G1095" s="3" t="str">
        <f>VLOOKUP(B1095,[1]LifeList!$E$2:$I$2036,4)</f>
        <v>Passeriformes</v>
      </c>
      <c r="H1095" s="3" t="str">
        <f>VLOOKUP(B1095,[1]LifeList!$E$2:$I$2036,5)</f>
        <v>Sturnidae (Starlings)</v>
      </c>
    </row>
    <row r="1096" spans="1:8" x14ac:dyDescent="0.15">
      <c r="A1096" s="3" t="s">
        <v>1048</v>
      </c>
      <c r="B1096" s="3" t="s">
        <v>4337</v>
      </c>
      <c r="C1096" s="3">
        <v>16453</v>
      </c>
      <c r="D1096" s="3" t="str">
        <f>VLOOKUP(B1096,[1]LifeList!$E$2:$G$2036,1)</f>
        <v>Eye-ringed Flatbill</v>
      </c>
      <c r="E1096" s="3" t="str">
        <f>VLOOKUP(B1096,[1]LifeList!$E$2:$G$2036,2)</f>
        <v>Tyranneau à bec court</v>
      </c>
      <c r="F1096" s="3" t="str">
        <f>VLOOKUP(B1096,[1]LifeList!$E$2:$G$2036,3)</f>
        <v>Rhynchocyclus brevirostris</v>
      </c>
      <c r="G1096" s="3" t="str">
        <f>VLOOKUP(B1096,[1]LifeList!$E$2:$I$2036,4)</f>
        <v>Passeriformes</v>
      </c>
      <c r="H1096" s="3" t="str">
        <f>VLOOKUP(B1096,[1]LifeList!$E$2:$I$2036,5)</f>
        <v>Tyrannidae (Tyrant Flycatchers)</v>
      </c>
    </row>
    <row r="1097" spans="1:8" x14ac:dyDescent="0.15">
      <c r="A1097" s="3" t="s">
        <v>1049</v>
      </c>
      <c r="B1097" s="3" t="s">
        <v>4337</v>
      </c>
      <c r="C1097" s="3">
        <v>16453</v>
      </c>
      <c r="D1097" s="3" t="str">
        <f>VLOOKUP(B1097,[1]LifeList!$E$2:$G$2036,1)</f>
        <v>Eye-ringed Flatbill</v>
      </c>
      <c r="E1097" s="3" t="str">
        <f>VLOOKUP(B1097,[1]LifeList!$E$2:$G$2036,2)</f>
        <v>Tyranneau à bec court</v>
      </c>
      <c r="F1097" s="3" t="str">
        <f>VLOOKUP(B1097,[1]LifeList!$E$2:$G$2036,3)</f>
        <v>Rhynchocyclus brevirostris</v>
      </c>
      <c r="G1097" s="3" t="str">
        <f>VLOOKUP(B1097,[1]LifeList!$E$2:$I$2036,4)</f>
        <v>Passeriformes</v>
      </c>
      <c r="H1097" s="3" t="str">
        <f>VLOOKUP(B1097,[1]LifeList!$E$2:$I$2036,5)</f>
        <v>Tyrannidae (Tyrant Flycatchers)</v>
      </c>
    </row>
    <row r="1098" spans="1:8" x14ac:dyDescent="0.15">
      <c r="A1098" s="3" t="s">
        <v>1050</v>
      </c>
      <c r="B1098" s="3" t="s">
        <v>4337</v>
      </c>
      <c r="C1098" s="3">
        <v>16453</v>
      </c>
      <c r="D1098" s="3" t="str">
        <f>VLOOKUP(B1098,[1]LifeList!$E$2:$G$2036,1)</f>
        <v>Eye-ringed Flatbill</v>
      </c>
      <c r="E1098" s="3" t="str">
        <f>VLOOKUP(B1098,[1]LifeList!$E$2:$G$2036,2)</f>
        <v>Tyranneau à bec court</v>
      </c>
      <c r="F1098" s="3" t="str">
        <f>VLOOKUP(B1098,[1]LifeList!$E$2:$G$2036,3)</f>
        <v>Rhynchocyclus brevirostris</v>
      </c>
      <c r="G1098" s="3" t="str">
        <f>VLOOKUP(B1098,[1]LifeList!$E$2:$I$2036,4)</f>
        <v>Passeriformes</v>
      </c>
      <c r="H1098" s="3" t="str">
        <f>VLOOKUP(B1098,[1]LifeList!$E$2:$I$2036,5)</f>
        <v>Tyrannidae (Tyrant Flycatchers)</v>
      </c>
    </row>
    <row r="1099" spans="1:8" x14ac:dyDescent="0.15">
      <c r="A1099" s="3" t="s">
        <v>1051</v>
      </c>
      <c r="B1099" s="3" t="s">
        <v>4338</v>
      </c>
      <c r="C1099" s="3">
        <v>29830</v>
      </c>
      <c r="D1099" s="3" t="str">
        <f>VLOOKUP(B1099,[1]LifeList!$E$2:$G$2036,1)</f>
        <v>Familiar Chat</v>
      </c>
      <c r="E1099" s="3" t="str">
        <f>VLOOKUP(B1099,[1]LifeList!$E$2:$G$2036,2)</f>
        <v>Tarier d'Afrique</v>
      </c>
      <c r="F1099" s="3" t="str">
        <f>VLOOKUP(B1099,[1]LifeList!$E$2:$G$2036,3)</f>
        <v>Oenanthe familiaris</v>
      </c>
      <c r="G1099" s="3" t="str">
        <f>VLOOKUP(B1099,[1]LifeList!$E$2:$I$2036,4)</f>
        <v>Passeriformes</v>
      </c>
      <c r="H1099" s="3" t="str">
        <f>VLOOKUP(B1099,[1]LifeList!$E$2:$I$2036,5)</f>
        <v>Muscicapidae (Old World Flycatchers)</v>
      </c>
    </row>
    <row r="1100" spans="1:8" x14ac:dyDescent="0.15">
      <c r="A1100" s="3" t="s">
        <v>1052</v>
      </c>
      <c r="B1100" s="3" t="s">
        <v>4338</v>
      </c>
      <c r="C1100" s="3">
        <v>29830</v>
      </c>
      <c r="D1100" s="3" t="str">
        <f>VLOOKUP(B1100,[1]LifeList!$E$2:$G$2036,1)</f>
        <v>Familiar Chat</v>
      </c>
      <c r="E1100" s="3" t="str">
        <f>VLOOKUP(B1100,[1]LifeList!$E$2:$G$2036,2)</f>
        <v>Tarier d'Afrique</v>
      </c>
      <c r="F1100" s="3" t="str">
        <f>VLOOKUP(B1100,[1]LifeList!$E$2:$G$2036,3)</f>
        <v>Oenanthe familiaris</v>
      </c>
      <c r="G1100" s="3" t="str">
        <f>VLOOKUP(B1100,[1]LifeList!$E$2:$I$2036,4)</f>
        <v>Passeriformes</v>
      </c>
      <c r="H1100" s="3" t="str">
        <f>VLOOKUP(B1100,[1]LifeList!$E$2:$I$2036,5)</f>
        <v>Muscicapidae (Old World Flycatchers)</v>
      </c>
    </row>
    <row r="1101" spans="1:8" x14ac:dyDescent="0.15">
      <c r="A1101" s="3" t="s">
        <v>1053</v>
      </c>
      <c r="B1101" s="3" t="s">
        <v>4339</v>
      </c>
      <c r="C1101" s="3">
        <v>3351</v>
      </c>
      <c r="D1101" s="3" t="str">
        <f>VLOOKUP(B1101,[1]LifeList!$E$2:$G$2036,1)</f>
        <v>Fan-tailed Cuckoo</v>
      </c>
      <c r="E1101" s="3" t="str">
        <f>VLOOKUP(B1101,[1]LifeList!$E$2:$G$2036,2)</f>
        <v>Coucou à éventail</v>
      </c>
      <c r="F1101" s="3" t="str">
        <f>VLOOKUP(B1101,[1]LifeList!$E$2:$G$2036,3)</f>
        <v>Cacomantis flabelliformis</v>
      </c>
      <c r="G1101" s="3" t="str">
        <f>VLOOKUP(B1101,[1]LifeList!$E$2:$I$2036,4)</f>
        <v>Cuculiformes</v>
      </c>
      <c r="H1101" s="3" t="str">
        <f>VLOOKUP(B1101,[1]LifeList!$E$2:$I$2036,5)</f>
        <v>Cuculidae (Cuckoos)</v>
      </c>
    </row>
    <row r="1102" spans="1:8" x14ac:dyDescent="0.15">
      <c r="A1102" s="3" t="s">
        <v>1054</v>
      </c>
      <c r="B1102" s="3" t="s">
        <v>4339</v>
      </c>
      <c r="C1102" s="3">
        <v>3351</v>
      </c>
      <c r="D1102" s="3" t="str">
        <f>VLOOKUP(B1102,[1]LifeList!$E$2:$G$2036,1)</f>
        <v>Fan-tailed Cuckoo</v>
      </c>
      <c r="E1102" s="3" t="str">
        <f>VLOOKUP(B1102,[1]LifeList!$E$2:$G$2036,2)</f>
        <v>Coucou à éventail</v>
      </c>
      <c r="F1102" s="3" t="str">
        <f>VLOOKUP(B1102,[1]LifeList!$E$2:$G$2036,3)</f>
        <v>Cacomantis flabelliformis</v>
      </c>
      <c r="G1102" s="3" t="str">
        <f>VLOOKUP(B1102,[1]LifeList!$E$2:$I$2036,4)</f>
        <v>Cuculiformes</v>
      </c>
      <c r="H1102" s="3" t="str">
        <f>VLOOKUP(B1102,[1]LifeList!$E$2:$I$2036,5)</f>
        <v>Cuculidae (Cuckoos)</v>
      </c>
    </row>
    <row r="1103" spans="1:8" x14ac:dyDescent="0.15">
      <c r="A1103" s="3" t="s">
        <v>1055</v>
      </c>
      <c r="B1103" s="3" t="s">
        <v>4340</v>
      </c>
      <c r="C1103" s="3">
        <v>13445</v>
      </c>
      <c r="D1103" s="3" t="str">
        <f>VLOOKUP(B1103,[1]LifeList!$E$2:$G$2036,1)</f>
        <v>Fasciated Antshrike</v>
      </c>
      <c r="E1103" s="3" t="str">
        <f>VLOOKUP(B1103,[1]LifeList!$E$2:$G$2036,2)</f>
        <v>Batara fascié</v>
      </c>
      <c r="F1103" s="3" t="str">
        <f>VLOOKUP(B1103,[1]LifeList!$E$2:$G$2036,3)</f>
        <v>Cymbilaimus lineatus</v>
      </c>
      <c r="G1103" s="3" t="str">
        <f>VLOOKUP(B1103,[1]LifeList!$E$2:$I$2036,4)</f>
        <v>Passeriformes</v>
      </c>
      <c r="H1103" s="3" t="str">
        <f>VLOOKUP(B1103,[1]LifeList!$E$2:$I$2036,5)</f>
        <v>Thamnophilidae (Typical Antbirds)</v>
      </c>
    </row>
    <row r="1104" spans="1:8" x14ac:dyDescent="0.15">
      <c r="A1104" s="3" t="s">
        <v>1056</v>
      </c>
      <c r="B1104" s="3" t="s">
        <v>4340</v>
      </c>
      <c r="C1104" s="3">
        <v>13445</v>
      </c>
      <c r="D1104" s="3" t="str">
        <f>VLOOKUP(B1104,[1]LifeList!$E$2:$G$2036,1)</f>
        <v>Fasciated Antshrike</v>
      </c>
      <c r="E1104" s="3" t="str">
        <f>VLOOKUP(B1104,[1]LifeList!$E$2:$G$2036,2)</f>
        <v>Batara fascié</v>
      </c>
      <c r="F1104" s="3" t="str">
        <f>VLOOKUP(B1104,[1]LifeList!$E$2:$G$2036,3)</f>
        <v>Cymbilaimus lineatus</v>
      </c>
      <c r="G1104" s="3" t="str">
        <f>VLOOKUP(B1104,[1]LifeList!$E$2:$I$2036,4)</f>
        <v>Passeriformes</v>
      </c>
      <c r="H1104" s="3" t="str">
        <f>VLOOKUP(B1104,[1]LifeList!$E$2:$I$2036,5)</f>
        <v>Thamnophilidae (Typical Antbirds)</v>
      </c>
    </row>
    <row r="1105" spans="1:8" x14ac:dyDescent="0.15">
      <c r="A1105" s="3" t="s">
        <v>1057</v>
      </c>
      <c r="B1105" s="3" t="s">
        <v>4341</v>
      </c>
      <c r="C1105" s="3">
        <v>4702</v>
      </c>
      <c r="D1105" s="3" t="str">
        <f>VLOOKUP(B1105,[1]LifeList!$E$2:$G$2036,1)</f>
        <v>Fawn-breasted Brilliant</v>
      </c>
      <c r="E1105" s="3" t="str">
        <f>VLOOKUP(B1105,[1]LifeList!$E$2:$G$2036,2)</f>
        <v>Brillant rubinoïde</v>
      </c>
      <c r="F1105" s="3" t="str">
        <f>VLOOKUP(B1105,[1]LifeList!$E$2:$G$2036,3)</f>
        <v>Heliodoxa rubinoides</v>
      </c>
      <c r="G1105" s="3" t="str">
        <f>VLOOKUP(B1105,[1]LifeList!$E$2:$I$2036,4)</f>
        <v>Apodiformes</v>
      </c>
      <c r="H1105" s="3" t="str">
        <f>VLOOKUP(B1105,[1]LifeList!$E$2:$I$2036,5)</f>
        <v>Trochilidae (Hummingbirds)</v>
      </c>
    </row>
    <row r="1106" spans="1:8" x14ac:dyDescent="0.15">
      <c r="A1106" s="3" t="s">
        <v>1058</v>
      </c>
      <c r="B1106" s="3" t="s">
        <v>4342</v>
      </c>
      <c r="C1106" s="3">
        <v>9037</v>
      </c>
      <c r="D1106" s="3" t="str">
        <f>VLOOKUP(B1106,[1]LifeList!$E$2:$G$2036,1)</f>
        <v>Ferruginous Pygmy-Owl</v>
      </c>
      <c r="E1106" s="3" t="str">
        <f>VLOOKUP(B1106,[1]LifeList!$E$2:$G$2036,2)</f>
        <v>Chevêchette brune</v>
      </c>
      <c r="F1106" s="3" t="str">
        <f>VLOOKUP(B1106,[1]LifeList!$E$2:$G$2036,3)</f>
        <v>Glaucidium brasilianum</v>
      </c>
      <c r="G1106" s="3" t="str">
        <f>VLOOKUP(B1106,[1]LifeList!$E$2:$I$2036,4)</f>
        <v>Strigiformes</v>
      </c>
      <c r="H1106" s="3" t="str">
        <f>VLOOKUP(B1106,[1]LifeList!$E$2:$I$2036,5)</f>
        <v>Strigidae (Owls)</v>
      </c>
    </row>
    <row r="1107" spans="1:8" x14ac:dyDescent="0.15">
      <c r="A1107" s="3" t="s">
        <v>1059</v>
      </c>
      <c r="B1107" s="3" t="s">
        <v>4342</v>
      </c>
      <c r="C1107" s="3">
        <v>9037</v>
      </c>
      <c r="D1107" s="3" t="str">
        <f>VLOOKUP(B1107,[1]LifeList!$E$2:$G$2036,1)</f>
        <v>Ferruginous Pygmy-Owl</v>
      </c>
      <c r="E1107" s="3" t="str">
        <f>VLOOKUP(B1107,[1]LifeList!$E$2:$G$2036,2)</f>
        <v>Chevêchette brune</v>
      </c>
      <c r="F1107" s="3" t="str">
        <f>VLOOKUP(B1107,[1]LifeList!$E$2:$G$2036,3)</f>
        <v>Glaucidium brasilianum</v>
      </c>
      <c r="G1107" s="3" t="str">
        <f>VLOOKUP(B1107,[1]LifeList!$E$2:$I$2036,4)</f>
        <v>Strigiformes</v>
      </c>
      <c r="H1107" s="3" t="str">
        <f>VLOOKUP(B1107,[1]LifeList!$E$2:$I$2036,5)</f>
        <v>Strigidae (Owls)</v>
      </c>
    </row>
    <row r="1108" spans="1:8" x14ac:dyDescent="0.15">
      <c r="A1108" s="3" t="s">
        <v>1060</v>
      </c>
      <c r="B1108" s="3" t="s">
        <v>4342</v>
      </c>
      <c r="C1108" s="3">
        <v>9037</v>
      </c>
      <c r="D1108" s="3" t="str">
        <f>VLOOKUP(B1108,[1]LifeList!$E$2:$G$2036,1)</f>
        <v>Ferruginous Pygmy-Owl</v>
      </c>
      <c r="E1108" s="3" t="str">
        <f>VLOOKUP(B1108,[1]LifeList!$E$2:$G$2036,2)</f>
        <v>Chevêchette brune</v>
      </c>
      <c r="F1108" s="3" t="str">
        <f>VLOOKUP(B1108,[1]LifeList!$E$2:$G$2036,3)</f>
        <v>Glaucidium brasilianum</v>
      </c>
      <c r="G1108" s="3" t="str">
        <f>VLOOKUP(B1108,[1]LifeList!$E$2:$I$2036,4)</f>
        <v>Strigiformes</v>
      </c>
      <c r="H1108" s="3" t="str">
        <f>VLOOKUP(B1108,[1]LifeList!$E$2:$I$2036,5)</f>
        <v>Strigidae (Owls)</v>
      </c>
    </row>
    <row r="1109" spans="1:8" x14ac:dyDescent="0.15">
      <c r="A1109" s="3" t="s">
        <v>1061</v>
      </c>
      <c r="B1109" s="3" t="s">
        <v>4343</v>
      </c>
      <c r="C1109" s="3">
        <v>33002</v>
      </c>
      <c r="D1109" s="3" t="str">
        <f>VLOOKUP(B1109,[1]LifeList!$E$2:$G$2036,1)</f>
        <v>Field Sparrow</v>
      </c>
      <c r="E1109" s="3" t="str">
        <f>VLOOKUP(B1109,[1]LifeList!$E$2:$G$2036,2)</f>
        <v>Bruant des champs</v>
      </c>
      <c r="F1109" s="3" t="str">
        <f>VLOOKUP(B1109,[1]LifeList!$E$2:$G$2036,3)</f>
        <v>Spizella pusilla</v>
      </c>
      <c r="G1109" s="3" t="str">
        <f>VLOOKUP(B1109,[1]LifeList!$E$2:$I$2036,4)</f>
        <v>Passeriformes</v>
      </c>
      <c r="H1109" s="3" t="str">
        <f>VLOOKUP(B1109,[1]LifeList!$E$2:$I$2036,5)</f>
        <v>Passerellidae (New World Sparrows)</v>
      </c>
    </row>
    <row r="1110" spans="1:8" x14ac:dyDescent="0.15">
      <c r="A1110" s="3" t="s">
        <v>1062</v>
      </c>
      <c r="B1110" s="3" t="s">
        <v>4343</v>
      </c>
      <c r="C1110" s="3">
        <v>33002</v>
      </c>
      <c r="D1110" s="3" t="str">
        <f>VLOOKUP(B1110,[1]LifeList!$E$2:$G$2036,1)</f>
        <v>Field Sparrow</v>
      </c>
      <c r="E1110" s="3" t="str">
        <f>VLOOKUP(B1110,[1]LifeList!$E$2:$G$2036,2)</f>
        <v>Bruant des champs</v>
      </c>
      <c r="F1110" s="3" t="str">
        <f>VLOOKUP(B1110,[1]LifeList!$E$2:$G$2036,3)</f>
        <v>Spizella pusilla</v>
      </c>
      <c r="G1110" s="3" t="str">
        <f>VLOOKUP(B1110,[1]LifeList!$E$2:$I$2036,4)</f>
        <v>Passeriformes</v>
      </c>
      <c r="H1110" s="3" t="str">
        <f>VLOOKUP(B1110,[1]LifeList!$E$2:$I$2036,5)</f>
        <v>Passerellidae (New World Sparrows)</v>
      </c>
    </row>
    <row r="1111" spans="1:8" x14ac:dyDescent="0.15">
      <c r="A1111" s="3" t="s">
        <v>1063</v>
      </c>
      <c r="B1111" s="3" t="s">
        <v>4343</v>
      </c>
      <c r="C1111" s="3">
        <v>33002</v>
      </c>
      <c r="D1111" s="3" t="str">
        <f>VLOOKUP(B1111,[1]LifeList!$E$2:$G$2036,1)</f>
        <v>Field Sparrow</v>
      </c>
      <c r="E1111" s="3" t="str">
        <f>VLOOKUP(B1111,[1]LifeList!$E$2:$G$2036,2)</f>
        <v>Bruant des champs</v>
      </c>
      <c r="F1111" s="3" t="str">
        <f>VLOOKUP(B1111,[1]LifeList!$E$2:$G$2036,3)</f>
        <v>Spizella pusilla</v>
      </c>
      <c r="G1111" s="3" t="str">
        <f>VLOOKUP(B1111,[1]LifeList!$E$2:$I$2036,4)</f>
        <v>Passeriformes</v>
      </c>
      <c r="H1111" s="3" t="str">
        <f>VLOOKUP(B1111,[1]LifeList!$E$2:$I$2036,5)</f>
        <v>Passerellidae (New World Sparrows)</v>
      </c>
    </row>
    <row r="1112" spans="1:8" x14ac:dyDescent="0.15">
      <c r="A1112" s="3" t="s">
        <v>1064</v>
      </c>
      <c r="B1112" s="3" t="s">
        <v>4344</v>
      </c>
      <c r="C1112" s="3">
        <v>4736</v>
      </c>
      <c r="D1112" s="3" t="str">
        <f>VLOOKUP(B1112,[1]LifeList!$E$2:$G$2036,1)</f>
        <v>Fiery-throated Hummingbird</v>
      </c>
      <c r="E1112" s="3" t="str">
        <f>VLOOKUP(B1112,[1]LifeList!$E$2:$G$2036,2)</f>
        <v>Colibri insigne</v>
      </c>
      <c r="F1112" s="3" t="str">
        <f>VLOOKUP(B1112,[1]LifeList!$E$2:$G$2036,3)</f>
        <v>Panterpe insignis</v>
      </c>
      <c r="G1112" s="3" t="str">
        <f>VLOOKUP(B1112,[1]LifeList!$E$2:$I$2036,4)</f>
        <v>Apodiformes</v>
      </c>
      <c r="H1112" s="3" t="str">
        <f>VLOOKUP(B1112,[1]LifeList!$E$2:$I$2036,5)</f>
        <v>Trochilidae (Hummingbirds)</v>
      </c>
    </row>
    <row r="1113" spans="1:8" x14ac:dyDescent="0.15">
      <c r="A1113" s="3" t="s">
        <v>1065</v>
      </c>
      <c r="B1113" s="3" t="s">
        <v>4344</v>
      </c>
      <c r="C1113" s="3">
        <v>4736</v>
      </c>
      <c r="D1113" s="3" t="str">
        <f>VLOOKUP(B1113,[1]LifeList!$E$2:$G$2036,1)</f>
        <v>Fiery-throated Hummingbird</v>
      </c>
      <c r="E1113" s="3" t="str">
        <f>VLOOKUP(B1113,[1]LifeList!$E$2:$G$2036,2)</f>
        <v>Colibri insigne</v>
      </c>
      <c r="F1113" s="3" t="str">
        <f>VLOOKUP(B1113,[1]LifeList!$E$2:$G$2036,3)</f>
        <v>Panterpe insignis</v>
      </c>
      <c r="G1113" s="3" t="str">
        <f>VLOOKUP(B1113,[1]LifeList!$E$2:$I$2036,4)</f>
        <v>Apodiformes</v>
      </c>
      <c r="H1113" s="3" t="str">
        <f>VLOOKUP(B1113,[1]LifeList!$E$2:$I$2036,5)</f>
        <v>Trochilidae (Hummingbirds)</v>
      </c>
    </row>
    <row r="1114" spans="1:8" x14ac:dyDescent="0.15">
      <c r="A1114" s="3" t="s">
        <v>1077</v>
      </c>
      <c r="B1114" s="3" t="s">
        <v>4345</v>
      </c>
      <c r="C1114" s="3">
        <v>21769</v>
      </c>
      <c r="D1114" s="3" t="str">
        <f>VLOOKUP(B1114,[1]LifeList!$E$2:$G$2036,1)</f>
        <v>Flame Robin</v>
      </c>
      <c r="E1114" s="3" t="str">
        <f>VLOOKUP(B1114,[1]LifeList!$E$2:$G$2036,2)</f>
        <v>Miro embrasé</v>
      </c>
      <c r="F1114" s="3" t="str">
        <f>VLOOKUP(B1114,[1]LifeList!$E$2:$G$2036,3)</f>
        <v>Petroica phoenicea</v>
      </c>
      <c r="G1114" s="3" t="str">
        <f>VLOOKUP(B1114,[1]LifeList!$E$2:$I$2036,4)</f>
        <v>Passeriformes</v>
      </c>
      <c r="H1114" s="3" t="str">
        <f>VLOOKUP(B1114,[1]LifeList!$E$2:$I$2036,5)</f>
        <v>Petroicidae (Australasian Robins)</v>
      </c>
    </row>
    <row r="1115" spans="1:8" x14ac:dyDescent="0.15">
      <c r="A1115" s="3" t="s">
        <v>1066</v>
      </c>
      <c r="B1115" s="3" t="s">
        <v>4346</v>
      </c>
      <c r="C1115" s="3">
        <v>34442</v>
      </c>
      <c r="D1115" s="3" t="str">
        <f>VLOOKUP(B1115,[1]LifeList!$E$2:$G$2036,1)</f>
        <v>Flame-colored Tanager</v>
      </c>
      <c r="E1115" s="3" t="str">
        <f>VLOOKUP(B1115,[1]LifeList!$E$2:$G$2036,2)</f>
        <v>Piranga à dos rayé</v>
      </c>
      <c r="F1115" s="3" t="str">
        <f>VLOOKUP(B1115,[1]LifeList!$E$2:$G$2036,3)</f>
        <v>Piranga bidentata</v>
      </c>
      <c r="G1115" s="3" t="str">
        <f>VLOOKUP(B1115,[1]LifeList!$E$2:$I$2036,4)</f>
        <v>Passeriformes</v>
      </c>
      <c r="H1115" s="3" t="str">
        <f>VLOOKUP(B1115,[1]LifeList!$E$2:$I$2036,5)</f>
        <v>Cardinalidae (Cardinals and Allies)</v>
      </c>
    </row>
    <row r="1116" spans="1:8" x14ac:dyDescent="0.15">
      <c r="A1116" s="3" t="s">
        <v>1067</v>
      </c>
      <c r="B1116" s="3" t="s">
        <v>4346</v>
      </c>
      <c r="C1116" s="3">
        <v>34442</v>
      </c>
      <c r="D1116" s="3" t="str">
        <f>VLOOKUP(B1116,[1]LifeList!$E$2:$G$2036,1)</f>
        <v>Flame-colored Tanager</v>
      </c>
      <c r="E1116" s="3" t="str">
        <f>VLOOKUP(B1116,[1]LifeList!$E$2:$G$2036,2)</f>
        <v>Piranga à dos rayé</v>
      </c>
      <c r="F1116" s="3" t="str">
        <f>VLOOKUP(B1116,[1]LifeList!$E$2:$G$2036,3)</f>
        <v>Piranga bidentata</v>
      </c>
      <c r="G1116" s="3" t="str">
        <f>VLOOKUP(B1116,[1]LifeList!$E$2:$I$2036,4)</f>
        <v>Passeriformes</v>
      </c>
      <c r="H1116" s="3" t="str">
        <f>VLOOKUP(B1116,[1]LifeList!$E$2:$I$2036,5)</f>
        <v>Cardinalidae (Cardinals and Allies)</v>
      </c>
    </row>
    <row r="1117" spans="1:8" x14ac:dyDescent="0.15">
      <c r="A1117" s="3" t="s">
        <v>1068</v>
      </c>
      <c r="B1117" s="3" t="s">
        <v>4346</v>
      </c>
      <c r="C1117" s="3">
        <v>34442</v>
      </c>
      <c r="D1117" s="3" t="str">
        <f>VLOOKUP(B1117,[1]LifeList!$E$2:$G$2036,1)</f>
        <v>Flame-colored Tanager</v>
      </c>
      <c r="E1117" s="3" t="str">
        <f>VLOOKUP(B1117,[1]LifeList!$E$2:$G$2036,2)</f>
        <v>Piranga à dos rayé</v>
      </c>
      <c r="F1117" s="3" t="str">
        <f>VLOOKUP(B1117,[1]LifeList!$E$2:$G$2036,3)</f>
        <v>Piranga bidentata</v>
      </c>
      <c r="G1117" s="3" t="str">
        <f>VLOOKUP(B1117,[1]LifeList!$E$2:$I$2036,4)</f>
        <v>Passeriformes</v>
      </c>
      <c r="H1117" s="3" t="str">
        <f>VLOOKUP(B1117,[1]LifeList!$E$2:$I$2036,5)</f>
        <v>Cardinalidae (Cardinals and Allies)</v>
      </c>
    </row>
    <row r="1118" spans="1:8" x14ac:dyDescent="0.15">
      <c r="A1118" s="3" t="s">
        <v>1069</v>
      </c>
      <c r="B1118" s="3" t="s">
        <v>4347</v>
      </c>
      <c r="C1118" s="3">
        <v>35106</v>
      </c>
      <c r="D1118" s="3" t="str">
        <f>VLOOKUP(B1118,[1]LifeList!$E$2:$G$2036,1)</f>
        <v>Flame-faced Tanager</v>
      </c>
      <c r="E1118" s="3" t="str">
        <f>VLOOKUP(B1118,[1]LifeList!$E$2:$G$2036,2)</f>
        <v>Calliste à face rouge</v>
      </c>
      <c r="F1118" s="3" t="str">
        <f>VLOOKUP(B1118,[1]LifeList!$E$2:$G$2036,3)</f>
        <v>Tangara parzudakii</v>
      </c>
      <c r="G1118" s="3" t="str">
        <f>VLOOKUP(B1118,[1]LifeList!$E$2:$I$2036,4)</f>
        <v>Passeriformes</v>
      </c>
      <c r="H1118" s="3" t="str">
        <f>VLOOKUP(B1118,[1]LifeList!$E$2:$I$2036,5)</f>
        <v>Thraupidae (Tanagers and Allies)</v>
      </c>
    </row>
    <row r="1119" spans="1:8" x14ac:dyDescent="0.15">
      <c r="A1119" s="3" t="s">
        <v>1070</v>
      </c>
      <c r="B1119" s="3" t="s">
        <v>4348</v>
      </c>
      <c r="C1119" s="3">
        <v>34796</v>
      </c>
      <c r="D1119" s="3" t="str">
        <f>VLOOKUP(B1119,[1]LifeList!$E$2:$G$2036,1)</f>
        <v>Flame-rumped Tanager</v>
      </c>
      <c r="E1119" s="3" t="str">
        <f>VLOOKUP(B1119,[1]LifeList!$E$2:$G$2036,2)</f>
        <v>Tangara flamboyant</v>
      </c>
      <c r="F1119" s="3" t="str">
        <f>VLOOKUP(B1119,[1]LifeList!$E$2:$G$2036,3)</f>
        <v>Ramphocelus flammigerus</v>
      </c>
      <c r="G1119" s="3" t="str">
        <f>VLOOKUP(B1119,[1]LifeList!$E$2:$I$2036,4)</f>
        <v>Passeriformes</v>
      </c>
      <c r="H1119" s="3" t="str">
        <f>VLOOKUP(B1119,[1]LifeList!$E$2:$I$2036,5)</f>
        <v>Thraupidae (Tanagers and Allies)</v>
      </c>
    </row>
    <row r="1120" spans="1:8" x14ac:dyDescent="0.15">
      <c r="A1120" s="3" t="s">
        <v>1071</v>
      </c>
      <c r="B1120" s="3" t="s">
        <v>4348</v>
      </c>
      <c r="C1120" s="3">
        <v>34796</v>
      </c>
      <c r="D1120" s="3" t="str">
        <f>VLOOKUP(B1120,[1]LifeList!$E$2:$G$2036,1)</f>
        <v>Flame-rumped Tanager</v>
      </c>
      <c r="E1120" s="3" t="str">
        <f>VLOOKUP(B1120,[1]LifeList!$E$2:$G$2036,2)</f>
        <v>Tangara flamboyant</v>
      </c>
      <c r="F1120" s="3" t="str">
        <f>VLOOKUP(B1120,[1]LifeList!$E$2:$G$2036,3)</f>
        <v>Ramphocelus flammigerus</v>
      </c>
      <c r="G1120" s="3" t="str">
        <f>VLOOKUP(B1120,[1]LifeList!$E$2:$I$2036,4)</f>
        <v>Passeriformes</v>
      </c>
      <c r="H1120" s="3" t="str">
        <f>VLOOKUP(B1120,[1]LifeList!$E$2:$I$2036,5)</f>
        <v>Thraupidae (Tanagers and Allies)</v>
      </c>
    </row>
    <row r="1121" spans="1:8" x14ac:dyDescent="0.15">
      <c r="A1121" s="3" t="s">
        <v>1072</v>
      </c>
      <c r="B1121" s="3" t="s">
        <v>4348</v>
      </c>
      <c r="C1121" s="3">
        <v>34796</v>
      </c>
      <c r="D1121" s="3" t="str">
        <f>VLOOKUP(B1121,[1]LifeList!$E$2:$G$2036,1)</f>
        <v>Flame-rumped Tanager</v>
      </c>
      <c r="E1121" s="3" t="str">
        <f>VLOOKUP(B1121,[1]LifeList!$E$2:$G$2036,2)</f>
        <v>Tangara flamboyant</v>
      </c>
      <c r="F1121" s="3" t="str">
        <f>VLOOKUP(B1121,[1]LifeList!$E$2:$G$2036,3)</f>
        <v>Ramphocelus flammigerus</v>
      </c>
      <c r="G1121" s="3" t="str">
        <f>VLOOKUP(B1121,[1]LifeList!$E$2:$I$2036,4)</f>
        <v>Passeriformes</v>
      </c>
      <c r="H1121" s="3" t="str">
        <f>VLOOKUP(B1121,[1]LifeList!$E$2:$I$2036,5)</f>
        <v>Thraupidae (Tanagers and Allies)</v>
      </c>
    </row>
    <row r="1122" spans="1:8" x14ac:dyDescent="0.15">
      <c r="A1122" s="3" t="s">
        <v>1073</v>
      </c>
      <c r="B1122" s="3" t="s">
        <v>4348</v>
      </c>
      <c r="C1122" s="3">
        <v>34796</v>
      </c>
      <c r="D1122" s="3" t="str">
        <f>VLOOKUP(B1122,[1]LifeList!$E$2:$G$2036,1)</f>
        <v>Flame-rumped Tanager</v>
      </c>
      <c r="E1122" s="3" t="str">
        <f>VLOOKUP(B1122,[1]LifeList!$E$2:$G$2036,2)</f>
        <v>Tangara flamboyant</v>
      </c>
      <c r="F1122" s="3" t="str">
        <f>VLOOKUP(B1122,[1]LifeList!$E$2:$G$2036,3)</f>
        <v>Ramphocelus flammigerus</v>
      </c>
      <c r="G1122" s="3" t="str">
        <f>VLOOKUP(B1122,[1]LifeList!$E$2:$I$2036,4)</f>
        <v>Passeriformes</v>
      </c>
      <c r="H1122" s="3" t="str">
        <f>VLOOKUP(B1122,[1]LifeList!$E$2:$I$2036,5)</f>
        <v>Thraupidae (Tanagers and Allies)</v>
      </c>
    </row>
    <row r="1123" spans="1:8" x14ac:dyDescent="0.15">
      <c r="A1123" s="3" t="s">
        <v>1074</v>
      </c>
      <c r="B1123" s="3" t="s">
        <v>4349</v>
      </c>
      <c r="C1123" s="3">
        <v>33971</v>
      </c>
      <c r="D1123" s="3" t="str">
        <f>VLOOKUP(B1123,[1]LifeList!$E$2:$G$2036,1)</f>
        <v>Flame-throated Warbler</v>
      </c>
      <c r="E1123" s="3" t="str">
        <f>VLOOKUP(B1123,[1]LifeList!$E$2:$G$2036,2)</f>
        <v>Paruline embrasée</v>
      </c>
      <c r="F1123" s="3" t="str">
        <f>VLOOKUP(B1123,[1]LifeList!$E$2:$G$2036,3)</f>
        <v>Oreothlypis gutturalis</v>
      </c>
      <c r="G1123" s="3" t="str">
        <f>VLOOKUP(B1123,[1]LifeList!$E$2:$I$2036,4)</f>
        <v>Passeriformes</v>
      </c>
      <c r="H1123" s="3" t="str">
        <f>VLOOKUP(B1123,[1]LifeList!$E$2:$I$2036,5)</f>
        <v>Parulidae (New World Warblers)</v>
      </c>
    </row>
    <row r="1124" spans="1:8" x14ac:dyDescent="0.15">
      <c r="A1124" s="3" t="s">
        <v>1075</v>
      </c>
      <c r="B1124" s="3" t="s">
        <v>4349</v>
      </c>
      <c r="C1124" s="3">
        <v>33971</v>
      </c>
      <c r="D1124" s="3" t="str">
        <f>VLOOKUP(B1124,[1]LifeList!$E$2:$G$2036,1)</f>
        <v>Flame-throated Warbler</v>
      </c>
      <c r="E1124" s="3" t="str">
        <f>VLOOKUP(B1124,[1]LifeList!$E$2:$G$2036,2)</f>
        <v>Paruline embrasée</v>
      </c>
      <c r="F1124" s="3" t="str">
        <f>VLOOKUP(B1124,[1]LifeList!$E$2:$G$2036,3)</f>
        <v>Oreothlypis gutturalis</v>
      </c>
      <c r="G1124" s="3" t="str">
        <f>VLOOKUP(B1124,[1]LifeList!$E$2:$I$2036,4)</f>
        <v>Passeriformes</v>
      </c>
      <c r="H1124" s="3" t="str">
        <f>VLOOKUP(B1124,[1]LifeList!$E$2:$I$2036,5)</f>
        <v>Parulidae (New World Warblers)</v>
      </c>
    </row>
    <row r="1125" spans="1:8" x14ac:dyDescent="0.15">
      <c r="A1125" s="3" t="s">
        <v>1076</v>
      </c>
      <c r="B1125" s="3" t="s">
        <v>4349</v>
      </c>
      <c r="C1125" s="3">
        <v>33971</v>
      </c>
      <c r="D1125" s="3" t="str">
        <f>VLOOKUP(B1125,[1]LifeList!$E$2:$G$2036,1)</f>
        <v>Flame-throated Warbler</v>
      </c>
      <c r="E1125" s="3" t="str">
        <f>VLOOKUP(B1125,[1]LifeList!$E$2:$G$2036,2)</f>
        <v>Paruline embrasée</v>
      </c>
      <c r="F1125" s="3" t="str">
        <f>VLOOKUP(B1125,[1]LifeList!$E$2:$G$2036,3)</f>
        <v>Oreothlypis gutturalis</v>
      </c>
      <c r="G1125" s="3" t="str">
        <f>VLOOKUP(B1125,[1]LifeList!$E$2:$I$2036,4)</f>
        <v>Passeriformes</v>
      </c>
      <c r="H1125" s="3" t="str">
        <f>VLOOKUP(B1125,[1]LifeList!$E$2:$I$2036,5)</f>
        <v>Parulidae (New World Warblers)</v>
      </c>
    </row>
    <row r="1126" spans="1:8" x14ac:dyDescent="0.15">
      <c r="A1126" s="3" t="s">
        <v>1078</v>
      </c>
      <c r="B1126" s="3" t="s">
        <v>4350</v>
      </c>
      <c r="C1126" s="3">
        <v>16654</v>
      </c>
      <c r="D1126" s="3" t="str">
        <f>VLOOKUP(B1126,[1]LifeList!$E$2:$G$2036,1)</f>
        <v>Forest Elaenia</v>
      </c>
      <c r="E1126" s="3" t="str">
        <f>VLOOKUP(B1126,[1]LifeList!$E$2:$G$2036,2)</f>
        <v>Élénie de Gaimard</v>
      </c>
      <c r="F1126" s="3" t="str">
        <f>VLOOKUP(B1126,[1]LifeList!$E$2:$G$2036,3)</f>
        <v>Myiopagis gaimardii</v>
      </c>
      <c r="G1126" s="3" t="str">
        <f>VLOOKUP(B1126,[1]LifeList!$E$2:$I$2036,4)</f>
        <v>Passeriformes</v>
      </c>
      <c r="H1126" s="3" t="str">
        <f>VLOOKUP(B1126,[1]LifeList!$E$2:$I$2036,5)</f>
        <v>Tyrannidae (Tyrant Flycatchers)</v>
      </c>
    </row>
    <row r="1127" spans="1:8" x14ac:dyDescent="0.15">
      <c r="A1127" s="3" t="s">
        <v>1079</v>
      </c>
      <c r="B1127" s="3" t="s">
        <v>4351</v>
      </c>
      <c r="C1127" s="3">
        <v>29648</v>
      </c>
      <c r="D1127" s="3" t="str">
        <f>VLOOKUP(B1127,[1]LifeList!$E$2:$G$2036,1)</f>
        <v>Forest Rock-Thrush</v>
      </c>
      <c r="E1127" s="3" t="str">
        <f>VLOOKUP(B1127,[1]LifeList!$E$2:$G$2036,2)</f>
        <v>Monticole de forêt</v>
      </c>
      <c r="F1127" s="3" t="str">
        <f>VLOOKUP(B1127,[1]LifeList!$E$2:$G$2036,3)</f>
        <v>Monticola sharpei</v>
      </c>
      <c r="G1127" s="3" t="str">
        <f>VLOOKUP(B1127,[1]LifeList!$E$2:$I$2036,4)</f>
        <v>Passeriformes</v>
      </c>
      <c r="H1127" s="3" t="str">
        <f>VLOOKUP(B1127,[1]LifeList!$E$2:$I$2036,5)</f>
        <v>Muscicapidae (Old World Flycatchers)</v>
      </c>
    </row>
    <row r="1128" spans="1:8" x14ac:dyDescent="0.15">
      <c r="A1128" s="3" t="s">
        <v>1080</v>
      </c>
      <c r="B1128" s="3" t="s">
        <v>4352</v>
      </c>
      <c r="C1128" s="3">
        <v>20415</v>
      </c>
      <c r="D1128" s="3" t="str">
        <f>VLOOKUP(B1128,[1]LifeList!$E$2:$G$2036,1)</f>
        <v>Fork-tailed Drongo</v>
      </c>
      <c r="E1128" s="3" t="str">
        <f>VLOOKUP(B1128,[1]LifeList!$E$2:$G$2036,2)</f>
        <v>Drongo brillant</v>
      </c>
      <c r="F1128" s="3" t="str">
        <f>VLOOKUP(B1128,[1]LifeList!$E$2:$G$2036,3)</f>
        <v>Dicrurus adsimilis</v>
      </c>
      <c r="G1128" s="3" t="str">
        <f>VLOOKUP(B1128,[1]LifeList!$E$2:$I$2036,4)</f>
        <v>Passeriformes</v>
      </c>
      <c r="H1128" s="3" t="str">
        <f>VLOOKUP(B1128,[1]LifeList!$E$2:$I$2036,5)</f>
        <v>Dicruridae (Drongos)</v>
      </c>
    </row>
    <row r="1129" spans="1:8" x14ac:dyDescent="0.15">
      <c r="A1129" s="3" t="s">
        <v>1081</v>
      </c>
      <c r="B1129" s="3" t="s">
        <v>4352</v>
      </c>
      <c r="C1129" s="3">
        <v>20415</v>
      </c>
      <c r="D1129" s="3" t="str">
        <f>VLOOKUP(B1129,[1]LifeList!$E$2:$G$2036,1)</f>
        <v>Fork-tailed Drongo</v>
      </c>
      <c r="E1129" s="3" t="str">
        <f>VLOOKUP(B1129,[1]LifeList!$E$2:$G$2036,2)</f>
        <v>Drongo brillant</v>
      </c>
      <c r="F1129" s="3" t="str">
        <f>VLOOKUP(B1129,[1]LifeList!$E$2:$G$2036,3)</f>
        <v>Dicrurus adsimilis</v>
      </c>
      <c r="G1129" s="3" t="str">
        <f>VLOOKUP(B1129,[1]LifeList!$E$2:$I$2036,4)</f>
        <v>Passeriformes</v>
      </c>
      <c r="H1129" s="3" t="str">
        <f>VLOOKUP(B1129,[1]LifeList!$E$2:$I$2036,5)</f>
        <v>Dicruridae (Drongos)</v>
      </c>
    </row>
    <row r="1130" spans="1:8" x14ac:dyDescent="0.15">
      <c r="A1130" s="3" t="s">
        <v>1082</v>
      </c>
      <c r="B1130" s="3" t="s">
        <v>4352</v>
      </c>
      <c r="C1130" s="3">
        <v>20415</v>
      </c>
      <c r="D1130" s="3" t="str">
        <f>VLOOKUP(B1130,[1]LifeList!$E$2:$G$2036,1)</f>
        <v>Fork-tailed Drongo</v>
      </c>
      <c r="E1130" s="3" t="str">
        <f>VLOOKUP(B1130,[1]LifeList!$E$2:$G$2036,2)</f>
        <v>Drongo brillant</v>
      </c>
      <c r="F1130" s="3" t="str">
        <f>VLOOKUP(B1130,[1]LifeList!$E$2:$G$2036,3)</f>
        <v>Dicrurus adsimilis</v>
      </c>
      <c r="G1130" s="3" t="str">
        <f>VLOOKUP(B1130,[1]LifeList!$E$2:$I$2036,4)</f>
        <v>Passeriformes</v>
      </c>
      <c r="H1130" s="3" t="str">
        <f>VLOOKUP(B1130,[1]LifeList!$E$2:$I$2036,5)</f>
        <v>Dicruridae (Drongos)</v>
      </c>
    </row>
    <row r="1131" spans="1:8" x14ac:dyDescent="0.15">
      <c r="A1131" s="3" t="s">
        <v>1083</v>
      </c>
      <c r="B1131" s="3" t="s">
        <v>4353</v>
      </c>
      <c r="C1131" s="3">
        <v>17494</v>
      </c>
      <c r="D1131" s="3" t="str">
        <f>VLOOKUP(B1131,[1]LifeList!$E$2:$G$2036,1)</f>
        <v>Fork-tailed Flycatcher</v>
      </c>
      <c r="E1131" s="3" t="str">
        <f>VLOOKUP(B1131,[1]LifeList!$E$2:$G$2036,2)</f>
        <v>Tyran des savanes</v>
      </c>
      <c r="F1131" s="3" t="str">
        <f>VLOOKUP(B1131,[1]LifeList!$E$2:$G$2036,3)</f>
        <v>Tyrannus savana</v>
      </c>
      <c r="G1131" s="3" t="str">
        <f>VLOOKUP(B1131,[1]LifeList!$E$2:$I$2036,4)</f>
        <v>Passeriformes</v>
      </c>
      <c r="H1131" s="3" t="str">
        <f>VLOOKUP(B1131,[1]LifeList!$E$2:$I$2036,5)</f>
        <v>Tyrannidae (Tyrant Flycatchers)</v>
      </c>
    </row>
    <row r="1132" spans="1:8" x14ac:dyDescent="0.15">
      <c r="A1132" s="3" t="s">
        <v>1084</v>
      </c>
      <c r="B1132" s="3" t="s">
        <v>4353</v>
      </c>
      <c r="C1132" s="3">
        <v>17494</v>
      </c>
      <c r="D1132" s="3" t="str">
        <f>VLOOKUP(B1132,[1]LifeList!$E$2:$G$2036,1)</f>
        <v>Fork-tailed Flycatcher</v>
      </c>
      <c r="E1132" s="3" t="str">
        <f>VLOOKUP(B1132,[1]LifeList!$E$2:$G$2036,2)</f>
        <v>Tyran des savanes</v>
      </c>
      <c r="F1132" s="3" t="str">
        <f>VLOOKUP(B1132,[1]LifeList!$E$2:$G$2036,3)</f>
        <v>Tyrannus savana</v>
      </c>
      <c r="G1132" s="3" t="str">
        <f>VLOOKUP(B1132,[1]LifeList!$E$2:$I$2036,4)</f>
        <v>Passeriformes</v>
      </c>
      <c r="H1132" s="3" t="str">
        <f>VLOOKUP(B1132,[1]LifeList!$E$2:$I$2036,5)</f>
        <v>Tyrannidae (Tyrant Flycatchers)</v>
      </c>
    </row>
    <row r="1133" spans="1:8" x14ac:dyDescent="0.15">
      <c r="A1133" s="3" t="s">
        <v>3850</v>
      </c>
      <c r="B1133" s="3" t="s">
        <v>5223</v>
      </c>
      <c r="C1133" s="3">
        <v>17808</v>
      </c>
      <c r="D1133" s="3" t="str">
        <f>VLOOKUP(B1133,[1]LifeList!$E$2:$G$2036,1)</f>
        <v>Forster's Tern</v>
      </c>
      <c r="E1133" s="3" t="str">
        <f>VLOOKUP(B1133,[1]LifeList!$E$2:$G$2036,2)</f>
        <v>Sterne de Forster</v>
      </c>
      <c r="F1133" s="3" t="str">
        <f>VLOOKUP(B1133,[1]LifeList!$E$2:$G$2036,3)</f>
        <v>Sterna forsteri</v>
      </c>
      <c r="G1133" s="3" t="str">
        <f>VLOOKUP(B1133,[1]LifeList!$E$2:$I$2036,4)</f>
        <v>Charadriiformes</v>
      </c>
      <c r="H1133" s="3" t="str">
        <f>VLOOKUP(B1133,[1]LifeList!$E$2:$I$2036,5)</f>
        <v>Laridae (Gulls, Terns, and Skimmers)</v>
      </c>
    </row>
    <row r="1134" spans="1:8" x14ac:dyDescent="0.15">
      <c r="A1134" s="3" t="s">
        <v>3851</v>
      </c>
      <c r="B1134" s="3" t="s">
        <v>5223</v>
      </c>
      <c r="C1134" s="3">
        <v>17808</v>
      </c>
      <c r="D1134" s="3" t="str">
        <f>VLOOKUP(B1134,[1]LifeList!$E$2:$G$2036,1)</f>
        <v>Forster's Tern</v>
      </c>
      <c r="E1134" s="3" t="str">
        <f>VLOOKUP(B1134,[1]LifeList!$E$2:$G$2036,2)</f>
        <v>Sterne de Forster</v>
      </c>
      <c r="F1134" s="3" t="str">
        <f>VLOOKUP(B1134,[1]LifeList!$E$2:$G$2036,3)</f>
        <v>Sterna forsteri</v>
      </c>
      <c r="G1134" s="3" t="str">
        <f>VLOOKUP(B1134,[1]LifeList!$E$2:$I$2036,4)</f>
        <v>Charadriiformes</v>
      </c>
      <c r="H1134" s="3" t="str">
        <f>VLOOKUP(B1134,[1]LifeList!$E$2:$I$2036,5)</f>
        <v>Laridae (Gulls, Terns, and Skimmers)</v>
      </c>
    </row>
    <row r="1135" spans="1:8" x14ac:dyDescent="0.15">
      <c r="A1135" s="3" t="s">
        <v>1085</v>
      </c>
      <c r="B1135" s="3" t="s">
        <v>4354</v>
      </c>
      <c r="C1135" s="3">
        <v>18231</v>
      </c>
      <c r="D1135" s="3" t="str">
        <f>VLOOKUP(B1135,[1]LifeList!$E$2:$G$2036,1)</f>
        <v>Forty-spotted Pardalote</v>
      </c>
      <c r="E1135" s="3" t="str">
        <f>VLOOKUP(B1135,[1]LifeList!$E$2:$G$2036,2)</f>
        <v>Pardalote de Tasmanie</v>
      </c>
      <c r="F1135" s="3" t="str">
        <f>VLOOKUP(B1135,[1]LifeList!$E$2:$G$2036,3)</f>
        <v>Pardalotus quadragintus</v>
      </c>
      <c r="G1135" s="3" t="str">
        <f>VLOOKUP(B1135,[1]LifeList!$E$2:$I$2036,4)</f>
        <v>Passeriformes</v>
      </c>
      <c r="H1135" s="3" t="str">
        <f>VLOOKUP(B1135,[1]LifeList!$E$2:$I$2036,5)</f>
        <v>Pardalotidae (Pardalotes)</v>
      </c>
    </row>
    <row r="1136" spans="1:8" x14ac:dyDescent="0.15">
      <c r="A1136" s="3" t="s">
        <v>1086</v>
      </c>
      <c r="B1136" s="3" t="s">
        <v>4355</v>
      </c>
      <c r="C1136" s="3">
        <v>33099</v>
      </c>
      <c r="D1136" s="3" t="str">
        <f>VLOOKUP(B1136,[1]LifeList!$E$2:$G$2036,1)</f>
        <v>Fox Sparrow</v>
      </c>
      <c r="E1136" s="3" t="str">
        <f>VLOOKUP(B1136,[1]LifeList!$E$2:$G$2036,2)</f>
        <v>Bruant fauve</v>
      </c>
      <c r="F1136" s="3" t="str">
        <f>VLOOKUP(B1136,[1]LifeList!$E$2:$G$2036,3)</f>
        <v>Passerella iliaca</v>
      </c>
      <c r="G1136" s="3" t="str">
        <f>VLOOKUP(B1136,[1]LifeList!$E$2:$I$2036,4)</f>
        <v>Passeriformes</v>
      </c>
      <c r="H1136" s="3" t="str">
        <f>VLOOKUP(B1136,[1]LifeList!$E$2:$I$2036,5)</f>
        <v>Passerellidae (New World Sparrows)</v>
      </c>
    </row>
    <row r="1137" spans="1:8" x14ac:dyDescent="0.15">
      <c r="A1137" s="3" t="s">
        <v>1087</v>
      </c>
      <c r="B1137" s="3" t="s">
        <v>4355</v>
      </c>
      <c r="C1137" s="3">
        <v>33099</v>
      </c>
      <c r="D1137" s="3" t="str">
        <f>VLOOKUP(B1137,[1]LifeList!$E$2:$G$2036,1)</f>
        <v>Fox Sparrow</v>
      </c>
      <c r="E1137" s="3" t="str">
        <f>VLOOKUP(B1137,[1]LifeList!$E$2:$G$2036,2)</f>
        <v>Bruant fauve</v>
      </c>
      <c r="F1137" s="3" t="str">
        <f>VLOOKUP(B1137,[1]LifeList!$E$2:$G$2036,3)</f>
        <v>Passerella iliaca</v>
      </c>
      <c r="G1137" s="3" t="str">
        <f>VLOOKUP(B1137,[1]LifeList!$E$2:$I$2036,4)</f>
        <v>Passeriformes</v>
      </c>
      <c r="H1137" s="3" t="str">
        <f>VLOOKUP(B1137,[1]LifeList!$E$2:$I$2036,5)</f>
        <v>Passerellidae (New World Sparrows)</v>
      </c>
    </row>
    <row r="1138" spans="1:8" x14ac:dyDescent="0.15">
      <c r="A1138" s="3" t="s">
        <v>3852</v>
      </c>
      <c r="B1138" s="3" t="s">
        <v>5224</v>
      </c>
      <c r="C1138" s="3">
        <v>17808</v>
      </c>
      <c r="D1138" s="3" t="str">
        <f>VLOOKUP(B1138,[1]LifeList!$E$2:$G$2036,1)</f>
        <v>Frances's Sparrowhawk</v>
      </c>
      <c r="E1138" s="3" t="str">
        <f>VLOOKUP(B1138,[1]LifeList!$E$2:$G$2036,2)</f>
        <v>Épervier de Frances</v>
      </c>
      <c r="F1138" s="3" t="str">
        <f>VLOOKUP(B1138,[1]LifeList!$E$2:$G$2036,3)</f>
        <v>Tachyspiza francesiae</v>
      </c>
      <c r="G1138" s="3" t="str">
        <f>VLOOKUP(B1138,[1]LifeList!$E$2:$I$2036,4)</f>
        <v>Accipitriformes</v>
      </c>
      <c r="H1138" s="3" t="str">
        <f>VLOOKUP(B1138,[1]LifeList!$E$2:$I$2036,5)</f>
        <v>Accipitridae (Hawks, Eagles, and Kites)</v>
      </c>
    </row>
    <row r="1139" spans="1:8" x14ac:dyDescent="0.15">
      <c r="A1139" s="3" t="s">
        <v>1089</v>
      </c>
      <c r="B1139" s="3" t="s">
        <v>4356</v>
      </c>
      <c r="C1139" s="3">
        <v>249</v>
      </c>
      <c r="D1139" s="3" t="str">
        <f>VLOOKUP(B1139,[1]LifeList!$E$2:$G$2036,1)</f>
        <v>Fulvous Whistling-Duck</v>
      </c>
      <c r="E1139" s="3" t="str">
        <f>VLOOKUP(B1139,[1]LifeList!$E$2:$G$2036,2)</f>
        <v>Dendrocygne fauve</v>
      </c>
      <c r="F1139" s="3" t="str">
        <f>VLOOKUP(B1139,[1]LifeList!$E$2:$G$2036,3)</f>
        <v>Dendrocygna bicolor</v>
      </c>
      <c r="G1139" s="3" t="str">
        <f>VLOOKUP(B1139,[1]LifeList!$E$2:$I$2036,4)</f>
        <v>Anseriformes</v>
      </c>
      <c r="H1139" s="3" t="str">
        <f>VLOOKUP(B1139,[1]LifeList!$E$2:$I$2036,5)</f>
        <v>Anatidae (Ducks, Geese, and Waterfowl)</v>
      </c>
    </row>
    <row r="1140" spans="1:8" x14ac:dyDescent="0.15">
      <c r="A1140" s="3" t="s">
        <v>1090</v>
      </c>
      <c r="B1140" s="3" t="s">
        <v>4356</v>
      </c>
      <c r="C1140" s="3">
        <v>249</v>
      </c>
      <c r="D1140" s="3" t="str">
        <f>VLOOKUP(B1140,[1]LifeList!$E$2:$G$2036,1)</f>
        <v>Fulvous Whistling-Duck</v>
      </c>
      <c r="E1140" s="3" t="str">
        <f>VLOOKUP(B1140,[1]LifeList!$E$2:$G$2036,2)</f>
        <v>Dendrocygne fauve</v>
      </c>
      <c r="F1140" s="3" t="str">
        <f>VLOOKUP(B1140,[1]LifeList!$E$2:$G$2036,3)</f>
        <v>Dendrocygna bicolor</v>
      </c>
      <c r="G1140" s="3" t="str">
        <f>VLOOKUP(B1140,[1]LifeList!$E$2:$I$2036,4)</f>
        <v>Anseriformes</v>
      </c>
      <c r="H1140" s="3" t="str">
        <f>VLOOKUP(B1140,[1]LifeList!$E$2:$I$2036,5)</f>
        <v>Anatidae (Ducks, Geese, and Waterfowl)</v>
      </c>
    </row>
    <row r="1141" spans="1:8" x14ac:dyDescent="0.15">
      <c r="A1141" s="3" t="s">
        <v>1088</v>
      </c>
      <c r="B1141" s="3" t="s">
        <v>4357</v>
      </c>
      <c r="C1141" s="3">
        <v>32045</v>
      </c>
      <c r="D1141" s="3" t="str">
        <f>VLOOKUP(B1141,[1]LifeList!$E$2:$G$2036,1)</f>
        <v>Fulvous-vented Euphonia</v>
      </c>
      <c r="E1141" s="3" t="str">
        <f>VLOOKUP(B1141,[1]LifeList!$E$2:$G$2036,2)</f>
        <v>Organiste cul-roux</v>
      </c>
      <c r="F1141" s="3" t="str">
        <f>VLOOKUP(B1141,[1]LifeList!$E$2:$G$2036,3)</f>
        <v>Euphonia fulvicrissa</v>
      </c>
      <c r="G1141" s="3" t="str">
        <f>VLOOKUP(B1141,[1]LifeList!$E$2:$I$2036,4)</f>
        <v>Passeriformes</v>
      </c>
      <c r="H1141" s="3" t="str">
        <f>VLOOKUP(B1141,[1]LifeList!$E$2:$I$2036,5)</f>
        <v>Fringillidae (Finches, Euphonias, and Allies)</v>
      </c>
    </row>
    <row r="1142" spans="1:8" x14ac:dyDescent="0.15">
      <c r="A1142" s="3" t="s">
        <v>1091</v>
      </c>
      <c r="B1142" s="3" t="s">
        <v>4358</v>
      </c>
      <c r="C1142" s="3">
        <v>8098</v>
      </c>
      <c r="D1142" s="3" t="str">
        <f>VLOOKUP(B1142,[1]LifeList!$E$2:$G$2036,1)</f>
        <v>Gabar Goshawk</v>
      </c>
      <c r="E1142" s="3" t="str">
        <f>VLOOKUP(B1142,[1]LifeList!$E$2:$G$2036,2)</f>
        <v>Autour gabar</v>
      </c>
      <c r="F1142" s="3" t="str">
        <f>VLOOKUP(B1142,[1]LifeList!$E$2:$G$2036,3)</f>
        <v>Micronisus gabar</v>
      </c>
      <c r="G1142" s="3" t="str">
        <f>VLOOKUP(B1142,[1]LifeList!$E$2:$I$2036,4)</f>
        <v>Accipitriformes</v>
      </c>
      <c r="H1142" s="3" t="str">
        <f>VLOOKUP(B1142,[1]LifeList!$E$2:$I$2036,5)</f>
        <v>Accipitridae (Hawks, Eagles, and Kites)</v>
      </c>
    </row>
    <row r="1143" spans="1:8" x14ac:dyDescent="0.15">
      <c r="A1143" s="3" t="s">
        <v>1092</v>
      </c>
      <c r="B1143" s="3" t="s">
        <v>4359</v>
      </c>
      <c r="C1143" s="3">
        <v>20117</v>
      </c>
      <c r="D1143" s="3" t="str">
        <f>VLOOKUP(B1143,[1]LifeList!$E$2:$G$2036,1)</f>
        <v>Gabon Boubou</v>
      </c>
      <c r="E1143" s="3" t="str">
        <f>VLOOKUP(B1143,[1]LifeList!$E$2:$G$2036,2)</f>
        <v>Gonolek à ventre blanc</v>
      </c>
      <c r="F1143" s="3" t="str">
        <f>VLOOKUP(B1143,[1]LifeList!$E$2:$G$2036,3)</f>
        <v>Laniarius bicolor</v>
      </c>
      <c r="G1143" s="3" t="str">
        <f>VLOOKUP(B1143,[1]LifeList!$E$2:$I$2036,4)</f>
        <v>Passeriformes</v>
      </c>
      <c r="H1143" s="3" t="str">
        <f>VLOOKUP(B1143,[1]LifeList!$E$2:$I$2036,5)</f>
        <v>Malaconotidae (Bushshrikes and Allies)</v>
      </c>
    </row>
    <row r="1144" spans="1:8" x14ac:dyDescent="0.15">
      <c r="A1144" s="3" t="s">
        <v>1093</v>
      </c>
      <c r="B1144" s="3" t="s">
        <v>4360</v>
      </c>
      <c r="C1144" s="3">
        <v>505</v>
      </c>
      <c r="D1144" s="3" t="str">
        <f>VLOOKUP(B1144,[1]LifeList!$E$2:$G$2036,1)</f>
        <v>Gadwall</v>
      </c>
      <c r="E1144" s="3" t="str">
        <f>VLOOKUP(B1144,[1]LifeList!$E$2:$G$2036,2)</f>
        <v>Canard chipeau</v>
      </c>
      <c r="F1144" s="3" t="str">
        <f>VLOOKUP(B1144,[1]LifeList!$E$2:$G$2036,3)</f>
        <v>Mareca strepera</v>
      </c>
      <c r="G1144" s="3" t="str">
        <f>VLOOKUP(B1144,[1]LifeList!$E$2:$I$2036,4)</f>
        <v>Anseriformes</v>
      </c>
      <c r="H1144" s="3" t="str">
        <f>VLOOKUP(B1144,[1]LifeList!$E$2:$I$2036,5)</f>
        <v>Anatidae (Ducks, Geese, and Waterfowl)</v>
      </c>
    </row>
    <row r="1145" spans="1:8" x14ac:dyDescent="0.15">
      <c r="A1145" s="3" t="s">
        <v>1094</v>
      </c>
      <c r="B1145" s="3" t="s">
        <v>4360</v>
      </c>
      <c r="C1145" s="3">
        <v>505</v>
      </c>
      <c r="D1145" s="3" t="str">
        <f>VLOOKUP(B1145,[1]LifeList!$E$2:$G$2036,1)</f>
        <v>Gadwall</v>
      </c>
      <c r="E1145" s="3" t="str">
        <f>VLOOKUP(B1145,[1]LifeList!$E$2:$G$2036,2)</f>
        <v>Canard chipeau</v>
      </c>
      <c r="F1145" s="3" t="str">
        <f>VLOOKUP(B1145,[1]LifeList!$E$2:$G$2036,3)</f>
        <v>Mareca strepera</v>
      </c>
      <c r="G1145" s="3" t="str">
        <f>VLOOKUP(B1145,[1]LifeList!$E$2:$I$2036,4)</f>
        <v>Anseriformes</v>
      </c>
      <c r="H1145" s="3" t="str">
        <f>VLOOKUP(B1145,[1]LifeList!$E$2:$I$2036,5)</f>
        <v>Anatidae (Ducks, Geese, and Waterfowl)</v>
      </c>
    </row>
    <row r="1146" spans="1:8" x14ac:dyDescent="0.15">
      <c r="A1146" s="3" t="s">
        <v>1095</v>
      </c>
      <c r="B1146" s="3" t="s">
        <v>4360</v>
      </c>
      <c r="C1146" s="3">
        <v>505</v>
      </c>
      <c r="D1146" s="3" t="str">
        <f>VLOOKUP(B1146,[1]LifeList!$E$2:$G$2036,1)</f>
        <v>Gadwall</v>
      </c>
      <c r="E1146" s="3" t="str">
        <f>VLOOKUP(B1146,[1]LifeList!$E$2:$G$2036,2)</f>
        <v>Canard chipeau</v>
      </c>
      <c r="F1146" s="3" t="str">
        <f>VLOOKUP(B1146,[1]LifeList!$E$2:$G$2036,3)</f>
        <v>Mareca strepera</v>
      </c>
      <c r="G1146" s="3" t="str">
        <f>VLOOKUP(B1146,[1]LifeList!$E$2:$I$2036,4)</f>
        <v>Anseriformes</v>
      </c>
      <c r="H1146" s="3" t="str">
        <f>VLOOKUP(B1146,[1]LifeList!$E$2:$I$2036,5)</f>
        <v>Anatidae (Ducks, Geese, and Waterfowl)</v>
      </c>
    </row>
    <row r="1147" spans="1:8" x14ac:dyDescent="0.15">
      <c r="A1147" s="3" t="s">
        <v>1096</v>
      </c>
      <c r="B1147" s="3" t="s">
        <v>4360</v>
      </c>
      <c r="C1147" s="3">
        <v>505</v>
      </c>
      <c r="D1147" s="3" t="str">
        <f>VLOOKUP(B1147,[1]LifeList!$E$2:$G$2036,1)</f>
        <v>Gadwall</v>
      </c>
      <c r="E1147" s="3" t="str">
        <f>VLOOKUP(B1147,[1]LifeList!$E$2:$G$2036,2)</f>
        <v>Canard chipeau</v>
      </c>
      <c r="F1147" s="3" t="str">
        <f>VLOOKUP(B1147,[1]LifeList!$E$2:$G$2036,3)</f>
        <v>Mareca strepera</v>
      </c>
      <c r="G1147" s="3" t="str">
        <f>VLOOKUP(B1147,[1]LifeList!$E$2:$I$2036,4)</f>
        <v>Anseriformes</v>
      </c>
      <c r="H1147" s="3" t="str">
        <f>VLOOKUP(B1147,[1]LifeList!$E$2:$I$2036,5)</f>
        <v>Anatidae (Ducks, Geese, and Waterfowl)</v>
      </c>
    </row>
    <row r="1148" spans="1:8" x14ac:dyDescent="0.15">
      <c r="A1148" s="3" t="s">
        <v>1097</v>
      </c>
      <c r="B1148" s="3" t="s">
        <v>4361</v>
      </c>
      <c r="C1148" s="3">
        <v>12176</v>
      </c>
      <c r="D1148" s="3" t="str">
        <f>VLOOKUP(B1148,[1]LifeList!$E$2:$G$2036,1)</f>
        <v>Galah</v>
      </c>
      <c r="E1148" s="3" t="str">
        <f>VLOOKUP(B1148,[1]LifeList!$E$2:$G$2036,2)</f>
        <v>Cacatoès rosalbin</v>
      </c>
      <c r="F1148" s="3" t="str">
        <f>VLOOKUP(B1148,[1]LifeList!$E$2:$G$2036,3)</f>
        <v>Eolophus roseicapilla</v>
      </c>
      <c r="G1148" s="3" t="str">
        <f>VLOOKUP(B1148,[1]LifeList!$E$2:$I$2036,4)</f>
        <v>Psittaciformes</v>
      </c>
      <c r="H1148" s="3" t="str">
        <f>VLOOKUP(B1148,[1]LifeList!$E$2:$I$2036,5)</f>
        <v>Cacatuidae (Cockatoos)</v>
      </c>
    </row>
    <row r="1149" spans="1:8" x14ac:dyDescent="0.15">
      <c r="A1149" s="3" t="s">
        <v>1098</v>
      </c>
      <c r="B1149" s="3" t="s">
        <v>4361</v>
      </c>
      <c r="C1149" s="3">
        <v>12176</v>
      </c>
      <c r="D1149" s="3" t="str">
        <f>VLOOKUP(B1149,[1]LifeList!$E$2:$G$2036,1)</f>
        <v>Galah</v>
      </c>
      <c r="E1149" s="3" t="str">
        <f>VLOOKUP(B1149,[1]LifeList!$E$2:$G$2036,2)</f>
        <v>Cacatoès rosalbin</v>
      </c>
      <c r="F1149" s="3" t="str">
        <f>VLOOKUP(B1149,[1]LifeList!$E$2:$G$2036,3)</f>
        <v>Eolophus roseicapilla</v>
      </c>
      <c r="G1149" s="3" t="str">
        <f>VLOOKUP(B1149,[1]LifeList!$E$2:$I$2036,4)</f>
        <v>Psittaciformes</v>
      </c>
      <c r="H1149" s="3" t="str">
        <f>VLOOKUP(B1149,[1]LifeList!$E$2:$I$2036,5)</f>
        <v>Cacatuidae (Cockatoos)</v>
      </c>
    </row>
    <row r="1150" spans="1:8" x14ac:dyDescent="0.15">
      <c r="A1150" s="3" t="s">
        <v>1099</v>
      </c>
      <c r="B1150" s="3" t="s">
        <v>4361</v>
      </c>
      <c r="C1150" s="3">
        <v>12176</v>
      </c>
      <c r="D1150" s="3" t="str">
        <f>VLOOKUP(B1150,[1]LifeList!$E$2:$G$2036,1)</f>
        <v>Galah</v>
      </c>
      <c r="E1150" s="3" t="str">
        <f>VLOOKUP(B1150,[1]LifeList!$E$2:$G$2036,2)</f>
        <v>Cacatoès rosalbin</v>
      </c>
      <c r="F1150" s="3" t="str">
        <f>VLOOKUP(B1150,[1]LifeList!$E$2:$G$2036,3)</f>
        <v>Eolophus roseicapilla</v>
      </c>
      <c r="G1150" s="3" t="str">
        <f>VLOOKUP(B1150,[1]LifeList!$E$2:$I$2036,4)</f>
        <v>Psittaciformes</v>
      </c>
      <c r="H1150" s="3" t="str">
        <f>VLOOKUP(B1150,[1]LifeList!$E$2:$I$2036,5)</f>
        <v>Cacatuidae (Cockatoos)</v>
      </c>
    </row>
    <row r="1151" spans="1:8" x14ac:dyDescent="0.15">
      <c r="A1151" s="3" t="s">
        <v>1100</v>
      </c>
      <c r="B1151" s="3" t="s">
        <v>4362</v>
      </c>
      <c r="C1151" s="3">
        <v>2397</v>
      </c>
      <c r="D1151" s="3" t="str">
        <f>VLOOKUP(B1151,[1]LifeList!$E$2:$G$2036,1)</f>
        <v>Galapagos Dove</v>
      </c>
      <c r="E1151" s="3" t="str">
        <f>VLOOKUP(B1151,[1]LifeList!$E$2:$G$2036,2)</f>
        <v>Tourterelle des Galapagos</v>
      </c>
      <c r="F1151" s="3" t="str">
        <f>VLOOKUP(B1151,[1]LifeList!$E$2:$G$2036,3)</f>
        <v>Zenaida galapagoensis</v>
      </c>
      <c r="G1151" s="3" t="str">
        <f>VLOOKUP(B1151,[1]LifeList!$E$2:$I$2036,4)</f>
        <v>Columbiformes</v>
      </c>
      <c r="H1151" s="3" t="str">
        <f>VLOOKUP(B1151,[1]LifeList!$E$2:$I$2036,5)</f>
        <v>Columbidae (Pigeons and Doves)</v>
      </c>
    </row>
    <row r="1152" spans="1:8" x14ac:dyDescent="0.15">
      <c r="A1152" s="3" t="s">
        <v>1101</v>
      </c>
      <c r="B1152" s="3" t="s">
        <v>4363</v>
      </c>
      <c r="C1152" s="3">
        <v>8505</v>
      </c>
      <c r="D1152" s="3" t="str">
        <f>VLOOKUP(B1152,[1]LifeList!$E$2:$G$2036,1)</f>
        <v>Galapagos Hawk</v>
      </c>
      <c r="E1152" s="3" t="str">
        <f>VLOOKUP(B1152,[1]LifeList!$E$2:$G$2036,2)</f>
        <v>Buse des Galapagos</v>
      </c>
      <c r="F1152" s="3" t="str">
        <f>VLOOKUP(B1152,[1]LifeList!$E$2:$G$2036,3)</f>
        <v>Buteo galapagoensis</v>
      </c>
      <c r="G1152" s="3" t="str">
        <f>VLOOKUP(B1152,[1]LifeList!$E$2:$I$2036,4)</f>
        <v>Accipitriformes</v>
      </c>
      <c r="H1152" s="3" t="str">
        <f>VLOOKUP(B1152,[1]LifeList!$E$2:$I$2036,5)</f>
        <v>Accipitridae (Hawks, Eagles, and Kites)</v>
      </c>
    </row>
    <row r="1153" spans="1:8" x14ac:dyDescent="0.15">
      <c r="A1153" s="3" t="s">
        <v>1103</v>
      </c>
      <c r="B1153" s="3" t="s">
        <v>4364</v>
      </c>
      <c r="C1153" s="3">
        <v>28085</v>
      </c>
      <c r="D1153" s="3" t="str">
        <f>VLOOKUP(B1153,[1]LifeList!$E$2:$G$2036,1)</f>
        <v>Galapagos Mockingbird</v>
      </c>
      <c r="E1153" s="3" t="str">
        <f>VLOOKUP(B1153,[1]LifeList!$E$2:$G$2036,2)</f>
        <v>Moqueur des Galapagos</v>
      </c>
      <c r="F1153" s="3" t="str">
        <f>VLOOKUP(B1153,[1]LifeList!$E$2:$G$2036,3)</f>
        <v>Mimus parvulus</v>
      </c>
      <c r="G1153" s="3" t="str">
        <f>VLOOKUP(B1153,[1]LifeList!$E$2:$I$2036,4)</f>
        <v>Passeriformes</v>
      </c>
      <c r="H1153" s="3" t="str">
        <f>VLOOKUP(B1153,[1]LifeList!$E$2:$I$2036,5)</f>
        <v>Mimidae (Mockingbirds and Thrashers)</v>
      </c>
    </row>
    <row r="1154" spans="1:8" x14ac:dyDescent="0.15">
      <c r="A1154" s="3" t="s">
        <v>1102</v>
      </c>
      <c r="B1154" s="3" t="s">
        <v>4365</v>
      </c>
      <c r="C1154" s="3">
        <v>6958</v>
      </c>
      <c r="D1154" s="3" t="str">
        <f>VLOOKUP(B1154,[1]LifeList!$E$2:$G$2036,1)</f>
        <v>Galapagos Penguin</v>
      </c>
      <c r="E1154" s="3" t="str">
        <f>VLOOKUP(B1154,[1]LifeList!$E$2:$G$2036,2)</f>
        <v>Manchot des Galapagos</v>
      </c>
      <c r="F1154" s="3" t="str">
        <f>VLOOKUP(B1154,[1]LifeList!$E$2:$G$2036,3)</f>
        <v>Spheniscus mendiculus</v>
      </c>
      <c r="G1154" s="3" t="str">
        <f>VLOOKUP(B1154,[1]LifeList!$E$2:$I$2036,4)</f>
        <v>Sphenisciformes</v>
      </c>
      <c r="H1154" s="3" t="str">
        <f>VLOOKUP(B1154,[1]LifeList!$E$2:$I$2036,5)</f>
        <v>Spheniscidae (Penguins)</v>
      </c>
    </row>
    <row r="1155" spans="1:8" x14ac:dyDescent="0.15">
      <c r="A1155" s="3" t="s">
        <v>1104</v>
      </c>
      <c r="B1155" s="3" t="s">
        <v>4366</v>
      </c>
      <c r="C1155" s="3">
        <v>12175</v>
      </c>
      <c r="D1155" s="3" t="str">
        <f>VLOOKUP(B1155,[1]LifeList!$E$2:$G$2036,1)</f>
        <v>Gang-gang Cockatoo</v>
      </c>
      <c r="E1155" s="3" t="str">
        <f>VLOOKUP(B1155,[1]LifeList!$E$2:$G$2036,2)</f>
        <v>Cacatoès à tête rouge</v>
      </c>
      <c r="F1155" s="3" t="str">
        <f>VLOOKUP(B1155,[1]LifeList!$E$2:$G$2036,3)</f>
        <v>Callocephalon fimbriatum</v>
      </c>
      <c r="G1155" s="3" t="str">
        <f>VLOOKUP(B1155,[1]LifeList!$E$2:$I$2036,4)</f>
        <v>Psittaciformes</v>
      </c>
      <c r="H1155" s="3" t="str">
        <f>VLOOKUP(B1155,[1]LifeList!$E$2:$I$2036,5)</f>
        <v>Cacatuidae (Cockatoos)</v>
      </c>
    </row>
    <row r="1156" spans="1:8" x14ac:dyDescent="0.15">
      <c r="A1156" s="3" t="s">
        <v>1105</v>
      </c>
      <c r="B1156" s="3" t="s">
        <v>4366</v>
      </c>
      <c r="C1156" s="3">
        <v>12175</v>
      </c>
      <c r="D1156" s="3" t="str">
        <f>VLOOKUP(B1156,[1]LifeList!$E$2:$G$2036,1)</f>
        <v>Gang-gang Cockatoo</v>
      </c>
      <c r="E1156" s="3" t="str">
        <f>VLOOKUP(B1156,[1]LifeList!$E$2:$G$2036,2)</f>
        <v>Cacatoès à tête rouge</v>
      </c>
      <c r="F1156" s="3" t="str">
        <f>VLOOKUP(B1156,[1]LifeList!$E$2:$G$2036,3)</f>
        <v>Callocephalon fimbriatum</v>
      </c>
      <c r="G1156" s="3" t="str">
        <f>VLOOKUP(B1156,[1]LifeList!$E$2:$I$2036,4)</f>
        <v>Psittaciformes</v>
      </c>
      <c r="H1156" s="3" t="str">
        <f>VLOOKUP(B1156,[1]LifeList!$E$2:$I$2036,5)</f>
        <v>Cacatuidae (Cockatoos)</v>
      </c>
    </row>
    <row r="1157" spans="1:8" x14ac:dyDescent="0.15">
      <c r="A1157" s="3" t="s">
        <v>1106</v>
      </c>
      <c r="B1157" s="3" t="s">
        <v>3755</v>
      </c>
      <c r="C1157" s="3">
        <v>9543</v>
      </c>
      <c r="D1157" s="3" t="str">
        <f>VLOOKUP(B1157,[1]LifeList!$E$2:$G$2036,1)</f>
        <v>Gartered Violaceous Trogon</v>
      </c>
      <c r="E1157" s="3" t="str">
        <f>VLOOKUP(B1157,[1]LifeList!$E$2:$G$2036,2)</f>
        <v>Trogon pattu</v>
      </c>
      <c r="F1157" s="3" t="str">
        <f>VLOOKUP(B1157,[1]LifeList!$E$2:$G$2036,3)</f>
        <v>Trogon caligatus</v>
      </c>
      <c r="G1157" s="3" t="str">
        <f>VLOOKUP(B1157,[1]LifeList!$E$2:$I$2036,4)</f>
        <v>Trogoniformes</v>
      </c>
      <c r="H1157" s="3" t="str">
        <f>VLOOKUP(B1157,[1]LifeList!$E$2:$I$2036,5)</f>
        <v>Trogonidae (Trogons)</v>
      </c>
    </row>
    <row r="1158" spans="1:8" x14ac:dyDescent="0.15">
      <c r="A1158" s="3" t="s">
        <v>1107</v>
      </c>
      <c r="B1158" s="3" t="s">
        <v>3755</v>
      </c>
      <c r="C1158" s="3">
        <v>9543</v>
      </c>
      <c r="D1158" s="3" t="str">
        <f>VLOOKUP(B1158,[1]LifeList!$E$2:$G$2036,1)</f>
        <v>Gartered Violaceous Trogon</v>
      </c>
      <c r="E1158" s="3" t="str">
        <f>VLOOKUP(B1158,[1]LifeList!$E$2:$G$2036,2)</f>
        <v>Trogon pattu</v>
      </c>
      <c r="F1158" s="3" t="str">
        <f>VLOOKUP(B1158,[1]LifeList!$E$2:$G$2036,3)</f>
        <v>Trogon caligatus</v>
      </c>
      <c r="G1158" s="3" t="str">
        <f>VLOOKUP(B1158,[1]LifeList!$E$2:$I$2036,4)</f>
        <v>Trogoniformes</v>
      </c>
      <c r="H1158" s="3" t="str">
        <f>VLOOKUP(B1158,[1]LifeList!$E$2:$I$2036,5)</f>
        <v>Trogonidae (Trogons)</v>
      </c>
    </row>
    <row r="1159" spans="1:8" x14ac:dyDescent="0.15">
      <c r="A1159" s="3" t="s">
        <v>1108</v>
      </c>
      <c r="B1159" s="3" t="s">
        <v>3755</v>
      </c>
      <c r="C1159" s="3">
        <v>9543</v>
      </c>
      <c r="D1159" s="3" t="str">
        <f>VLOOKUP(B1159,[1]LifeList!$E$2:$G$2036,1)</f>
        <v>Gartered Violaceous Trogon</v>
      </c>
      <c r="E1159" s="3" t="str">
        <f>VLOOKUP(B1159,[1]LifeList!$E$2:$G$2036,2)</f>
        <v>Trogon pattu</v>
      </c>
      <c r="F1159" s="3" t="str">
        <f>VLOOKUP(B1159,[1]LifeList!$E$2:$G$2036,3)</f>
        <v>Trogon caligatus</v>
      </c>
      <c r="G1159" s="3" t="str">
        <f>VLOOKUP(B1159,[1]LifeList!$E$2:$I$2036,4)</f>
        <v>Trogoniformes</v>
      </c>
      <c r="H1159" s="3" t="str">
        <f>VLOOKUP(B1159,[1]LifeList!$E$2:$I$2036,5)</f>
        <v>Trogonidae (Trogons)</v>
      </c>
    </row>
    <row r="1160" spans="1:8" x14ac:dyDescent="0.15">
      <c r="A1160" s="3" t="s">
        <v>1109</v>
      </c>
      <c r="B1160" s="3" t="s">
        <v>4367</v>
      </c>
      <c r="C1160" s="3">
        <v>3072</v>
      </c>
      <c r="D1160" s="3" t="str">
        <f>VLOOKUP(B1160,[1]LifeList!$E$2:$G$2036,1)</f>
        <v>Giant Coua</v>
      </c>
      <c r="E1160" s="3" t="str">
        <f>VLOOKUP(B1160,[1]LifeList!$E$2:$G$2036,2)</f>
        <v>Coua géant</v>
      </c>
      <c r="F1160" s="3" t="str">
        <f>VLOOKUP(B1160,[1]LifeList!$E$2:$G$2036,3)</f>
        <v>Coua gigas</v>
      </c>
      <c r="G1160" s="3" t="str">
        <f>VLOOKUP(B1160,[1]LifeList!$E$2:$I$2036,4)</f>
        <v>Cuculiformes</v>
      </c>
      <c r="H1160" s="3" t="str">
        <f>VLOOKUP(B1160,[1]LifeList!$E$2:$I$2036,5)</f>
        <v>Cuculidae (Cuckoos)</v>
      </c>
    </row>
    <row r="1161" spans="1:8" x14ac:dyDescent="0.15">
      <c r="A1161" s="3" t="s">
        <v>1110</v>
      </c>
      <c r="B1161" s="3" t="s">
        <v>4367</v>
      </c>
      <c r="C1161" s="3">
        <v>3072</v>
      </c>
      <c r="D1161" s="3" t="str">
        <f>VLOOKUP(B1161,[1]LifeList!$E$2:$G$2036,1)</f>
        <v>Giant Coua</v>
      </c>
      <c r="E1161" s="3" t="str">
        <f>VLOOKUP(B1161,[1]LifeList!$E$2:$G$2036,2)</f>
        <v>Coua géant</v>
      </c>
      <c r="F1161" s="3" t="str">
        <f>VLOOKUP(B1161,[1]LifeList!$E$2:$G$2036,3)</f>
        <v>Coua gigas</v>
      </c>
      <c r="G1161" s="3" t="str">
        <f>VLOOKUP(B1161,[1]LifeList!$E$2:$I$2036,4)</f>
        <v>Cuculiformes</v>
      </c>
      <c r="H1161" s="3" t="str">
        <f>VLOOKUP(B1161,[1]LifeList!$E$2:$I$2036,5)</f>
        <v>Cuculidae (Cuckoos)</v>
      </c>
    </row>
    <row r="1162" spans="1:8" x14ac:dyDescent="0.15">
      <c r="A1162" s="3" t="s">
        <v>1111</v>
      </c>
      <c r="B1162" s="3" t="s">
        <v>4368</v>
      </c>
      <c r="C1162" s="3">
        <v>33840</v>
      </c>
      <c r="D1162" s="3" t="str">
        <f>VLOOKUP(B1162,[1]LifeList!$E$2:$G$2036,1)</f>
        <v>Giant Cowbird</v>
      </c>
      <c r="E1162" s="3" t="str">
        <f>VLOOKUP(B1162,[1]LifeList!$E$2:$G$2036,2)</f>
        <v>Vacher géant</v>
      </c>
      <c r="F1162" s="3" t="str">
        <f>VLOOKUP(B1162,[1]LifeList!$E$2:$G$2036,3)</f>
        <v>Molothrus oryzivorus</v>
      </c>
      <c r="G1162" s="3" t="str">
        <f>VLOOKUP(B1162,[1]LifeList!$E$2:$I$2036,4)</f>
        <v>Passeriformes</v>
      </c>
      <c r="H1162" s="3" t="str">
        <f>VLOOKUP(B1162,[1]LifeList!$E$2:$I$2036,5)</f>
        <v>Icteridae (Troupials and Allies)</v>
      </c>
    </row>
    <row r="1163" spans="1:8" x14ac:dyDescent="0.15">
      <c r="A1163" s="3" t="s">
        <v>1113</v>
      </c>
      <c r="B1163" s="3" t="s">
        <v>4369</v>
      </c>
      <c r="C1163" s="3">
        <v>4718</v>
      </c>
      <c r="D1163" s="3" t="str">
        <f>VLOOKUP(B1163,[1]LifeList!$E$2:$G$2036,1)</f>
        <v>Giant Hummingbird</v>
      </c>
      <c r="E1163" s="3" t="str">
        <f>VLOOKUP(B1163,[1]LifeList!$E$2:$G$2036,2)</f>
        <v>Colibri géant</v>
      </c>
      <c r="F1163" s="3" t="str">
        <f>VLOOKUP(B1163,[1]LifeList!$E$2:$G$2036,3)</f>
        <v>Patagona gigas</v>
      </c>
      <c r="G1163" s="3" t="str">
        <f>VLOOKUP(B1163,[1]LifeList!$E$2:$I$2036,4)</f>
        <v>Apodiformes</v>
      </c>
      <c r="H1163" s="3" t="str">
        <f>VLOOKUP(B1163,[1]LifeList!$E$2:$I$2036,5)</f>
        <v>Trochilidae (Hummingbirds)</v>
      </c>
    </row>
    <row r="1164" spans="1:8" x14ac:dyDescent="0.15">
      <c r="A1164" s="3" t="s">
        <v>1112</v>
      </c>
      <c r="B1164" s="3" t="s">
        <v>4370</v>
      </c>
      <c r="C1164" s="3">
        <v>10293</v>
      </c>
      <c r="D1164" s="3" t="str">
        <f>VLOOKUP(B1164,[1]LifeList!$E$2:$G$2036,1)</f>
        <v>Giant Kingfisher</v>
      </c>
      <c r="E1164" s="3" t="str">
        <f>VLOOKUP(B1164,[1]LifeList!$E$2:$G$2036,2)</f>
        <v>Martin-pêcheur géant</v>
      </c>
      <c r="F1164" s="3" t="str">
        <f>VLOOKUP(B1164,[1]LifeList!$E$2:$G$2036,3)</f>
        <v>Megaceryle maxima</v>
      </c>
      <c r="G1164" s="3" t="str">
        <f>VLOOKUP(B1164,[1]LifeList!$E$2:$I$2036,4)</f>
        <v>Coraciiformes</v>
      </c>
      <c r="H1164" s="3" t="str">
        <f>VLOOKUP(B1164,[1]LifeList!$E$2:$I$2036,5)</f>
        <v>Alcedinidae (Kingfishers)</v>
      </c>
    </row>
    <row r="1165" spans="1:8" x14ac:dyDescent="0.15">
      <c r="A1165" s="3" t="s">
        <v>1115</v>
      </c>
      <c r="B1165" s="3" t="s">
        <v>4371</v>
      </c>
      <c r="C1165" s="3">
        <v>34953</v>
      </c>
      <c r="D1165" s="3" t="str">
        <f>VLOOKUP(B1165,[1]LifeList!$E$2:$G$2036,1)</f>
        <v>Glaucous Tanager</v>
      </c>
      <c r="E1165" s="3" t="str">
        <f>VLOOKUP(B1165,[1]LifeList!$E$2:$G$2036,2)</f>
        <v>Tangara glauque</v>
      </c>
      <c r="F1165" s="3" t="str">
        <f>VLOOKUP(B1165,[1]LifeList!$E$2:$G$2036,3)</f>
        <v>Thraupis glaucocolpa</v>
      </c>
      <c r="G1165" s="3" t="str">
        <f>VLOOKUP(B1165,[1]LifeList!$E$2:$I$2036,4)</f>
        <v>Passeriformes</v>
      </c>
      <c r="H1165" s="3" t="str">
        <f>VLOOKUP(B1165,[1]LifeList!$E$2:$I$2036,5)</f>
        <v>Thraupidae (Tanagers and Allies)</v>
      </c>
    </row>
    <row r="1166" spans="1:8" x14ac:dyDescent="0.15">
      <c r="A1166" s="3" t="s">
        <v>1114</v>
      </c>
      <c r="B1166" s="3" t="s">
        <v>4372</v>
      </c>
      <c r="C1166" s="3">
        <v>6596</v>
      </c>
      <c r="D1166" s="3" t="str">
        <f>VLOOKUP(B1166,[1]LifeList!$E$2:$G$2036,1)</f>
        <v>Glaucous-winged Gull</v>
      </c>
      <c r="E1166" s="3" t="str">
        <f>VLOOKUP(B1166,[1]LifeList!$E$2:$G$2036,2)</f>
        <v>Goéland à ailes grises</v>
      </c>
      <c r="F1166" s="3" t="str">
        <f>VLOOKUP(B1166,[1]LifeList!$E$2:$G$2036,3)</f>
        <v>Larus glaucescens</v>
      </c>
      <c r="G1166" s="3" t="str">
        <f>VLOOKUP(B1166,[1]LifeList!$E$2:$I$2036,4)</f>
        <v>Charadriiformes</v>
      </c>
      <c r="H1166" s="3" t="str">
        <f>VLOOKUP(B1166,[1]LifeList!$E$2:$I$2036,5)</f>
        <v>Laridae (Gulls, Terns, and Skimmers)</v>
      </c>
    </row>
    <row r="1167" spans="1:8" x14ac:dyDescent="0.15">
      <c r="A1167" s="3" t="s">
        <v>1116</v>
      </c>
      <c r="B1167" s="3" t="s">
        <v>4373</v>
      </c>
      <c r="C1167" s="3">
        <v>34926</v>
      </c>
      <c r="D1167" s="3" t="str">
        <f>VLOOKUP(B1167,[1]LifeList!$E$2:$G$2036,1)</f>
        <v>Glistening-green Tanager</v>
      </c>
      <c r="E1167" s="3" t="str">
        <f>VLOOKUP(B1167,[1]LifeList!$E$2:$G$2036,2)</f>
        <v>Tangara étincelant</v>
      </c>
      <c r="F1167" s="3" t="str">
        <f>VLOOKUP(B1167,[1]LifeList!$E$2:$G$2036,3)</f>
        <v>Chlorochrysa phoenicotis</v>
      </c>
      <c r="G1167" s="3" t="str">
        <f>VLOOKUP(B1167,[1]LifeList!$E$2:$I$2036,4)</f>
        <v>Passeriformes</v>
      </c>
      <c r="H1167" s="3" t="str">
        <f>VLOOKUP(B1167,[1]LifeList!$E$2:$I$2036,5)</f>
        <v>Thraupidae (Tanagers and Allies)</v>
      </c>
    </row>
    <row r="1168" spans="1:8" x14ac:dyDescent="0.15">
      <c r="A1168" s="3" t="s">
        <v>1117</v>
      </c>
      <c r="B1168" s="3" t="s">
        <v>4374</v>
      </c>
      <c r="C1168" s="3">
        <v>7467</v>
      </c>
      <c r="D1168" s="3" t="str">
        <f>VLOOKUP(B1168,[1]LifeList!$E$2:$G$2036,1)</f>
        <v>Glossy Ibis</v>
      </c>
      <c r="E1168" s="3" t="str">
        <f>VLOOKUP(B1168,[1]LifeList!$E$2:$G$2036,2)</f>
        <v>Ibis falcinelle</v>
      </c>
      <c r="F1168" s="3" t="str">
        <f>VLOOKUP(B1168,[1]LifeList!$E$2:$G$2036,3)</f>
        <v>Plegadis falcinellus</v>
      </c>
      <c r="G1168" s="3" t="str">
        <f>VLOOKUP(B1168,[1]LifeList!$E$2:$I$2036,4)</f>
        <v>Pelecaniformes</v>
      </c>
      <c r="H1168" s="3" t="str">
        <f>VLOOKUP(B1168,[1]LifeList!$E$2:$I$2036,5)</f>
        <v>Threskiornithidae (Ibises and Spoonbills)</v>
      </c>
    </row>
    <row r="1169" spans="1:8" x14ac:dyDescent="0.15">
      <c r="A1169" s="3" t="s">
        <v>1118</v>
      </c>
      <c r="B1169" s="3" t="s">
        <v>4374</v>
      </c>
      <c r="C1169" s="3">
        <v>7467</v>
      </c>
      <c r="D1169" s="3" t="str">
        <f>VLOOKUP(B1169,[1]LifeList!$E$2:$G$2036,1)</f>
        <v>Glossy Ibis</v>
      </c>
      <c r="E1169" s="3" t="str">
        <f>VLOOKUP(B1169,[1]LifeList!$E$2:$G$2036,2)</f>
        <v>Ibis falcinelle</v>
      </c>
      <c r="F1169" s="3" t="str">
        <f>VLOOKUP(B1169,[1]LifeList!$E$2:$G$2036,3)</f>
        <v>Plegadis falcinellus</v>
      </c>
      <c r="G1169" s="3" t="str">
        <f>VLOOKUP(B1169,[1]LifeList!$E$2:$I$2036,4)</f>
        <v>Pelecaniformes</v>
      </c>
      <c r="H1169" s="3" t="str">
        <f>VLOOKUP(B1169,[1]LifeList!$E$2:$I$2036,5)</f>
        <v>Threskiornithidae (Ibises and Spoonbills)</v>
      </c>
    </row>
    <row r="1170" spans="1:8" x14ac:dyDescent="0.15">
      <c r="A1170" s="3" t="s">
        <v>1119</v>
      </c>
      <c r="B1170" s="3" t="s">
        <v>4374</v>
      </c>
      <c r="C1170" s="3">
        <v>7467</v>
      </c>
      <c r="D1170" s="3" t="str">
        <f>VLOOKUP(B1170,[1]LifeList!$E$2:$G$2036,1)</f>
        <v>Glossy Ibis</v>
      </c>
      <c r="E1170" s="3" t="str">
        <f>VLOOKUP(B1170,[1]LifeList!$E$2:$G$2036,2)</f>
        <v>Ibis falcinelle</v>
      </c>
      <c r="F1170" s="3" t="str">
        <f>VLOOKUP(B1170,[1]LifeList!$E$2:$G$2036,3)</f>
        <v>Plegadis falcinellus</v>
      </c>
      <c r="G1170" s="3" t="str">
        <f>VLOOKUP(B1170,[1]LifeList!$E$2:$I$2036,4)</f>
        <v>Pelecaniformes</v>
      </c>
      <c r="H1170" s="3" t="str">
        <f>VLOOKUP(B1170,[1]LifeList!$E$2:$I$2036,5)</f>
        <v>Threskiornithidae (Ibises and Spoonbills)</v>
      </c>
    </row>
    <row r="1171" spans="1:8" x14ac:dyDescent="0.15">
      <c r="A1171" s="3" t="s">
        <v>1120</v>
      </c>
      <c r="B1171" s="3" t="s">
        <v>4374</v>
      </c>
      <c r="C1171" s="3">
        <v>7467</v>
      </c>
      <c r="D1171" s="3" t="str">
        <f>VLOOKUP(B1171,[1]LifeList!$E$2:$G$2036,1)</f>
        <v>Glossy Ibis</v>
      </c>
      <c r="E1171" s="3" t="str">
        <f>VLOOKUP(B1171,[1]LifeList!$E$2:$G$2036,2)</f>
        <v>Ibis falcinelle</v>
      </c>
      <c r="F1171" s="3" t="str">
        <f>VLOOKUP(B1171,[1]LifeList!$E$2:$G$2036,3)</f>
        <v>Plegadis falcinellus</v>
      </c>
      <c r="G1171" s="3" t="str">
        <f>VLOOKUP(B1171,[1]LifeList!$E$2:$I$2036,4)</f>
        <v>Pelecaniformes</v>
      </c>
      <c r="H1171" s="3" t="str">
        <f>VLOOKUP(B1171,[1]LifeList!$E$2:$I$2036,5)</f>
        <v>Threskiornithidae (Ibises and Spoonbills)</v>
      </c>
    </row>
    <row r="1172" spans="1:8" x14ac:dyDescent="0.15">
      <c r="A1172" s="3" t="s">
        <v>1121</v>
      </c>
      <c r="B1172" s="3" t="s">
        <v>4374</v>
      </c>
      <c r="C1172" s="3">
        <v>7467</v>
      </c>
      <c r="D1172" s="3" t="str">
        <f>VLOOKUP(B1172,[1]LifeList!$E$2:$G$2036,1)</f>
        <v>Glossy Ibis</v>
      </c>
      <c r="E1172" s="3" t="str">
        <f>VLOOKUP(B1172,[1]LifeList!$E$2:$G$2036,2)</f>
        <v>Ibis falcinelle</v>
      </c>
      <c r="F1172" s="3" t="str">
        <f>VLOOKUP(B1172,[1]LifeList!$E$2:$G$2036,3)</f>
        <v>Plegadis falcinellus</v>
      </c>
      <c r="G1172" s="3" t="str">
        <f>VLOOKUP(B1172,[1]LifeList!$E$2:$I$2036,4)</f>
        <v>Pelecaniformes</v>
      </c>
      <c r="H1172" s="3" t="str">
        <f>VLOOKUP(B1172,[1]LifeList!$E$2:$I$2036,5)</f>
        <v>Threskiornithidae (Ibises and Spoonbills)</v>
      </c>
    </row>
    <row r="1173" spans="1:8" x14ac:dyDescent="0.15">
      <c r="A1173" s="3" t="s">
        <v>1122</v>
      </c>
      <c r="B1173" s="3" t="s">
        <v>4374</v>
      </c>
      <c r="C1173" s="3">
        <v>7467</v>
      </c>
      <c r="D1173" s="3" t="str">
        <f>VLOOKUP(B1173,[1]LifeList!$E$2:$G$2036,1)</f>
        <v>Glossy Ibis</v>
      </c>
      <c r="E1173" s="3" t="str">
        <f>VLOOKUP(B1173,[1]LifeList!$E$2:$G$2036,2)</f>
        <v>Ibis falcinelle</v>
      </c>
      <c r="F1173" s="3" t="str">
        <f>VLOOKUP(B1173,[1]LifeList!$E$2:$G$2036,3)</f>
        <v>Plegadis falcinellus</v>
      </c>
      <c r="G1173" s="3" t="str">
        <f>VLOOKUP(B1173,[1]LifeList!$E$2:$I$2036,4)</f>
        <v>Pelecaniformes</v>
      </c>
      <c r="H1173" s="3" t="str">
        <f>VLOOKUP(B1173,[1]LifeList!$E$2:$I$2036,5)</f>
        <v>Threskiornithidae (Ibises and Spoonbills)</v>
      </c>
    </row>
    <row r="1174" spans="1:8" x14ac:dyDescent="0.15">
      <c r="A1174" s="3" t="s">
        <v>1123</v>
      </c>
      <c r="B1174" s="3" t="s">
        <v>4374</v>
      </c>
      <c r="C1174" s="3">
        <v>7467</v>
      </c>
      <c r="D1174" s="3" t="str">
        <f>VLOOKUP(B1174,[1]LifeList!$E$2:$G$2036,1)</f>
        <v>Glossy Ibis</v>
      </c>
      <c r="E1174" s="3" t="str">
        <f>VLOOKUP(B1174,[1]LifeList!$E$2:$G$2036,2)</f>
        <v>Ibis falcinelle</v>
      </c>
      <c r="F1174" s="3" t="str">
        <f>VLOOKUP(B1174,[1]LifeList!$E$2:$G$2036,3)</f>
        <v>Plegadis falcinellus</v>
      </c>
      <c r="G1174" s="3" t="str">
        <f>VLOOKUP(B1174,[1]LifeList!$E$2:$I$2036,4)</f>
        <v>Pelecaniformes</v>
      </c>
      <c r="H1174" s="3" t="str">
        <f>VLOOKUP(B1174,[1]LifeList!$E$2:$I$2036,5)</f>
        <v>Threskiornithidae (Ibises and Spoonbills)</v>
      </c>
    </row>
    <row r="1175" spans="1:8" x14ac:dyDescent="0.15">
      <c r="A1175" s="3" t="s">
        <v>1124</v>
      </c>
      <c r="B1175" s="3" t="s">
        <v>4374</v>
      </c>
      <c r="C1175" s="3">
        <v>7467</v>
      </c>
      <c r="D1175" s="3" t="str">
        <f>VLOOKUP(B1175,[1]LifeList!$E$2:$G$2036,1)</f>
        <v>Glossy Ibis</v>
      </c>
      <c r="E1175" s="3" t="str">
        <f>VLOOKUP(B1175,[1]LifeList!$E$2:$G$2036,2)</f>
        <v>Ibis falcinelle</v>
      </c>
      <c r="F1175" s="3" t="str">
        <f>VLOOKUP(B1175,[1]LifeList!$E$2:$G$2036,3)</f>
        <v>Plegadis falcinellus</v>
      </c>
      <c r="G1175" s="3" t="str">
        <f>VLOOKUP(B1175,[1]LifeList!$E$2:$I$2036,4)</f>
        <v>Pelecaniformes</v>
      </c>
      <c r="H1175" s="3" t="str">
        <f>VLOOKUP(B1175,[1]LifeList!$E$2:$I$2036,5)</f>
        <v>Threskiornithidae (Ibises and Spoonbills)</v>
      </c>
    </row>
    <row r="1176" spans="1:8" x14ac:dyDescent="0.15">
      <c r="A1176" s="3" t="s">
        <v>1125</v>
      </c>
      <c r="B1176" s="3" t="s">
        <v>4374</v>
      </c>
      <c r="C1176" s="3">
        <v>7467</v>
      </c>
      <c r="D1176" s="3" t="str">
        <f>VLOOKUP(B1176,[1]LifeList!$E$2:$G$2036,1)</f>
        <v>Glossy Ibis</v>
      </c>
      <c r="E1176" s="3" t="str">
        <f>VLOOKUP(B1176,[1]LifeList!$E$2:$G$2036,2)</f>
        <v>Ibis falcinelle</v>
      </c>
      <c r="F1176" s="3" t="str">
        <f>VLOOKUP(B1176,[1]LifeList!$E$2:$G$2036,3)</f>
        <v>Plegadis falcinellus</v>
      </c>
      <c r="G1176" s="3" t="str">
        <f>VLOOKUP(B1176,[1]LifeList!$E$2:$I$2036,4)</f>
        <v>Pelecaniformes</v>
      </c>
      <c r="H1176" s="3" t="str">
        <f>VLOOKUP(B1176,[1]LifeList!$E$2:$I$2036,5)</f>
        <v>Threskiornithidae (Ibises and Spoonbills)</v>
      </c>
    </row>
    <row r="1177" spans="1:8" x14ac:dyDescent="0.15">
      <c r="A1177" s="3" t="s">
        <v>1126</v>
      </c>
      <c r="B1177" s="3" t="s">
        <v>4374</v>
      </c>
      <c r="C1177" s="3">
        <v>7467</v>
      </c>
      <c r="D1177" s="3" t="str">
        <f>VLOOKUP(B1177,[1]LifeList!$E$2:$G$2036,1)</f>
        <v>Glossy Ibis</v>
      </c>
      <c r="E1177" s="3" t="str">
        <f>VLOOKUP(B1177,[1]LifeList!$E$2:$G$2036,2)</f>
        <v>Ibis falcinelle</v>
      </c>
      <c r="F1177" s="3" t="str">
        <f>VLOOKUP(B1177,[1]LifeList!$E$2:$G$2036,3)</f>
        <v>Plegadis falcinellus</v>
      </c>
      <c r="G1177" s="3" t="str">
        <f>VLOOKUP(B1177,[1]LifeList!$E$2:$I$2036,4)</f>
        <v>Pelecaniformes</v>
      </c>
      <c r="H1177" s="3" t="str">
        <f>VLOOKUP(B1177,[1]LifeList!$E$2:$I$2036,5)</f>
        <v>Threskiornithidae (Ibises and Spoonbills)</v>
      </c>
    </row>
    <row r="1178" spans="1:8" x14ac:dyDescent="0.15">
      <c r="A1178" s="3" t="s">
        <v>1127</v>
      </c>
      <c r="B1178" s="3" t="s">
        <v>4374</v>
      </c>
      <c r="C1178" s="3">
        <v>7467</v>
      </c>
      <c r="D1178" s="3" t="str">
        <f>VLOOKUP(B1178,[1]LifeList!$E$2:$G$2036,1)</f>
        <v>Glossy Ibis</v>
      </c>
      <c r="E1178" s="3" t="str">
        <f>VLOOKUP(B1178,[1]LifeList!$E$2:$G$2036,2)</f>
        <v>Ibis falcinelle</v>
      </c>
      <c r="F1178" s="3" t="str">
        <f>VLOOKUP(B1178,[1]LifeList!$E$2:$G$2036,3)</f>
        <v>Plegadis falcinellus</v>
      </c>
      <c r="G1178" s="3" t="str">
        <f>VLOOKUP(B1178,[1]LifeList!$E$2:$I$2036,4)</f>
        <v>Pelecaniformes</v>
      </c>
      <c r="H1178" s="3" t="str">
        <f>VLOOKUP(B1178,[1]LifeList!$E$2:$I$2036,5)</f>
        <v>Threskiornithidae (Ibises and Spoonbills)</v>
      </c>
    </row>
    <row r="1179" spans="1:8" x14ac:dyDescent="0.15">
      <c r="A1179" s="3" t="s">
        <v>1128</v>
      </c>
      <c r="B1179" s="3" t="s">
        <v>4375</v>
      </c>
      <c r="C1179" s="3">
        <v>4581</v>
      </c>
      <c r="D1179" s="3" t="str">
        <f>VLOOKUP(B1179,[1]LifeList!$E$2:$G$2036,1)</f>
        <v>Glowing Puffleg</v>
      </c>
      <c r="E1179" s="3" t="str">
        <f>VLOOKUP(B1179,[1]LifeList!$E$2:$G$2036,2)</f>
        <v>Érione pattue</v>
      </c>
      <c r="F1179" s="3" t="str">
        <f>VLOOKUP(B1179,[1]LifeList!$E$2:$G$2036,3)</f>
        <v>Eriocnemis vestita</v>
      </c>
      <c r="G1179" s="3" t="str">
        <f>VLOOKUP(B1179,[1]LifeList!$E$2:$I$2036,4)</f>
        <v>Apodiformes</v>
      </c>
      <c r="H1179" s="3" t="str">
        <f>VLOOKUP(B1179,[1]LifeList!$E$2:$I$2036,5)</f>
        <v>Trochilidae (Hummingbirds)</v>
      </c>
    </row>
    <row r="1180" spans="1:8" x14ac:dyDescent="0.15">
      <c r="A1180" s="3" t="s">
        <v>1167</v>
      </c>
      <c r="B1180" s="3" t="s">
        <v>4376</v>
      </c>
      <c r="C1180" s="3">
        <v>34546</v>
      </c>
      <c r="D1180" s="3" t="str">
        <f>VLOOKUP(B1180,[1]LifeList!$E$2:$G$2036,1)</f>
        <v>Golden Grosbeak</v>
      </c>
      <c r="E1180" s="3" t="str">
        <f>VLOOKUP(B1180,[1]LifeList!$E$2:$G$2036,2)</f>
        <v>Cardinal à tête jaune</v>
      </c>
      <c r="F1180" s="3" t="str">
        <f>VLOOKUP(B1180,[1]LifeList!$E$2:$G$2036,3)</f>
        <v>Pheucticus chrysogaster</v>
      </c>
      <c r="G1180" s="3" t="str">
        <f>VLOOKUP(B1180,[1]LifeList!$E$2:$I$2036,4)</f>
        <v>Passeriformes</v>
      </c>
      <c r="H1180" s="3" t="str">
        <f>VLOOKUP(B1180,[1]LifeList!$E$2:$I$2036,5)</f>
        <v>Cardinalidae (Cardinals and Allies)</v>
      </c>
    </row>
    <row r="1181" spans="1:8" x14ac:dyDescent="0.15">
      <c r="A1181" s="3" t="s">
        <v>1168</v>
      </c>
      <c r="B1181" s="3" t="s">
        <v>4376</v>
      </c>
      <c r="C1181" s="3">
        <v>34546</v>
      </c>
      <c r="D1181" s="3" t="str">
        <f>VLOOKUP(B1181,[1]LifeList!$E$2:$G$2036,1)</f>
        <v>Golden Grosbeak</v>
      </c>
      <c r="E1181" s="3" t="str">
        <f>VLOOKUP(B1181,[1]LifeList!$E$2:$G$2036,2)</f>
        <v>Cardinal à tête jaune</v>
      </c>
      <c r="F1181" s="3" t="str">
        <f>VLOOKUP(B1181,[1]LifeList!$E$2:$G$2036,3)</f>
        <v>Pheucticus chrysogaster</v>
      </c>
      <c r="G1181" s="3" t="str">
        <f>VLOOKUP(B1181,[1]LifeList!$E$2:$I$2036,4)</f>
        <v>Passeriformes</v>
      </c>
      <c r="H1181" s="3" t="str">
        <f>VLOOKUP(B1181,[1]LifeList!$E$2:$I$2036,5)</f>
        <v>Cardinalidae (Cardinals and Allies)</v>
      </c>
    </row>
    <row r="1182" spans="1:8" x14ac:dyDescent="0.15">
      <c r="A1182" s="3" t="s">
        <v>1170</v>
      </c>
      <c r="B1182" s="3" t="s">
        <v>4377</v>
      </c>
      <c r="C1182" s="3">
        <v>35115</v>
      </c>
      <c r="D1182" s="3" t="str">
        <f>VLOOKUP(B1182,[1]LifeList!$E$2:$G$2036,1)</f>
        <v>Golden Tanager</v>
      </c>
      <c r="E1182" s="3" t="str">
        <f>VLOOKUP(B1182,[1]LifeList!$E$2:$G$2036,2)</f>
        <v>Calliste doré</v>
      </c>
      <c r="F1182" s="3" t="str">
        <f>VLOOKUP(B1182,[1]LifeList!$E$2:$G$2036,3)</f>
        <v>Tangara arthus</v>
      </c>
      <c r="G1182" s="3" t="str">
        <f>VLOOKUP(B1182,[1]LifeList!$E$2:$I$2036,4)</f>
        <v>Passeriformes</v>
      </c>
      <c r="H1182" s="3" t="str">
        <f>VLOOKUP(B1182,[1]LifeList!$E$2:$I$2036,5)</f>
        <v>Thraupidae (Tanagers and Allies)</v>
      </c>
    </row>
    <row r="1183" spans="1:8" x14ac:dyDescent="0.15">
      <c r="A1183" s="3" t="s">
        <v>1169</v>
      </c>
      <c r="B1183" s="3" t="s">
        <v>4378</v>
      </c>
      <c r="C1183" s="3">
        <v>19476</v>
      </c>
      <c r="D1183" s="3" t="str">
        <f>VLOOKUP(B1183,[1]LifeList!$E$2:$G$2036,1)</f>
        <v>Golden Whistler</v>
      </c>
      <c r="E1183" s="3" t="str">
        <f>VLOOKUP(B1183,[1]LifeList!$E$2:$G$2036,2)</f>
        <v>Siffleur doré</v>
      </c>
      <c r="F1183" s="3" t="str">
        <f>VLOOKUP(B1183,[1]LifeList!$E$2:$G$2036,3)</f>
        <v>Pachycephala pectoralis</v>
      </c>
      <c r="G1183" s="3" t="str">
        <f>VLOOKUP(B1183,[1]LifeList!$E$2:$I$2036,4)</f>
        <v>Passeriformes</v>
      </c>
      <c r="H1183" s="3" t="str">
        <f>VLOOKUP(B1183,[1]LifeList!$E$2:$I$2036,5)</f>
        <v>Pachycephalidae (Whistlers and Allies)</v>
      </c>
    </row>
    <row r="1184" spans="1:8" x14ac:dyDescent="0.15">
      <c r="A1184" s="3" t="s">
        <v>1129</v>
      </c>
      <c r="B1184" s="3" t="s">
        <v>4379</v>
      </c>
      <c r="C1184" s="3">
        <v>17423</v>
      </c>
      <c r="D1184" s="3" t="str">
        <f>VLOOKUP(B1184,[1]LifeList!$E$2:$G$2036,1)</f>
        <v>Golden-bellied Flycatcher</v>
      </c>
      <c r="E1184" s="3" t="str">
        <f>VLOOKUP(B1184,[1]LifeList!$E$2:$G$2036,2)</f>
        <v>Tyran à ventre d'or</v>
      </c>
      <c r="F1184" s="3" t="str">
        <f>VLOOKUP(B1184,[1]LifeList!$E$2:$G$2036,3)</f>
        <v>Myiodynastes hemichrysus</v>
      </c>
      <c r="G1184" s="3" t="str">
        <f>VLOOKUP(B1184,[1]LifeList!$E$2:$I$2036,4)</f>
        <v>Passeriformes</v>
      </c>
      <c r="H1184" s="3" t="str">
        <f>VLOOKUP(B1184,[1]LifeList!$E$2:$I$2036,5)</f>
        <v>Tyrannidae (Tyrant Flycatchers)</v>
      </c>
    </row>
    <row r="1185" spans="1:8" x14ac:dyDescent="0.15">
      <c r="A1185" s="3" t="s">
        <v>1130</v>
      </c>
      <c r="B1185" s="3" t="s">
        <v>4379</v>
      </c>
      <c r="C1185" s="3">
        <v>17423</v>
      </c>
      <c r="D1185" s="3" t="str">
        <f>VLOOKUP(B1185,[1]LifeList!$E$2:$G$2036,1)</f>
        <v>Golden-bellied Flycatcher</v>
      </c>
      <c r="E1185" s="3" t="str">
        <f>VLOOKUP(B1185,[1]LifeList!$E$2:$G$2036,2)</f>
        <v>Tyran à ventre d'or</v>
      </c>
      <c r="F1185" s="3" t="str">
        <f>VLOOKUP(B1185,[1]LifeList!$E$2:$G$2036,3)</f>
        <v>Myiodynastes hemichrysus</v>
      </c>
      <c r="G1185" s="3" t="str">
        <f>VLOOKUP(B1185,[1]LifeList!$E$2:$I$2036,4)</f>
        <v>Passeriformes</v>
      </c>
      <c r="H1185" s="3" t="str">
        <f>VLOOKUP(B1185,[1]LifeList!$E$2:$I$2036,5)</f>
        <v>Tyrannidae (Tyrant Flycatchers)</v>
      </c>
    </row>
    <row r="1186" spans="1:8" x14ac:dyDescent="0.15">
      <c r="A1186" s="3" t="s">
        <v>1131</v>
      </c>
      <c r="B1186" s="3" t="s">
        <v>4379</v>
      </c>
      <c r="C1186" s="3">
        <v>17423</v>
      </c>
      <c r="D1186" s="3" t="str">
        <f>VLOOKUP(B1186,[1]LifeList!$E$2:$G$2036,1)</f>
        <v>Golden-bellied Flycatcher</v>
      </c>
      <c r="E1186" s="3" t="str">
        <f>VLOOKUP(B1186,[1]LifeList!$E$2:$G$2036,2)</f>
        <v>Tyran à ventre d'or</v>
      </c>
      <c r="F1186" s="3" t="str">
        <f>VLOOKUP(B1186,[1]LifeList!$E$2:$G$2036,3)</f>
        <v>Myiodynastes hemichrysus</v>
      </c>
      <c r="G1186" s="3" t="str">
        <f>VLOOKUP(B1186,[1]LifeList!$E$2:$I$2036,4)</f>
        <v>Passeriformes</v>
      </c>
      <c r="H1186" s="3" t="str">
        <f>VLOOKUP(B1186,[1]LifeList!$E$2:$I$2036,5)</f>
        <v>Tyrannidae (Tyrant Flycatchers)</v>
      </c>
    </row>
    <row r="1187" spans="1:8" x14ac:dyDescent="0.15">
      <c r="A1187" s="3" t="s">
        <v>3853</v>
      </c>
      <c r="B1187" s="3" t="s">
        <v>4380</v>
      </c>
      <c r="C1187" s="3">
        <v>31999</v>
      </c>
      <c r="D1187" s="3" t="str">
        <f>VLOOKUP(B1187,[1]LifeList!$E$2:$G$2036,1)</f>
        <v>Golden-browed Chlorophonia</v>
      </c>
      <c r="E1187" s="3" t="str">
        <f>VLOOKUP(B1187,[1]LifeList!$E$2:$G$2036,2)</f>
        <v>Organiste à sourcils jaunes</v>
      </c>
      <c r="F1187" s="3" t="str">
        <f>VLOOKUP(B1187,[1]LifeList!$E$2:$G$2036,3)</f>
        <v>Chlorophonia callophrys</v>
      </c>
      <c r="G1187" s="3" t="str">
        <f>VLOOKUP(B1187,[1]LifeList!$E$2:$I$2036,4)</f>
        <v>Passeriformes</v>
      </c>
      <c r="H1187" s="3" t="str">
        <f>VLOOKUP(B1187,[1]LifeList!$E$2:$I$2036,5)</f>
        <v>Fringillidae (Finches, Euphonias, and Allies)</v>
      </c>
    </row>
    <row r="1188" spans="1:8" x14ac:dyDescent="0.15">
      <c r="A1188" s="3" t="s">
        <v>1132</v>
      </c>
      <c r="B1188" s="3" t="s">
        <v>4380</v>
      </c>
      <c r="C1188" s="3">
        <v>31999</v>
      </c>
      <c r="D1188" s="3" t="str">
        <f>VLOOKUP(B1188,[1]LifeList!$E$2:$G$2036,1)</f>
        <v>Golden-browed Chlorophonia</v>
      </c>
      <c r="E1188" s="3" t="str">
        <f>VLOOKUP(B1188,[1]LifeList!$E$2:$G$2036,2)</f>
        <v>Organiste à sourcils jaunes</v>
      </c>
      <c r="F1188" s="3" t="str">
        <f>VLOOKUP(B1188,[1]LifeList!$E$2:$G$2036,3)</f>
        <v>Chlorophonia callophrys</v>
      </c>
      <c r="G1188" s="3" t="str">
        <f>VLOOKUP(B1188,[1]LifeList!$E$2:$I$2036,4)</f>
        <v>Passeriformes</v>
      </c>
      <c r="H1188" s="3" t="str">
        <f>VLOOKUP(B1188,[1]LifeList!$E$2:$I$2036,5)</f>
        <v>Fringillidae (Finches, Euphonias, and Allies)</v>
      </c>
    </row>
    <row r="1189" spans="1:8" x14ac:dyDescent="0.15">
      <c r="A1189" s="3" t="s">
        <v>1133</v>
      </c>
      <c r="B1189" s="3" t="s">
        <v>4381</v>
      </c>
      <c r="C1189" s="3">
        <v>35196</v>
      </c>
      <c r="D1189" s="3" t="str">
        <f>VLOOKUP(B1189,[1]LifeList!$E$2:$G$2036,1)</f>
        <v>Golden-collared Honeycreeper</v>
      </c>
      <c r="E1189" s="3" t="str">
        <f>VLOOKUP(B1189,[1]LifeList!$E$2:$G$2036,2)</f>
        <v>Tangara sucrier</v>
      </c>
      <c r="F1189" s="3" t="str">
        <f>VLOOKUP(B1189,[1]LifeList!$E$2:$G$2036,3)</f>
        <v>Iridophanes pulcherrimus</v>
      </c>
      <c r="G1189" s="3" t="str">
        <f>VLOOKUP(B1189,[1]LifeList!$E$2:$I$2036,4)</f>
        <v>Passeriformes</v>
      </c>
      <c r="H1189" s="3" t="str">
        <f>VLOOKUP(B1189,[1]LifeList!$E$2:$I$2036,5)</f>
        <v>Thraupidae (Tanagers and Allies)</v>
      </c>
    </row>
    <row r="1190" spans="1:8" x14ac:dyDescent="0.15">
      <c r="A1190" s="3" t="s">
        <v>1135</v>
      </c>
      <c r="B1190" s="3" t="s">
        <v>4382</v>
      </c>
      <c r="C1190" s="3">
        <v>15766</v>
      </c>
      <c r="D1190" s="3" t="str">
        <f>VLOOKUP(B1190,[1]LifeList!$E$2:$G$2036,1)</f>
        <v>Golden-collared Manakin</v>
      </c>
      <c r="E1190" s="3" t="str">
        <f>VLOOKUP(B1190,[1]LifeList!$E$2:$G$2036,2)</f>
        <v>Manakin à col d'or</v>
      </c>
      <c r="F1190" s="3" t="str">
        <f>VLOOKUP(B1190,[1]LifeList!$E$2:$G$2036,3)</f>
        <v>Manacus vitellinus</v>
      </c>
      <c r="G1190" s="3" t="str">
        <f>VLOOKUP(B1190,[1]LifeList!$E$2:$I$2036,4)</f>
        <v>Passeriformes</v>
      </c>
      <c r="H1190" s="3" t="str">
        <f>VLOOKUP(B1190,[1]LifeList!$E$2:$I$2036,5)</f>
        <v>Pipridae (Manakins)</v>
      </c>
    </row>
    <row r="1191" spans="1:8" x14ac:dyDescent="0.15">
      <c r="A1191" s="3" t="s">
        <v>1136</v>
      </c>
      <c r="B1191" s="3" t="s">
        <v>4382</v>
      </c>
      <c r="C1191" s="3">
        <v>15766</v>
      </c>
      <c r="D1191" s="3" t="str">
        <f>VLOOKUP(B1191,[1]LifeList!$E$2:$G$2036,1)</f>
        <v>Golden-collared Manakin</v>
      </c>
      <c r="E1191" s="3" t="str">
        <f>VLOOKUP(B1191,[1]LifeList!$E$2:$G$2036,2)</f>
        <v>Manakin à col d'or</v>
      </c>
      <c r="F1191" s="3" t="str">
        <f>VLOOKUP(B1191,[1]LifeList!$E$2:$G$2036,3)</f>
        <v>Manacus vitellinus</v>
      </c>
      <c r="G1191" s="3" t="str">
        <f>VLOOKUP(B1191,[1]LifeList!$E$2:$I$2036,4)</f>
        <v>Passeriformes</v>
      </c>
      <c r="H1191" s="3" t="str">
        <f>VLOOKUP(B1191,[1]LifeList!$E$2:$I$2036,5)</f>
        <v>Pipridae (Manakins)</v>
      </c>
    </row>
    <row r="1192" spans="1:8" x14ac:dyDescent="0.15">
      <c r="A1192" s="3" t="s">
        <v>1134</v>
      </c>
      <c r="B1192" s="3" t="s">
        <v>4382</v>
      </c>
      <c r="C1192" s="3">
        <v>15766</v>
      </c>
      <c r="D1192" s="3" t="str">
        <f>VLOOKUP(B1192,[1]LifeList!$E$2:$G$2036,1)</f>
        <v>Golden-collared Manakin</v>
      </c>
      <c r="E1192" s="3" t="str">
        <f>VLOOKUP(B1192,[1]LifeList!$E$2:$G$2036,2)</f>
        <v>Manakin à col d'or</v>
      </c>
      <c r="F1192" s="3" t="str">
        <f>VLOOKUP(B1192,[1]LifeList!$E$2:$G$2036,3)</f>
        <v>Manacus vitellinus</v>
      </c>
      <c r="G1192" s="3" t="str">
        <f>VLOOKUP(B1192,[1]LifeList!$E$2:$I$2036,4)</f>
        <v>Passeriformes</v>
      </c>
      <c r="H1192" s="3" t="str">
        <f>VLOOKUP(B1192,[1]LifeList!$E$2:$I$2036,5)</f>
        <v>Pipridae (Manakins)</v>
      </c>
    </row>
    <row r="1193" spans="1:8" x14ac:dyDescent="0.15">
      <c r="A1193" s="3" t="s">
        <v>1137</v>
      </c>
      <c r="B1193" s="3" t="s">
        <v>4383</v>
      </c>
      <c r="C1193" s="3">
        <v>26848</v>
      </c>
      <c r="D1193" s="3" t="str">
        <f>VLOOKUP(B1193,[1]LifeList!$E$2:$G$2036,1)</f>
        <v>Golden-crowned Kinglet</v>
      </c>
      <c r="E1193" s="3" t="str">
        <f>VLOOKUP(B1193,[1]LifeList!$E$2:$G$2036,2)</f>
        <v>Roitelet à couronne dorée</v>
      </c>
      <c r="F1193" s="3" t="str">
        <f>VLOOKUP(B1193,[1]LifeList!$E$2:$G$2036,3)</f>
        <v>Regulus satrapa</v>
      </c>
      <c r="G1193" s="3" t="str">
        <f>VLOOKUP(B1193,[1]LifeList!$E$2:$I$2036,4)</f>
        <v>Passeriformes</v>
      </c>
      <c r="H1193" s="3" t="str">
        <f>VLOOKUP(B1193,[1]LifeList!$E$2:$I$2036,5)</f>
        <v>Regulidae (Kinglets)</v>
      </c>
    </row>
    <row r="1194" spans="1:8" x14ac:dyDescent="0.15">
      <c r="A1194" s="3" t="s">
        <v>1138</v>
      </c>
      <c r="B1194" s="3" t="s">
        <v>4383</v>
      </c>
      <c r="C1194" s="3">
        <v>26848</v>
      </c>
      <c r="D1194" s="3" t="str">
        <f>VLOOKUP(B1194,[1]LifeList!$E$2:$G$2036,1)</f>
        <v>Golden-crowned Kinglet</v>
      </c>
      <c r="E1194" s="3" t="str">
        <f>VLOOKUP(B1194,[1]LifeList!$E$2:$G$2036,2)</f>
        <v>Roitelet à couronne dorée</v>
      </c>
      <c r="F1194" s="3" t="str">
        <f>VLOOKUP(B1194,[1]LifeList!$E$2:$G$2036,3)</f>
        <v>Regulus satrapa</v>
      </c>
      <c r="G1194" s="3" t="str">
        <f>VLOOKUP(B1194,[1]LifeList!$E$2:$I$2036,4)</f>
        <v>Passeriformes</v>
      </c>
      <c r="H1194" s="3" t="str">
        <f>VLOOKUP(B1194,[1]LifeList!$E$2:$I$2036,5)</f>
        <v>Regulidae (Kinglets)</v>
      </c>
    </row>
    <row r="1195" spans="1:8" x14ac:dyDescent="0.15">
      <c r="A1195" s="3" t="s">
        <v>1139</v>
      </c>
      <c r="B1195" s="3" t="s">
        <v>4384</v>
      </c>
      <c r="C1195" s="3">
        <v>33196</v>
      </c>
      <c r="D1195" s="3" t="str">
        <f>VLOOKUP(B1195,[1]LifeList!$E$2:$G$2036,1)</f>
        <v>Golden-crowned Sparrow</v>
      </c>
      <c r="E1195" s="3" t="str">
        <f>VLOOKUP(B1195,[1]LifeList!$E$2:$G$2036,2)</f>
        <v>Bruant à couronne dorée</v>
      </c>
      <c r="F1195" s="3" t="str">
        <f>VLOOKUP(B1195,[1]LifeList!$E$2:$G$2036,3)</f>
        <v>Zonotrichia atricapilla</v>
      </c>
      <c r="G1195" s="3" t="str">
        <f>VLOOKUP(B1195,[1]LifeList!$E$2:$I$2036,4)</f>
        <v>Passeriformes</v>
      </c>
      <c r="H1195" s="3" t="str">
        <f>VLOOKUP(B1195,[1]LifeList!$E$2:$I$2036,5)</f>
        <v>Passerellidae (New World Sparrows)</v>
      </c>
    </row>
    <row r="1196" spans="1:8" x14ac:dyDescent="0.15">
      <c r="A1196" s="3" t="s">
        <v>1140</v>
      </c>
      <c r="B1196" s="3" t="s">
        <v>4385</v>
      </c>
      <c r="C1196" s="3">
        <v>16806</v>
      </c>
      <c r="D1196" s="3" t="str">
        <f>VLOOKUP(B1196,[1]LifeList!$E$2:$G$2036,1)</f>
        <v>Golden-faced Tyrannulet</v>
      </c>
      <c r="E1196" s="3" t="str">
        <f>VLOOKUP(B1196,[1]LifeList!$E$2:$G$2036,2)</f>
        <v>Tyranneau à face d'or</v>
      </c>
      <c r="F1196" s="3" t="str">
        <f>VLOOKUP(B1196,[1]LifeList!$E$2:$G$2036,3)</f>
        <v>Zimmerius chrysops</v>
      </c>
      <c r="G1196" s="3" t="str">
        <f>VLOOKUP(B1196,[1]LifeList!$E$2:$I$2036,4)</f>
        <v>Passeriformes</v>
      </c>
      <c r="H1196" s="3" t="str">
        <f>VLOOKUP(B1196,[1]LifeList!$E$2:$I$2036,5)</f>
        <v>Tyrannidae (Tyrant Flycatchers)</v>
      </c>
    </row>
    <row r="1197" spans="1:8" x14ac:dyDescent="0.15">
      <c r="A1197" s="3" t="s">
        <v>1141</v>
      </c>
      <c r="B1197" s="3" t="s">
        <v>4385</v>
      </c>
      <c r="C1197" s="3">
        <v>16806</v>
      </c>
      <c r="D1197" s="3" t="str">
        <f>VLOOKUP(B1197,[1]LifeList!$E$2:$G$2036,1)</f>
        <v>Golden-faced Tyrannulet</v>
      </c>
      <c r="E1197" s="3" t="str">
        <f>VLOOKUP(B1197,[1]LifeList!$E$2:$G$2036,2)</f>
        <v>Tyranneau à face d'or</v>
      </c>
      <c r="F1197" s="3" t="str">
        <f>VLOOKUP(B1197,[1]LifeList!$E$2:$G$2036,3)</f>
        <v>Zimmerius chrysops</v>
      </c>
      <c r="G1197" s="3" t="str">
        <f>VLOOKUP(B1197,[1]LifeList!$E$2:$I$2036,4)</f>
        <v>Passeriformes</v>
      </c>
      <c r="H1197" s="3" t="str">
        <f>VLOOKUP(B1197,[1]LifeList!$E$2:$I$2036,5)</f>
        <v>Tyrannidae (Tyrant Flycatchers)</v>
      </c>
    </row>
    <row r="1198" spans="1:8" x14ac:dyDescent="0.15">
      <c r="A1198" s="3" t="s">
        <v>1142</v>
      </c>
      <c r="B1198" s="3" t="s">
        <v>4385</v>
      </c>
      <c r="C1198" s="3">
        <v>16806</v>
      </c>
      <c r="D1198" s="3" t="str">
        <f>VLOOKUP(B1198,[1]LifeList!$E$2:$G$2036,1)</f>
        <v>Golden-faced Tyrannulet</v>
      </c>
      <c r="E1198" s="3" t="str">
        <f>VLOOKUP(B1198,[1]LifeList!$E$2:$G$2036,2)</f>
        <v>Tyranneau à face d'or</v>
      </c>
      <c r="F1198" s="3" t="str">
        <f>VLOOKUP(B1198,[1]LifeList!$E$2:$G$2036,3)</f>
        <v>Zimmerius chrysops</v>
      </c>
      <c r="G1198" s="3" t="str">
        <f>VLOOKUP(B1198,[1]LifeList!$E$2:$I$2036,4)</f>
        <v>Passeriformes</v>
      </c>
      <c r="H1198" s="3" t="str">
        <f>VLOOKUP(B1198,[1]LifeList!$E$2:$I$2036,5)</f>
        <v>Tyrannidae (Tyrant Flycatchers)</v>
      </c>
    </row>
    <row r="1199" spans="1:8" x14ac:dyDescent="0.15">
      <c r="A1199" s="3" t="s">
        <v>1143</v>
      </c>
      <c r="B1199" s="3" t="s">
        <v>4386</v>
      </c>
      <c r="C1199" s="3">
        <v>19151</v>
      </c>
      <c r="D1199" s="3" t="str">
        <f>VLOOKUP(B1199,[1]LifeList!$E$2:$G$2036,1)</f>
        <v>Golden-fronted Greenlet</v>
      </c>
      <c r="E1199" s="3" t="str">
        <f>VLOOKUP(B1199,[1]LifeList!$E$2:$G$2036,2)</f>
        <v>Viréon à front d'or</v>
      </c>
      <c r="F1199" s="3" t="str">
        <f>VLOOKUP(B1199,[1]LifeList!$E$2:$G$2036,3)</f>
        <v>Pachysylvia aurantiifrons</v>
      </c>
      <c r="G1199" s="3" t="str">
        <f>VLOOKUP(B1199,[1]LifeList!$E$2:$I$2036,4)</f>
        <v>Passeriformes</v>
      </c>
      <c r="H1199" s="3" t="str">
        <f>VLOOKUP(B1199,[1]LifeList!$E$2:$I$2036,5)</f>
        <v>Vireonidae (Vireos, Shrike-Babblers, and Erpornis)</v>
      </c>
    </row>
    <row r="1200" spans="1:8" x14ac:dyDescent="0.15">
      <c r="A1200" s="3" t="s">
        <v>1145</v>
      </c>
      <c r="B1200" s="3" t="s">
        <v>4387</v>
      </c>
      <c r="C1200" s="3">
        <v>34384</v>
      </c>
      <c r="D1200" s="3" t="str">
        <f>VLOOKUP(B1200,[1]LifeList!$E$2:$G$2036,1)</f>
        <v>Golden-fronted Redstart</v>
      </c>
      <c r="E1200" s="3" t="str">
        <f>VLOOKUP(B1200,[1]LifeList!$E$2:$G$2036,2)</f>
        <v>Paruline dorée</v>
      </c>
      <c r="F1200" s="3" t="str">
        <f>VLOOKUP(B1200,[1]LifeList!$E$2:$G$2036,3)</f>
        <v>Myioborus ornatus</v>
      </c>
      <c r="G1200" s="3" t="str">
        <f>VLOOKUP(B1200,[1]LifeList!$E$2:$I$2036,4)</f>
        <v>Passeriformes</v>
      </c>
      <c r="H1200" s="3" t="str">
        <f>VLOOKUP(B1200,[1]LifeList!$E$2:$I$2036,5)</f>
        <v>Parulidae (New World Warblers)</v>
      </c>
    </row>
    <row r="1201" spans="1:8" x14ac:dyDescent="0.15">
      <c r="A1201" s="3" t="s">
        <v>1146</v>
      </c>
      <c r="B1201" s="3" t="s">
        <v>4387</v>
      </c>
      <c r="C1201" s="3">
        <v>34384</v>
      </c>
      <c r="D1201" s="3" t="str">
        <f>VLOOKUP(B1201,[1]LifeList!$E$2:$G$2036,1)</f>
        <v>Golden-fronted Redstart</v>
      </c>
      <c r="E1201" s="3" t="str">
        <f>VLOOKUP(B1201,[1]LifeList!$E$2:$G$2036,2)</f>
        <v>Paruline dorée</v>
      </c>
      <c r="F1201" s="3" t="str">
        <f>VLOOKUP(B1201,[1]LifeList!$E$2:$G$2036,3)</f>
        <v>Myioborus ornatus</v>
      </c>
      <c r="G1201" s="3" t="str">
        <f>VLOOKUP(B1201,[1]LifeList!$E$2:$I$2036,4)</f>
        <v>Passeriformes</v>
      </c>
      <c r="H1201" s="3" t="str">
        <f>VLOOKUP(B1201,[1]LifeList!$E$2:$I$2036,5)</f>
        <v>Parulidae (New World Warblers)</v>
      </c>
    </row>
    <row r="1202" spans="1:8" x14ac:dyDescent="0.15">
      <c r="A1202" s="3" t="s">
        <v>1144</v>
      </c>
      <c r="B1202" s="3" t="s">
        <v>4387</v>
      </c>
      <c r="C1202" s="3">
        <v>34384</v>
      </c>
      <c r="D1202" s="3" t="str">
        <f>VLOOKUP(B1202,[1]LifeList!$E$2:$G$2036,1)</f>
        <v>Golden-fronted Redstart</v>
      </c>
      <c r="E1202" s="3" t="str">
        <f>VLOOKUP(B1202,[1]LifeList!$E$2:$G$2036,2)</f>
        <v>Paruline dorée</v>
      </c>
      <c r="F1202" s="3" t="str">
        <f>VLOOKUP(B1202,[1]LifeList!$E$2:$G$2036,3)</f>
        <v>Myioborus ornatus</v>
      </c>
      <c r="G1202" s="3" t="str">
        <f>VLOOKUP(B1202,[1]LifeList!$E$2:$I$2036,4)</f>
        <v>Passeriformes</v>
      </c>
      <c r="H1202" s="3" t="str">
        <f>VLOOKUP(B1202,[1]LifeList!$E$2:$I$2036,5)</f>
        <v>Parulidae (New World Warblers)</v>
      </c>
    </row>
    <row r="1203" spans="1:8" x14ac:dyDescent="0.15">
      <c r="A1203" s="3" t="s">
        <v>1147</v>
      </c>
      <c r="B1203" s="3" t="s">
        <v>4388</v>
      </c>
      <c r="C1203" s="3">
        <v>11843</v>
      </c>
      <c r="D1203" s="3" t="str">
        <f>VLOOKUP(B1203,[1]LifeList!$E$2:$G$2036,1)</f>
        <v>Golden-green Woodpecker</v>
      </c>
      <c r="E1203" s="3" t="str">
        <f>VLOOKUP(B1203,[1]LifeList!$E$2:$G$2036,2)</f>
        <v>Pic vert-doré</v>
      </c>
      <c r="F1203" s="3" t="str">
        <f>VLOOKUP(B1203,[1]LifeList!$E$2:$G$2036,3)</f>
        <v>Piculus chrysochloros</v>
      </c>
      <c r="G1203" s="3" t="str">
        <f>VLOOKUP(B1203,[1]LifeList!$E$2:$I$2036,4)</f>
        <v>Piciformes</v>
      </c>
      <c r="H1203" s="3" t="str">
        <f>VLOOKUP(B1203,[1]LifeList!$E$2:$I$2036,5)</f>
        <v>Picidae (Woodpeckers)</v>
      </c>
    </row>
    <row r="1204" spans="1:8" x14ac:dyDescent="0.15">
      <c r="A1204" s="3" t="s">
        <v>1148</v>
      </c>
      <c r="B1204" s="3" t="s">
        <v>4388</v>
      </c>
      <c r="C1204" s="3">
        <v>11843</v>
      </c>
      <c r="D1204" s="3" t="str">
        <f>VLOOKUP(B1204,[1]LifeList!$E$2:$G$2036,1)</f>
        <v>Golden-green Woodpecker</v>
      </c>
      <c r="E1204" s="3" t="str">
        <f>VLOOKUP(B1204,[1]LifeList!$E$2:$G$2036,2)</f>
        <v>Pic vert-doré</v>
      </c>
      <c r="F1204" s="3" t="str">
        <f>VLOOKUP(B1204,[1]LifeList!$E$2:$G$2036,3)</f>
        <v>Piculus chrysochloros</v>
      </c>
      <c r="G1204" s="3" t="str">
        <f>VLOOKUP(B1204,[1]LifeList!$E$2:$I$2036,4)</f>
        <v>Piciformes</v>
      </c>
      <c r="H1204" s="3" t="str">
        <f>VLOOKUP(B1204,[1]LifeList!$E$2:$I$2036,5)</f>
        <v>Picidae (Woodpeckers)</v>
      </c>
    </row>
    <row r="1205" spans="1:8" x14ac:dyDescent="0.15">
      <c r="A1205" s="3" t="s">
        <v>1149</v>
      </c>
      <c r="B1205" s="3" t="s">
        <v>4389</v>
      </c>
      <c r="C1205" s="3">
        <v>15840</v>
      </c>
      <c r="D1205" s="3" t="str">
        <f>VLOOKUP(B1205,[1]LifeList!$E$2:$G$2036,1)</f>
        <v>Golden-headed Manakin</v>
      </c>
      <c r="E1205" s="3" t="str">
        <f>VLOOKUP(B1205,[1]LifeList!$E$2:$G$2036,2)</f>
        <v>Manakin à tête d'or</v>
      </c>
      <c r="F1205" s="3" t="str">
        <f>VLOOKUP(B1205,[1]LifeList!$E$2:$G$2036,3)</f>
        <v>Ceratopipra erythrocephala</v>
      </c>
      <c r="G1205" s="3" t="str">
        <f>VLOOKUP(B1205,[1]LifeList!$E$2:$I$2036,4)</f>
        <v>Passeriformes</v>
      </c>
      <c r="H1205" s="3" t="str">
        <f>VLOOKUP(B1205,[1]LifeList!$E$2:$I$2036,5)</f>
        <v>Pipridae (Manakins)</v>
      </c>
    </row>
    <row r="1206" spans="1:8" x14ac:dyDescent="0.15">
      <c r="A1206" s="3" t="s">
        <v>1150</v>
      </c>
      <c r="B1206" s="3" t="s">
        <v>4389</v>
      </c>
      <c r="C1206" s="3">
        <v>15840</v>
      </c>
      <c r="D1206" s="3" t="str">
        <f>VLOOKUP(B1206,[1]LifeList!$E$2:$G$2036,1)</f>
        <v>Golden-headed Manakin</v>
      </c>
      <c r="E1206" s="3" t="str">
        <f>VLOOKUP(B1206,[1]LifeList!$E$2:$G$2036,2)</f>
        <v>Manakin à tête d'or</v>
      </c>
      <c r="F1206" s="3" t="str">
        <f>VLOOKUP(B1206,[1]LifeList!$E$2:$G$2036,3)</f>
        <v>Ceratopipra erythrocephala</v>
      </c>
      <c r="G1206" s="3" t="str">
        <f>VLOOKUP(B1206,[1]LifeList!$E$2:$I$2036,4)</f>
        <v>Passeriformes</v>
      </c>
      <c r="H1206" s="3" t="str">
        <f>VLOOKUP(B1206,[1]LifeList!$E$2:$I$2036,5)</f>
        <v>Pipridae (Manakins)</v>
      </c>
    </row>
    <row r="1207" spans="1:8" x14ac:dyDescent="0.15">
      <c r="A1207" s="3" t="s">
        <v>1152</v>
      </c>
      <c r="B1207" s="3" t="s">
        <v>4390</v>
      </c>
      <c r="C1207" s="3">
        <v>35022</v>
      </c>
      <c r="D1207" s="3" t="str">
        <f>VLOOKUP(B1207,[1]LifeList!$E$2:$G$2036,1)</f>
        <v>Golden-hooded Tanager</v>
      </c>
      <c r="E1207" s="3" t="str">
        <f>VLOOKUP(B1207,[1]LifeList!$E$2:$G$2036,2)</f>
        <v>Calliste à coiffe d'or</v>
      </c>
      <c r="F1207" s="3" t="str">
        <f>VLOOKUP(B1207,[1]LifeList!$E$2:$G$2036,3)</f>
        <v>Stilpnia larvata</v>
      </c>
      <c r="G1207" s="3" t="str">
        <f>VLOOKUP(B1207,[1]LifeList!$E$2:$I$2036,4)</f>
        <v>Passeriformes</v>
      </c>
      <c r="H1207" s="3" t="str">
        <f>VLOOKUP(B1207,[1]LifeList!$E$2:$I$2036,5)</f>
        <v>Thraupidae (Tanagers and Allies)</v>
      </c>
    </row>
    <row r="1208" spans="1:8" x14ac:dyDescent="0.15">
      <c r="A1208" s="3" t="s">
        <v>1153</v>
      </c>
      <c r="B1208" s="3" t="s">
        <v>4390</v>
      </c>
      <c r="C1208" s="3">
        <v>35022</v>
      </c>
      <c r="D1208" s="3" t="str">
        <f>VLOOKUP(B1208,[1]LifeList!$E$2:$G$2036,1)</f>
        <v>Golden-hooded Tanager</v>
      </c>
      <c r="E1208" s="3" t="str">
        <f>VLOOKUP(B1208,[1]LifeList!$E$2:$G$2036,2)</f>
        <v>Calliste à coiffe d'or</v>
      </c>
      <c r="F1208" s="3" t="str">
        <f>VLOOKUP(B1208,[1]LifeList!$E$2:$G$2036,3)</f>
        <v>Stilpnia larvata</v>
      </c>
      <c r="G1208" s="3" t="str">
        <f>VLOOKUP(B1208,[1]LifeList!$E$2:$I$2036,4)</f>
        <v>Passeriformes</v>
      </c>
      <c r="H1208" s="3" t="str">
        <f>VLOOKUP(B1208,[1]LifeList!$E$2:$I$2036,5)</f>
        <v>Thraupidae (Tanagers and Allies)</v>
      </c>
    </row>
    <row r="1209" spans="1:8" x14ac:dyDescent="0.15">
      <c r="A1209" s="3" t="s">
        <v>1154</v>
      </c>
      <c r="B1209" s="3" t="s">
        <v>4390</v>
      </c>
      <c r="C1209" s="3">
        <v>35022</v>
      </c>
      <c r="D1209" s="3" t="str">
        <f>VLOOKUP(B1209,[1]LifeList!$E$2:$G$2036,1)</f>
        <v>Golden-hooded Tanager</v>
      </c>
      <c r="E1209" s="3" t="str">
        <f>VLOOKUP(B1209,[1]LifeList!$E$2:$G$2036,2)</f>
        <v>Calliste à coiffe d'or</v>
      </c>
      <c r="F1209" s="3" t="str">
        <f>VLOOKUP(B1209,[1]LifeList!$E$2:$G$2036,3)</f>
        <v>Stilpnia larvata</v>
      </c>
      <c r="G1209" s="3" t="str">
        <f>VLOOKUP(B1209,[1]LifeList!$E$2:$I$2036,4)</f>
        <v>Passeriformes</v>
      </c>
      <c r="H1209" s="3" t="str">
        <f>VLOOKUP(B1209,[1]LifeList!$E$2:$I$2036,5)</f>
        <v>Thraupidae (Tanagers and Allies)</v>
      </c>
    </row>
    <row r="1210" spans="1:8" x14ac:dyDescent="0.15">
      <c r="A1210" s="3" t="s">
        <v>1151</v>
      </c>
      <c r="B1210" s="3" t="s">
        <v>4390</v>
      </c>
      <c r="C1210" s="3">
        <v>35022</v>
      </c>
      <c r="D1210" s="3" t="str">
        <f>VLOOKUP(B1210,[1]LifeList!$E$2:$G$2036,1)</f>
        <v>Golden-hooded Tanager</v>
      </c>
      <c r="E1210" s="3" t="str">
        <f>VLOOKUP(B1210,[1]LifeList!$E$2:$G$2036,2)</f>
        <v>Calliste à coiffe d'or</v>
      </c>
      <c r="F1210" s="3" t="str">
        <f>VLOOKUP(B1210,[1]LifeList!$E$2:$G$2036,3)</f>
        <v>Stilpnia larvata</v>
      </c>
      <c r="G1210" s="3" t="str">
        <f>VLOOKUP(B1210,[1]LifeList!$E$2:$I$2036,4)</f>
        <v>Passeriformes</v>
      </c>
      <c r="H1210" s="3" t="str">
        <f>VLOOKUP(B1210,[1]LifeList!$E$2:$I$2036,5)</f>
        <v>Thraupidae (Tanagers and Allies)</v>
      </c>
    </row>
    <row r="1211" spans="1:8" x14ac:dyDescent="0.15">
      <c r="A1211" s="3" t="s">
        <v>1155</v>
      </c>
      <c r="B1211" s="3" t="s">
        <v>4391</v>
      </c>
      <c r="C1211" s="3">
        <v>34983</v>
      </c>
      <c r="D1211" s="3" t="str">
        <f>VLOOKUP(B1211,[1]LifeList!$E$2:$G$2036,1)</f>
        <v>Golden-naped Tanager</v>
      </c>
      <c r="E1211" s="3" t="str">
        <f>VLOOKUP(B1211,[1]LifeList!$E$2:$G$2036,2)</f>
        <v>Calliste à nuque d'or</v>
      </c>
      <c r="F1211" s="3" t="str">
        <f>VLOOKUP(B1211,[1]LifeList!$E$2:$G$2036,3)</f>
        <v>Chalcothraupis ruficervix</v>
      </c>
      <c r="G1211" s="3" t="str">
        <f>VLOOKUP(B1211,[1]LifeList!$E$2:$I$2036,4)</f>
        <v>Passeriformes</v>
      </c>
      <c r="H1211" s="3" t="str">
        <f>VLOOKUP(B1211,[1]LifeList!$E$2:$I$2036,5)</f>
        <v>Thraupidae (Tanagers and Allies)</v>
      </c>
    </row>
    <row r="1212" spans="1:8" x14ac:dyDescent="0.15">
      <c r="A1212" s="3" t="s">
        <v>1156</v>
      </c>
      <c r="B1212" s="3" t="s">
        <v>4392</v>
      </c>
      <c r="C1212" s="3">
        <v>11852</v>
      </c>
      <c r="D1212" s="3" t="str">
        <f>VLOOKUP(B1212,[1]LifeList!$E$2:$G$2036,1)</f>
        <v>Golden-olive Woodpecker</v>
      </c>
      <c r="E1212" s="3" t="str">
        <f>VLOOKUP(B1212,[1]LifeList!$E$2:$G$2036,2)</f>
        <v>Pic or-olive</v>
      </c>
      <c r="F1212" s="3" t="str">
        <f>VLOOKUP(B1212,[1]LifeList!$E$2:$G$2036,3)</f>
        <v>Colaptes rubiginosus</v>
      </c>
      <c r="G1212" s="3" t="str">
        <f>VLOOKUP(B1212,[1]LifeList!$E$2:$I$2036,4)</f>
        <v>Piciformes</v>
      </c>
      <c r="H1212" s="3" t="str">
        <f>VLOOKUP(B1212,[1]LifeList!$E$2:$I$2036,5)</f>
        <v>Picidae (Woodpeckers)</v>
      </c>
    </row>
    <row r="1213" spans="1:8" x14ac:dyDescent="0.15">
      <c r="A1213" s="3" t="s">
        <v>1157</v>
      </c>
      <c r="B1213" s="3" t="s">
        <v>4392</v>
      </c>
      <c r="C1213" s="3">
        <v>11852</v>
      </c>
      <c r="D1213" s="3" t="str">
        <f>VLOOKUP(B1213,[1]LifeList!$E$2:$G$2036,1)</f>
        <v>Golden-olive Woodpecker</v>
      </c>
      <c r="E1213" s="3" t="str">
        <f>VLOOKUP(B1213,[1]LifeList!$E$2:$G$2036,2)</f>
        <v>Pic or-olive</v>
      </c>
      <c r="F1213" s="3" t="str">
        <f>VLOOKUP(B1213,[1]LifeList!$E$2:$G$2036,3)</f>
        <v>Colaptes rubiginosus</v>
      </c>
      <c r="G1213" s="3" t="str">
        <f>VLOOKUP(B1213,[1]LifeList!$E$2:$I$2036,4)</f>
        <v>Piciformes</v>
      </c>
      <c r="H1213" s="3" t="str">
        <f>VLOOKUP(B1213,[1]LifeList!$E$2:$I$2036,5)</f>
        <v>Picidae (Woodpeckers)</v>
      </c>
    </row>
    <row r="1214" spans="1:8" x14ac:dyDescent="0.15">
      <c r="A1214" s="3" t="s">
        <v>1158</v>
      </c>
      <c r="B1214" s="3" t="s">
        <v>4392</v>
      </c>
      <c r="C1214" s="3">
        <v>11852</v>
      </c>
      <c r="D1214" s="3" t="str">
        <f>VLOOKUP(B1214,[1]LifeList!$E$2:$G$2036,1)</f>
        <v>Golden-olive Woodpecker</v>
      </c>
      <c r="E1214" s="3" t="str">
        <f>VLOOKUP(B1214,[1]LifeList!$E$2:$G$2036,2)</f>
        <v>Pic or-olive</v>
      </c>
      <c r="F1214" s="3" t="str">
        <f>VLOOKUP(B1214,[1]LifeList!$E$2:$G$2036,3)</f>
        <v>Colaptes rubiginosus</v>
      </c>
      <c r="G1214" s="3" t="str">
        <f>VLOOKUP(B1214,[1]LifeList!$E$2:$I$2036,4)</f>
        <v>Piciformes</v>
      </c>
      <c r="H1214" s="3" t="str">
        <f>VLOOKUP(B1214,[1]LifeList!$E$2:$I$2036,5)</f>
        <v>Picidae (Woodpeckers)</v>
      </c>
    </row>
    <row r="1215" spans="1:8" x14ac:dyDescent="0.15">
      <c r="A1215" s="3" t="s">
        <v>1159</v>
      </c>
      <c r="B1215" s="3" t="s">
        <v>4392</v>
      </c>
      <c r="C1215" s="3">
        <v>11852</v>
      </c>
      <c r="D1215" s="3" t="str">
        <f>VLOOKUP(B1215,[1]LifeList!$E$2:$G$2036,1)</f>
        <v>Golden-olive Woodpecker</v>
      </c>
      <c r="E1215" s="3" t="str">
        <f>VLOOKUP(B1215,[1]LifeList!$E$2:$G$2036,2)</f>
        <v>Pic or-olive</v>
      </c>
      <c r="F1215" s="3" t="str">
        <f>VLOOKUP(B1215,[1]LifeList!$E$2:$G$2036,3)</f>
        <v>Colaptes rubiginosus</v>
      </c>
      <c r="G1215" s="3" t="str">
        <f>VLOOKUP(B1215,[1]LifeList!$E$2:$I$2036,4)</f>
        <v>Piciformes</v>
      </c>
      <c r="H1215" s="3" t="str">
        <f>VLOOKUP(B1215,[1]LifeList!$E$2:$I$2036,5)</f>
        <v>Picidae (Woodpeckers)</v>
      </c>
    </row>
    <row r="1216" spans="1:8" x14ac:dyDescent="0.15">
      <c r="A1216" s="3" t="s">
        <v>1160</v>
      </c>
      <c r="B1216" s="3" t="s">
        <v>4393</v>
      </c>
      <c r="C1216" s="3">
        <v>13161</v>
      </c>
      <c r="D1216" s="3" t="str">
        <f>VLOOKUP(B1216,[1]LifeList!$E$2:$G$2036,1)</f>
        <v>Golden-plumed Parakeet</v>
      </c>
      <c r="E1216" s="3" t="str">
        <f>VLOOKUP(B1216,[1]LifeList!$E$2:$G$2036,2)</f>
        <v>Conure à pinceaux d'or</v>
      </c>
      <c r="F1216" s="3" t="str">
        <f>VLOOKUP(B1216,[1]LifeList!$E$2:$G$2036,3)</f>
        <v>Leptosittaca branickii</v>
      </c>
      <c r="G1216" s="3" t="str">
        <f>VLOOKUP(B1216,[1]LifeList!$E$2:$I$2036,4)</f>
        <v>Psittaciformes</v>
      </c>
      <c r="H1216" s="3" t="str">
        <f>VLOOKUP(B1216,[1]LifeList!$E$2:$I$2036,5)</f>
        <v>Psittacidae (New World and African Parrots)</v>
      </c>
    </row>
    <row r="1217" spans="1:8" x14ac:dyDescent="0.15">
      <c r="A1217" s="3" t="s">
        <v>1161</v>
      </c>
      <c r="B1217" s="3" t="s">
        <v>4393</v>
      </c>
      <c r="C1217" s="3">
        <v>13161</v>
      </c>
      <c r="D1217" s="3" t="str">
        <f>VLOOKUP(B1217,[1]LifeList!$E$2:$G$2036,1)</f>
        <v>Golden-plumed Parakeet</v>
      </c>
      <c r="E1217" s="3" t="str">
        <f>VLOOKUP(B1217,[1]LifeList!$E$2:$G$2036,2)</f>
        <v>Conure à pinceaux d'or</v>
      </c>
      <c r="F1217" s="3" t="str">
        <f>VLOOKUP(B1217,[1]LifeList!$E$2:$G$2036,3)</f>
        <v>Leptosittaca branickii</v>
      </c>
      <c r="G1217" s="3" t="str">
        <f>VLOOKUP(B1217,[1]LifeList!$E$2:$I$2036,4)</f>
        <v>Psittaciformes</v>
      </c>
      <c r="H1217" s="3" t="str">
        <f>VLOOKUP(B1217,[1]LifeList!$E$2:$I$2036,5)</f>
        <v>Psittacidae (New World and African Parrots)</v>
      </c>
    </row>
    <row r="1218" spans="1:8" x14ac:dyDescent="0.15">
      <c r="A1218" s="3" t="s">
        <v>1162</v>
      </c>
      <c r="B1218" s="3" t="s">
        <v>4394</v>
      </c>
      <c r="C1218" s="3">
        <v>33956</v>
      </c>
      <c r="D1218" s="3" t="str">
        <f>VLOOKUP(B1218,[1]LifeList!$E$2:$G$2036,1)</f>
        <v>Golden-winged Warbler</v>
      </c>
      <c r="E1218" s="3" t="str">
        <f>VLOOKUP(B1218,[1]LifeList!$E$2:$G$2036,2)</f>
        <v>Paruline à ailes dorées</v>
      </c>
      <c r="F1218" s="3" t="str">
        <f>VLOOKUP(B1218,[1]LifeList!$E$2:$G$2036,3)</f>
        <v>Vermivora chrysoptera</v>
      </c>
      <c r="G1218" s="3" t="str">
        <f>VLOOKUP(B1218,[1]LifeList!$E$2:$I$2036,4)</f>
        <v>Passeriformes</v>
      </c>
      <c r="H1218" s="3" t="str">
        <f>VLOOKUP(B1218,[1]LifeList!$E$2:$I$2036,5)</f>
        <v>Parulidae (New World Warblers)</v>
      </c>
    </row>
    <row r="1219" spans="1:8" x14ac:dyDescent="0.15">
      <c r="A1219" s="3" t="s">
        <v>1163</v>
      </c>
      <c r="B1219" s="3" t="s">
        <v>4394</v>
      </c>
      <c r="C1219" s="3">
        <v>33956</v>
      </c>
      <c r="D1219" s="3" t="str">
        <f>VLOOKUP(B1219,[1]LifeList!$E$2:$G$2036,1)</f>
        <v>Golden-winged Warbler</v>
      </c>
      <c r="E1219" s="3" t="str">
        <f>VLOOKUP(B1219,[1]LifeList!$E$2:$G$2036,2)</f>
        <v>Paruline à ailes dorées</v>
      </c>
      <c r="F1219" s="3" t="str">
        <f>VLOOKUP(B1219,[1]LifeList!$E$2:$G$2036,3)</f>
        <v>Vermivora chrysoptera</v>
      </c>
      <c r="G1219" s="3" t="str">
        <f>VLOOKUP(B1219,[1]LifeList!$E$2:$I$2036,4)</f>
        <v>Passeriformes</v>
      </c>
      <c r="H1219" s="3" t="str">
        <f>VLOOKUP(B1219,[1]LifeList!$E$2:$I$2036,5)</f>
        <v>Parulidae (New World Warblers)</v>
      </c>
    </row>
    <row r="1220" spans="1:8" x14ac:dyDescent="0.15">
      <c r="A1220" s="3" t="s">
        <v>1164</v>
      </c>
      <c r="B1220" s="3" t="s">
        <v>4394</v>
      </c>
      <c r="C1220" s="3">
        <v>33956</v>
      </c>
      <c r="D1220" s="3" t="str">
        <f>VLOOKUP(B1220,[1]LifeList!$E$2:$G$2036,1)</f>
        <v>Golden-winged Warbler</v>
      </c>
      <c r="E1220" s="3" t="str">
        <f>VLOOKUP(B1220,[1]LifeList!$E$2:$G$2036,2)</f>
        <v>Paruline à ailes dorées</v>
      </c>
      <c r="F1220" s="3" t="str">
        <f>VLOOKUP(B1220,[1]LifeList!$E$2:$G$2036,3)</f>
        <v>Vermivora chrysoptera</v>
      </c>
      <c r="G1220" s="3" t="str">
        <f>VLOOKUP(B1220,[1]LifeList!$E$2:$I$2036,4)</f>
        <v>Passeriformes</v>
      </c>
      <c r="H1220" s="3" t="str">
        <f>VLOOKUP(B1220,[1]LifeList!$E$2:$I$2036,5)</f>
        <v>Parulidae (New World Warblers)</v>
      </c>
    </row>
    <row r="1221" spans="1:8" x14ac:dyDescent="0.15">
      <c r="A1221" s="3" t="s">
        <v>1165</v>
      </c>
      <c r="B1221" s="3" t="s">
        <v>4394</v>
      </c>
      <c r="C1221" s="3">
        <v>33956</v>
      </c>
      <c r="D1221" s="3" t="str">
        <f>VLOOKUP(B1221,[1]LifeList!$E$2:$G$2036,1)</f>
        <v>Golden-winged Warbler</v>
      </c>
      <c r="E1221" s="3" t="str">
        <f>VLOOKUP(B1221,[1]LifeList!$E$2:$G$2036,2)</f>
        <v>Paruline à ailes dorées</v>
      </c>
      <c r="F1221" s="3" t="str">
        <f>VLOOKUP(B1221,[1]LifeList!$E$2:$G$2036,3)</f>
        <v>Vermivora chrysoptera</v>
      </c>
      <c r="G1221" s="3" t="str">
        <f>VLOOKUP(B1221,[1]LifeList!$E$2:$I$2036,4)</f>
        <v>Passeriformes</v>
      </c>
      <c r="H1221" s="3" t="str">
        <f>VLOOKUP(B1221,[1]LifeList!$E$2:$I$2036,5)</f>
        <v>Parulidae (New World Warblers)</v>
      </c>
    </row>
    <row r="1222" spans="1:8" x14ac:dyDescent="0.15">
      <c r="A1222" s="3" t="s">
        <v>1166</v>
      </c>
      <c r="B1222" s="3" t="s">
        <v>4394</v>
      </c>
      <c r="C1222" s="3">
        <v>33956</v>
      </c>
      <c r="D1222" s="3" t="str">
        <f>VLOOKUP(B1222,[1]LifeList!$E$2:$G$2036,1)</f>
        <v>Golden-winged Warbler</v>
      </c>
      <c r="E1222" s="3" t="str">
        <f>VLOOKUP(B1222,[1]LifeList!$E$2:$G$2036,2)</f>
        <v>Paruline à ailes dorées</v>
      </c>
      <c r="F1222" s="3" t="str">
        <f>VLOOKUP(B1222,[1]LifeList!$E$2:$G$2036,3)</f>
        <v>Vermivora chrysoptera</v>
      </c>
      <c r="G1222" s="3" t="str">
        <f>VLOOKUP(B1222,[1]LifeList!$E$2:$I$2036,4)</f>
        <v>Passeriformes</v>
      </c>
      <c r="H1222" s="3" t="str">
        <f>VLOOKUP(B1222,[1]LifeList!$E$2:$I$2036,5)</f>
        <v>Parulidae (New World Warblers)</v>
      </c>
    </row>
    <row r="1223" spans="1:8" x14ac:dyDescent="0.15">
      <c r="A1223" s="3" t="s">
        <v>1171</v>
      </c>
      <c r="B1223" s="3" t="s">
        <v>4395</v>
      </c>
      <c r="C1223" s="3">
        <v>7780</v>
      </c>
      <c r="D1223" s="3" t="str">
        <f>VLOOKUP(B1223,[1]LifeList!$E$2:$G$2036,1)</f>
        <v>Goliath Heron</v>
      </c>
      <c r="E1223" s="3" t="str">
        <f>VLOOKUP(B1223,[1]LifeList!$E$2:$G$2036,2)</f>
        <v>Héron goliath</v>
      </c>
      <c r="F1223" s="3" t="str">
        <f>VLOOKUP(B1223,[1]LifeList!$E$2:$G$2036,3)</f>
        <v>Ardea goliath</v>
      </c>
      <c r="G1223" s="3" t="str">
        <f>VLOOKUP(B1223,[1]LifeList!$E$2:$I$2036,4)</f>
        <v>Pelecaniformes</v>
      </c>
      <c r="H1223" s="3" t="str">
        <f>VLOOKUP(B1223,[1]LifeList!$E$2:$I$2036,5)</f>
        <v>Ardeidae (Herons, Egrets, and Bitterns)</v>
      </c>
    </row>
    <row r="1224" spans="1:8" x14ac:dyDescent="0.15">
      <c r="A1224" s="3" t="s">
        <v>1172</v>
      </c>
      <c r="B1224" s="3" t="s">
        <v>4396</v>
      </c>
      <c r="C1224" s="3">
        <v>4784</v>
      </c>
      <c r="D1224" s="3" t="str">
        <f>VLOOKUP(B1224,[1]LifeList!$E$2:$G$2036,1)</f>
        <v>Gorgeted Woodstar</v>
      </c>
      <c r="E1224" s="3" t="str">
        <f>VLOOKUP(B1224,[1]LifeList!$E$2:$G$2036,2)</f>
        <v>Colibri d'Héliodore</v>
      </c>
      <c r="F1224" s="3" t="str">
        <f>VLOOKUP(B1224,[1]LifeList!$E$2:$G$2036,3)</f>
        <v>Chaetocercus heliodor</v>
      </c>
      <c r="G1224" s="3" t="str">
        <f>VLOOKUP(B1224,[1]LifeList!$E$2:$I$2036,4)</f>
        <v>Apodiformes</v>
      </c>
      <c r="H1224" s="3" t="str">
        <f>VLOOKUP(B1224,[1]LifeList!$E$2:$I$2036,5)</f>
        <v>Trochilidae (Hummingbirds)</v>
      </c>
    </row>
    <row r="1225" spans="1:8" x14ac:dyDescent="0.15">
      <c r="A1225" s="3" t="s">
        <v>1174</v>
      </c>
      <c r="B1225" s="3" t="s">
        <v>3756</v>
      </c>
      <c r="C1225" s="3">
        <v>9560</v>
      </c>
      <c r="D1225" s="3" t="str">
        <f>VLOOKUP(B1225,[1]LifeList!$E$2:$G$2036,1)</f>
        <v>Graceful Black-throated Trogon</v>
      </c>
      <c r="E1225" s="3" t="str">
        <f>VLOOKUP(B1225,[1]LifeList!$E$2:$G$2036,2)</f>
        <v>Trogon de Cabanis</v>
      </c>
      <c r="F1225" s="3" t="str">
        <f>VLOOKUP(B1225,[1]LifeList!$E$2:$G$2036,3)</f>
        <v>Trogon tenellus</v>
      </c>
      <c r="G1225" s="3" t="str">
        <f>VLOOKUP(B1225,[1]LifeList!$E$2:$I$2036,4)</f>
        <v>Trogoniformes</v>
      </c>
      <c r="H1225" s="3" t="str">
        <f>VLOOKUP(B1225,[1]LifeList!$E$2:$I$2036,5)</f>
        <v>Trogonidae (Trogons)</v>
      </c>
    </row>
    <row r="1226" spans="1:8" x14ac:dyDescent="0.15">
      <c r="A1226" s="3" t="s">
        <v>1175</v>
      </c>
      <c r="B1226" s="3" t="s">
        <v>3756</v>
      </c>
      <c r="C1226" s="3">
        <v>9560</v>
      </c>
      <c r="D1226" s="3" t="str">
        <f>VLOOKUP(B1226,[1]LifeList!$E$2:$G$2036,1)</f>
        <v>Graceful Black-throated Trogon</v>
      </c>
      <c r="E1226" s="3" t="str">
        <f>VLOOKUP(B1226,[1]LifeList!$E$2:$G$2036,2)</f>
        <v>Trogon de Cabanis</v>
      </c>
      <c r="F1226" s="3" t="str">
        <f>VLOOKUP(B1226,[1]LifeList!$E$2:$G$2036,3)</f>
        <v>Trogon tenellus</v>
      </c>
      <c r="G1226" s="3" t="str">
        <f>VLOOKUP(B1226,[1]LifeList!$E$2:$I$2036,4)</f>
        <v>Trogoniformes</v>
      </c>
      <c r="H1226" s="3" t="str">
        <f>VLOOKUP(B1226,[1]LifeList!$E$2:$I$2036,5)</f>
        <v>Trogonidae (Trogons)</v>
      </c>
    </row>
    <row r="1227" spans="1:8" x14ac:dyDescent="0.15">
      <c r="A1227" s="3" t="s">
        <v>1173</v>
      </c>
      <c r="B1227" s="3" t="s">
        <v>3756</v>
      </c>
      <c r="C1227" s="3">
        <v>9560</v>
      </c>
      <c r="D1227" s="3" t="str">
        <f>VLOOKUP(B1227,[1]LifeList!$E$2:$G$2036,1)</f>
        <v>Graceful Black-throated Trogon</v>
      </c>
      <c r="E1227" s="3" t="str">
        <f>VLOOKUP(B1227,[1]LifeList!$E$2:$G$2036,2)</f>
        <v>Trogon de Cabanis</v>
      </c>
      <c r="F1227" s="3" t="str">
        <f>VLOOKUP(B1227,[1]LifeList!$E$2:$G$2036,3)</f>
        <v>Trogon tenellus</v>
      </c>
      <c r="G1227" s="3" t="str">
        <f>VLOOKUP(B1227,[1]LifeList!$E$2:$I$2036,4)</f>
        <v>Trogoniformes</v>
      </c>
      <c r="H1227" s="3" t="str">
        <f>VLOOKUP(B1227,[1]LifeList!$E$2:$I$2036,5)</f>
        <v>Trogonidae (Trogons)</v>
      </c>
    </row>
    <row r="1228" spans="1:8" x14ac:dyDescent="0.15">
      <c r="A1228" s="3" t="s">
        <v>1177</v>
      </c>
      <c r="B1228" s="3" t="s">
        <v>4397</v>
      </c>
      <c r="C1228" s="3">
        <v>27304</v>
      </c>
      <c r="D1228" s="3" t="str">
        <f>VLOOKUP(B1228,[1]LifeList!$E$2:$G$2036,1)</f>
        <v>Grass Wren</v>
      </c>
      <c r="E1228" s="3" t="str">
        <f>VLOOKUP(B1228,[1]LifeList!$E$2:$G$2036,2)</f>
        <v>Troglodyte de Latham</v>
      </c>
      <c r="F1228" s="3" t="str">
        <f>VLOOKUP(B1228,[1]LifeList!$E$2:$G$2036,3)</f>
        <v>Cistothorus platensis</v>
      </c>
      <c r="G1228" s="3" t="str">
        <f>VLOOKUP(B1228,[1]LifeList!$E$2:$I$2036,4)</f>
        <v>Passeriformes</v>
      </c>
      <c r="H1228" s="3" t="str">
        <f>VLOOKUP(B1228,[1]LifeList!$E$2:$I$2036,5)</f>
        <v>Troglodytidae (Wrens)</v>
      </c>
    </row>
    <row r="1229" spans="1:8" x14ac:dyDescent="0.15">
      <c r="A1229" s="3" t="s">
        <v>1176</v>
      </c>
      <c r="B1229" s="3" t="s">
        <v>4397</v>
      </c>
      <c r="C1229" s="3">
        <v>27304</v>
      </c>
      <c r="D1229" s="3" t="str">
        <f>VLOOKUP(B1229,[1]LifeList!$E$2:$G$2036,1)</f>
        <v>Grass Wren</v>
      </c>
      <c r="E1229" s="3" t="str">
        <f>VLOOKUP(B1229,[1]LifeList!$E$2:$G$2036,2)</f>
        <v>Troglodyte de Latham</v>
      </c>
      <c r="F1229" s="3" t="str">
        <f>VLOOKUP(B1229,[1]LifeList!$E$2:$G$2036,3)</f>
        <v>Cistothorus platensis</v>
      </c>
      <c r="G1229" s="3" t="str">
        <f>VLOOKUP(B1229,[1]LifeList!$E$2:$I$2036,4)</f>
        <v>Passeriformes</v>
      </c>
      <c r="H1229" s="3" t="str">
        <f>VLOOKUP(B1229,[1]LifeList!$E$2:$I$2036,5)</f>
        <v>Troglodytidae (Wrens)</v>
      </c>
    </row>
    <row r="1230" spans="1:8" x14ac:dyDescent="0.15">
      <c r="A1230" s="3" t="s">
        <v>1178</v>
      </c>
      <c r="B1230" s="3" t="s">
        <v>4398</v>
      </c>
      <c r="C1230" s="3">
        <v>32943</v>
      </c>
      <c r="D1230" s="3" t="str">
        <f>VLOOKUP(B1230,[1]LifeList!$E$2:$G$2036,1)</f>
        <v>Grasshopper Sparrow</v>
      </c>
      <c r="E1230" s="3" t="str">
        <f>VLOOKUP(B1230,[1]LifeList!$E$2:$G$2036,2)</f>
        <v>Bruant sauterelle</v>
      </c>
      <c r="F1230" s="3" t="str">
        <f>VLOOKUP(B1230,[1]LifeList!$E$2:$G$2036,3)</f>
        <v>Ammodramus savannarum</v>
      </c>
      <c r="G1230" s="3" t="str">
        <f>VLOOKUP(B1230,[1]LifeList!$E$2:$I$2036,4)</f>
        <v>Passeriformes</v>
      </c>
      <c r="H1230" s="3" t="str">
        <f>VLOOKUP(B1230,[1]LifeList!$E$2:$I$2036,5)</f>
        <v>Passerellidae (New World Sparrows)</v>
      </c>
    </row>
    <row r="1231" spans="1:8" x14ac:dyDescent="0.15">
      <c r="A1231" s="3" t="s">
        <v>1179</v>
      </c>
      <c r="B1231" s="3" t="s">
        <v>4398</v>
      </c>
      <c r="C1231" s="3">
        <v>32943</v>
      </c>
      <c r="D1231" s="3" t="str">
        <f>VLOOKUP(B1231,[1]LifeList!$E$2:$G$2036,1)</f>
        <v>Grasshopper Sparrow</v>
      </c>
      <c r="E1231" s="3" t="str">
        <f>VLOOKUP(B1231,[1]LifeList!$E$2:$G$2036,2)</f>
        <v>Bruant sauterelle</v>
      </c>
      <c r="F1231" s="3" t="str">
        <f>VLOOKUP(B1231,[1]LifeList!$E$2:$G$2036,3)</f>
        <v>Ammodramus savannarum</v>
      </c>
      <c r="G1231" s="3" t="str">
        <f>VLOOKUP(B1231,[1]LifeList!$E$2:$I$2036,4)</f>
        <v>Passeriformes</v>
      </c>
      <c r="H1231" s="3" t="str">
        <f>VLOOKUP(B1231,[1]LifeList!$E$2:$I$2036,5)</f>
        <v>Passerellidae (New World Sparrows)</v>
      </c>
    </row>
    <row r="1232" spans="1:8" x14ac:dyDescent="0.15">
      <c r="A1232" s="3" t="s">
        <v>1209</v>
      </c>
      <c r="B1232" s="3" t="s">
        <v>4399</v>
      </c>
      <c r="C1232" s="3">
        <v>19773</v>
      </c>
      <c r="D1232" s="3" t="str">
        <f>VLOOKUP(B1232,[1]LifeList!$E$2:$G$2036,1)</f>
        <v>Gray Butcherbird</v>
      </c>
      <c r="E1232" s="3" t="str">
        <f>VLOOKUP(B1232,[1]LifeList!$E$2:$G$2036,2)</f>
        <v>Cassican à collier</v>
      </c>
      <c r="F1232" s="3" t="str">
        <f>VLOOKUP(B1232,[1]LifeList!$E$2:$G$2036,3)</f>
        <v>Cracticus torquatus</v>
      </c>
      <c r="G1232" s="3" t="str">
        <f>VLOOKUP(B1232,[1]LifeList!$E$2:$I$2036,4)</f>
        <v>Passeriformes</v>
      </c>
      <c r="H1232" s="3" t="str">
        <f>VLOOKUP(B1232,[1]LifeList!$E$2:$I$2036,5)</f>
        <v>Artamidae (Woodswallows, Bellmagpies, and Allies)</v>
      </c>
    </row>
    <row r="1233" spans="1:8" x14ac:dyDescent="0.15">
      <c r="A1233" s="3" t="s">
        <v>1212</v>
      </c>
      <c r="B1233" s="3" t="s">
        <v>4400</v>
      </c>
      <c r="C1233" s="3">
        <v>28000</v>
      </c>
      <c r="D1233" s="3" t="str">
        <f>VLOOKUP(B1233,[1]LifeList!$E$2:$G$2036,1)</f>
        <v>Gray Catbird</v>
      </c>
      <c r="E1233" s="3" t="str">
        <f>VLOOKUP(B1233,[1]LifeList!$E$2:$G$2036,2)</f>
        <v>Moqueur chat</v>
      </c>
      <c r="F1233" s="3" t="str">
        <f>VLOOKUP(B1233,[1]LifeList!$E$2:$G$2036,3)</f>
        <v>Dumetella carolinensis</v>
      </c>
      <c r="G1233" s="3" t="str">
        <f>VLOOKUP(B1233,[1]LifeList!$E$2:$I$2036,4)</f>
        <v>Passeriformes</v>
      </c>
      <c r="H1233" s="3" t="str">
        <f>VLOOKUP(B1233,[1]LifeList!$E$2:$I$2036,5)</f>
        <v>Mimidae (Mockingbirds and Thrashers)</v>
      </c>
    </row>
    <row r="1234" spans="1:8" x14ac:dyDescent="0.15">
      <c r="A1234" s="3" t="s">
        <v>1213</v>
      </c>
      <c r="B1234" s="3" t="s">
        <v>4400</v>
      </c>
      <c r="C1234" s="3">
        <v>28000</v>
      </c>
      <c r="D1234" s="3" t="str">
        <f>VLOOKUP(B1234,[1]LifeList!$E$2:$G$2036,1)</f>
        <v>Gray Catbird</v>
      </c>
      <c r="E1234" s="3" t="str">
        <f>VLOOKUP(B1234,[1]LifeList!$E$2:$G$2036,2)</f>
        <v>Moqueur chat</v>
      </c>
      <c r="F1234" s="3" t="str">
        <f>VLOOKUP(B1234,[1]LifeList!$E$2:$G$2036,3)</f>
        <v>Dumetella carolinensis</v>
      </c>
      <c r="G1234" s="3" t="str">
        <f>VLOOKUP(B1234,[1]LifeList!$E$2:$I$2036,4)</f>
        <v>Passeriformes</v>
      </c>
      <c r="H1234" s="3" t="str">
        <f>VLOOKUP(B1234,[1]LifeList!$E$2:$I$2036,5)</f>
        <v>Mimidae (Mockingbirds and Thrashers)</v>
      </c>
    </row>
    <row r="1235" spans="1:8" x14ac:dyDescent="0.15">
      <c r="A1235" s="3" t="s">
        <v>1214</v>
      </c>
      <c r="B1235" s="3" t="s">
        <v>4400</v>
      </c>
      <c r="C1235" s="3">
        <v>28000</v>
      </c>
      <c r="D1235" s="3" t="str">
        <f>VLOOKUP(B1235,[1]LifeList!$E$2:$G$2036,1)</f>
        <v>Gray Catbird</v>
      </c>
      <c r="E1235" s="3" t="str">
        <f>VLOOKUP(B1235,[1]LifeList!$E$2:$G$2036,2)</f>
        <v>Moqueur chat</v>
      </c>
      <c r="F1235" s="3" t="str">
        <f>VLOOKUP(B1235,[1]LifeList!$E$2:$G$2036,3)</f>
        <v>Dumetella carolinensis</v>
      </c>
      <c r="G1235" s="3" t="str">
        <f>VLOOKUP(B1235,[1]LifeList!$E$2:$I$2036,4)</f>
        <v>Passeriformes</v>
      </c>
      <c r="H1235" s="3" t="str">
        <f>VLOOKUP(B1235,[1]LifeList!$E$2:$I$2036,5)</f>
        <v>Mimidae (Mockingbirds and Thrashers)</v>
      </c>
    </row>
    <row r="1236" spans="1:8" x14ac:dyDescent="0.15">
      <c r="A1236" s="3" t="s">
        <v>1215</v>
      </c>
      <c r="B1236" s="3" t="s">
        <v>4400</v>
      </c>
      <c r="C1236" s="3">
        <v>28000</v>
      </c>
      <c r="D1236" s="3" t="str">
        <f>VLOOKUP(B1236,[1]LifeList!$E$2:$G$2036,1)</f>
        <v>Gray Catbird</v>
      </c>
      <c r="E1236" s="3" t="str">
        <f>VLOOKUP(B1236,[1]LifeList!$E$2:$G$2036,2)</f>
        <v>Moqueur chat</v>
      </c>
      <c r="F1236" s="3" t="str">
        <f>VLOOKUP(B1236,[1]LifeList!$E$2:$G$2036,3)</f>
        <v>Dumetella carolinensis</v>
      </c>
      <c r="G1236" s="3" t="str">
        <f>VLOOKUP(B1236,[1]LifeList!$E$2:$I$2036,4)</f>
        <v>Passeriformes</v>
      </c>
      <c r="H1236" s="3" t="str">
        <f>VLOOKUP(B1236,[1]LifeList!$E$2:$I$2036,5)</f>
        <v>Mimidae (Mockingbirds and Thrashers)</v>
      </c>
    </row>
    <row r="1237" spans="1:8" x14ac:dyDescent="0.15">
      <c r="A1237" s="3" t="s">
        <v>1216</v>
      </c>
      <c r="B1237" s="3" t="s">
        <v>4400</v>
      </c>
      <c r="C1237" s="3">
        <v>28000</v>
      </c>
      <c r="D1237" s="3" t="str">
        <f>VLOOKUP(B1237,[1]LifeList!$E$2:$G$2036,1)</f>
        <v>Gray Catbird</v>
      </c>
      <c r="E1237" s="3" t="str">
        <f>VLOOKUP(B1237,[1]LifeList!$E$2:$G$2036,2)</f>
        <v>Moqueur chat</v>
      </c>
      <c r="F1237" s="3" t="str">
        <f>VLOOKUP(B1237,[1]LifeList!$E$2:$G$2036,3)</f>
        <v>Dumetella carolinensis</v>
      </c>
      <c r="G1237" s="3" t="str">
        <f>VLOOKUP(B1237,[1]LifeList!$E$2:$I$2036,4)</f>
        <v>Passeriformes</v>
      </c>
      <c r="H1237" s="3" t="str">
        <f>VLOOKUP(B1237,[1]LifeList!$E$2:$I$2036,5)</f>
        <v>Mimidae (Mockingbirds and Thrashers)</v>
      </c>
    </row>
    <row r="1238" spans="1:8" x14ac:dyDescent="0.15">
      <c r="A1238" s="3" t="s">
        <v>1217</v>
      </c>
      <c r="B1238" s="3" t="s">
        <v>4400</v>
      </c>
      <c r="C1238" s="3">
        <v>28000</v>
      </c>
      <c r="D1238" s="3" t="str">
        <f>VLOOKUP(B1238,[1]LifeList!$E$2:$G$2036,1)</f>
        <v>Gray Catbird</v>
      </c>
      <c r="E1238" s="3" t="str">
        <f>VLOOKUP(B1238,[1]LifeList!$E$2:$G$2036,2)</f>
        <v>Moqueur chat</v>
      </c>
      <c r="F1238" s="3" t="str">
        <f>VLOOKUP(B1238,[1]LifeList!$E$2:$G$2036,3)</f>
        <v>Dumetella carolinensis</v>
      </c>
      <c r="G1238" s="3" t="str">
        <f>VLOOKUP(B1238,[1]LifeList!$E$2:$I$2036,4)</f>
        <v>Passeriformes</v>
      </c>
      <c r="H1238" s="3" t="str">
        <f>VLOOKUP(B1238,[1]LifeList!$E$2:$I$2036,5)</f>
        <v>Mimidae (Mockingbirds and Thrashers)</v>
      </c>
    </row>
    <row r="1239" spans="1:8" x14ac:dyDescent="0.15">
      <c r="A1239" s="3" t="s">
        <v>1218</v>
      </c>
      <c r="B1239" s="3" t="s">
        <v>4400</v>
      </c>
      <c r="C1239" s="3">
        <v>28000</v>
      </c>
      <c r="D1239" s="3" t="str">
        <f>VLOOKUP(B1239,[1]LifeList!$E$2:$G$2036,1)</f>
        <v>Gray Catbird</v>
      </c>
      <c r="E1239" s="3" t="str">
        <f>VLOOKUP(B1239,[1]LifeList!$E$2:$G$2036,2)</f>
        <v>Moqueur chat</v>
      </c>
      <c r="F1239" s="3" t="str">
        <f>VLOOKUP(B1239,[1]LifeList!$E$2:$G$2036,3)</f>
        <v>Dumetella carolinensis</v>
      </c>
      <c r="G1239" s="3" t="str">
        <f>VLOOKUP(B1239,[1]LifeList!$E$2:$I$2036,4)</f>
        <v>Passeriformes</v>
      </c>
      <c r="H1239" s="3" t="str">
        <f>VLOOKUP(B1239,[1]LifeList!$E$2:$I$2036,5)</f>
        <v>Mimidae (Mockingbirds and Thrashers)</v>
      </c>
    </row>
    <row r="1240" spans="1:8" x14ac:dyDescent="0.15">
      <c r="A1240" s="3" t="s">
        <v>1219</v>
      </c>
      <c r="B1240" s="3" t="s">
        <v>4400</v>
      </c>
      <c r="C1240" s="3">
        <v>28000</v>
      </c>
      <c r="D1240" s="3" t="str">
        <f>VLOOKUP(B1240,[1]LifeList!$E$2:$G$2036,1)</f>
        <v>Gray Catbird</v>
      </c>
      <c r="E1240" s="3" t="str">
        <f>VLOOKUP(B1240,[1]LifeList!$E$2:$G$2036,2)</f>
        <v>Moqueur chat</v>
      </c>
      <c r="F1240" s="3" t="str">
        <f>VLOOKUP(B1240,[1]LifeList!$E$2:$G$2036,3)</f>
        <v>Dumetella carolinensis</v>
      </c>
      <c r="G1240" s="3" t="str">
        <f>VLOOKUP(B1240,[1]LifeList!$E$2:$I$2036,4)</f>
        <v>Passeriformes</v>
      </c>
      <c r="H1240" s="3" t="str">
        <f>VLOOKUP(B1240,[1]LifeList!$E$2:$I$2036,5)</f>
        <v>Mimidae (Mockingbirds and Thrashers)</v>
      </c>
    </row>
    <row r="1241" spans="1:8" x14ac:dyDescent="0.15">
      <c r="A1241" s="3" t="s">
        <v>1220</v>
      </c>
      <c r="B1241" s="3" t="s">
        <v>4400</v>
      </c>
      <c r="C1241" s="3">
        <v>28000</v>
      </c>
      <c r="D1241" s="3" t="str">
        <f>VLOOKUP(B1241,[1]LifeList!$E$2:$G$2036,1)</f>
        <v>Gray Catbird</v>
      </c>
      <c r="E1241" s="3" t="str">
        <f>VLOOKUP(B1241,[1]LifeList!$E$2:$G$2036,2)</f>
        <v>Moqueur chat</v>
      </c>
      <c r="F1241" s="3" t="str">
        <f>VLOOKUP(B1241,[1]LifeList!$E$2:$G$2036,3)</f>
        <v>Dumetella carolinensis</v>
      </c>
      <c r="G1241" s="3" t="str">
        <f>VLOOKUP(B1241,[1]LifeList!$E$2:$I$2036,4)</f>
        <v>Passeriformes</v>
      </c>
      <c r="H1241" s="3" t="str">
        <f>VLOOKUP(B1241,[1]LifeList!$E$2:$I$2036,5)</f>
        <v>Mimidae (Mockingbirds and Thrashers)</v>
      </c>
    </row>
    <row r="1242" spans="1:8" x14ac:dyDescent="0.15">
      <c r="A1242" s="3" t="s">
        <v>1221</v>
      </c>
      <c r="B1242" s="3" t="s">
        <v>4400</v>
      </c>
      <c r="C1242" s="3">
        <v>28000</v>
      </c>
      <c r="D1242" s="3" t="str">
        <f>VLOOKUP(B1242,[1]LifeList!$E$2:$G$2036,1)</f>
        <v>Gray Catbird</v>
      </c>
      <c r="E1242" s="3" t="str">
        <f>VLOOKUP(B1242,[1]LifeList!$E$2:$G$2036,2)</f>
        <v>Moqueur chat</v>
      </c>
      <c r="F1242" s="3" t="str">
        <f>VLOOKUP(B1242,[1]LifeList!$E$2:$G$2036,3)</f>
        <v>Dumetella carolinensis</v>
      </c>
      <c r="G1242" s="3" t="str">
        <f>VLOOKUP(B1242,[1]LifeList!$E$2:$I$2036,4)</f>
        <v>Passeriformes</v>
      </c>
      <c r="H1242" s="3" t="str">
        <f>VLOOKUP(B1242,[1]LifeList!$E$2:$I$2036,5)</f>
        <v>Mimidae (Mockingbirds and Thrashers)</v>
      </c>
    </row>
    <row r="1243" spans="1:8" x14ac:dyDescent="0.15">
      <c r="A1243" s="3" t="s">
        <v>1222</v>
      </c>
      <c r="B1243" s="3" t="s">
        <v>4400</v>
      </c>
      <c r="C1243" s="3">
        <v>28000</v>
      </c>
      <c r="D1243" s="3" t="str">
        <f>VLOOKUP(B1243,[1]LifeList!$E$2:$G$2036,1)</f>
        <v>Gray Catbird</v>
      </c>
      <c r="E1243" s="3" t="str">
        <f>VLOOKUP(B1243,[1]LifeList!$E$2:$G$2036,2)</f>
        <v>Moqueur chat</v>
      </c>
      <c r="F1243" s="3" t="str">
        <f>VLOOKUP(B1243,[1]LifeList!$E$2:$G$2036,3)</f>
        <v>Dumetella carolinensis</v>
      </c>
      <c r="G1243" s="3" t="str">
        <f>VLOOKUP(B1243,[1]LifeList!$E$2:$I$2036,4)</f>
        <v>Passeriformes</v>
      </c>
      <c r="H1243" s="3" t="str">
        <f>VLOOKUP(B1243,[1]LifeList!$E$2:$I$2036,5)</f>
        <v>Mimidae (Mockingbirds and Thrashers)</v>
      </c>
    </row>
    <row r="1244" spans="1:8" x14ac:dyDescent="0.15">
      <c r="A1244" s="3" t="s">
        <v>1223</v>
      </c>
      <c r="B1244" s="3" t="s">
        <v>4400</v>
      </c>
      <c r="C1244" s="3">
        <v>28000</v>
      </c>
      <c r="D1244" s="3" t="str">
        <f>VLOOKUP(B1244,[1]LifeList!$E$2:$G$2036,1)</f>
        <v>Gray Catbird</v>
      </c>
      <c r="E1244" s="3" t="str">
        <f>VLOOKUP(B1244,[1]LifeList!$E$2:$G$2036,2)</f>
        <v>Moqueur chat</v>
      </c>
      <c r="F1244" s="3" t="str">
        <f>VLOOKUP(B1244,[1]LifeList!$E$2:$G$2036,3)</f>
        <v>Dumetella carolinensis</v>
      </c>
      <c r="G1244" s="3" t="str">
        <f>VLOOKUP(B1244,[1]LifeList!$E$2:$I$2036,4)</f>
        <v>Passeriformes</v>
      </c>
      <c r="H1244" s="3" t="str">
        <f>VLOOKUP(B1244,[1]LifeList!$E$2:$I$2036,5)</f>
        <v>Mimidae (Mockingbirds and Thrashers)</v>
      </c>
    </row>
    <row r="1245" spans="1:8" x14ac:dyDescent="0.15">
      <c r="A1245" s="3" t="s">
        <v>1224</v>
      </c>
      <c r="B1245" s="3" t="s">
        <v>4400</v>
      </c>
      <c r="C1245" s="3">
        <v>28000</v>
      </c>
      <c r="D1245" s="3" t="str">
        <f>VLOOKUP(B1245,[1]LifeList!$E$2:$G$2036,1)</f>
        <v>Gray Catbird</v>
      </c>
      <c r="E1245" s="3" t="str">
        <f>VLOOKUP(B1245,[1]LifeList!$E$2:$G$2036,2)</f>
        <v>Moqueur chat</v>
      </c>
      <c r="F1245" s="3" t="str">
        <f>VLOOKUP(B1245,[1]LifeList!$E$2:$G$2036,3)</f>
        <v>Dumetella carolinensis</v>
      </c>
      <c r="G1245" s="3" t="str">
        <f>VLOOKUP(B1245,[1]LifeList!$E$2:$I$2036,4)</f>
        <v>Passeriformes</v>
      </c>
      <c r="H1245" s="3" t="str">
        <f>VLOOKUP(B1245,[1]LifeList!$E$2:$I$2036,5)</f>
        <v>Mimidae (Mockingbirds and Thrashers)</v>
      </c>
    </row>
    <row r="1246" spans="1:8" x14ac:dyDescent="0.15">
      <c r="A1246" s="3" t="s">
        <v>1225</v>
      </c>
      <c r="B1246" s="3" t="s">
        <v>4400</v>
      </c>
      <c r="C1246" s="3">
        <v>28000</v>
      </c>
      <c r="D1246" s="3" t="str">
        <f>VLOOKUP(B1246,[1]LifeList!$E$2:$G$2036,1)</f>
        <v>Gray Catbird</v>
      </c>
      <c r="E1246" s="3" t="str">
        <f>VLOOKUP(B1246,[1]LifeList!$E$2:$G$2036,2)</f>
        <v>Moqueur chat</v>
      </c>
      <c r="F1246" s="3" t="str">
        <f>VLOOKUP(B1246,[1]LifeList!$E$2:$G$2036,3)</f>
        <v>Dumetella carolinensis</v>
      </c>
      <c r="G1246" s="3" t="str">
        <f>VLOOKUP(B1246,[1]LifeList!$E$2:$I$2036,4)</f>
        <v>Passeriformes</v>
      </c>
      <c r="H1246" s="3" t="str">
        <f>VLOOKUP(B1246,[1]LifeList!$E$2:$I$2036,5)</f>
        <v>Mimidae (Mockingbirds and Thrashers)</v>
      </c>
    </row>
    <row r="1247" spans="1:8" x14ac:dyDescent="0.15">
      <c r="A1247" s="3" t="s">
        <v>1210</v>
      </c>
      <c r="B1247" s="3" t="s">
        <v>4400</v>
      </c>
      <c r="C1247" s="3">
        <v>28000</v>
      </c>
      <c r="D1247" s="3" t="str">
        <f>VLOOKUP(B1247,[1]LifeList!$E$2:$G$2036,1)</f>
        <v>Gray Catbird</v>
      </c>
      <c r="E1247" s="3" t="str">
        <f>VLOOKUP(B1247,[1]LifeList!$E$2:$G$2036,2)</f>
        <v>Moqueur chat</v>
      </c>
      <c r="F1247" s="3" t="str">
        <f>VLOOKUP(B1247,[1]LifeList!$E$2:$G$2036,3)</f>
        <v>Dumetella carolinensis</v>
      </c>
      <c r="G1247" s="3" t="str">
        <f>VLOOKUP(B1247,[1]LifeList!$E$2:$I$2036,4)</f>
        <v>Passeriformes</v>
      </c>
      <c r="H1247" s="3" t="str">
        <f>VLOOKUP(B1247,[1]LifeList!$E$2:$I$2036,5)</f>
        <v>Mimidae (Mockingbirds and Thrashers)</v>
      </c>
    </row>
    <row r="1248" spans="1:8" x14ac:dyDescent="0.15">
      <c r="A1248" s="3" t="s">
        <v>1211</v>
      </c>
      <c r="B1248" s="3" t="s">
        <v>4400</v>
      </c>
      <c r="C1248" s="3">
        <v>28000</v>
      </c>
      <c r="D1248" s="3" t="str">
        <f>VLOOKUP(B1248,[1]LifeList!$E$2:$G$2036,1)</f>
        <v>Gray Catbird</v>
      </c>
      <c r="E1248" s="3" t="str">
        <f>VLOOKUP(B1248,[1]LifeList!$E$2:$G$2036,2)</f>
        <v>Moqueur chat</v>
      </c>
      <c r="F1248" s="3" t="str">
        <f>VLOOKUP(B1248,[1]LifeList!$E$2:$G$2036,3)</f>
        <v>Dumetella carolinensis</v>
      </c>
      <c r="G1248" s="3" t="str">
        <f>VLOOKUP(B1248,[1]LifeList!$E$2:$I$2036,4)</f>
        <v>Passeriformes</v>
      </c>
      <c r="H1248" s="3" t="str">
        <f>VLOOKUP(B1248,[1]LifeList!$E$2:$I$2036,5)</f>
        <v>Mimidae (Mockingbirds and Thrashers)</v>
      </c>
    </row>
    <row r="1249" spans="1:8" x14ac:dyDescent="0.15">
      <c r="A1249" s="3" t="s">
        <v>1226</v>
      </c>
      <c r="B1249" s="3" t="s">
        <v>4401</v>
      </c>
      <c r="C1249" s="3">
        <v>5690</v>
      </c>
      <c r="D1249" s="3" t="str">
        <f>VLOOKUP(B1249,[1]LifeList!$E$2:$G$2036,1)</f>
        <v>Gray Crowned-Crane</v>
      </c>
      <c r="E1249" s="3" t="str">
        <f>VLOOKUP(B1249,[1]LifeList!$E$2:$G$2036,2)</f>
        <v>Grue royale</v>
      </c>
      <c r="F1249" s="3" t="str">
        <f>VLOOKUP(B1249,[1]LifeList!$E$2:$G$2036,3)</f>
        <v>Balearica regulorum</v>
      </c>
      <c r="G1249" s="3" t="str">
        <f>VLOOKUP(B1249,[1]LifeList!$E$2:$I$2036,4)</f>
        <v>Gruiformes</v>
      </c>
      <c r="H1249" s="3" t="str">
        <f>VLOOKUP(B1249,[1]LifeList!$E$2:$I$2036,5)</f>
        <v>Gruidae (Cranes)</v>
      </c>
    </row>
    <row r="1250" spans="1:8" x14ac:dyDescent="0.15">
      <c r="A1250" s="3" t="s">
        <v>1227</v>
      </c>
      <c r="B1250" s="3" t="s">
        <v>4401</v>
      </c>
      <c r="C1250" s="3">
        <v>5690</v>
      </c>
      <c r="D1250" s="3" t="str">
        <f>VLOOKUP(B1250,[1]LifeList!$E$2:$G$2036,1)</f>
        <v>Gray Crowned-Crane</v>
      </c>
      <c r="E1250" s="3" t="str">
        <f>VLOOKUP(B1250,[1]LifeList!$E$2:$G$2036,2)</f>
        <v>Grue royale</v>
      </c>
      <c r="F1250" s="3" t="str">
        <f>VLOOKUP(B1250,[1]LifeList!$E$2:$G$2036,3)</f>
        <v>Balearica regulorum</v>
      </c>
      <c r="G1250" s="3" t="str">
        <f>VLOOKUP(B1250,[1]LifeList!$E$2:$I$2036,4)</f>
        <v>Gruiformes</v>
      </c>
      <c r="H1250" s="3" t="str">
        <f>VLOOKUP(B1250,[1]LifeList!$E$2:$I$2036,5)</f>
        <v>Gruidae (Cranes)</v>
      </c>
    </row>
    <row r="1251" spans="1:8" x14ac:dyDescent="0.15">
      <c r="A1251" s="3" t="s">
        <v>1228</v>
      </c>
      <c r="B1251" s="3" t="s">
        <v>4402</v>
      </c>
      <c r="C1251" s="3">
        <v>20386</v>
      </c>
      <c r="D1251" s="3" t="str">
        <f>VLOOKUP(B1251,[1]LifeList!$E$2:$G$2036,1)</f>
        <v>Gray Fantail</v>
      </c>
      <c r="E1251" s="3" t="str">
        <f>VLOOKUP(B1251,[1]LifeList!$E$2:$G$2036,2)</f>
        <v>Rhipidure gris</v>
      </c>
      <c r="F1251" s="3" t="str">
        <f>VLOOKUP(B1251,[1]LifeList!$E$2:$G$2036,3)</f>
        <v>Rhipidura albiscapa</v>
      </c>
      <c r="G1251" s="3" t="str">
        <f>VLOOKUP(B1251,[1]LifeList!$E$2:$I$2036,4)</f>
        <v>Passeriformes</v>
      </c>
      <c r="H1251" s="3" t="str">
        <f>VLOOKUP(B1251,[1]LifeList!$E$2:$I$2036,5)</f>
        <v>Rhipiduridae (Fantails)</v>
      </c>
    </row>
    <row r="1252" spans="1:8" x14ac:dyDescent="0.15">
      <c r="A1252" s="3" t="s">
        <v>1229</v>
      </c>
      <c r="B1252" s="3" t="s">
        <v>4402</v>
      </c>
      <c r="C1252" s="3">
        <v>20386</v>
      </c>
      <c r="D1252" s="3" t="str">
        <f>VLOOKUP(B1252,[1]LifeList!$E$2:$G$2036,1)</f>
        <v>Gray Fantail</v>
      </c>
      <c r="E1252" s="3" t="str">
        <f>VLOOKUP(B1252,[1]LifeList!$E$2:$G$2036,2)</f>
        <v>Rhipidure gris</v>
      </c>
      <c r="F1252" s="3" t="str">
        <f>VLOOKUP(B1252,[1]LifeList!$E$2:$G$2036,3)</f>
        <v>Rhipidura albiscapa</v>
      </c>
      <c r="G1252" s="3" t="str">
        <f>VLOOKUP(B1252,[1]LifeList!$E$2:$I$2036,4)</f>
        <v>Passeriformes</v>
      </c>
      <c r="H1252" s="3" t="str">
        <f>VLOOKUP(B1252,[1]LifeList!$E$2:$I$2036,5)</f>
        <v>Rhipiduridae (Fantails)</v>
      </c>
    </row>
    <row r="1253" spans="1:8" x14ac:dyDescent="0.15">
      <c r="A1253" s="3" t="s">
        <v>1230</v>
      </c>
      <c r="B1253" s="3" t="s">
        <v>4403</v>
      </c>
      <c r="C1253" s="3">
        <v>1639</v>
      </c>
      <c r="D1253" s="3" t="str">
        <f>VLOOKUP(B1253,[1]LifeList!$E$2:$G$2036,1)</f>
        <v>Gray Francolin</v>
      </c>
      <c r="E1253" s="3" t="str">
        <f>VLOOKUP(B1253,[1]LifeList!$E$2:$G$2036,2)</f>
        <v>Francolin gris</v>
      </c>
      <c r="F1253" s="3" t="str">
        <f>VLOOKUP(B1253,[1]LifeList!$E$2:$G$2036,3)</f>
        <v>Ortygornis pondicerianus</v>
      </c>
      <c r="G1253" s="3" t="str">
        <f>VLOOKUP(B1253,[1]LifeList!$E$2:$I$2036,4)</f>
        <v>Galliformes</v>
      </c>
      <c r="H1253" s="3" t="str">
        <f>VLOOKUP(B1253,[1]LifeList!$E$2:$I$2036,5)</f>
        <v>Phasianidae (Pheasants, Grouse, and Allies)</v>
      </c>
    </row>
    <row r="1254" spans="1:8" x14ac:dyDescent="0.15">
      <c r="A1254" s="3" t="s">
        <v>3854</v>
      </c>
      <c r="B1254" s="3" t="s">
        <v>4404</v>
      </c>
      <c r="C1254" s="3">
        <v>2970</v>
      </c>
      <c r="D1254" s="3" t="str">
        <f>VLOOKUP(B1254,[1]LifeList!$E$2:$G$2036,1)</f>
        <v>Gray Go-away-bird</v>
      </c>
      <c r="E1254" s="3" t="str">
        <f>VLOOKUP(B1254,[1]LifeList!$E$2:$G$2036,2)</f>
        <v>Touraco concolore</v>
      </c>
      <c r="F1254" s="3" t="str">
        <f>VLOOKUP(B1254,[1]LifeList!$E$2:$G$2036,3)</f>
        <v>Crinifer concolor</v>
      </c>
      <c r="G1254" s="3" t="str">
        <f>VLOOKUP(B1254,[1]LifeList!$E$2:$I$2036,4)</f>
        <v>Musophagiformes</v>
      </c>
      <c r="H1254" s="3" t="str">
        <f>VLOOKUP(B1254,[1]LifeList!$E$2:$I$2036,5)</f>
        <v>Musophagidae (Turacos)</v>
      </c>
    </row>
    <row r="1255" spans="1:8" x14ac:dyDescent="0.15">
      <c r="A1255" s="3" t="s">
        <v>1231</v>
      </c>
      <c r="B1255" s="3" t="s">
        <v>4405</v>
      </c>
      <c r="C1255" s="3">
        <v>8473</v>
      </c>
      <c r="D1255" s="3" t="str">
        <f>VLOOKUP(B1255,[1]LifeList!$E$2:$G$2036,1)</f>
        <v>Gray Hawk</v>
      </c>
      <c r="E1255" s="3" t="str">
        <f>VLOOKUP(B1255,[1]LifeList!$E$2:$G$2036,2)</f>
        <v>Buse grise</v>
      </c>
      <c r="F1255" s="3" t="str">
        <f>VLOOKUP(B1255,[1]LifeList!$E$2:$G$2036,3)</f>
        <v>Buteo plagiatus</v>
      </c>
      <c r="G1255" s="3" t="str">
        <f>VLOOKUP(B1255,[1]LifeList!$E$2:$I$2036,4)</f>
        <v>Accipitriformes</v>
      </c>
      <c r="H1255" s="3" t="str">
        <f>VLOOKUP(B1255,[1]LifeList!$E$2:$I$2036,5)</f>
        <v>Accipitridae (Hawks, Eagles, and Kites)</v>
      </c>
    </row>
    <row r="1256" spans="1:8" x14ac:dyDescent="0.15">
      <c r="A1256" s="3" t="s">
        <v>1232</v>
      </c>
      <c r="B1256" s="3" t="s">
        <v>4405</v>
      </c>
      <c r="C1256" s="3">
        <v>8473</v>
      </c>
      <c r="D1256" s="3" t="str">
        <f>VLOOKUP(B1256,[1]LifeList!$E$2:$G$2036,1)</f>
        <v>Gray Hawk</v>
      </c>
      <c r="E1256" s="3" t="str">
        <f>VLOOKUP(B1256,[1]LifeList!$E$2:$G$2036,2)</f>
        <v>Buse grise</v>
      </c>
      <c r="F1256" s="3" t="str">
        <f>VLOOKUP(B1256,[1]LifeList!$E$2:$G$2036,3)</f>
        <v>Buteo plagiatus</v>
      </c>
      <c r="G1256" s="3" t="str">
        <f>VLOOKUP(B1256,[1]LifeList!$E$2:$I$2036,4)</f>
        <v>Accipitriformes</v>
      </c>
      <c r="H1256" s="3" t="str">
        <f>VLOOKUP(B1256,[1]LifeList!$E$2:$I$2036,5)</f>
        <v>Accipitridae (Hawks, Eagles, and Kites)</v>
      </c>
    </row>
    <row r="1257" spans="1:8" x14ac:dyDescent="0.15">
      <c r="A1257" s="3" t="s">
        <v>1233</v>
      </c>
      <c r="B1257" s="3" t="s">
        <v>4405</v>
      </c>
      <c r="C1257" s="3">
        <v>8473</v>
      </c>
      <c r="D1257" s="3" t="str">
        <f>VLOOKUP(B1257,[1]LifeList!$E$2:$G$2036,1)</f>
        <v>Gray Hawk</v>
      </c>
      <c r="E1257" s="3" t="str">
        <f>VLOOKUP(B1257,[1]LifeList!$E$2:$G$2036,2)</f>
        <v>Buse grise</v>
      </c>
      <c r="F1257" s="3" t="str">
        <f>VLOOKUP(B1257,[1]LifeList!$E$2:$G$2036,3)</f>
        <v>Buteo plagiatus</v>
      </c>
      <c r="G1257" s="3" t="str">
        <f>VLOOKUP(B1257,[1]LifeList!$E$2:$I$2036,4)</f>
        <v>Accipitriformes</v>
      </c>
      <c r="H1257" s="3" t="str">
        <f>VLOOKUP(B1257,[1]LifeList!$E$2:$I$2036,5)</f>
        <v>Accipitridae (Hawks, Eagles, and Kites)</v>
      </c>
    </row>
    <row r="1258" spans="1:8" x14ac:dyDescent="0.15">
      <c r="A1258" s="3" t="s">
        <v>1234</v>
      </c>
      <c r="B1258" s="3" t="s">
        <v>4405</v>
      </c>
      <c r="C1258" s="3">
        <v>8473</v>
      </c>
      <c r="D1258" s="3" t="str">
        <f>VLOOKUP(B1258,[1]LifeList!$E$2:$G$2036,1)</f>
        <v>Gray Hawk</v>
      </c>
      <c r="E1258" s="3" t="str">
        <f>VLOOKUP(B1258,[1]LifeList!$E$2:$G$2036,2)</f>
        <v>Buse grise</v>
      </c>
      <c r="F1258" s="3" t="str">
        <f>VLOOKUP(B1258,[1]LifeList!$E$2:$G$2036,3)</f>
        <v>Buteo plagiatus</v>
      </c>
      <c r="G1258" s="3" t="str">
        <f>VLOOKUP(B1258,[1]LifeList!$E$2:$I$2036,4)</f>
        <v>Accipitriformes</v>
      </c>
      <c r="H1258" s="3" t="str">
        <f>VLOOKUP(B1258,[1]LifeList!$E$2:$I$2036,5)</f>
        <v>Accipitridae (Hawks, Eagles, and Kites)</v>
      </c>
    </row>
    <row r="1259" spans="1:8" x14ac:dyDescent="0.15">
      <c r="A1259" s="3" t="s">
        <v>1235</v>
      </c>
      <c r="B1259" s="3" t="s">
        <v>4406</v>
      </c>
      <c r="C1259" s="3">
        <v>7745</v>
      </c>
      <c r="D1259" s="3" t="str">
        <f>VLOOKUP(B1259,[1]LifeList!$E$2:$G$2036,1)</f>
        <v>Gray Heron</v>
      </c>
      <c r="E1259" s="3" t="str">
        <f>VLOOKUP(B1259,[1]LifeList!$E$2:$G$2036,2)</f>
        <v>Héron cendré</v>
      </c>
      <c r="F1259" s="3" t="str">
        <f>VLOOKUP(B1259,[1]LifeList!$E$2:$G$2036,3)</f>
        <v>Ardea cinerea</v>
      </c>
      <c r="G1259" s="3" t="str">
        <f>VLOOKUP(B1259,[1]LifeList!$E$2:$I$2036,4)</f>
        <v>Pelecaniformes</v>
      </c>
      <c r="H1259" s="3" t="str">
        <f>VLOOKUP(B1259,[1]LifeList!$E$2:$I$2036,5)</f>
        <v>Ardeidae (Herons, Egrets, and Bitterns)</v>
      </c>
    </row>
    <row r="1260" spans="1:8" x14ac:dyDescent="0.15">
      <c r="A1260" s="3" t="s">
        <v>1236</v>
      </c>
      <c r="B1260" s="3" t="s">
        <v>4406</v>
      </c>
      <c r="C1260" s="3">
        <v>7745</v>
      </c>
      <c r="D1260" s="3" t="str">
        <f>VLOOKUP(B1260,[1]LifeList!$E$2:$G$2036,1)</f>
        <v>Gray Heron</v>
      </c>
      <c r="E1260" s="3" t="str">
        <f>VLOOKUP(B1260,[1]LifeList!$E$2:$G$2036,2)</f>
        <v>Héron cendré</v>
      </c>
      <c r="F1260" s="3" t="str">
        <f>VLOOKUP(B1260,[1]LifeList!$E$2:$G$2036,3)</f>
        <v>Ardea cinerea</v>
      </c>
      <c r="G1260" s="3" t="str">
        <f>VLOOKUP(B1260,[1]LifeList!$E$2:$I$2036,4)</f>
        <v>Pelecaniformes</v>
      </c>
      <c r="H1260" s="3" t="str">
        <f>VLOOKUP(B1260,[1]LifeList!$E$2:$I$2036,5)</f>
        <v>Ardeidae (Herons, Egrets, and Bitterns)</v>
      </c>
    </row>
    <row r="1261" spans="1:8" x14ac:dyDescent="0.15">
      <c r="A1261" s="3" t="s">
        <v>1237</v>
      </c>
      <c r="B1261" s="3" t="s">
        <v>4407</v>
      </c>
      <c r="C1261" s="3">
        <v>17474</v>
      </c>
      <c r="D1261" s="3" t="str">
        <f>VLOOKUP(B1261,[1]LifeList!$E$2:$G$2036,1)</f>
        <v>Gray Kingbird</v>
      </c>
      <c r="E1261" s="3" t="str">
        <f>VLOOKUP(B1261,[1]LifeList!$E$2:$G$2036,2)</f>
        <v>Tyran gris</v>
      </c>
      <c r="F1261" s="3" t="str">
        <f>VLOOKUP(B1261,[1]LifeList!$E$2:$G$2036,3)</f>
        <v>Tyrannus dominicensis</v>
      </c>
      <c r="G1261" s="3" t="str">
        <f>VLOOKUP(B1261,[1]LifeList!$E$2:$I$2036,4)</f>
        <v>Passeriformes</v>
      </c>
      <c r="H1261" s="3" t="str">
        <f>VLOOKUP(B1261,[1]LifeList!$E$2:$I$2036,5)</f>
        <v>Tyrannidae (Tyrant Flycatchers)</v>
      </c>
    </row>
    <row r="1262" spans="1:8" x14ac:dyDescent="0.15">
      <c r="A1262" s="3" t="s">
        <v>1238</v>
      </c>
      <c r="B1262" s="3" t="s">
        <v>4407</v>
      </c>
      <c r="C1262" s="3">
        <v>17474</v>
      </c>
      <c r="D1262" s="3" t="str">
        <f>VLOOKUP(B1262,[1]LifeList!$E$2:$G$2036,1)</f>
        <v>Gray Kingbird</v>
      </c>
      <c r="E1262" s="3" t="str">
        <f>VLOOKUP(B1262,[1]LifeList!$E$2:$G$2036,2)</f>
        <v>Tyran gris</v>
      </c>
      <c r="F1262" s="3" t="str">
        <f>VLOOKUP(B1262,[1]LifeList!$E$2:$G$2036,3)</f>
        <v>Tyrannus dominicensis</v>
      </c>
      <c r="G1262" s="3" t="str">
        <f>VLOOKUP(B1262,[1]LifeList!$E$2:$I$2036,4)</f>
        <v>Passeriformes</v>
      </c>
      <c r="H1262" s="3" t="str">
        <f>VLOOKUP(B1262,[1]LifeList!$E$2:$I$2036,5)</f>
        <v>Tyrannidae (Tyrant Flycatchers)</v>
      </c>
    </row>
    <row r="1263" spans="1:8" x14ac:dyDescent="0.15">
      <c r="A1263" s="3" t="s">
        <v>1239</v>
      </c>
      <c r="B1263" s="3" t="s">
        <v>4407</v>
      </c>
      <c r="C1263" s="3">
        <v>17474</v>
      </c>
      <c r="D1263" s="3" t="str">
        <f>VLOOKUP(B1263,[1]LifeList!$E$2:$G$2036,1)</f>
        <v>Gray Kingbird</v>
      </c>
      <c r="E1263" s="3" t="str">
        <f>VLOOKUP(B1263,[1]LifeList!$E$2:$G$2036,2)</f>
        <v>Tyran gris</v>
      </c>
      <c r="F1263" s="3" t="str">
        <f>VLOOKUP(B1263,[1]LifeList!$E$2:$G$2036,3)</f>
        <v>Tyrannus dominicensis</v>
      </c>
      <c r="G1263" s="3" t="str">
        <f>VLOOKUP(B1263,[1]LifeList!$E$2:$I$2036,4)</f>
        <v>Passeriformes</v>
      </c>
      <c r="H1263" s="3" t="str">
        <f>VLOOKUP(B1263,[1]LifeList!$E$2:$I$2036,5)</f>
        <v>Tyrannidae (Tyrant Flycatchers)</v>
      </c>
    </row>
    <row r="1264" spans="1:8" x14ac:dyDescent="0.15">
      <c r="A1264" s="3" t="s">
        <v>1240</v>
      </c>
      <c r="B1264" s="3" t="s">
        <v>4407</v>
      </c>
      <c r="C1264" s="3">
        <v>17474</v>
      </c>
      <c r="D1264" s="3" t="str">
        <f>VLOOKUP(B1264,[1]LifeList!$E$2:$G$2036,1)</f>
        <v>Gray Kingbird</v>
      </c>
      <c r="E1264" s="3" t="str">
        <f>VLOOKUP(B1264,[1]LifeList!$E$2:$G$2036,2)</f>
        <v>Tyran gris</v>
      </c>
      <c r="F1264" s="3" t="str">
        <f>VLOOKUP(B1264,[1]LifeList!$E$2:$G$2036,3)</f>
        <v>Tyrannus dominicensis</v>
      </c>
      <c r="G1264" s="3" t="str">
        <f>VLOOKUP(B1264,[1]LifeList!$E$2:$I$2036,4)</f>
        <v>Passeriformes</v>
      </c>
      <c r="H1264" s="3" t="str">
        <f>VLOOKUP(B1264,[1]LifeList!$E$2:$I$2036,5)</f>
        <v>Tyrannidae (Tyrant Flycatchers)</v>
      </c>
    </row>
    <row r="1265" spans="1:8" x14ac:dyDescent="0.15">
      <c r="A1265" s="3" t="s">
        <v>1241</v>
      </c>
      <c r="B1265" s="3" t="s">
        <v>4407</v>
      </c>
      <c r="C1265" s="3">
        <v>17474</v>
      </c>
      <c r="D1265" s="3" t="str">
        <f>VLOOKUP(B1265,[1]LifeList!$E$2:$G$2036,1)</f>
        <v>Gray Kingbird</v>
      </c>
      <c r="E1265" s="3" t="str">
        <f>VLOOKUP(B1265,[1]LifeList!$E$2:$G$2036,2)</f>
        <v>Tyran gris</v>
      </c>
      <c r="F1265" s="3" t="str">
        <f>VLOOKUP(B1265,[1]LifeList!$E$2:$G$2036,3)</f>
        <v>Tyrannus dominicensis</v>
      </c>
      <c r="G1265" s="3" t="str">
        <f>VLOOKUP(B1265,[1]LifeList!$E$2:$I$2036,4)</f>
        <v>Passeriformes</v>
      </c>
      <c r="H1265" s="3" t="str">
        <f>VLOOKUP(B1265,[1]LifeList!$E$2:$I$2036,5)</f>
        <v>Tyrannidae (Tyrant Flycatchers)</v>
      </c>
    </row>
    <row r="1266" spans="1:8" x14ac:dyDescent="0.15">
      <c r="A1266" s="3" t="s">
        <v>1242</v>
      </c>
      <c r="B1266" s="3" t="s">
        <v>4408</v>
      </c>
      <c r="C1266" s="3">
        <v>19318</v>
      </c>
      <c r="D1266" s="3" t="str">
        <f>VLOOKUP(B1266,[1]LifeList!$E$2:$G$2036,1)</f>
        <v>Gray Shrikethrush</v>
      </c>
      <c r="E1266" s="3" t="str">
        <f>VLOOKUP(B1266,[1]LifeList!$E$2:$G$2036,2)</f>
        <v>Siffleur gris</v>
      </c>
      <c r="F1266" s="3" t="str">
        <f>VLOOKUP(B1266,[1]LifeList!$E$2:$G$2036,3)</f>
        <v>Colluricincla harmonica</v>
      </c>
      <c r="G1266" s="3" t="str">
        <f>VLOOKUP(B1266,[1]LifeList!$E$2:$I$2036,4)</f>
        <v>Passeriformes</v>
      </c>
      <c r="H1266" s="3" t="str">
        <f>VLOOKUP(B1266,[1]LifeList!$E$2:$I$2036,5)</f>
        <v>Pachycephalidae (Whistlers and Allies)</v>
      </c>
    </row>
    <row r="1267" spans="1:8" x14ac:dyDescent="0.15">
      <c r="A1267" s="3" t="s">
        <v>1180</v>
      </c>
      <c r="B1267" s="3" t="s">
        <v>4409</v>
      </c>
      <c r="C1267" s="3">
        <v>21134</v>
      </c>
      <c r="D1267" s="3" t="str">
        <f>VLOOKUP(B1267,[1]LifeList!$E$2:$G$2036,1)</f>
        <v>Gray-backed Fiscal</v>
      </c>
      <c r="E1267" s="3" t="str">
        <f>VLOOKUP(B1267,[1]LifeList!$E$2:$G$2036,2)</f>
        <v>Pie-grièche à dos gris</v>
      </c>
      <c r="F1267" s="3" t="str">
        <f>VLOOKUP(B1267,[1]LifeList!$E$2:$G$2036,3)</f>
        <v>Lanius excubitoroides</v>
      </c>
      <c r="G1267" s="3" t="str">
        <f>VLOOKUP(B1267,[1]LifeList!$E$2:$I$2036,4)</f>
        <v>Passeriformes</v>
      </c>
      <c r="H1267" s="3" t="str">
        <f>VLOOKUP(B1267,[1]LifeList!$E$2:$I$2036,5)</f>
        <v>Laniidae (Shrikes)</v>
      </c>
    </row>
    <row r="1268" spans="1:8" x14ac:dyDescent="0.15">
      <c r="A1268" s="3" t="s">
        <v>1181</v>
      </c>
      <c r="B1268" s="3" t="s">
        <v>4410</v>
      </c>
      <c r="C1268" s="3">
        <v>22423</v>
      </c>
      <c r="D1268" s="3" t="str">
        <f>VLOOKUP(B1268,[1]LifeList!$E$2:$G$2036,1)</f>
        <v>Gray-backed Sparrow-Lark</v>
      </c>
      <c r="E1268" s="3" t="str">
        <f>VLOOKUP(B1268,[1]LifeList!$E$2:$G$2036,2)</f>
        <v>Moinelette à dos gris</v>
      </c>
      <c r="F1268" s="3" t="str">
        <f>VLOOKUP(B1268,[1]LifeList!$E$2:$G$2036,3)</f>
        <v>Eremopterix verticalis</v>
      </c>
      <c r="G1268" s="3" t="str">
        <f>VLOOKUP(B1268,[1]LifeList!$E$2:$I$2036,4)</f>
        <v>Passeriformes</v>
      </c>
      <c r="H1268" s="3" t="str">
        <f>VLOOKUP(B1268,[1]LifeList!$E$2:$I$2036,5)</f>
        <v>Alaudidae (Larks)</v>
      </c>
    </row>
    <row r="1269" spans="1:8" x14ac:dyDescent="0.15">
      <c r="A1269" s="3" t="s">
        <v>1182</v>
      </c>
      <c r="B1269" s="3" t="s">
        <v>4411</v>
      </c>
      <c r="C1269" s="3">
        <v>27612</v>
      </c>
      <c r="D1269" s="3" t="str">
        <f>VLOOKUP(B1269,[1]LifeList!$E$2:$G$2036,1)</f>
        <v>Gray-breasted Wood-Wren</v>
      </c>
      <c r="E1269" s="3" t="str">
        <f>VLOOKUP(B1269,[1]LifeList!$E$2:$G$2036,2)</f>
        <v>Troglodyte à poitrine grise</v>
      </c>
      <c r="F1269" s="3" t="str">
        <f>VLOOKUP(B1269,[1]LifeList!$E$2:$G$2036,3)</f>
        <v>Henicorhina leucophrys</v>
      </c>
      <c r="G1269" s="3" t="str">
        <f>VLOOKUP(B1269,[1]LifeList!$E$2:$I$2036,4)</f>
        <v>Passeriformes</v>
      </c>
      <c r="H1269" s="3" t="str">
        <f>VLOOKUP(B1269,[1]LifeList!$E$2:$I$2036,5)</f>
        <v>Troglodytidae (Wrens)</v>
      </c>
    </row>
    <row r="1270" spans="1:8" x14ac:dyDescent="0.15">
      <c r="A1270" s="3" t="s">
        <v>1183</v>
      </c>
      <c r="B1270" s="3" t="s">
        <v>4411</v>
      </c>
      <c r="C1270" s="3">
        <v>27612</v>
      </c>
      <c r="D1270" s="3" t="str">
        <f>VLOOKUP(B1270,[1]LifeList!$E$2:$G$2036,1)</f>
        <v>Gray-breasted Wood-Wren</v>
      </c>
      <c r="E1270" s="3" t="str">
        <f>VLOOKUP(B1270,[1]LifeList!$E$2:$G$2036,2)</f>
        <v>Troglodyte à poitrine grise</v>
      </c>
      <c r="F1270" s="3" t="str">
        <f>VLOOKUP(B1270,[1]LifeList!$E$2:$G$2036,3)</f>
        <v>Henicorhina leucophrys</v>
      </c>
      <c r="G1270" s="3" t="str">
        <f>VLOOKUP(B1270,[1]LifeList!$E$2:$I$2036,4)</f>
        <v>Passeriformes</v>
      </c>
      <c r="H1270" s="3" t="str">
        <f>VLOOKUP(B1270,[1]LifeList!$E$2:$I$2036,5)</f>
        <v>Troglodytidae (Wrens)</v>
      </c>
    </row>
    <row r="1271" spans="1:8" x14ac:dyDescent="0.15">
      <c r="A1271" s="3" t="s">
        <v>1184</v>
      </c>
      <c r="B1271" s="3" t="s">
        <v>4412</v>
      </c>
      <c r="C1271" s="3">
        <v>33041</v>
      </c>
      <c r="D1271" s="3" t="str">
        <f>VLOOKUP(B1271,[1]LifeList!$E$2:$G$2036,1)</f>
        <v>Gray-browed Brushfinch</v>
      </c>
      <c r="E1271" s="3" t="str">
        <f>VLOOKUP(B1271,[1]LifeList!$E$2:$G$2036,2)</f>
        <v>Tohi à raies grises</v>
      </c>
      <c r="F1271" s="3" t="str">
        <f>VLOOKUP(B1271,[1]LifeList!$E$2:$G$2036,3)</f>
        <v>Arremon assimilis</v>
      </c>
      <c r="G1271" s="3" t="str">
        <f>VLOOKUP(B1271,[1]LifeList!$E$2:$I$2036,4)</f>
        <v>Passeriformes</v>
      </c>
      <c r="H1271" s="3" t="str">
        <f>VLOOKUP(B1271,[1]LifeList!$E$2:$I$2036,5)</f>
        <v>Passerellidae (New World Sparrows)</v>
      </c>
    </row>
    <row r="1272" spans="1:8" x14ac:dyDescent="0.15">
      <c r="A1272" s="3" t="s">
        <v>1185</v>
      </c>
      <c r="B1272" s="3" t="s">
        <v>4412</v>
      </c>
      <c r="C1272" s="3">
        <v>33041</v>
      </c>
      <c r="D1272" s="3" t="str">
        <f>VLOOKUP(B1272,[1]LifeList!$E$2:$G$2036,1)</f>
        <v>Gray-browed Brushfinch</v>
      </c>
      <c r="E1272" s="3" t="str">
        <f>VLOOKUP(B1272,[1]LifeList!$E$2:$G$2036,2)</f>
        <v>Tohi à raies grises</v>
      </c>
      <c r="F1272" s="3" t="str">
        <f>VLOOKUP(B1272,[1]LifeList!$E$2:$G$2036,3)</f>
        <v>Arremon assimilis</v>
      </c>
      <c r="G1272" s="3" t="str">
        <f>VLOOKUP(B1272,[1]LifeList!$E$2:$I$2036,4)</f>
        <v>Passeriformes</v>
      </c>
      <c r="H1272" s="3" t="str">
        <f>VLOOKUP(B1272,[1]LifeList!$E$2:$I$2036,5)</f>
        <v>Passerellidae (New World Sparrows)</v>
      </c>
    </row>
    <row r="1273" spans="1:8" x14ac:dyDescent="0.15">
      <c r="A1273" s="3" t="s">
        <v>1186</v>
      </c>
      <c r="B1273" s="3" t="s">
        <v>4413</v>
      </c>
      <c r="C1273" s="3">
        <v>17403</v>
      </c>
      <c r="D1273" s="3" t="str">
        <f>VLOOKUP(B1273,[1]LifeList!$E$2:$G$2036,1)</f>
        <v>Gray-capped Flycatcher</v>
      </c>
      <c r="E1273" s="3" t="str">
        <f>VLOOKUP(B1273,[1]LifeList!$E$2:$G$2036,2)</f>
        <v>Tyran à tête grise</v>
      </c>
      <c r="F1273" s="3" t="str">
        <f>VLOOKUP(B1273,[1]LifeList!$E$2:$G$2036,3)</f>
        <v>Myiozetetes granadensis</v>
      </c>
      <c r="G1273" s="3" t="str">
        <f>VLOOKUP(B1273,[1]LifeList!$E$2:$I$2036,4)</f>
        <v>Passeriformes</v>
      </c>
      <c r="H1273" s="3" t="str">
        <f>VLOOKUP(B1273,[1]LifeList!$E$2:$I$2036,5)</f>
        <v>Tyrannidae (Tyrant Flycatchers)</v>
      </c>
    </row>
    <row r="1274" spans="1:8" x14ac:dyDescent="0.15">
      <c r="A1274" s="3" t="s">
        <v>1187</v>
      </c>
      <c r="B1274" s="3" t="s">
        <v>4414</v>
      </c>
      <c r="C1274" s="3">
        <v>10445</v>
      </c>
      <c r="D1274" s="3" t="str">
        <f>VLOOKUP(B1274,[1]LifeList!$E$2:$G$2036,1)</f>
        <v>Gray-cheeked Nunlet</v>
      </c>
      <c r="E1274" s="3" t="str">
        <f>VLOOKUP(B1274,[1]LifeList!$E$2:$G$2036,2)</f>
        <v>Barbacou à joues grises</v>
      </c>
      <c r="F1274" s="3" t="str">
        <f>VLOOKUP(B1274,[1]LifeList!$E$2:$G$2036,3)</f>
        <v>Nonnula frontalis</v>
      </c>
      <c r="G1274" s="3" t="str">
        <f>VLOOKUP(B1274,[1]LifeList!$E$2:$I$2036,4)</f>
        <v>Piciformes</v>
      </c>
      <c r="H1274" s="3" t="str">
        <f>VLOOKUP(B1274,[1]LifeList!$E$2:$I$2036,5)</f>
        <v>Bucconidae (Puffbirds)</v>
      </c>
    </row>
    <row r="1275" spans="1:8" x14ac:dyDescent="0.15">
      <c r="A1275" s="3" t="s">
        <v>1188</v>
      </c>
      <c r="B1275" s="3" t="s">
        <v>4415</v>
      </c>
      <c r="C1275" s="3">
        <v>5441</v>
      </c>
      <c r="D1275" s="3" t="str">
        <f>VLOOKUP(B1275,[1]LifeList!$E$2:$G$2036,1)</f>
        <v>Gray-cowled Wood-Rail</v>
      </c>
      <c r="E1275" s="3" t="str">
        <f>VLOOKUP(B1275,[1]LifeList!$E$2:$G$2036,2)</f>
        <v>Râle de Cayenne</v>
      </c>
      <c r="F1275" s="3" t="str">
        <f>VLOOKUP(B1275,[1]LifeList!$E$2:$G$2036,3)</f>
        <v>Aramides cajaneus</v>
      </c>
      <c r="G1275" s="3" t="str">
        <f>VLOOKUP(B1275,[1]LifeList!$E$2:$I$2036,4)</f>
        <v>Gruiformes</v>
      </c>
      <c r="H1275" s="3" t="str">
        <f>VLOOKUP(B1275,[1]LifeList!$E$2:$I$2036,5)</f>
        <v>Rallidae (Rails, Gallinules, and Coots)</v>
      </c>
    </row>
    <row r="1276" spans="1:8" x14ac:dyDescent="0.15">
      <c r="A1276" s="3" t="s">
        <v>1189</v>
      </c>
      <c r="B1276" s="3" t="s">
        <v>4416</v>
      </c>
      <c r="C1276" s="3">
        <v>954</v>
      </c>
      <c r="D1276" s="3" t="str">
        <f>VLOOKUP(B1276,[1]LifeList!$E$2:$G$2036,1)</f>
        <v>Gray-headed Chachalaca</v>
      </c>
      <c r="E1276" s="3" t="str">
        <f>VLOOKUP(B1276,[1]LifeList!$E$2:$G$2036,2)</f>
        <v>Ortalide à tête grise</v>
      </c>
      <c r="F1276" s="3" t="str">
        <f>VLOOKUP(B1276,[1]LifeList!$E$2:$G$2036,3)</f>
        <v>Ortalis cinereiceps</v>
      </c>
      <c r="G1276" s="3" t="str">
        <f>VLOOKUP(B1276,[1]LifeList!$E$2:$I$2036,4)</f>
        <v>Galliformes</v>
      </c>
      <c r="H1276" s="3" t="str">
        <f>VLOOKUP(B1276,[1]LifeList!$E$2:$I$2036,5)</f>
        <v>Cracidae (Guans, Chachalacas, and Curassows)</v>
      </c>
    </row>
    <row r="1277" spans="1:8" x14ac:dyDescent="0.15">
      <c r="A1277" s="3" t="s">
        <v>1190</v>
      </c>
      <c r="B1277" s="3" t="s">
        <v>4416</v>
      </c>
      <c r="C1277" s="3">
        <v>954</v>
      </c>
      <c r="D1277" s="3" t="str">
        <f>VLOOKUP(B1277,[1]LifeList!$E$2:$G$2036,1)</f>
        <v>Gray-headed Chachalaca</v>
      </c>
      <c r="E1277" s="3" t="str">
        <f>VLOOKUP(B1277,[1]LifeList!$E$2:$G$2036,2)</f>
        <v>Ortalide à tête grise</v>
      </c>
      <c r="F1277" s="3" t="str">
        <f>VLOOKUP(B1277,[1]LifeList!$E$2:$G$2036,3)</f>
        <v>Ortalis cinereiceps</v>
      </c>
      <c r="G1277" s="3" t="str">
        <f>VLOOKUP(B1277,[1]LifeList!$E$2:$I$2036,4)</f>
        <v>Galliformes</v>
      </c>
      <c r="H1277" s="3" t="str">
        <f>VLOOKUP(B1277,[1]LifeList!$E$2:$I$2036,5)</f>
        <v>Cracidae (Guans, Chachalacas, and Curassows)</v>
      </c>
    </row>
    <row r="1278" spans="1:8" x14ac:dyDescent="0.15">
      <c r="A1278" s="3" t="s">
        <v>1191</v>
      </c>
      <c r="B1278" s="3" t="s">
        <v>4416</v>
      </c>
      <c r="C1278" s="3">
        <v>954</v>
      </c>
      <c r="D1278" s="3" t="str">
        <f>VLOOKUP(B1278,[1]LifeList!$E$2:$G$2036,1)</f>
        <v>Gray-headed Chachalaca</v>
      </c>
      <c r="E1278" s="3" t="str">
        <f>VLOOKUP(B1278,[1]LifeList!$E$2:$G$2036,2)</f>
        <v>Ortalide à tête grise</v>
      </c>
      <c r="F1278" s="3" t="str">
        <f>VLOOKUP(B1278,[1]LifeList!$E$2:$G$2036,3)</f>
        <v>Ortalis cinereiceps</v>
      </c>
      <c r="G1278" s="3" t="str">
        <f>VLOOKUP(B1278,[1]LifeList!$E$2:$I$2036,4)</f>
        <v>Galliformes</v>
      </c>
      <c r="H1278" s="3" t="str">
        <f>VLOOKUP(B1278,[1]LifeList!$E$2:$I$2036,5)</f>
        <v>Cracidae (Guans, Chachalacas, and Curassows)</v>
      </c>
    </row>
    <row r="1279" spans="1:8" x14ac:dyDescent="0.15">
      <c r="A1279" s="3" t="s">
        <v>1192</v>
      </c>
      <c r="B1279" s="3" t="s">
        <v>4416</v>
      </c>
      <c r="C1279" s="3">
        <v>954</v>
      </c>
      <c r="D1279" s="3" t="str">
        <f>VLOOKUP(B1279,[1]LifeList!$E$2:$G$2036,1)</f>
        <v>Gray-headed Chachalaca</v>
      </c>
      <c r="E1279" s="3" t="str">
        <f>VLOOKUP(B1279,[1]LifeList!$E$2:$G$2036,2)</f>
        <v>Ortalide à tête grise</v>
      </c>
      <c r="F1279" s="3" t="str">
        <f>VLOOKUP(B1279,[1]LifeList!$E$2:$G$2036,3)</f>
        <v>Ortalis cinereiceps</v>
      </c>
      <c r="G1279" s="3" t="str">
        <f>VLOOKUP(B1279,[1]LifeList!$E$2:$I$2036,4)</f>
        <v>Galliformes</v>
      </c>
      <c r="H1279" s="3" t="str">
        <f>VLOOKUP(B1279,[1]LifeList!$E$2:$I$2036,5)</f>
        <v>Cracidae (Guans, Chachalacas, and Curassows)</v>
      </c>
    </row>
    <row r="1280" spans="1:8" x14ac:dyDescent="0.15">
      <c r="A1280" s="3" t="s">
        <v>1193</v>
      </c>
      <c r="B1280" s="3" t="s">
        <v>4417</v>
      </c>
      <c r="C1280" s="3">
        <v>10083</v>
      </c>
      <c r="D1280" s="3" t="str">
        <f>VLOOKUP(B1280,[1]LifeList!$E$2:$G$2036,1)</f>
        <v>Gray-headed Kingfisher</v>
      </c>
      <c r="E1280" s="3" t="str">
        <f>VLOOKUP(B1280,[1]LifeList!$E$2:$G$2036,2)</f>
        <v>Martin-chasseur à tête grise</v>
      </c>
      <c r="F1280" s="3" t="str">
        <f>VLOOKUP(B1280,[1]LifeList!$E$2:$G$2036,3)</f>
        <v>Halcyon leucocephala</v>
      </c>
      <c r="G1280" s="3" t="str">
        <f>VLOOKUP(B1280,[1]LifeList!$E$2:$I$2036,4)</f>
        <v>Coraciiformes</v>
      </c>
      <c r="H1280" s="3" t="str">
        <f>VLOOKUP(B1280,[1]LifeList!$E$2:$I$2036,5)</f>
        <v>Alcedinidae (Kingfishers)</v>
      </c>
    </row>
    <row r="1281" spans="1:8" x14ac:dyDescent="0.15">
      <c r="A1281" s="3" t="s">
        <v>1194</v>
      </c>
      <c r="B1281" s="3" t="s">
        <v>4418</v>
      </c>
      <c r="C1281" s="3">
        <v>12737</v>
      </c>
      <c r="D1281" s="3" t="str">
        <f>VLOOKUP(B1281,[1]LifeList!$E$2:$G$2036,1)</f>
        <v>Gray-headed Lovebird</v>
      </c>
      <c r="E1281" s="3" t="str">
        <f>VLOOKUP(B1281,[1]LifeList!$E$2:$G$2036,2)</f>
        <v>Inséparable à tête grise</v>
      </c>
      <c r="F1281" s="3" t="str">
        <f>VLOOKUP(B1281,[1]LifeList!$E$2:$G$2036,3)</f>
        <v>Agapornis canus</v>
      </c>
      <c r="G1281" s="3" t="str">
        <f>VLOOKUP(B1281,[1]LifeList!$E$2:$I$2036,4)</f>
        <v>Psittaciformes</v>
      </c>
      <c r="H1281" s="3" t="str">
        <f>VLOOKUP(B1281,[1]LifeList!$E$2:$I$2036,5)</f>
        <v>Psittaculidae (Old World Parrots)</v>
      </c>
    </row>
    <row r="1282" spans="1:8" x14ac:dyDescent="0.15">
      <c r="A1282" s="3" t="s">
        <v>1195</v>
      </c>
      <c r="B1282" s="3" t="s">
        <v>4418</v>
      </c>
      <c r="C1282" s="3">
        <v>12737</v>
      </c>
      <c r="D1282" s="3" t="str">
        <f>VLOOKUP(B1282,[1]LifeList!$E$2:$G$2036,1)</f>
        <v>Gray-headed Lovebird</v>
      </c>
      <c r="E1282" s="3" t="str">
        <f>VLOOKUP(B1282,[1]LifeList!$E$2:$G$2036,2)</f>
        <v>Inséparable à tête grise</v>
      </c>
      <c r="F1282" s="3" t="str">
        <f>VLOOKUP(B1282,[1]LifeList!$E$2:$G$2036,3)</f>
        <v>Agapornis canus</v>
      </c>
      <c r="G1282" s="3" t="str">
        <f>VLOOKUP(B1282,[1]LifeList!$E$2:$I$2036,4)</f>
        <v>Psittaciformes</v>
      </c>
      <c r="H1282" s="3" t="str">
        <f>VLOOKUP(B1282,[1]LifeList!$E$2:$I$2036,5)</f>
        <v>Psittaculidae (Old World Parrots)</v>
      </c>
    </row>
    <row r="1283" spans="1:8" x14ac:dyDescent="0.15">
      <c r="A1283" s="3" t="s">
        <v>1196</v>
      </c>
      <c r="B1283" s="3" t="s">
        <v>4419</v>
      </c>
      <c r="C1283" s="3">
        <v>5533</v>
      </c>
      <c r="D1283" s="3" t="str">
        <f>VLOOKUP(B1283,[1]LifeList!$E$2:$G$2036,1)</f>
        <v>Gray-headed Swamphen</v>
      </c>
      <c r="E1283" s="3" t="str">
        <f>VLOOKUP(B1283,[1]LifeList!$E$2:$G$2036,2)</f>
        <v>Talève à tête grise</v>
      </c>
      <c r="F1283" s="3" t="str">
        <f>VLOOKUP(B1283,[1]LifeList!$E$2:$G$2036,3)</f>
        <v>Porphyrio poliocephalus</v>
      </c>
      <c r="G1283" s="3" t="str">
        <f>VLOOKUP(B1283,[1]LifeList!$E$2:$I$2036,4)</f>
        <v>Gruiformes</v>
      </c>
      <c r="H1283" s="3" t="str">
        <f>VLOOKUP(B1283,[1]LifeList!$E$2:$I$2036,5)</f>
        <v>Rallidae (Rails, Gallinules, and Coots)</v>
      </c>
    </row>
    <row r="1284" spans="1:8" x14ac:dyDescent="0.15">
      <c r="A1284" s="3" t="s">
        <v>1197</v>
      </c>
      <c r="B1284" s="3" t="s">
        <v>4419</v>
      </c>
      <c r="C1284" s="3">
        <v>5533</v>
      </c>
      <c r="D1284" s="3" t="str">
        <f>VLOOKUP(B1284,[1]LifeList!$E$2:$G$2036,1)</f>
        <v>Gray-headed Swamphen</v>
      </c>
      <c r="E1284" s="3" t="str">
        <f>VLOOKUP(B1284,[1]LifeList!$E$2:$G$2036,2)</f>
        <v>Talève à tête grise</v>
      </c>
      <c r="F1284" s="3" t="str">
        <f>VLOOKUP(B1284,[1]LifeList!$E$2:$G$2036,3)</f>
        <v>Porphyrio poliocephalus</v>
      </c>
      <c r="G1284" s="3" t="str">
        <f>VLOOKUP(B1284,[1]LifeList!$E$2:$I$2036,4)</f>
        <v>Gruiformes</v>
      </c>
      <c r="H1284" s="3" t="str">
        <f>VLOOKUP(B1284,[1]LifeList!$E$2:$I$2036,5)</f>
        <v>Rallidae (Rails, Gallinules, and Coots)</v>
      </c>
    </row>
    <row r="1285" spans="1:8" x14ac:dyDescent="0.15">
      <c r="A1285" s="3" t="s">
        <v>1198</v>
      </c>
      <c r="B1285" s="3" t="s">
        <v>4419</v>
      </c>
      <c r="C1285" s="3">
        <v>5533</v>
      </c>
      <c r="D1285" s="3" t="str">
        <f>VLOOKUP(B1285,[1]LifeList!$E$2:$G$2036,1)</f>
        <v>Gray-headed Swamphen</v>
      </c>
      <c r="E1285" s="3" t="str">
        <f>VLOOKUP(B1285,[1]LifeList!$E$2:$G$2036,2)</f>
        <v>Talève à tête grise</v>
      </c>
      <c r="F1285" s="3" t="str">
        <f>VLOOKUP(B1285,[1]LifeList!$E$2:$G$2036,3)</f>
        <v>Porphyrio poliocephalus</v>
      </c>
      <c r="G1285" s="3" t="str">
        <f>VLOOKUP(B1285,[1]LifeList!$E$2:$I$2036,4)</f>
        <v>Gruiformes</v>
      </c>
      <c r="H1285" s="3" t="str">
        <f>VLOOKUP(B1285,[1]LifeList!$E$2:$I$2036,5)</f>
        <v>Rallidae (Rails, Gallinules, and Coots)</v>
      </c>
    </row>
    <row r="1286" spans="1:8" x14ac:dyDescent="0.15">
      <c r="A1286" s="3" t="s">
        <v>1199</v>
      </c>
      <c r="B1286" s="3" t="s">
        <v>4419</v>
      </c>
      <c r="C1286" s="3">
        <v>5533</v>
      </c>
      <c r="D1286" s="3" t="str">
        <f>VLOOKUP(B1286,[1]LifeList!$E$2:$G$2036,1)</f>
        <v>Gray-headed Swamphen</v>
      </c>
      <c r="E1286" s="3" t="str">
        <f>VLOOKUP(B1286,[1]LifeList!$E$2:$G$2036,2)</f>
        <v>Talève à tête grise</v>
      </c>
      <c r="F1286" s="3" t="str">
        <f>VLOOKUP(B1286,[1]LifeList!$E$2:$G$2036,3)</f>
        <v>Porphyrio poliocephalus</v>
      </c>
      <c r="G1286" s="3" t="str">
        <f>VLOOKUP(B1286,[1]LifeList!$E$2:$I$2036,4)</f>
        <v>Gruiformes</v>
      </c>
      <c r="H1286" s="3" t="str">
        <f>VLOOKUP(B1286,[1]LifeList!$E$2:$I$2036,5)</f>
        <v>Rallidae (Rails, Gallinules, and Coots)</v>
      </c>
    </row>
    <row r="1287" spans="1:8" x14ac:dyDescent="0.15">
      <c r="A1287" s="3" t="s">
        <v>1200</v>
      </c>
      <c r="B1287" s="3" t="s">
        <v>4419</v>
      </c>
      <c r="C1287" s="3">
        <v>5533</v>
      </c>
      <c r="D1287" s="3" t="str">
        <f>VLOOKUP(B1287,[1]LifeList!$E$2:$G$2036,1)</f>
        <v>Gray-headed Swamphen</v>
      </c>
      <c r="E1287" s="3" t="str">
        <f>VLOOKUP(B1287,[1]LifeList!$E$2:$G$2036,2)</f>
        <v>Talève à tête grise</v>
      </c>
      <c r="F1287" s="3" t="str">
        <f>VLOOKUP(B1287,[1]LifeList!$E$2:$G$2036,3)</f>
        <v>Porphyrio poliocephalus</v>
      </c>
      <c r="G1287" s="3" t="str">
        <f>VLOOKUP(B1287,[1]LifeList!$E$2:$I$2036,4)</f>
        <v>Gruiformes</v>
      </c>
      <c r="H1287" s="3" t="str">
        <f>VLOOKUP(B1287,[1]LifeList!$E$2:$I$2036,5)</f>
        <v>Rallidae (Rails, Gallinules, and Coots)</v>
      </c>
    </row>
    <row r="1288" spans="1:8" x14ac:dyDescent="0.15">
      <c r="A1288" s="3" t="s">
        <v>1201</v>
      </c>
      <c r="B1288" s="3" t="s">
        <v>4419</v>
      </c>
      <c r="C1288" s="3">
        <v>5533</v>
      </c>
      <c r="D1288" s="3" t="str">
        <f>VLOOKUP(B1288,[1]LifeList!$E$2:$G$2036,1)</f>
        <v>Gray-headed Swamphen</v>
      </c>
      <c r="E1288" s="3" t="str">
        <f>VLOOKUP(B1288,[1]LifeList!$E$2:$G$2036,2)</f>
        <v>Talève à tête grise</v>
      </c>
      <c r="F1288" s="3" t="str">
        <f>VLOOKUP(B1288,[1]LifeList!$E$2:$G$2036,3)</f>
        <v>Porphyrio poliocephalus</v>
      </c>
      <c r="G1288" s="3" t="str">
        <f>VLOOKUP(B1288,[1]LifeList!$E$2:$I$2036,4)</f>
        <v>Gruiformes</v>
      </c>
      <c r="H1288" s="3" t="str">
        <f>VLOOKUP(B1288,[1]LifeList!$E$2:$I$2036,5)</f>
        <v>Rallidae (Rails, Gallinules, and Coots)</v>
      </c>
    </row>
    <row r="1289" spans="1:8" x14ac:dyDescent="0.15">
      <c r="A1289" s="3" t="s">
        <v>1202</v>
      </c>
      <c r="B1289" s="3" t="s">
        <v>4420</v>
      </c>
      <c r="C1289" s="3">
        <v>34740</v>
      </c>
      <c r="D1289" s="3" t="str">
        <f>VLOOKUP(B1289,[1]LifeList!$E$2:$G$2036,1)</f>
        <v>Gray-headed Tanager</v>
      </c>
      <c r="E1289" s="3" t="str">
        <f>VLOOKUP(B1289,[1]LifeList!$E$2:$G$2036,2)</f>
        <v>Tangara à tête grise</v>
      </c>
      <c r="F1289" s="3" t="str">
        <f>VLOOKUP(B1289,[1]LifeList!$E$2:$G$2036,3)</f>
        <v>Eucometis penicillata</v>
      </c>
      <c r="G1289" s="3" t="str">
        <f>VLOOKUP(B1289,[1]LifeList!$E$2:$I$2036,4)</f>
        <v>Passeriformes</v>
      </c>
      <c r="H1289" s="3" t="str">
        <f>VLOOKUP(B1289,[1]LifeList!$E$2:$I$2036,5)</f>
        <v>Thraupidae (Tanagers and Allies)</v>
      </c>
    </row>
    <row r="1290" spans="1:8" x14ac:dyDescent="0.15">
      <c r="A1290" s="3" t="s">
        <v>1203</v>
      </c>
      <c r="B1290" s="3" t="s">
        <v>4420</v>
      </c>
      <c r="C1290" s="3">
        <v>34740</v>
      </c>
      <c r="D1290" s="3" t="str">
        <f>VLOOKUP(B1290,[1]LifeList!$E$2:$G$2036,1)</f>
        <v>Gray-headed Tanager</v>
      </c>
      <c r="E1290" s="3" t="str">
        <f>VLOOKUP(B1290,[1]LifeList!$E$2:$G$2036,2)</f>
        <v>Tangara à tête grise</v>
      </c>
      <c r="F1290" s="3" t="str">
        <f>VLOOKUP(B1290,[1]LifeList!$E$2:$G$2036,3)</f>
        <v>Eucometis penicillata</v>
      </c>
      <c r="G1290" s="3" t="str">
        <f>VLOOKUP(B1290,[1]LifeList!$E$2:$I$2036,4)</f>
        <v>Passeriformes</v>
      </c>
      <c r="H1290" s="3" t="str">
        <f>VLOOKUP(B1290,[1]LifeList!$E$2:$I$2036,5)</f>
        <v>Thraupidae (Tanagers and Allies)</v>
      </c>
    </row>
    <row r="1291" spans="1:8" x14ac:dyDescent="0.15">
      <c r="A1291" s="3" t="s">
        <v>1204</v>
      </c>
      <c r="B1291" s="3" t="s">
        <v>4420</v>
      </c>
      <c r="C1291" s="3">
        <v>34740</v>
      </c>
      <c r="D1291" s="3" t="str">
        <f>VLOOKUP(B1291,[1]LifeList!$E$2:$G$2036,1)</f>
        <v>Gray-headed Tanager</v>
      </c>
      <c r="E1291" s="3" t="str">
        <f>VLOOKUP(B1291,[1]LifeList!$E$2:$G$2036,2)</f>
        <v>Tangara à tête grise</v>
      </c>
      <c r="F1291" s="3" t="str">
        <f>VLOOKUP(B1291,[1]LifeList!$E$2:$G$2036,3)</f>
        <v>Eucometis penicillata</v>
      </c>
      <c r="G1291" s="3" t="str">
        <f>VLOOKUP(B1291,[1]LifeList!$E$2:$I$2036,4)</f>
        <v>Passeriformes</v>
      </c>
      <c r="H1291" s="3" t="str">
        <f>VLOOKUP(B1291,[1]LifeList!$E$2:$I$2036,5)</f>
        <v>Thraupidae (Tanagers and Allies)</v>
      </c>
    </row>
    <row r="1292" spans="1:8" x14ac:dyDescent="0.15">
      <c r="A1292" s="3" t="s">
        <v>1205</v>
      </c>
      <c r="B1292" s="3" t="s">
        <v>4420</v>
      </c>
      <c r="C1292" s="3">
        <v>34740</v>
      </c>
      <c r="D1292" s="3" t="str">
        <f>VLOOKUP(B1292,[1]LifeList!$E$2:$G$2036,1)</f>
        <v>Gray-headed Tanager</v>
      </c>
      <c r="E1292" s="3" t="str">
        <f>VLOOKUP(B1292,[1]LifeList!$E$2:$G$2036,2)</f>
        <v>Tangara à tête grise</v>
      </c>
      <c r="F1292" s="3" t="str">
        <f>VLOOKUP(B1292,[1]LifeList!$E$2:$G$2036,3)</f>
        <v>Eucometis penicillata</v>
      </c>
      <c r="G1292" s="3" t="str">
        <f>VLOOKUP(B1292,[1]LifeList!$E$2:$I$2036,4)</f>
        <v>Passeriformes</v>
      </c>
      <c r="H1292" s="3" t="str">
        <f>VLOOKUP(B1292,[1]LifeList!$E$2:$I$2036,5)</f>
        <v>Thraupidae (Tanagers and Allies)</v>
      </c>
    </row>
    <row r="1293" spans="1:8" x14ac:dyDescent="0.15">
      <c r="A1293" s="3" t="s">
        <v>1206</v>
      </c>
      <c r="B1293" s="3" t="s">
        <v>4421</v>
      </c>
      <c r="C1293" s="3">
        <v>8474</v>
      </c>
      <c r="D1293" s="3" t="str">
        <f>VLOOKUP(B1293,[1]LifeList!$E$2:$G$2036,1)</f>
        <v>Gray-lined Hawk</v>
      </c>
      <c r="E1293" s="3" t="str">
        <f>VLOOKUP(B1293,[1]LifeList!$E$2:$G$2036,2)</f>
        <v>Buse cendrée</v>
      </c>
      <c r="F1293" s="3" t="str">
        <f>VLOOKUP(B1293,[1]LifeList!$E$2:$G$2036,3)</f>
        <v>Buteo nitidus</v>
      </c>
      <c r="G1293" s="3" t="str">
        <f>VLOOKUP(B1293,[1]LifeList!$E$2:$I$2036,4)</f>
        <v>Accipitriformes</v>
      </c>
      <c r="H1293" s="3" t="str">
        <f>VLOOKUP(B1293,[1]LifeList!$E$2:$I$2036,5)</f>
        <v>Accipitridae (Hawks, Eagles, and Kites)</v>
      </c>
    </row>
    <row r="1294" spans="1:8" x14ac:dyDescent="0.15">
      <c r="A1294" s="3" t="s">
        <v>1207</v>
      </c>
      <c r="B1294" s="3" t="s">
        <v>4421</v>
      </c>
      <c r="C1294" s="3">
        <v>8474</v>
      </c>
      <c r="D1294" s="3" t="str">
        <f>VLOOKUP(B1294,[1]LifeList!$E$2:$G$2036,1)</f>
        <v>Gray-lined Hawk</v>
      </c>
      <c r="E1294" s="3" t="str">
        <f>VLOOKUP(B1294,[1]LifeList!$E$2:$G$2036,2)</f>
        <v>Buse cendrée</v>
      </c>
      <c r="F1294" s="3" t="str">
        <f>VLOOKUP(B1294,[1]LifeList!$E$2:$G$2036,3)</f>
        <v>Buteo nitidus</v>
      </c>
      <c r="G1294" s="3" t="str">
        <f>VLOOKUP(B1294,[1]LifeList!$E$2:$I$2036,4)</f>
        <v>Accipitriformes</v>
      </c>
      <c r="H1294" s="3" t="str">
        <f>VLOOKUP(B1294,[1]LifeList!$E$2:$I$2036,5)</f>
        <v>Accipitridae (Hawks, Eagles, and Kites)</v>
      </c>
    </row>
    <row r="1295" spans="1:8" x14ac:dyDescent="0.15">
      <c r="A1295" s="3" t="s">
        <v>1208</v>
      </c>
      <c r="B1295" s="3" t="s">
        <v>4421</v>
      </c>
      <c r="C1295" s="3">
        <v>8474</v>
      </c>
      <c r="D1295" s="3" t="str">
        <f>VLOOKUP(B1295,[1]LifeList!$E$2:$G$2036,1)</f>
        <v>Gray-lined Hawk</v>
      </c>
      <c r="E1295" s="3" t="str">
        <f>VLOOKUP(B1295,[1]LifeList!$E$2:$G$2036,2)</f>
        <v>Buse cendrée</v>
      </c>
      <c r="F1295" s="3" t="str">
        <f>VLOOKUP(B1295,[1]LifeList!$E$2:$G$2036,3)</f>
        <v>Buteo nitidus</v>
      </c>
      <c r="G1295" s="3" t="str">
        <f>VLOOKUP(B1295,[1]LifeList!$E$2:$I$2036,4)</f>
        <v>Accipitriformes</v>
      </c>
      <c r="H1295" s="3" t="str">
        <f>VLOOKUP(B1295,[1]LifeList!$E$2:$I$2036,5)</f>
        <v>Accipitridae (Hawks, Eagles, and Kites)</v>
      </c>
    </row>
    <row r="1296" spans="1:8" x14ac:dyDescent="0.15">
      <c r="A1296" s="3" t="s">
        <v>1243</v>
      </c>
      <c r="B1296" s="3" t="s">
        <v>4422</v>
      </c>
      <c r="C1296" s="3">
        <v>11097</v>
      </c>
      <c r="D1296" s="3" t="str">
        <f>VLOOKUP(B1296,[1]LifeList!$E$2:$G$2036,1)</f>
        <v>Grayish Piculet</v>
      </c>
      <c r="E1296" s="3" t="str">
        <f>VLOOKUP(B1296,[1]LifeList!$E$2:$G$2036,2)</f>
        <v>Picumne gris</v>
      </c>
      <c r="F1296" s="3" t="str">
        <f>VLOOKUP(B1296,[1]LifeList!$E$2:$G$2036,3)</f>
        <v>Picumnus granadensis</v>
      </c>
      <c r="G1296" s="3" t="str">
        <f>VLOOKUP(B1296,[1]LifeList!$E$2:$I$2036,4)</f>
        <v>Piciformes</v>
      </c>
      <c r="H1296" s="3" t="str">
        <f>VLOOKUP(B1296,[1]LifeList!$E$2:$I$2036,5)</f>
        <v>Picidae (Woodpeckers)</v>
      </c>
    </row>
    <row r="1297" spans="1:8" x14ac:dyDescent="0.15">
      <c r="A1297" s="3" t="s">
        <v>1248</v>
      </c>
      <c r="B1297" s="3" t="s">
        <v>4423</v>
      </c>
      <c r="C1297" s="3">
        <v>13464</v>
      </c>
      <c r="D1297" s="3" t="str">
        <f>VLOOKUP(B1297,[1]LifeList!$E$2:$G$2036,1)</f>
        <v>Great Antshrike</v>
      </c>
      <c r="E1297" s="3" t="str">
        <f>VLOOKUP(B1297,[1]LifeList!$E$2:$G$2036,2)</f>
        <v>Grand Batara</v>
      </c>
      <c r="F1297" s="3" t="str">
        <f>VLOOKUP(B1297,[1]LifeList!$E$2:$G$2036,3)</f>
        <v>Taraba major</v>
      </c>
      <c r="G1297" s="3" t="str">
        <f>VLOOKUP(B1297,[1]LifeList!$E$2:$I$2036,4)</f>
        <v>Passeriformes</v>
      </c>
      <c r="H1297" s="3" t="str">
        <f>VLOOKUP(B1297,[1]LifeList!$E$2:$I$2036,5)</f>
        <v>Thamnophilidae (Typical Antbirds)</v>
      </c>
    </row>
    <row r="1298" spans="1:8" x14ac:dyDescent="0.15">
      <c r="A1298" s="3" t="s">
        <v>1250</v>
      </c>
      <c r="B1298" s="3" t="s">
        <v>3758</v>
      </c>
      <c r="C1298" s="3">
        <v>8421</v>
      </c>
      <c r="D1298" s="3" t="str">
        <f>VLOOKUP(B1298,[1]LifeList!$E$2:$G$2036,1)</f>
        <v>Great Black Hawk</v>
      </c>
      <c r="E1298" s="3" t="str">
        <f>VLOOKUP(B1298,[1]LifeList!$E$2:$G$2036,2)</f>
        <v>Buse urubu</v>
      </c>
      <c r="F1298" s="3" t="str">
        <f>VLOOKUP(B1298,[1]LifeList!$E$2:$G$2036,3)</f>
        <v>Buteogallus urubitinga</v>
      </c>
      <c r="G1298" s="3" t="str">
        <f>VLOOKUP(B1298,[1]LifeList!$E$2:$I$2036,4)</f>
        <v>Accipitriformes</v>
      </c>
      <c r="H1298" s="3" t="str">
        <f>VLOOKUP(B1298,[1]LifeList!$E$2:$I$2036,5)</f>
        <v>Accipitridae (Hawks, Eagles, and Kites)</v>
      </c>
    </row>
    <row r="1299" spans="1:8" x14ac:dyDescent="0.15">
      <c r="A1299" s="3" t="s">
        <v>1251</v>
      </c>
      <c r="B1299" s="3" t="s">
        <v>3758</v>
      </c>
      <c r="C1299" s="3">
        <v>8421</v>
      </c>
      <c r="D1299" s="3" t="str">
        <f>VLOOKUP(B1299,[1]LifeList!$E$2:$G$2036,1)</f>
        <v>Great Black Hawk</v>
      </c>
      <c r="E1299" s="3" t="str">
        <f>VLOOKUP(B1299,[1]LifeList!$E$2:$G$2036,2)</f>
        <v>Buse urubu</v>
      </c>
      <c r="F1299" s="3" t="str">
        <f>VLOOKUP(B1299,[1]LifeList!$E$2:$G$2036,3)</f>
        <v>Buteogallus urubitinga</v>
      </c>
      <c r="G1299" s="3" t="str">
        <f>VLOOKUP(B1299,[1]LifeList!$E$2:$I$2036,4)</f>
        <v>Accipitriformes</v>
      </c>
      <c r="H1299" s="3" t="str">
        <f>VLOOKUP(B1299,[1]LifeList!$E$2:$I$2036,5)</f>
        <v>Accipitridae (Hawks, Eagles, and Kites)</v>
      </c>
    </row>
    <row r="1300" spans="1:8" x14ac:dyDescent="0.15">
      <c r="A1300" s="3" t="s">
        <v>1249</v>
      </c>
      <c r="B1300" s="3" t="s">
        <v>3757</v>
      </c>
      <c r="C1300" s="3">
        <v>6562</v>
      </c>
      <c r="D1300" s="3" t="str">
        <f>VLOOKUP(B1300,[1]LifeList!$E$2:$G$2036,1)</f>
        <v>Great Black-backed Gull</v>
      </c>
      <c r="E1300" s="3" t="str">
        <f>VLOOKUP(B1300,[1]LifeList!$E$2:$G$2036,2)</f>
        <v>Goéland marin</v>
      </c>
      <c r="F1300" s="3" t="str">
        <f>VLOOKUP(B1300,[1]LifeList!$E$2:$G$2036,3)</f>
        <v>Larus marinus</v>
      </c>
      <c r="G1300" s="3" t="str">
        <f>VLOOKUP(B1300,[1]LifeList!$E$2:$I$2036,4)</f>
        <v>Charadriiformes</v>
      </c>
      <c r="H1300" s="3" t="str">
        <f>VLOOKUP(B1300,[1]LifeList!$E$2:$I$2036,5)</f>
        <v>Laridae (Gulls, Terns, and Skimmers)</v>
      </c>
    </row>
    <row r="1301" spans="1:8" x14ac:dyDescent="0.15">
      <c r="A1301" s="3" t="s">
        <v>1312</v>
      </c>
      <c r="B1301" s="3" t="s">
        <v>3757</v>
      </c>
      <c r="C1301" s="3">
        <v>6562</v>
      </c>
      <c r="D1301" s="3" t="str">
        <f>VLOOKUP(B1301,[1]LifeList!$E$2:$G$2036,1)</f>
        <v>Great Black-backed Gull</v>
      </c>
      <c r="E1301" s="3" t="str">
        <f>VLOOKUP(B1301,[1]LifeList!$E$2:$G$2036,2)</f>
        <v>Goéland marin</v>
      </c>
      <c r="F1301" s="3" t="str">
        <f>VLOOKUP(B1301,[1]LifeList!$E$2:$G$2036,3)</f>
        <v>Larus marinus</v>
      </c>
      <c r="G1301" s="3" t="str">
        <f>VLOOKUP(B1301,[1]LifeList!$E$2:$I$2036,4)</f>
        <v>Charadriiformes</v>
      </c>
      <c r="H1301" s="3" t="str">
        <f>VLOOKUP(B1301,[1]LifeList!$E$2:$I$2036,5)</f>
        <v>Laridae (Gulls, Terns, and Skimmers)</v>
      </c>
    </row>
    <row r="1302" spans="1:8" x14ac:dyDescent="0.15">
      <c r="A1302" s="3" t="s">
        <v>1252</v>
      </c>
      <c r="B1302" s="3" t="s">
        <v>3759</v>
      </c>
      <c r="C1302" s="3">
        <v>7753</v>
      </c>
      <c r="D1302" s="3" t="str">
        <f>VLOOKUP(B1302,[1]LifeList!$E$2:$G$2036,1)</f>
        <v>Great Blue Heron</v>
      </c>
      <c r="E1302" s="3" t="str">
        <f>VLOOKUP(B1302,[1]LifeList!$E$2:$G$2036,2)</f>
        <v>Grand Héron</v>
      </c>
      <c r="F1302" s="3" t="str">
        <f>VLOOKUP(B1302,[1]LifeList!$E$2:$G$2036,3)</f>
        <v>Ardea herodias</v>
      </c>
      <c r="G1302" s="3" t="str">
        <f>VLOOKUP(B1302,[1]LifeList!$E$2:$I$2036,4)</f>
        <v>Pelecaniformes</v>
      </c>
      <c r="H1302" s="3" t="str">
        <f>VLOOKUP(B1302,[1]LifeList!$E$2:$I$2036,5)</f>
        <v>Ardeidae (Herons, Egrets, and Bitterns)</v>
      </c>
    </row>
    <row r="1303" spans="1:8" x14ac:dyDescent="0.15">
      <c r="A1303" s="3" t="s">
        <v>1253</v>
      </c>
      <c r="B1303" s="3" t="s">
        <v>3759</v>
      </c>
      <c r="C1303" s="3">
        <v>7753</v>
      </c>
      <c r="D1303" s="3" t="str">
        <f>VLOOKUP(B1303,[1]LifeList!$E$2:$G$2036,1)</f>
        <v>Great Blue Heron</v>
      </c>
      <c r="E1303" s="3" t="str">
        <f>VLOOKUP(B1303,[1]LifeList!$E$2:$G$2036,2)</f>
        <v>Grand Héron</v>
      </c>
      <c r="F1303" s="3" t="str">
        <f>VLOOKUP(B1303,[1]LifeList!$E$2:$G$2036,3)</f>
        <v>Ardea herodias</v>
      </c>
      <c r="G1303" s="3" t="str">
        <f>VLOOKUP(B1303,[1]LifeList!$E$2:$I$2036,4)</f>
        <v>Pelecaniformes</v>
      </c>
      <c r="H1303" s="3" t="str">
        <f>VLOOKUP(B1303,[1]LifeList!$E$2:$I$2036,5)</f>
        <v>Ardeidae (Herons, Egrets, and Bitterns)</v>
      </c>
    </row>
    <row r="1304" spans="1:8" x14ac:dyDescent="0.15">
      <c r="A1304" s="3" t="s">
        <v>1254</v>
      </c>
      <c r="B1304" s="3" t="s">
        <v>3759</v>
      </c>
      <c r="C1304" s="3">
        <v>7753</v>
      </c>
      <c r="D1304" s="3" t="str">
        <f>VLOOKUP(B1304,[1]LifeList!$E$2:$G$2036,1)</f>
        <v>Great Blue Heron</v>
      </c>
      <c r="E1304" s="3" t="str">
        <f>VLOOKUP(B1304,[1]LifeList!$E$2:$G$2036,2)</f>
        <v>Grand Héron</v>
      </c>
      <c r="F1304" s="3" t="str">
        <f>VLOOKUP(B1304,[1]LifeList!$E$2:$G$2036,3)</f>
        <v>Ardea herodias</v>
      </c>
      <c r="G1304" s="3" t="str">
        <f>VLOOKUP(B1304,[1]LifeList!$E$2:$I$2036,4)</f>
        <v>Pelecaniformes</v>
      </c>
      <c r="H1304" s="3" t="str">
        <f>VLOOKUP(B1304,[1]LifeList!$E$2:$I$2036,5)</f>
        <v>Ardeidae (Herons, Egrets, and Bitterns)</v>
      </c>
    </row>
    <row r="1305" spans="1:8" x14ac:dyDescent="0.15">
      <c r="A1305" s="3" t="s">
        <v>1255</v>
      </c>
      <c r="B1305" s="3" t="s">
        <v>3759</v>
      </c>
      <c r="C1305" s="3">
        <v>7753</v>
      </c>
      <c r="D1305" s="3" t="str">
        <f>VLOOKUP(B1305,[1]LifeList!$E$2:$G$2036,1)</f>
        <v>Great Blue Heron</v>
      </c>
      <c r="E1305" s="3" t="str">
        <f>VLOOKUP(B1305,[1]LifeList!$E$2:$G$2036,2)</f>
        <v>Grand Héron</v>
      </c>
      <c r="F1305" s="3" t="str">
        <f>VLOOKUP(B1305,[1]LifeList!$E$2:$G$2036,3)</f>
        <v>Ardea herodias</v>
      </c>
      <c r="G1305" s="3" t="str">
        <f>VLOOKUP(B1305,[1]LifeList!$E$2:$I$2036,4)</f>
        <v>Pelecaniformes</v>
      </c>
      <c r="H1305" s="3" t="str">
        <f>VLOOKUP(B1305,[1]LifeList!$E$2:$I$2036,5)</f>
        <v>Ardeidae (Herons, Egrets, and Bitterns)</v>
      </c>
    </row>
    <row r="1306" spans="1:8" x14ac:dyDescent="0.15">
      <c r="A1306" s="3" t="s">
        <v>1256</v>
      </c>
      <c r="B1306" s="3" t="s">
        <v>3759</v>
      </c>
      <c r="C1306" s="3">
        <v>7753</v>
      </c>
      <c r="D1306" s="3" t="str">
        <f>VLOOKUP(B1306,[1]LifeList!$E$2:$G$2036,1)</f>
        <v>Great Blue Heron</v>
      </c>
      <c r="E1306" s="3" t="str">
        <f>VLOOKUP(B1306,[1]LifeList!$E$2:$G$2036,2)</f>
        <v>Grand Héron</v>
      </c>
      <c r="F1306" s="3" t="str">
        <f>VLOOKUP(B1306,[1]LifeList!$E$2:$G$2036,3)</f>
        <v>Ardea herodias</v>
      </c>
      <c r="G1306" s="3" t="str">
        <f>VLOOKUP(B1306,[1]LifeList!$E$2:$I$2036,4)</f>
        <v>Pelecaniformes</v>
      </c>
      <c r="H1306" s="3" t="str">
        <f>VLOOKUP(B1306,[1]LifeList!$E$2:$I$2036,5)</f>
        <v>Ardeidae (Herons, Egrets, and Bitterns)</v>
      </c>
    </row>
    <row r="1307" spans="1:8" x14ac:dyDescent="0.15">
      <c r="A1307" s="3" t="s">
        <v>1257</v>
      </c>
      <c r="B1307" s="3" t="s">
        <v>3759</v>
      </c>
      <c r="C1307" s="3">
        <v>7753</v>
      </c>
      <c r="D1307" s="3" t="str">
        <f>VLOOKUP(B1307,[1]LifeList!$E$2:$G$2036,1)</f>
        <v>Great Blue Heron</v>
      </c>
      <c r="E1307" s="3" t="str">
        <f>VLOOKUP(B1307,[1]LifeList!$E$2:$G$2036,2)</f>
        <v>Grand Héron</v>
      </c>
      <c r="F1307" s="3" t="str">
        <f>VLOOKUP(B1307,[1]LifeList!$E$2:$G$2036,3)</f>
        <v>Ardea herodias</v>
      </c>
      <c r="G1307" s="3" t="str">
        <f>VLOOKUP(B1307,[1]LifeList!$E$2:$I$2036,4)</f>
        <v>Pelecaniformes</v>
      </c>
      <c r="H1307" s="3" t="str">
        <f>VLOOKUP(B1307,[1]LifeList!$E$2:$I$2036,5)</f>
        <v>Ardeidae (Herons, Egrets, and Bitterns)</v>
      </c>
    </row>
    <row r="1308" spans="1:8" x14ac:dyDescent="0.15">
      <c r="A1308" s="3" t="s">
        <v>1258</v>
      </c>
      <c r="B1308" s="3" t="s">
        <v>3759</v>
      </c>
      <c r="C1308" s="3">
        <v>7753</v>
      </c>
      <c r="D1308" s="3" t="str">
        <f>VLOOKUP(B1308,[1]LifeList!$E$2:$G$2036,1)</f>
        <v>Great Blue Heron</v>
      </c>
      <c r="E1308" s="3" t="str">
        <f>VLOOKUP(B1308,[1]LifeList!$E$2:$G$2036,2)</f>
        <v>Grand Héron</v>
      </c>
      <c r="F1308" s="3" t="str">
        <f>VLOOKUP(B1308,[1]LifeList!$E$2:$G$2036,3)</f>
        <v>Ardea herodias</v>
      </c>
      <c r="G1308" s="3" t="str">
        <f>VLOOKUP(B1308,[1]LifeList!$E$2:$I$2036,4)</f>
        <v>Pelecaniformes</v>
      </c>
      <c r="H1308" s="3" t="str">
        <f>VLOOKUP(B1308,[1]LifeList!$E$2:$I$2036,5)</f>
        <v>Ardeidae (Herons, Egrets, and Bitterns)</v>
      </c>
    </row>
    <row r="1309" spans="1:8" x14ac:dyDescent="0.15">
      <c r="A1309" s="3" t="s">
        <v>1259</v>
      </c>
      <c r="B1309" s="3" t="s">
        <v>3759</v>
      </c>
      <c r="C1309" s="3">
        <v>7753</v>
      </c>
      <c r="D1309" s="3" t="str">
        <f>VLOOKUP(B1309,[1]LifeList!$E$2:$G$2036,1)</f>
        <v>Great Blue Heron</v>
      </c>
      <c r="E1309" s="3" t="str">
        <f>VLOOKUP(B1309,[1]LifeList!$E$2:$G$2036,2)</f>
        <v>Grand Héron</v>
      </c>
      <c r="F1309" s="3" t="str">
        <f>VLOOKUP(B1309,[1]LifeList!$E$2:$G$2036,3)</f>
        <v>Ardea herodias</v>
      </c>
      <c r="G1309" s="3" t="str">
        <f>VLOOKUP(B1309,[1]LifeList!$E$2:$I$2036,4)</f>
        <v>Pelecaniformes</v>
      </c>
      <c r="H1309" s="3" t="str">
        <f>VLOOKUP(B1309,[1]LifeList!$E$2:$I$2036,5)</f>
        <v>Ardeidae (Herons, Egrets, and Bitterns)</v>
      </c>
    </row>
    <row r="1310" spans="1:8" x14ac:dyDescent="0.15">
      <c r="A1310" s="3" t="s">
        <v>1260</v>
      </c>
      <c r="B1310" s="3" t="s">
        <v>3759</v>
      </c>
      <c r="C1310" s="3">
        <v>7753</v>
      </c>
      <c r="D1310" s="3" t="str">
        <f>VLOOKUP(B1310,[1]LifeList!$E$2:$G$2036,1)</f>
        <v>Great Blue Heron</v>
      </c>
      <c r="E1310" s="3" t="str">
        <f>VLOOKUP(B1310,[1]LifeList!$E$2:$G$2036,2)</f>
        <v>Grand Héron</v>
      </c>
      <c r="F1310" s="3" t="str">
        <f>VLOOKUP(B1310,[1]LifeList!$E$2:$G$2036,3)</f>
        <v>Ardea herodias</v>
      </c>
      <c r="G1310" s="3" t="str">
        <f>VLOOKUP(B1310,[1]LifeList!$E$2:$I$2036,4)</f>
        <v>Pelecaniformes</v>
      </c>
      <c r="H1310" s="3" t="str">
        <f>VLOOKUP(B1310,[1]LifeList!$E$2:$I$2036,5)</f>
        <v>Ardeidae (Herons, Egrets, and Bitterns)</v>
      </c>
    </row>
    <row r="1311" spans="1:8" x14ac:dyDescent="0.15">
      <c r="A1311" s="3" t="s">
        <v>1261</v>
      </c>
      <c r="B1311" s="3" t="s">
        <v>3759</v>
      </c>
      <c r="C1311" s="3">
        <v>7753</v>
      </c>
      <c r="D1311" s="3" t="str">
        <f>VLOOKUP(B1311,[1]LifeList!$E$2:$G$2036,1)</f>
        <v>Great Blue Heron</v>
      </c>
      <c r="E1311" s="3" t="str">
        <f>VLOOKUP(B1311,[1]LifeList!$E$2:$G$2036,2)</f>
        <v>Grand Héron</v>
      </c>
      <c r="F1311" s="3" t="str">
        <f>VLOOKUP(B1311,[1]LifeList!$E$2:$G$2036,3)</f>
        <v>Ardea herodias</v>
      </c>
      <c r="G1311" s="3" t="str">
        <f>VLOOKUP(B1311,[1]LifeList!$E$2:$I$2036,4)</f>
        <v>Pelecaniformes</v>
      </c>
      <c r="H1311" s="3" t="str">
        <f>VLOOKUP(B1311,[1]LifeList!$E$2:$I$2036,5)</f>
        <v>Ardeidae (Herons, Egrets, and Bitterns)</v>
      </c>
    </row>
    <row r="1312" spans="1:8" x14ac:dyDescent="0.15">
      <c r="A1312" s="3" t="s">
        <v>1262</v>
      </c>
      <c r="B1312" s="3" t="s">
        <v>3759</v>
      </c>
      <c r="C1312" s="3">
        <v>7753</v>
      </c>
      <c r="D1312" s="3" t="str">
        <f>VLOOKUP(B1312,[1]LifeList!$E$2:$G$2036,1)</f>
        <v>Great Blue Heron</v>
      </c>
      <c r="E1312" s="3" t="str">
        <f>VLOOKUP(B1312,[1]LifeList!$E$2:$G$2036,2)</f>
        <v>Grand Héron</v>
      </c>
      <c r="F1312" s="3" t="str">
        <f>VLOOKUP(B1312,[1]LifeList!$E$2:$G$2036,3)</f>
        <v>Ardea herodias</v>
      </c>
      <c r="G1312" s="3" t="str">
        <f>VLOOKUP(B1312,[1]LifeList!$E$2:$I$2036,4)</f>
        <v>Pelecaniformes</v>
      </c>
      <c r="H1312" s="3" t="str">
        <f>VLOOKUP(B1312,[1]LifeList!$E$2:$I$2036,5)</f>
        <v>Ardeidae (Herons, Egrets, and Bitterns)</v>
      </c>
    </row>
    <row r="1313" spans="1:8" x14ac:dyDescent="0.15">
      <c r="A1313" s="3" t="s">
        <v>1263</v>
      </c>
      <c r="B1313" s="3" t="s">
        <v>3759</v>
      </c>
      <c r="C1313" s="3">
        <v>7753</v>
      </c>
      <c r="D1313" s="3" t="str">
        <f>VLOOKUP(B1313,[1]LifeList!$E$2:$G$2036,1)</f>
        <v>Great Blue Heron</v>
      </c>
      <c r="E1313" s="3" t="str">
        <f>VLOOKUP(B1313,[1]LifeList!$E$2:$G$2036,2)</f>
        <v>Grand Héron</v>
      </c>
      <c r="F1313" s="3" t="str">
        <f>VLOOKUP(B1313,[1]LifeList!$E$2:$G$2036,3)</f>
        <v>Ardea herodias</v>
      </c>
      <c r="G1313" s="3" t="str">
        <f>VLOOKUP(B1313,[1]LifeList!$E$2:$I$2036,4)</f>
        <v>Pelecaniformes</v>
      </c>
      <c r="H1313" s="3" t="str">
        <f>VLOOKUP(B1313,[1]LifeList!$E$2:$I$2036,5)</f>
        <v>Ardeidae (Herons, Egrets, and Bitterns)</v>
      </c>
    </row>
    <row r="1314" spans="1:8" x14ac:dyDescent="0.15">
      <c r="A1314" s="3" t="s">
        <v>1264</v>
      </c>
      <c r="B1314" s="3" t="s">
        <v>3759</v>
      </c>
      <c r="C1314" s="3">
        <v>7753</v>
      </c>
      <c r="D1314" s="3" t="str">
        <f>VLOOKUP(B1314,[1]LifeList!$E$2:$G$2036,1)</f>
        <v>Great Blue Heron</v>
      </c>
      <c r="E1314" s="3" t="str">
        <f>VLOOKUP(B1314,[1]LifeList!$E$2:$G$2036,2)</f>
        <v>Grand Héron</v>
      </c>
      <c r="F1314" s="3" t="str">
        <f>VLOOKUP(B1314,[1]LifeList!$E$2:$G$2036,3)</f>
        <v>Ardea herodias</v>
      </c>
      <c r="G1314" s="3" t="str">
        <f>VLOOKUP(B1314,[1]LifeList!$E$2:$I$2036,4)</f>
        <v>Pelecaniformes</v>
      </c>
      <c r="H1314" s="3" t="str">
        <f>VLOOKUP(B1314,[1]LifeList!$E$2:$I$2036,5)</f>
        <v>Ardeidae (Herons, Egrets, and Bitterns)</v>
      </c>
    </row>
    <row r="1315" spans="1:8" x14ac:dyDescent="0.15">
      <c r="A1315" s="3" t="s">
        <v>3855</v>
      </c>
      <c r="B1315" s="3" t="s">
        <v>3759</v>
      </c>
      <c r="C1315" s="3">
        <v>7753</v>
      </c>
      <c r="D1315" s="3" t="str">
        <f>VLOOKUP(B1315,[1]LifeList!$E$2:$G$2036,1)</f>
        <v>Great Blue Heron</v>
      </c>
      <c r="E1315" s="3" t="str">
        <f>VLOOKUP(B1315,[1]LifeList!$E$2:$G$2036,2)</f>
        <v>Grand Héron</v>
      </c>
      <c r="F1315" s="3" t="str">
        <f>VLOOKUP(B1315,[1]LifeList!$E$2:$G$2036,3)</f>
        <v>Ardea herodias</v>
      </c>
      <c r="G1315" s="3" t="str">
        <f>VLOOKUP(B1315,[1]LifeList!$E$2:$I$2036,4)</f>
        <v>Pelecaniformes</v>
      </c>
      <c r="H1315" s="3" t="str">
        <f>VLOOKUP(B1315,[1]LifeList!$E$2:$I$2036,5)</f>
        <v>Ardeidae (Herons, Egrets, and Bitterns)</v>
      </c>
    </row>
    <row r="1316" spans="1:8" x14ac:dyDescent="0.15">
      <c r="A1316" s="3" t="s">
        <v>1265</v>
      </c>
      <c r="B1316" s="3" t="s">
        <v>4424</v>
      </c>
      <c r="C1316" s="3">
        <v>7397</v>
      </c>
      <c r="D1316" s="3" t="str">
        <f>VLOOKUP(B1316,[1]LifeList!$E$2:$G$2036,1)</f>
        <v>Great Cormorant</v>
      </c>
      <c r="E1316" s="3" t="str">
        <f>VLOOKUP(B1316,[1]LifeList!$E$2:$G$2036,2)</f>
        <v>Grand Cormoran</v>
      </c>
      <c r="F1316" s="3" t="str">
        <f>VLOOKUP(B1316,[1]LifeList!$E$2:$G$2036,3)</f>
        <v>Phalacrocorax carbo</v>
      </c>
      <c r="G1316" s="3" t="str">
        <f>VLOOKUP(B1316,[1]LifeList!$E$2:$I$2036,4)</f>
        <v>Suliformes</v>
      </c>
      <c r="H1316" s="3" t="str">
        <f>VLOOKUP(B1316,[1]LifeList!$E$2:$I$2036,5)</f>
        <v>Phalacrocoracidae (Cormorants and Shags)</v>
      </c>
    </row>
    <row r="1317" spans="1:8" x14ac:dyDescent="0.15">
      <c r="A1317" s="3" t="s">
        <v>1266</v>
      </c>
      <c r="B1317" s="3" t="s">
        <v>3760</v>
      </c>
      <c r="C1317" s="3">
        <v>17334</v>
      </c>
      <c r="D1317" s="3" t="str">
        <f>VLOOKUP(B1317,[1]LifeList!$E$2:$G$2036,1)</f>
        <v>Great Crested Flycatcher</v>
      </c>
      <c r="E1317" s="3" t="str">
        <f>VLOOKUP(B1317,[1]LifeList!$E$2:$G$2036,2)</f>
        <v>Tyran huppé</v>
      </c>
      <c r="F1317" s="3" t="str">
        <f>VLOOKUP(B1317,[1]LifeList!$E$2:$G$2036,3)</f>
        <v>Myiarchus crinitus</v>
      </c>
      <c r="G1317" s="3" t="str">
        <f>VLOOKUP(B1317,[1]LifeList!$E$2:$I$2036,4)</f>
        <v>Passeriformes</v>
      </c>
      <c r="H1317" s="3" t="str">
        <f>VLOOKUP(B1317,[1]LifeList!$E$2:$I$2036,5)</f>
        <v>Tyrannidae (Tyrant Flycatchers)</v>
      </c>
    </row>
    <row r="1318" spans="1:8" x14ac:dyDescent="0.15">
      <c r="A1318" s="3" t="s">
        <v>1267</v>
      </c>
      <c r="B1318" s="3" t="s">
        <v>3760</v>
      </c>
      <c r="C1318" s="3">
        <v>17334</v>
      </c>
      <c r="D1318" s="3" t="str">
        <f>VLOOKUP(B1318,[1]LifeList!$E$2:$G$2036,1)</f>
        <v>Great Crested Flycatcher</v>
      </c>
      <c r="E1318" s="3" t="str">
        <f>VLOOKUP(B1318,[1]LifeList!$E$2:$G$2036,2)</f>
        <v>Tyran huppé</v>
      </c>
      <c r="F1318" s="3" t="str">
        <f>VLOOKUP(B1318,[1]LifeList!$E$2:$G$2036,3)</f>
        <v>Myiarchus crinitus</v>
      </c>
      <c r="G1318" s="3" t="str">
        <f>VLOOKUP(B1318,[1]LifeList!$E$2:$I$2036,4)</f>
        <v>Passeriformes</v>
      </c>
      <c r="H1318" s="3" t="str">
        <f>VLOOKUP(B1318,[1]LifeList!$E$2:$I$2036,5)</f>
        <v>Tyrannidae (Tyrant Flycatchers)</v>
      </c>
    </row>
    <row r="1319" spans="1:8" x14ac:dyDescent="0.15">
      <c r="A1319" s="3" t="s">
        <v>1268</v>
      </c>
      <c r="B1319" s="3" t="s">
        <v>3760</v>
      </c>
      <c r="C1319" s="3">
        <v>17334</v>
      </c>
      <c r="D1319" s="3" t="str">
        <f>VLOOKUP(B1319,[1]LifeList!$E$2:$G$2036,1)</f>
        <v>Great Crested Flycatcher</v>
      </c>
      <c r="E1319" s="3" t="str">
        <f>VLOOKUP(B1319,[1]LifeList!$E$2:$G$2036,2)</f>
        <v>Tyran huppé</v>
      </c>
      <c r="F1319" s="3" t="str">
        <f>VLOOKUP(B1319,[1]LifeList!$E$2:$G$2036,3)</f>
        <v>Myiarchus crinitus</v>
      </c>
      <c r="G1319" s="3" t="str">
        <f>VLOOKUP(B1319,[1]LifeList!$E$2:$I$2036,4)</f>
        <v>Passeriformes</v>
      </c>
      <c r="H1319" s="3" t="str">
        <f>VLOOKUP(B1319,[1]LifeList!$E$2:$I$2036,5)</f>
        <v>Tyrannidae (Tyrant Flycatchers)</v>
      </c>
    </row>
    <row r="1320" spans="1:8" x14ac:dyDescent="0.15">
      <c r="A1320" s="3" t="s">
        <v>1269</v>
      </c>
      <c r="B1320" s="3" t="s">
        <v>3760</v>
      </c>
      <c r="C1320" s="3">
        <v>17334</v>
      </c>
      <c r="D1320" s="3" t="str">
        <f>VLOOKUP(B1320,[1]LifeList!$E$2:$G$2036,1)</f>
        <v>Great Crested Flycatcher</v>
      </c>
      <c r="E1320" s="3" t="str">
        <f>VLOOKUP(B1320,[1]LifeList!$E$2:$G$2036,2)</f>
        <v>Tyran huppé</v>
      </c>
      <c r="F1320" s="3" t="str">
        <f>VLOOKUP(B1320,[1]LifeList!$E$2:$G$2036,3)</f>
        <v>Myiarchus crinitus</v>
      </c>
      <c r="G1320" s="3" t="str">
        <f>VLOOKUP(B1320,[1]LifeList!$E$2:$I$2036,4)</f>
        <v>Passeriformes</v>
      </c>
      <c r="H1320" s="3" t="str">
        <f>VLOOKUP(B1320,[1]LifeList!$E$2:$I$2036,5)</f>
        <v>Tyrannidae (Tyrant Flycatchers)</v>
      </c>
    </row>
    <row r="1321" spans="1:8" x14ac:dyDescent="0.15">
      <c r="A1321" s="3" t="s">
        <v>1270</v>
      </c>
      <c r="B1321" s="3" t="s">
        <v>3760</v>
      </c>
      <c r="C1321" s="3">
        <v>17334</v>
      </c>
      <c r="D1321" s="3" t="str">
        <f>VLOOKUP(B1321,[1]LifeList!$E$2:$G$2036,1)</f>
        <v>Great Crested Flycatcher</v>
      </c>
      <c r="E1321" s="3" t="str">
        <f>VLOOKUP(B1321,[1]LifeList!$E$2:$G$2036,2)</f>
        <v>Tyran huppé</v>
      </c>
      <c r="F1321" s="3" t="str">
        <f>VLOOKUP(B1321,[1]LifeList!$E$2:$G$2036,3)</f>
        <v>Myiarchus crinitus</v>
      </c>
      <c r="G1321" s="3" t="str">
        <f>VLOOKUP(B1321,[1]LifeList!$E$2:$I$2036,4)</f>
        <v>Passeriformes</v>
      </c>
      <c r="H1321" s="3" t="str">
        <f>VLOOKUP(B1321,[1]LifeList!$E$2:$I$2036,5)</f>
        <v>Tyrannidae (Tyrant Flycatchers)</v>
      </c>
    </row>
    <row r="1322" spans="1:8" x14ac:dyDescent="0.15">
      <c r="A1322" s="3" t="s">
        <v>1271</v>
      </c>
      <c r="B1322" s="3" t="s">
        <v>3761</v>
      </c>
      <c r="C1322" s="3">
        <v>6872</v>
      </c>
      <c r="D1322" s="3" t="str">
        <f>VLOOKUP(B1322,[1]LifeList!$E$2:$G$2036,1)</f>
        <v>Great Crested Grebe</v>
      </c>
      <c r="E1322" s="3" t="str">
        <f>VLOOKUP(B1322,[1]LifeList!$E$2:$G$2036,2)</f>
        <v>Grèbe huppé</v>
      </c>
      <c r="F1322" s="3" t="str">
        <f>VLOOKUP(B1322,[1]LifeList!$E$2:$G$2036,3)</f>
        <v>Podiceps cristatus</v>
      </c>
      <c r="G1322" s="3" t="str">
        <f>VLOOKUP(B1322,[1]LifeList!$E$2:$I$2036,4)</f>
        <v>Podicipediformes</v>
      </c>
      <c r="H1322" s="3" t="str">
        <f>VLOOKUP(B1322,[1]LifeList!$E$2:$I$2036,5)</f>
        <v>Podicipedidae (Grebes)</v>
      </c>
    </row>
    <row r="1323" spans="1:8" x14ac:dyDescent="0.15">
      <c r="A1323" s="3" t="s">
        <v>1272</v>
      </c>
      <c r="B1323" s="3" t="s">
        <v>3762</v>
      </c>
      <c r="C1323" s="3">
        <v>6792</v>
      </c>
      <c r="D1323" s="3" t="str">
        <f>VLOOKUP(B1323,[1]LifeList!$E$2:$G$2036,1)</f>
        <v>Great Crested Tern</v>
      </c>
      <c r="E1323" s="3" t="str">
        <f>VLOOKUP(B1323,[1]LifeList!$E$2:$G$2036,2)</f>
        <v>Sterne huppée</v>
      </c>
      <c r="F1323" s="3" t="str">
        <f>VLOOKUP(B1323,[1]LifeList!$E$2:$G$2036,3)</f>
        <v>Thalasseus bergii</v>
      </c>
      <c r="G1323" s="3" t="str">
        <f>VLOOKUP(B1323,[1]LifeList!$E$2:$I$2036,4)</f>
        <v>Charadriiformes</v>
      </c>
      <c r="H1323" s="3" t="str">
        <f>VLOOKUP(B1323,[1]LifeList!$E$2:$I$2036,5)</f>
        <v>Laridae (Gulls, Terns, and Skimmers)</v>
      </c>
    </row>
    <row r="1324" spans="1:8" x14ac:dyDescent="0.15">
      <c r="A1324" s="3" t="s">
        <v>1273</v>
      </c>
      <c r="B1324" s="3" t="s">
        <v>3762</v>
      </c>
      <c r="C1324" s="3">
        <v>6792</v>
      </c>
      <c r="D1324" s="3" t="str">
        <f>VLOOKUP(B1324,[1]LifeList!$E$2:$G$2036,1)</f>
        <v>Great Crested Tern</v>
      </c>
      <c r="E1324" s="3" t="str">
        <f>VLOOKUP(B1324,[1]LifeList!$E$2:$G$2036,2)</f>
        <v>Sterne huppée</v>
      </c>
      <c r="F1324" s="3" t="str">
        <f>VLOOKUP(B1324,[1]LifeList!$E$2:$G$2036,3)</f>
        <v>Thalasseus bergii</v>
      </c>
      <c r="G1324" s="3" t="str">
        <f>VLOOKUP(B1324,[1]LifeList!$E$2:$I$2036,4)</f>
        <v>Charadriiformes</v>
      </c>
      <c r="H1324" s="3" t="str">
        <f>VLOOKUP(B1324,[1]LifeList!$E$2:$I$2036,5)</f>
        <v>Laridae (Gulls, Terns, and Skimmers)</v>
      </c>
    </row>
    <row r="1325" spans="1:8" x14ac:dyDescent="0.15">
      <c r="A1325" s="3" t="s">
        <v>1274</v>
      </c>
      <c r="B1325" s="3" t="s">
        <v>4425</v>
      </c>
      <c r="C1325" s="3">
        <v>930</v>
      </c>
      <c r="D1325" s="3" t="str">
        <f>VLOOKUP(B1325,[1]LifeList!$E$2:$G$2036,1)</f>
        <v>Great Curassow</v>
      </c>
      <c r="E1325" s="3" t="str">
        <f>VLOOKUP(B1325,[1]LifeList!$E$2:$G$2036,2)</f>
        <v>Grand Hocco</v>
      </c>
      <c r="F1325" s="3" t="str">
        <f>VLOOKUP(B1325,[1]LifeList!$E$2:$G$2036,3)</f>
        <v>Crax rubra</v>
      </c>
      <c r="G1325" s="3" t="str">
        <f>VLOOKUP(B1325,[1]LifeList!$E$2:$I$2036,4)</f>
        <v>Galliformes</v>
      </c>
      <c r="H1325" s="3" t="str">
        <f>VLOOKUP(B1325,[1]LifeList!$E$2:$I$2036,5)</f>
        <v>Cracidae (Guans, Chachalacas, and Curassows)</v>
      </c>
    </row>
    <row r="1326" spans="1:8" x14ac:dyDescent="0.15">
      <c r="A1326" s="3" t="s">
        <v>1275</v>
      </c>
      <c r="B1326" s="3" t="s">
        <v>4425</v>
      </c>
      <c r="C1326" s="3">
        <v>930</v>
      </c>
      <c r="D1326" s="3" t="str">
        <f>VLOOKUP(B1326,[1]LifeList!$E$2:$G$2036,1)</f>
        <v>Great Curassow</v>
      </c>
      <c r="E1326" s="3" t="str">
        <f>VLOOKUP(B1326,[1]LifeList!$E$2:$G$2036,2)</f>
        <v>Grand Hocco</v>
      </c>
      <c r="F1326" s="3" t="str">
        <f>VLOOKUP(B1326,[1]LifeList!$E$2:$G$2036,3)</f>
        <v>Crax rubra</v>
      </c>
      <c r="G1326" s="3" t="str">
        <f>VLOOKUP(B1326,[1]LifeList!$E$2:$I$2036,4)</f>
        <v>Galliformes</v>
      </c>
      <c r="H1326" s="3" t="str">
        <f>VLOOKUP(B1326,[1]LifeList!$E$2:$I$2036,5)</f>
        <v>Cracidae (Guans, Chachalacas, and Curassows)</v>
      </c>
    </row>
    <row r="1327" spans="1:8" x14ac:dyDescent="0.15">
      <c r="A1327" s="3" t="s">
        <v>1276</v>
      </c>
      <c r="B1327" s="3" t="s">
        <v>4425</v>
      </c>
      <c r="C1327" s="3">
        <v>930</v>
      </c>
      <c r="D1327" s="3" t="str">
        <f>VLOOKUP(B1327,[1]LifeList!$E$2:$G$2036,1)</f>
        <v>Great Curassow</v>
      </c>
      <c r="E1327" s="3" t="str">
        <f>VLOOKUP(B1327,[1]LifeList!$E$2:$G$2036,2)</f>
        <v>Grand Hocco</v>
      </c>
      <c r="F1327" s="3" t="str">
        <f>VLOOKUP(B1327,[1]LifeList!$E$2:$G$2036,3)</f>
        <v>Crax rubra</v>
      </c>
      <c r="G1327" s="3" t="str">
        <f>VLOOKUP(B1327,[1]LifeList!$E$2:$I$2036,4)</f>
        <v>Galliformes</v>
      </c>
      <c r="H1327" s="3" t="str">
        <f>VLOOKUP(B1327,[1]LifeList!$E$2:$I$2036,5)</f>
        <v>Cracidae (Guans, Chachalacas, and Curassows)</v>
      </c>
    </row>
    <row r="1328" spans="1:8" x14ac:dyDescent="0.15">
      <c r="A1328" s="3" t="s">
        <v>1277</v>
      </c>
      <c r="B1328" s="3" t="s">
        <v>4426</v>
      </c>
      <c r="C1328" s="3">
        <v>7729</v>
      </c>
      <c r="D1328" s="3" t="str">
        <f>VLOOKUP(B1328,[1]LifeList!$E$2:$G$2036,1)</f>
        <v>Great Egret</v>
      </c>
      <c r="E1328" s="3" t="str">
        <f>VLOOKUP(B1328,[1]LifeList!$E$2:$G$2036,2)</f>
        <v>Grande Aigrette</v>
      </c>
      <c r="F1328" s="3" t="str">
        <f>VLOOKUP(B1328,[1]LifeList!$E$2:$G$2036,3)</f>
        <v>Ardea alba</v>
      </c>
      <c r="G1328" s="3" t="str">
        <f>VLOOKUP(B1328,[1]LifeList!$E$2:$I$2036,4)</f>
        <v>Pelecaniformes</v>
      </c>
      <c r="H1328" s="3" t="str">
        <f>VLOOKUP(B1328,[1]LifeList!$E$2:$I$2036,5)</f>
        <v>Ardeidae (Herons, Egrets, and Bitterns)</v>
      </c>
    </row>
    <row r="1329" spans="1:8" x14ac:dyDescent="0.15">
      <c r="A1329" s="3" t="s">
        <v>1278</v>
      </c>
      <c r="B1329" s="3" t="s">
        <v>4426</v>
      </c>
      <c r="C1329" s="3">
        <v>7729</v>
      </c>
      <c r="D1329" s="3" t="str">
        <f>VLOOKUP(B1329,[1]LifeList!$E$2:$G$2036,1)</f>
        <v>Great Egret</v>
      </c>
      <c r="E1329" s="3" t="str">
        <f>VLOOKUP(B1329,[1]LifeList!$E$2:$G$2036,2)</f>
        <v>Grande Aigrette</v>
      </c>
      <c r="F1329" s="3" t="str">
        <f>VLOOKUP(B1329,[1]LifeList!$E$2:$G$2036,3)</f>
        <v>Ardea alba</v>
      </c>
      <c r="G1329" s="3" t="str">
        <f>VLOOKUP(B1329,[1]LifeList!$E$2:$I$2036,4)</f>
        <v>Pelecaniformes</v>
      </c>
      <c r="H1329" s="3" t="str">
        <f>VLOOKUP(B1329,[1]LifeList!$E$2:$I$2036,5)</f>
        <v>Ardeidae (Herons, Egrets, and Bitterns)</v>
      </c>
    </row>
    <row r="1330" spans="1:8" x14ac:dyDescent="0.15">
      <c r="A1330" s="3" t="s">
        <v>1279</v>
      </c>
      <c r="B1330" s="3" t="s">
        <v>4426</v>
      </c>
      <c r="C1330" s="3">
        <v>7729</v>
      </c>
      <c r="D1330" s="3" t="str">
        <f>VLOOKUP(B1330,[1]LifeList!$E$2:$G$2036,1)</f>
        <v>Great Egret</v>
      </c>
      <c r="E1330" s="3" t="str">
        <f>VLOOKUP(B1330,[1]LifeList!$E$2:$G$2036,2)</f>
        <v>Grande Aigrette</v>
      </c>
      <c r="F1330" s="3" t="str">
        <f>VLOOKUP(B1330,[1]LifeList!$E$2:$G$2036,3)</f>
        <v>Ardea alba</v>
      </c>
      <c r="G1330" s="3" t="str">
        <f>VLOOKUP(B1330,[1]LifeList!$E$2:$I$2036,4)</f>
        <v>Pelecaniformes</v>
      </c>
      <c r="H1330" s="3" t="str">
        <f>VLOOKUP(B1330,[1]LifeList!$E$2:$I$2036,5)</f>
        <v>Ardeidae (Herons, Egrets, and Bitterns)</v>
      </c>
    </row>
    <row r="1331" spans="1:8" x14ac:dyDescent="0.15">
      <c r="A1331" s="3" t="s">
        <v>1280</v>
      </c>
      <c r="B1331" s="3" t="s">
        <v>4426</v>
      </c>
      <c r="C1331" s="3">
        <v>7729</v>
      </c>
      <c r="D1331" s="3" t="str">
        <f>VLOOKUP(B1331,[1]LifeList!$E$2:$G$2036,1)</f>
        <v>Great Egret</v>
      </c>
      <c r="E1331" s="3" t="str">
        <f>VLOOKUP(B1331,[1]LifeList!$E$2:$G$2036,2)</f>
        <v>Grande Aigrette</v>
      </c>
      <c r="F1331" s="3" t="str">
        <f>VLOOKUP(B1331,[1]LifeList!$E$2:$G$2036,3)</f>
        <v>Ardea alba</v>
      </c>
      <c r="G1331" s="3" t="str">
        <f>VLOOKUP(B1331,[1]LifeList!$E$2:$I$2036,4)</f>
        <v>Pelecaniformes</v>
      </c>
      <c r="H1331" s="3" t="str">
        <f>VLOOKUP(B1331,[1]LifeList!$E$2:$I$2036,5)</f>
        <v>Ardeidae (Herons, Egrets, and Bitterns)</v>
      </c>
    </row>
    <row r="1332" spans="1:8" x14ac:dyDescent="0.15">
      <c r="A1332" s="3" t="s">
        <v>1281</v>
      </c>
      <c r="B1332" s="3" t="s">
        <v>4426</v>
      </c>
      <c r="C1332" s="3">
        <v>7729</v>
      </c>
      <c r="D1332" s="3" t="str">
        <f>VLOOKUP(B1332,[1]LifeList!$E$2:$G$2036,1)</f>
        <v>Great Egret</v>
      </c>
      <c r="E1332" s="3" t="str">
        <f>VLOOKUP(B1332,[1]LifeList!$E$2:$G$2036,2)</f>
        <v>Grande Aigrette</v>
      </c>
      <c r="F1332" s="3" t="str">
        <f>VLOOKUP(B1332,[1]LifeList!$E$2:$G$2036,3)</f>
        <v>Ardea alba</v>
      </c>
      <c r="G1332" s="3" t="str">
        <f>VLOOKUP(B1332,[1]LifeList!$E$2:$I$2036,4)</f>
        <v>Pelecaniformes</v>
      </c>
      <c r="H1332" s="3" t="str">
        <f>VLOOKUP(B1332,[1]LifeList!$E$2:$I$2036,5)</f>
        <v>Ardeidae (Herons, Egrets, and Bitterns)</v>
      </c>
    </row>
    <row r="1333" spans="1:8" x14ac:dyDescent="0.15">
      <c r="A1333" s="3" t="s">
        <v>1282</v>
      </c>
      <c r="B1333" s="3" t="s">
        <v>4426</v>
      </c>
      <c r="C1333" s="3">
        <v>7729</v>
      </c>
      <c r="D1333" s="3" t="str">
        <f>VLOOKUP(B1333,[1]LifeList!$E$2:$G$2036,1)</f>
        <v>Great Egret</v>
      </c>
      <c r="E1333" s="3" t="str">
        <f>VLOOKUP(B1333,[1]LifeList!$E$2:$G$2036,2)</f>
        <v>Grande Aigrette</v>
      </c>
      <c r="F1333" s="3" t="str">
        <f>VLOOKUP(B1333,[1]LifeList!$E$2:$G$2036,3)</f>
        <v>Ardea alba</v>
      </c>
      <c r="G1333" s="3" t="str">
        <f>VLOOKUP(B1333,[1]LifeList!$E$2:$I$2036,4)</f>
        <v>Pelecaniformes</v>
      </c>
      <c r="H1333" s="3" t="str">
        <f>VLOOKUP(B1333,[1]LifeList!$E$2:$I$2036,5)</f>
        <v>Ardeidae (Herons, Egrets, and Bitterns)</v>
      </c>
    </row>
    <row r="1334" spans="1:8" x14ac:dyDescent="0.15">
      <c r="A1334" s="3" t="s">
        <v>1283</v>
      </c>
      <c r="B1334" s="3" t="s">
        <v>4426</v>
      </c>
      <c r="C1334" s="3">
        <v>7729</v>
      </c>
      <c r="D1334" s="3" t="str">
        <f>VLOOKUP(B1334,[1]LifeList!$E$2:$G$2036,1)</f>
        <v>Great Egret</v>
      </c>
      <c r="E1334" s="3" t="str">
        <f>VLOOKUP(B1334,[1]LifeList!$E$2:$G$2036,2)</f>
        <v>Grande Aigrette</v>
      </c>
      <c r="F1334" s="3" t="str">
        <f>VLOOKUP(B1334,[1]LifeList!$E$2:$G$2036,3)</f>
        <v>Ardea alba</v>
      </c>
      <c r="G1334" s="3" t="str">
        <f>VLOOKUP(B1334,[1]LifeList!$E$2:$I$2036,4)</f>
        <v>Pelecaniformes</v>
      </c>
      <c r="H1334" s="3" t="str">
        <f>VLOOKUP(B1334,[1]LifeList!$E$2:$I$2036,5)</f>
        <v>Ardeidae (Herons, Egrets, and Bitterns)</v>
      </c>
    </row>
    <row r="1335" spans="1:8" x14ac:dyDescent="0.15">
      <c r="A1335" s="3" t="s">
        <v>1284</v>
      </c>
      <c r="B1335" s="3" t="s">
        <v>4426</v>
      </c>
      <c r="C1335" s="3">
        <v>7729</v>
      </c>
      <c r="D1335" s="3" t="str">
        <f>VLOOKUP(B1335,[1]LifeList!$E$2:$G$2036,1)</f>
        <v>Great Egret</v>
      </c>
      <c r="E1335" s="3" t="str">
        <f>VLOOKUP(B1335,[1]LifeList!$E$2:$G$2036,2)</f>
        <v>Grande Aigrette</v>
      </c>
      <c r="F1335" s="3" t="str">
        <f>VLOOKUP(B1335,[1]LifeList!$E$2:$G$2036,3)</f>
        <v>Ardea alba</v>
      </c>
      <c r="G1335" s="3" t="str">
        <f>VLOOKUP(B1335,[1]LifeList!$E$2:$I$2036,4)</f>
        <v>Pelecaniformes</v>
      </c>
      <c r="H1335" s="3" t="str">
        <f>VLOOKUP(B1335,[1]LifeList!$E$2:$I$2036,5)</f>
        <v>Ardeidae (Herons, Egrets, and Bitterns)</v>
      </c>
    </row>
    <row r="1336" spans="1:8" x14ac:dyDescent="0.15">
      <c r="A1336" s="3" t="s">
        <v>1285</v>
      </c>
      <c r="B1336" s="3" t="s">
        <v>4426</v>
      </c>
      <c r="C1336" s="3">
        <v>7729</v>
      </c>
      <c r="D1336" s="3" t="str">
        <f>VLOOKUP(B1336,[1]LifeList!$E$2:$G$2036,1)</f>
        <v>Great Egret</v>
      </c>
      <c r="E1336" s="3" t="str">
        <f>VLOOKUP(B1336,[1]LifeList!$E$2:$G$2036,2)</f>
        <v>Grande Aigrette</v>
      </c>
      <c r="F1336" s="3" t="str">
        <f>VLOOKUP(B1336,[1]LifeList!$E$2:$G$2036,3)</f>
        <v>Ardea alba</v>
      </c>
      <c r="G1336" s="3" t="str">
        <f>VLOOKUP(B1336,[1]LifeList!$E$2:$I$2036,4)</f>
        <v>Pelecaniformes</v>
      </c>
      <c r="H1336" s="3" t="str">
        <f>VLOOKUP(B1336,[1]LifeList!$E$2:$I$2036,5)</f>
        <v>Ardeidae (Herons, Egrets, and Bitterns)</v>
      </c>
    </row>
    <row r="1337" spans="1:8" x14ac:dyDescent="0.15">
      <c r="A1337" s="3" t="s">
        <v>1286</v>
      </c>
      <c r="B1337" s="3" t="s">
        <v>4426</v>
      </c>
      <c r="C1337" s="3">
        <v>7729</v>
      </c>
      <c r="D1337" s="3" t="str">
        <f>VLOOKUP(B1337,[1]LifeList!$E$2:$G$2036,1)</f>
        <v>Great Egret</v>
      </c>
      <c r="E1337" s="3" t="str">
        <f>VLOOKUP(B1337,[1]LifeList!$E$2:$G$2036,2)</f>
        <v>Grande Aigrette</v>
      </c>
      <c r="F1337" s="3" t="str">
        <f>VLOOKUP(B1337,[1]LifeList!$E$2:$G$2036,3)</f>
        <v>Ardea alba</v>
      </c>
      <c r="G1337" s="3" t="str">
        <f>VLOOKUP(B1337,[1]LifeList!$E$2:$I$2036,4)</f>
        <v>Pelecaniformes</v>
      </c>
      <c r="H1337" s="3" t="str">
        <f>VLOOKUP(B1337,[1]LifeList!$E$2:$I$2036,5)</f>
        <v>Ardeidae (Herons, Egrets, and Bitterns)</v>
      </c>
    </row>
    <row r="1338" spans="1:8" x14ac:dyDescent="0.15">
      <c r="A1338" s="3" t="s">
        <v>1287</v>
      </c>
      <c r="B1338" s="3" t="s">
        <v>4426</v>
      </c>
      <c r="C1338" s="3">
        <v>7729</v>
      </c>
      <c r="D1338" s="3" t="str">
        <f>VLOOKUP(B1338,[1]LifeList!$E$2:$G$2036,1)</f>
        <v>Great Egret</v>
      </c>
      <c r="E1338" s="3" t="str">
        <f>VLOOKUP(B1338,[1]LifeList!$E$2:$G$2036,2)</f>
        <v>Grande Aigrette</v>
      </c>
      <c r="F1338" s="3" t="str">
        <f>VLOOKUP(B1338,[1]LifeList!$E$2:$G$2036,3)</f>
        <v>Ardea alba</v>
      </c>
      <c r="G1338" s="3" t="str">
        <f>VLOOKUP(B1338,[1]LifeList!$E$2:$I$2036,4)</f>
        <v>Pelecaniformes</v>
      </c>
      <c r="H1338" s="3" t="str">
        <f>VLOOKUP(B1338,[1]LifeList!$E$2:$I$2036,5)</f>
        <v>Ardeidae (Herons, Egrets, and Bitterns)</v>
      </c>
    </row>
    <row r="1339" spans="1:8" x14ac:dyDescent="0.15">
      <c r="A1339" s="3" t="s">
        <v>3856</v>
      </c>
      <c r="B1339" s="3" t="s">
        <v>4426</v>
      </c>
      <c r="C1339" s="3">
        <v>7729</v>
      </c>
      <c r="D1339" s="3" t="str">
        <f>VLOOKUP(B1339,[1]LifeList!$E$2:$G$2036,1)</f>
        <v>Great Egret</v>
      </c>
      <c r="E1339" s="3" t="str">
        <f>VLOOKUP(B1339,[1]LifeList!$E$2:$G$2036,2)</f>
        <v>Grande Aigrette</v>
      </c>
      <c r="F1339" s="3" t="str">
        <f>VLOOKUP(B1339,[1]LifeList!$E$2:$G$2036,3)</f>
        <v>Ardea alba</v>
      </c>
      <c r="G1339" s="3" t="str">
        <f>VLOOKUP(B1339,[1]LifeList!$E$2:$I$2036,4)</f>
        <v>Pelecaniformes</v>
      </c>
      <c r="H1339" s="3" t="str">
        <f>VLOOKUP(B1339,[1]LifeList!$E$2:$I$2036,5)</f>
        <v>Ardeidae (Herons, Egrets, and Bitterns)</v>
      </c>
    </row>
    <row r="1340" spans="1:8" x14ac:dyDescent="0.15">
      <c r="A1340" s="3" t="s">
        <v>1288</v>
      </c>
      <c r="B1340" s="3" t="s">
        <v>4426</v>
      </c>
      <c r="C1340" s="3">
        <v>7729</v>
      </c>
      <c r="D1340" s="3" t="str">
        <f>VLOOKUP(B1340,[1]LifeList!$E$2:$G$2036,1)</f>
        <v>Great Egret</v>
      </c>
      <c r="E1340" s="3" t="str">
        <f>VLOOKUP(B1340,[1]LifeList!$E$2:$G$2036,2)</f>
        <v>Grande Aigrette</v>
      </c>
      <c r="F1340" s="3" t="str">
        <f>VLOOKUP(B1340,[1]LifeList!$E$2:$G$2036,3)</f>
        <v>Ardea alba</v>
      </c>
      <c r="G1340" s="3" t="str">
        <f>VLOOKUP(B1340,[1]LifeList!$E$2:$I$2036,4)</f>
        <v>Pelecaniformes</v>
      </c>
      <c r="H1340" s="3" t="str">
        <f>VLOOKUP(B1340,[1]LifeList!$E$2:$I$2036,5)</f>
        <v>Ardeidae (Herons, Egrets, and Bitterns)</v>
      </c>
    </row>
    <row r="1341" spans="1:8" x14ac:dyDescent="0.15">
      <c r="A1341" s="3" t="s">
        <v>1289</v>
      </c>
      <c r="B1341" s="3" t="s">
        <v>3763</v>
      </c>
      <c r="C1341" s="3">
        <v>9243</v>
      </c>
      <c r="D1341" s="3" t="str">
        <f>VLOOKUP(B1341,[1]LifeList!$E$2:$G$2036,1)</f>
        <v>Great Gray Owl</v>
      </c>
      <c r="E1341" s="3" t="str">
        <f>VLOOKUP(B1341,[1]LifeList!$E$2:$G$2036,2)</f>
        <v>Chouette lapone</v>
      </c>
      <c r="F1341" s="3" t="str">
        <f>VLOOKUP(B1341,[1]LifeList!$E$2:$G$2036,3)</f>
        <v>Strix nebulosa</v>
      </c>
      <c r="G1341" s="3" t="str">
        <f>VLOOKUP(B1341,[1]LifeList!$E$2:$I$2036,4)</f>
        <v>Strigiformes</v>
      </c>
      <c r="H1341" s="3" t="str">
        <f>VLOOKUP(B1341,[1]LifeList!$E$2:$I$2036,5)</f>
        <v>Strigidae (Owls)</v>
      </c>
    </row>
    <row r="1342" spans="1:8" x14ac:dyDescent="0.15">
      <c r="A1342" s="3" t="s">
        <v>1290</v>
      </c>
      <c r="B1342" s="3" t="s">
        <v>3764</v>
      </c>
      <c r="C1342" s="3">
        <v>13149</v>
      </c>
      <c r="D1342" s="3" t="str">
        <f>VLOOKUP(B1342,[1]LifeList!$E$2:$G$2036,1)</f>
        <v>Great Green Macaw</v>
      </c>
      <c r="E1342" s="3" t="str">
        <f>VLOOKUP(B1342,[1]LifeList!$E$2:$G$2036,2)</f>
        <v>Ara de Buffon</v>
      </c>
      <c r="F1342" s="3" t="str">
        <f>VLOOKUP(B1342,[1]LifeList!$E$2:$G$2036,3)</f>
        <v>Ara ambiguus</v>
      </c>
      <c r="G1342" s="3" t="str">
        <f>VLOOKUP(B1342,[1]LifeList!$E$2:$I$2036,4)</f>
        <v>Psittaciformes</v>
      </c>
      <c r="H1342" s="3" t="str">
        <f>VLOOKUP(B1342,[1]LifeList!$E$2:$I$2036,5)</f>
        <v>Psittacidae (New World and African Parrots)</v>
      </c>
    </row>
    <row r="1343" spans="1:8" x14ac:dyDescent="0.15">
      <c r="A1343" s="3" t="s">
        <v>1291</v>
      </c>
      <c r="B1343" s="3" t="s">
        <v>3764</v>
      </c>
      <c r="C1343" s="3">
        <v>13149</v>
      </c>
      <c r="D1343" s="3" t="str">
        <f>VLOOKUP(B1343,[1]LifeList!$E$2:$G$2036,1)</f>
        <v>Great Green Macaw</v>
      </c>
      <c r="E1343" s="3" t="str">
        <f>VLOOKUP(B1343,[1]LifeList!$E$2:$G$2036,2)</f>
        <v>Ara de Buffon</v>
      </c>
      <c r="F1343" s="3" t="str">
        <f>VLOOKUP(B1343,[1]LifeList!$E$2:$G$2036,3)</f>
        <v>Ara ambiguus</v>
      </c>
      <c r="G1343" s="3" t="str">
        <f>VLOOKUP(B1343,[1]LifeList!$E$2:$I$2036,4)</f>
        <v>Psittaciformes</v>
      </c>
      <c r="H1343" s="3" t="str">
        <f>VLOOKUP(B1343,[1]LifeList!$E$2:$I$2036,5)</f>
        <v>Psittacidae (New World and African Parrots)</v>
      </c>
    </row>
    <row r="1344" spans="1:8" x14ac:dyDescent="0.15">
      <c r="A1344" s="3" t="s">
        <v>1292</v>
      </c>
      <c r="B1344" s="3" t="s">
        <v>3764</v>
      </c>
      <c r="C1344" s="3">
        <v>13149</v>
      </c>
      <c r="D1344" s="3" t="str">
        <f>VLOOKUP(B1344,[1]LifeList!$E$2:$G$2036,1)</f>
        <v>Great Green Macaw</v>
      </c>
      <c r="E1344" s="3" t="str">
        <f>VLOOKUP(B1344,[1]LifeList!$E$2:$G$2036,2)</f>
        <v>Ara de Buffon</v>
      </c>
      <c r="F1344" s="3" t="str">
        <f>VLOOKUP(B1344,[1]LifeList!$E$2:$G$2036,3)</f>
        <v>Ara ambiguus</v>
      </c>
      <c r="G1344" s="3" t="str">
        <f>VLOOKUP(B1344,[1]LifeList!$E$2:$I$2036,4)</f>
        <v>Psittaciformes</v>
      </c>
      <c r="H1344" s="3" t="str">
        <f>VLOOKUP(B1344,[1]LifeList!$E$2:$I$2036,5)</f>
        <v>Psittacidae (New World and African Parrots)</v>
      </c>
    </row>
    <row r="1345" spans="1:8" x14ac:dyDescent="0.15">
      <c r="A1345" s="3" t="s">
        <v>1293</v>
      </c>
      <c r="B1345" s="3" t="s">
        <v>3764</v>
      </c>
      <c r="C1345" s="3">
        <v>13149</v>
      </c>
      <c r="D1345" s="3" t="str">
        <f>VLOOKUP(B1345,[1]LifeList!$E$2:$G$2036,1)</f>
        <v>Great Green Macaw</v>
      </c>
      <c r="E1345" s="3" t="str">
        <f>VLOOKUP(B1345,[1]LifeList!$E$2:$G$2036,2)</f>
        <v>Ara de Buffon</v>
      </c>
      <c r="F1345" s="3" t="str">
        <f>VLOOKUP(B1345,[1]LifeList!$E$2:$G$2036,3)</f>
        <v>Ara ambiguus</v>
      </c>
      <c r="G1345" s="3" t="str">
        <f>VLOOKUP(B1345,[1]LifeList!$E$2:$I$2036,4)</f>
        <v>Psittaciformes</v>
      </c>
      <c r="H1345" s="3" t="str">
        <f>VLOOKUP(B1345,[1]LifeList!$E$2:$I$2036,5)</f>
        <v>Psittacidae (New World and African Parrots)</v>
      </c>
    </row>
    <row r="1346" spans="1:8" x14ac:dyDescent="0.15">
      <c r="A1346" s="3" t="s">
        <v>1294</v>
      </c>
      <c r="B1346" s="3" t="s">
        <v>3764</v>
      </c>
      <c r="C1346" s="3">
        <v>13149</v>
      </c>
      <c r="D1346" s="3" t="str">
        <f>VLOOKUP(B1346,[1]LifeList!$E$2:$G$2036,1)</f>
        <v>Great Green Macaw</v>
      </c>
      <c r="E1346" s="3" t="str">
        <f>VLOOKUP(B1346,[1]LifeList!$E$2:$G$2036,2)</f>
        <v>Ara de Buffon</v>
      </c>
      <c r="F1346" s="3" t="str">
        <f>VLOOKUP(B1346,[1]LifeList!$E$2:$G$2036,3)</f>
        <v>Ara ambiguus</v>
      </c>
      <c r="G1346" s="3" t="str">
        <f>VLOOKUP(B1346,[1]LifeList!$E$2:$I$2036,4)</f>
        <v>Psittaciformes</v>
      </c>
      <c r="H1346" s="3" t="str">
        <f>VLOOKUP(B1346,[1]LifeList!$E$2:$I$2036,5)</f>
        <v>Psittacidae (New World and African Parrots)</v>
      </c>
    </row>
    <row r="1347" spans="1:8" x14ac:dyDescent="0.15">
      <c r="A1347" s="3" t="s">
        <v>1295</v>
      </c>
      <c r="B1347" s="3" t="s">
        <v>3765</v>
      </c>
      <c r="C1347" s="3">
        <v>8910</v>
      </c>
      <c r="D1347" s="3" t="str">
        <f>VLOOKUP(B1347,[1]LifeList!$E$2:$G$2036,1)</f>
        <v>Great Horned Owl</v>
      </c>
      <c r="E1347" s="3" t="str">
        <f>VLOOKUP(B1347,[1]LifeList!$E$2:$G$2036,2)</f>
        <v>Grand-duc d'Amérique</v>
      </c>
      <c r="F1347" s="3" t="str">
        <f>VLOOKUP(B1347,[1]LifeList!$E$2:$G$2036,3)</f>
        <v>Bubo virginianus</v>
      </c>
      <c r="G1347" s="3" t="str">
        <f>VLOOKUP(B1347,[1]LifeList!$E$2:$I$2036,4)</f>
        <v>Strigiformes</v>
      </c>
      <c r="H1347" s="3" t="str">
        <f>VLOOKUP(B1347,[1]LifeList!$E$2:$I$2036,5)</f>
        <v>Strigidae (Owls)</v>
      </c>
    </row>
    <row r="1348" spans="1:8" x14ac:dyDescent="0.15">
      <c r="A1348" s="3" t="s">
        <v>1296</v>
      </c>
      <c r="B1348" s="3" t="s">
        <v>3765</v>
      </c>
      <c r="C1348" s="3">
        <v>8910</v>
      </c>
      <c r="D1348" s="3" t="str">
        <f>VLOOKUP(B1348,[1]LifeList!$E$2:$G$2036,1)</f>
        <v>Great Horned Owl</v>
      </c>
      <c r="E1348" s="3" t="str">
        <f>VLOOKUP(B1348,[1]LifeList!$E$2:$G$2036,2)</f>
        <v>Grand-duc d'Amérique</v>
      </c>
      <c r="F1348" s="3" t="str">
        <f>VLOOKUP(B1348,[1]LifeList!$E$2:$G$2036,3)</f>
        <v>Bubo virginianus</v>
      </c>
      <c r="G1348" s="3" t="str">
        <f>VLOOKUP(B1348,[1]LifeList!$E$2:$I$2036,4)</f>
        <v>Strigiformes</v>
      </c>
      <c r="H1348" s="3" t="str">
        <f>VLOOKUP(B1348,[1]LifeList!$E$2:$I$2036,5)</f>
        <v>Strigidae (Owls)</v>
      </c>
    </row>
    <row r="1349" spans="1:8" x14ac:dyDescent="0.15">
      <c r="A1349" s="3" t="s">
        <v>1297</v>
      </c>
      <c r="B1349" s="3" t="s">
        <v>4427</v>
      </c>
      <c r="C1349" s="3">
        <v>17368</v>
      </c>
      <c r="D1349" s="3" t="str">
        <f>VLOOKUP(B1349,[1]LifeList!$E$2:$G$2036,1)</f>
        <v>Great Kiskadee</v>
      </c>
      <c r="E1349" s="3" t="str">
        <f>VLOOKUP(B1349,[1]LifeList!$E$2:$G$2036,2)</f>
        <v>Tyran quiquivi</v>
      </c>
      <c r="F1349" s="3" t="str">
        <f>VLOOKUP(B1349,[1]LifeList!$E$2:$G$2036,3)</f>
        <v>Pitangus sulphuratus</v>
      </c>
      <c r="G1349" s="3" t="str">
        <f>VLOOKUP(B1349,[1]LifeList!$E$2:$I$2036,4)</f>
        <v>Passeriformes</v>
      </c>
      <c r="H1349" s="3" t="str">
        <f>VLOOKUP(B1349,[1]LifeList!$E$2:$I$2036,5)</f>
        <v>Tyrannidae (Tyrant Flycatchers)</v>
      </c>
    </row>
    <row r="1350" spans="1:8" x14ac:dyDescent="0.15">
      <c r="A1350" s="3" t="s">
        <v>1298</v>
      </c>
      <c r="B1350" s="3" t="s">
        <v>4427</v>
      </c>
      <c r="C1350" s="3">
        <v>17368</v>
      </c>
      <c r="D1350" s="3" t="str">
        <f>VLOOKUP(B1350,[1]LifeList!$E$2:$G$2036,1)</f>
        <v>Great Kiskadee</v>
      </c>
      <c r="E1350" s="3" t="str">
        <f>VLOOKUP(B1350,[1]LifeList!$E$2:$G$2036,2)</f>
        <v>Tyran quiquivi</v>
      </c>
      <c r="F1350" s="3" t="str">
        <f>VLOOKUP(B1350,[1]LifeList!$E$2:$G$2036,3)</f>
        <v>Pitangus sulphuratus</v>
      </c>
      <c r="G1350" s="3" t="str">
        <f>VLOOKUP(B1350,[1]LifeList!$E$2:$I$2036,4)</f>
        <v>Passeriformes</v>
      </c>
      <c r="H1350" s="3" t="str">
        <f>VLOOKUP(B1350,[1]LifeList!$E$2:$I$2036,5)</f>
        <v>Tyrannidae (Tyrant Flycatchers)</v>
      </c>
    </row>
    <row r="1351" spans="1:8" x14ac:dyDescent="0.15">
      <c r="A1351" s="3" t="s">
        <v>1299</v>
      </c>
      <c r="B1351" s="3" t="s">
        <v>4427</v>
      </c>
      <c r="C1351" s="3">
        <v>17368</v>
      </c>
      <c r="D1351" s="3" t="str">
        <f>VLOOKUP(B1351,[1]LifeList!$E$2:$G$2036,1)</f>
        <v>Great Kiskadee</v>
      </c>
      <c r="E1351" s="3" t="str">
        <f>VLOOKUP(B1351,[1]LifeList!$E$2:$G$2036,2)</f>
        <v>Tyran quiquivi</v>
      </c>
      <c r="F1351" s="3" t="str">
        <f>VLOOKUP(B1351,[1]LifeList!$E$2:$G$2036,3)</f>
        <v>Pitangus sulphuratus</v>
      </c>
      <c r="G1351" s="3" t="str">
        <f>VLOOKUP(B1351,[1]LifeList!$E$2:$I$2036,4)</f>
        <v>Passeriformes</v>
      </c>
      <c r="H1351" s="3" t="str">
        <f>VLOOKUP(B1351,[1]LifeList!$E$2:$I$2036,5)</f>
        <v>Tyrannidae (Tyrant Flycatchers)</v>
      </c>
    </row>
    <row r="1352" spans="1:8" x14ac:dyDescent="0.15">
      <c r="A1352" s="3" t="s">
        <v>1300</v>
      </c>
      <c r="B1352" s="3" t="s">
        <v>4427</v>
      </c>
      <c r="C1352" s="3">
        <v>17368</v>
      </c>
      <c r="D1352" s="3" t="str">
        <f>VLOOKUP(B1352,[1]LifeList!$E$2:$G$2036,1)</f>
        <v>Great Kiskadee</v>
      </c>
      <c r="E1352" s="3" t="str">
        <f>VLOOKUP(B1352,[1]LifeList!$E$2:$G$2036,2)</f>
        <v>Tyran quiquivi</v>
      </c>
      <c r="F1352" s="3" t="str">
        <f>VLOOKUP(B1352,[1]LifeList!$E$2:$G$2036,3)</f>
        <v>Pitangus sulphuratus</v>
      </c>
      <c r="G1352" s="3" t="str">
        <f>VLOOKUP(B1352,[1]LifeList!$E$2:$I$2036,4)</f>
        <v>Passeriformes</v>
      </c>
      <c r="H1352" s="3" t="str">
        <f>VLOOKUP(B1352,[1]LifeList!$E$2:$I$2036,5)</f>
        <v>Tyrannidae (Tyrant Flycatchers)</v>
      </c>
    </row>
    <row r="1353" spans="1:8" x14ac:dyDescent="0.15">
      <c r="A1353" s="3" t="s">
        <v>1302</v>
      </c>
      <c r="B1353" s="3" t="s">
        <v>4428</v>
      </c>
      <c r="C1353" s="3">
        <v>3746</v>
      </c>
      <c r="D1353" s="3" t="str">
        <f>VLOOKUP(B1353,[1]LifeList!$E$2:$G$2036,1)</f>
        <v>Great Potoo</v>
      </c>
      <c r="E1353" s="3" t="str">
        <f>VLOOKUP(B1353,[1]LifeList!$E$2:$G$2036,2)</f>
        <v>Grand Ibijau</v>
      </c>
      <c r="F1353" s="3" t="str">
        <f>VLOOKUP(B1353,[1]LifeList!$E$2:$G$2036,3)</f>
        <v>Nyctibius grandis</v>
      </c>
      <c r="G1353" s="3" t="str">
        <f>VLOOKUP(B1353,[1]LifeList!$E$2:$I$2036,4)</f>
        <v>Nyctibiiformes</v>
      </c>
      <c r="H1353" s="3" t="str">
        <f>VLOOKUP(B1353,[1]LifeList!$E$2:$I$2036,5)</f>
        <v>Nyctibiidae (Potoos)</v>
      </c>
    </row>
    <row r="1354" spans="1:8" x14ac:dyDescent="0.15">
      <c r="A1354" s="3" t="s">
        <v>1301</v>
      </c>
      <c r="B1354" s="3" t="s">
        <v>4428</v>
      </c>
      <c r="C1354" s="3">
        <v>3746</v>
      </c>
      <c r="D1354" s="3" t="str">
        <f>VLOOKUP(B1354,[1]LifeList!$E$2:$G$2036,1)</f>
        <v>Great Potoo</v>
      </c>
      <c r="E1354" s="3" t="str">
        <f>VLOOKUP(B1354,[1]LifeList!$E$2:$G$2036,2)</f>
        <v>Grand Ibijau</v>
      </c>
      <c r="F1354" s="3" t="str">
        <f>VLOOKUP(B1354,[1]LifeList!$E$2:$G$2036,3)</f>
        <v>Nyctibius grandis</v>
      </c>
      <c r="G1354" s="3" t="str">
        <f>VLOOKUP(B1354,[1]LifeList!$E$2:$I$2036,4)</f>
        <v>Nyctibiiformes</v>
      </c>
      <c r="H1354" s="3" t="str">
        <f>VLOOKUP(B1354,[1]LifeList!$E$2:$I$2036,5)</f>
        <v>Nyctibiidae (Potoos)</v>
      </c>
    </row>
    <row r="1355" spans="1:8" x14ac:dyDescent="0.15">
      <c r="A1355" s="3" t="s">
        <v>1303</v>
      </c>
      <c r="B1355" s="3" t="s">
        <v>3766</v>
      </c>
      <c r="C1355" s="3">
        <v>31575</v>
      </c>
      <c r="D1355" s="3" t="str">
        <f>VLOOKUP(B1355,[1]LifeList!$E$2:$G$2036,1)</f>
        <v>Great Rufous Sparrow</v>
      </c>
      <c r="E1355" s="3" t="str">
        <f>VLOOKUP(B1355,[1]LifeList!$E$2:$G$2036,2)</f>
        <v>Grand Moineau</v>
      </c>
      <c r="F1355" s="3" t="str">
        <f>VLOOKUP(B1355,[1]LifeList!$E$2:$G$2036,3)</f>
        <v>Passer motitensis</v>
      </c>
      <c r="G1355" s="3" t="str">
        <f>VLOOKUP(B1355,[1]LifeList!$E$2:$I$2036,4)</f>
        <v>Passeriformes</v>
      </c>
      <c r="H1355" s="3" t="str">
        <f>VLOOKUP(B1355,[1]LifeList!$E$2:$I$2036,5)</f>
        <v>Passeridae (Old World Sparrows)</v>
      </c>
    </row>
    <row r="1356" spans="1:8" x14ac:dyDescent="0.15">
      <c r="A1356" s="3" t="s">
        <v>1304</v>
      </c>
      <c r="B1356" s="3" t="s">
        <v>4429</v>
      </c>
      <c r="C1356" s="3">
        <v>4668</v>
      </c>
      <c r="D1356" s="3" t="str">
        <f>VLOOKUP(B1356,[1]LifeList!$E$2:$G$2036,1)</f>
        <v>Great Sapphirewing</v>
      </c>
      <c r="E1356" s="3" t="str">
        <f>VLOOKUP(B1356,[1]LifeList!$E$2:$G$2036,2)</f>
        <v>Colibri à ailes saphir</v>
      </c>
      <c r="F1356" s="3" t="str">
        <f>VLOOKUP(B1356,[1]LifeList!$E$2:$G$2036,3)</f>
        <v>Pterophanes cyanopterus</v>
      </c>
      <c r="G1356" s="3" t="str">
        <f>VLOOKUP(B1356,[1]LifeList!$E$2:$I$2036,4)</f>
        <v>Apodiformes</v>
      </c>
      <c r="H1356" s="3" t="str">
        <f>VLOOKUP(B1356,[1]LifeList!$E$2:$I$2036,5)</f>
        <v>Trochilidae (Hummingbirds)</v>
      </c>
    </row>
    <row r="1357" spans="1:8" x14ac:dyDescent="0.15">
      <c r="A1357" s="3" t="s">
        <v>1305</v>
      </c>
      <c r="B1357" s="3" t="s">
        <v>4429</v>
      </c>
      <c r="C1357" s="3">
        <v>4668</v>
      </c>
      <c r="D1357" s="3" t="str">
        <f>VLOOKUP(B1357,[1]LifeList!$E$2:$G$2036,1)</f>
        <v>Great Sapphirewing</v>
      </c>
      <c r="E1357" s="3" t="str">
        <f>VLOOKUP(B1357,[1]LifeList!$E$2:$G$2036,2)</f>
        <v>Colibri à ailes saphir</v>
      </c>
      <c r="F1357" s="3" t="str">
        <f>VLOOKUP(B1357,[1]LifeList!$E$2:$G$2036,3)</f>
        <v>Pterophanes cyanopterus</v>
      </c>
      <c r="G1357" s="3" t="str">
        <f>VLOOKUP(B1357,[1]LifeList!$E$2:$I$2036,4)</f>
        <v>Apodiformes</v>
      </c>
      <c r="H1357" s="3" t="str">
        <f>VLOOKUP(B1357,[1]LifeList!$E$2:$I$2036,5)</f>
        <v>Trochilidae (Hummingbirds)</v>
      </c>
    </row>
    <row r="1358" spans="1:8" x14ac:dyDescent="0.15">
      <c r="A1358" s="3" t="s">
        <v>1306</v>
      </c>
      <c r="B1358" s="3" t="s">
        <v>4429</v>
      </c>
      <c r="C1358" s="3">
        <v>4668</v>
      </c>
      <c r="D1358" s="3" t="str">
        <f>VLOOKUP(B1358,[1]LifeList!$E$2:$G$2036,1)</f>
        <v>Great Sapphirewing</v>
      </c>
      <c r="E1358" s="3" t="str">
        <f>VLOOKUP(B1358,[1]LifeList!$E$2:$G$2036,2)</f>
        <v>Colibri à ailes saphir</v>
      </c>
      <c r="F1358" s="3" t="str">
        <f>VLOOKUP(B1358,[1]LifeList!$E$2:$G$2036,3)</f>
        <v>Pterophanes cyanopterus</v>
      </c>
      <c r="G1358" s="3" t="str">
        <f>VLOOKUP(B1358,[1]LifeList!$E$2:$I$2036,4)</f>
        <v>Apodiformes</v>
      </c>
      <c r="H1358" s="3" t="str">
        <f>VLOOKUP(B1358,[1]LifeList!$E$2:$I$2036,5)</f>
        <v>Trochilidae (Hummingbirds)</v>
      </c>
    </row>
    <row r="1359" spans="1:8" x14ac:dyDescent="0.15">
      <c r="A1359" s="3" t="s">
        <v>1307</v>
      </c>
      <c r="B1359" s="3" t="s">
        <v>4430</v>
      </c>
      <c r="C1359" s="3">
        <v>28677</v>
      </c>
      <c r="D1359" s="3" t="str">
        <f>VLOOKUP(B1359,[1]LifeList!$E$2:$G$2036,1)</f>
        <v>Great Thrush</v>
      </c>
      <c r="E1359" s="3" t="str">
        <f>VLOOKUP(B1359,[1]LifeList!$E$2:$G$2036,2)</f>
        <v>Merle géant</v>
      </c>
      <c r="F1359" s="3" t="str">
        <f>VLOOKUP(B1359,[1]LifeList!$E$2:$G$2036,3)</f>
        <v>Turdus fuscater</v>
      </c>
      <c r="G1359" s="3" t="str">
        <f>VLOOKUP(B1359,[1]LifeList!$E$2:$I$2036,4)</f>
        <v>Passeriformes</v>
      </c>
      <c r="H1359" s="3" t="str">
        <f>VLOOKUP(B1359,[1]LifeList!$E$2:$I$2036,5)</f>
        <v>Turdidae (Thrushes and Allies)</v>
      </c>
    </row>
    <row r="1360" spans="1:8" x14ac:dyDescent="0.15">
      <c r="A1360" s="3" t="s">
        <v>1308</v>
      </c>
      <c r="B1360" s="3" t="s">
        <v>4430</v>
      </c>
      <c r="C1360" s="3">
        <v>28677</v>
      </c>
      <c r="D1360" s="3" t="str">
        <f>VLOOKUP(B1360,[1]LifeList!$E$2:$G$2036,1)</f>
        <v>Great Thrush</v>
      </c>
      <c r="E1360" s="3" t="str">
        <f>VLOOKUP(B1360,[1]LifeList!$E$2:$G$2036,2)</f>
        <v>Merle géant</v>
      </c>
      <c r="F1360" s="3" t="str">
        <f>VLOOKUP(B1360,[1]LifeList!$E$2:$G$2036,3)</f>
        <v>Turdus fuscater</v>
      </c>
      <c r="G1360" s="3" t="str">
        <f>VLOOKUP(B1360,[1]LifeList!$E$2:$I$2036,4)</f>
        <v>Passeriformes</v>
      </c>
      <c r="H1360" s="3" t="str">
        <f>VLOOKUP(B1360,[1]LifeList!$E$2:$I$2036,5)</f>
        <v>Turdidae (Thrushes and Allies)</v>
      </c>
    </row>
    <row r="1361" spans="1:8" x14ac:dyDescent="0.15">
      <c r="A1361" s="3" t="s">
        <v>1309</v>
      </c>
      <c r="B1361" s="3" t="s">
        <v>4430</v>
      </c>
      <c r="C1361" s="3">
        <v>28677</v>
      </c>
      <c r="D1361" s="3" t="str">
        <f>VLOOKUP(B1361,[1]LifeList!$E$2:$G$2036,1)</f>
        <v>Great Thrush</v>
      </c>
      <c r="E1361" s="3" t="str">
        <f>VLOOKUP(B1361,[1]LifeList!$E$2:$G$2036,2)</f>
        <v>Merle géant</v>
      </c>
      <c r="F1361" s="3" t="str">
        <f>VLOOKUP(B1361,[1]LifeList!$E$2:$G$2036,3)</f>
        <v>Turdus fuscater</v>
      </c>
      <c r="G1361" s="3" t="str">
        <f>VLOOKUP(B1361,[1]LifeList!$E$2:$I$2036,4)</f>
        <v>Passeriformes</v>
      </c>
      <c r="H1361" s="3" t="str">
        <f>VLOOKUP(B1361,[1]LifeList!$E$2:$I$2036,5)</f>
        <v>Turdidae (Thrushes and Allies)</v>
      </c>
    </row>
    <row r="1362" spans="1:8" x14ac:dyDescent="0.15">
      <c r="A1362" s="3" t="s">
        <v>1310</v>
      </c>
      <c r="B1362" s="3" t="s">
        <v>3767</v>
      </c>
      <c r="C1362" s="3">
        <v>7800</v>
      </c>
      <c r="D1362" s="3" t="str">
        <f>VLOOKUP(B1362,[1]LifeList!$E$2:$G$2036,1)</f>
        <v>Great White Pelican</v>
      </c>
      <c r="E1362" s="3" t="str">
        <f>VLOOKUP(B1362,[1]LifeList!$E$2:$G$2036,2)</f>
        <v>Pélican blanc</v>
      </c>
      <c r="F1362" s="3" t="str">
        <f>VLOOKUP(B1362,[1]LifeList!$E$2:$G$2036,3)</f>
        <v>Pelecanus onocrotalus</v>
      </c>
      <c r="G1362" s="3" t="str">
        <f>VLOOKUP(B1362,[1]LifeList!$E$2:$I$2036,4)</f>
        <v>Pelecaniformes</v>
      </c>
      <c r="H1362" s="3" t="str">
        <f>VLOOKUP(B1362,[1]LifeList!$E$2:$I$2036,5)</f>
        <v>Pelecanidae (Pelicans)</v>
      </c>
    </row>
    <row r="1363" spans="1:8" x14ac:dyDescent="0.15">
      <c r="A1363" s="3" t="s">
        <v>1311</v>
      </c>
      <c r="B1363" s="3" t="s">
        <v>3767</v>
      </c>
      <c r="C1363" s="3">
        <v>7800</v>
      </c>
      <c r="D1363" s="3" t="str">
        <f>VLOOKUP(B1363,[1]LifeList!$E$2:$G$2036,1)</f>
        <v>Great White Pelican</v>
      </c>
      <c r="E1363" s="3" t="str">
        <f>VLOOKUP(B1363,[1]LifeList!$E$2:$G$2036,2)</f>
        <v>Pélican blanc</v>
      </c>
      <c r="F1363" s="3" t="str">
        <f>VLOOKUP(B1363,[1]LifeList!$E$2:$G$2036,3)</f>
        <v>Pelecanus onocrotalus</v>
      </c>
      <c r="G1363" s="3" t="str">
        <f>VLOOKUP(B1363,[1]LifeList!$E$2:$I$2036,4)</f>
        <v>Pelecaniformes</v>
      </c>
      <c r="H1363" s="3" t="str">
        <f>VLOOKUP(B1363,[1]LifeList!$E$2:$I$2036,5)</f>
        <v>Pelecanidae (Pelicans)</v>
      </c>
    </row>
    <row r="1364" spans="1:8" x14ac:dyDescent="0.15">
      <c r="A1364" s="3" t="s">
        <v>1244</v>
      </c>
      <c r="B1364" s="3" t="s">
        <v>4431</v>
      </c>
      <c r="C1364" s="3">
        <v>33864</v>
      </c>
      <c r="D1364" s="3" t="str">
        <f>VLOOKUP(B1364,[1]LifeList!$E$2:$G$2036,1)</f>
        <v>Great-tailed Grackle</v>
      </c>
      <c r="E1364" s="3" t="str">
        <f>VLOOKUP(B1364,[1]LifeList!$E$2:$G$2036,2)</f>
        <v>Quiscale à longue queue</v>
      </c>
      <c r="F1364" s="3" t="str">
        <f>VLOOKUP(B1364,[1]LifeList!$E$2:$G$2036,3)</f>
        <v>Quiscalus mexicanus</v>
      </c>
      <c r="G1364" s="3" t="str">
        <f>VLOOKUP(B1364,[1]LifeList!$E$2:$I$2036,4)</f>
        <v>Passeriformes</v>
      </c>
      <c r="H1364" s="3" t="str">
        <f>VLOOKUP(B1364,[1]LifeList!$E$2:$I$2036,5)</f>
        <v>Icteridae (Troupials and Allies)</v>
      </c>
    </row>
    <row r="1365" spans="1:8" x14ac:dyDescent="0.15">
      <c r="A1365" s="3" t="s">
        <v>1245</v>
      </c>
      <c r="B1365" s="3" t="s">
        <v>4431</v>
      </c>
      <c r="C1365" s="3">
        <v>33864</v>
      </c>
      <c r="D1365" s="3" t="str">
        <f>VLOOKUP(B1365,[1]LifeList!$E$2:$G$2036,1)</f>
        <v>Great-tailed Grackle</v>
      </c>
      <c r="E1365" s="3" t="str">
        <f>VLOOKUP(B1365,[1]LifeList!$E$2:$G$2036,2)</f>
        <v>Quiscale à longue queue</v>
      </c>
      <c r="F1365" s="3" t="str">
        <f>VLOOKUP(B1365,[1]LifeList!$E$2:$G$2036,3)</f>
        <v>Quiscalus mexicanus</v>
      </c>
      <c r="G1365" s="3" t="str">
        <f>VLOOKUP(B1365,[1]LifeList!$E$2:$I$2036,4)</f>
        <v>Passeriformes</v>
      </c>
      <c r="H1365" s="3" t="str">
        <f>VLOOKUP(B1365,[1]LifeList!$E$2:$I$2036,5)</f>
        <v>Icteridae (Troupials and Allies)</v>
      </c>
    </row>
    <row r="1366" spans="1:8" x14ac:dyDescent="0.15">
      <c r="A1366" s="3" t="s">
        <v>1246</v>
      </c>
      <c r="B1366" s="3" t="s">
        <v>4431</v>
      </c>
      <c r="C1366" s="3">
        <v>33864</v>
      </c>
      <c r="D1366" s="3" t="str">
        <f>VLOOKUP(B1366,[1]LifeList!$E$2:$G$2036,1)</f>
        <v>Great-tailed Grackle</v>
      </c>
      <c r="E1366" s="3" t="str">
        <f>VLOOKUP(B1366,[1]LifeList!$E$2:$G$2036,2)</f>
        <v>Quiscale à longue queue</v>
      </c>
      <c r="F1366" s="3" t="str">
        <f>VLOOKUP(B1366,[1]LifeList!$E$2:$G$2036,3)</f>
        <v>Quiscalus mexicanus</v>
      </c>
      <c r="G1366" s="3" t="str">
        <f>VLOOKUP(B1366,[1]LifeList!$E$2:$I$2036,4)</f>
        <v>Passeriformes</v>
      </c>
      <c r="H1366" s="3" t="str">
        <f>VLOOKUP(B1366,[1]LifeList!$E$2:$I$2036,5)</f>
        <v>Icteridae (Troupials and Allies)</v>
      </c>
    </row>
    <row r="1367" spans="1:8" x14ac:dyDescent="0.15">
      <c r="A1367" s="3" t="s">
        <v>1247</v>
      </c>
      <c r="B1367" s="3" t="s">
        <v>4431</v>
      </c>
      <c r="C1367" s="3">
        <v>33864</v>
      </c>
      <c r="D1367" s="3" t="str">
        <f>VLOOKUP(B1367,[1]LifeList!$E$2:$G$2036,1)</f>
        <v>Great-tailed Grackle</v>
      </c>
      <c r="E1367" s="3" t="str">
        <f>VLOOKUP(B1367,[1]LifeList!$E$2:$G$2036,2)</f>
        <v>Quiscale à longue queue</v>
      </c>
      <c r="F1367" s="3" t="str">
        <f>VLOOKUP(B1367,[1]LifeList!$E$2:$G$2036,3)</f>
        <v>Quiscalus mexicanus</v>
      </c>
      <c r="G1367" s="3" t="str">
        <f>VLOOKUP(B1367,[1]LifeList!$E$2:$I$2036,4)</f>
        <v>Passeriformes</v>
      </c>
      <c r="H1367" s="3" t="str">
        <f>VLOOKUP(B1367,[1]LifeList!$E$2:$I$2036,5)</f>
        <v>Icteridae (Troupials and Allies)</v>
      </c>
    </row>
    <row r="1368" spans="1:8" x14ac:dyDescent="0.15">
      <c r="A1368" s="3" t="s">
        <v>1313</v>
      </c>
      <c r="B1368" s="3" t="s">
        <v>4432</v>
      </c>
      <c r="C1368" s="3">
        <v>3025</v>
      </c>
      <c r="D1368" s="3" t="str">
        <f>VLOOKUP(B1368,[1]LifeList!$E$2:$G$2036,1)</f>
        <v>Greater Ani</v>
      </c>
      <c r="E1368" s="3" t="str">
        <f>VLOOKUP(B1368,[1]LifeList!$E$2:$G$2036,2)</f>
        <v>Ani des palétuviers</v>
      </c>
      <c r="F1368" s="3" t="str">
        <f>VLOOKUP(B1368,[1]LifeList!$E$2:$G$2036,3)</f>
        <v>Crotophaga major</v>
      </c>
      <c r="G1368" s="3" t="str">
        <f>VLOOKUP(B1368,[1]LifeList!$E$2:$I$2036,4)</f>
        <v>Cuculiformes</v>
      </c>
      <c r="H1368" s="3" t="str">
        <f>VLOOKUP(B1368,[1]LifeList!$E$2:$I$2036,5)</f>
        <v>Cuculidae (Cuckoos)</v>
      </c>
    </row>
    <row r="1369" spans="1:8" x14ac:dyDescent="0.15">
      <c r="A1369" s="3" t="s">
        <v>1314</v>
      </c>
      <c r="B1369" s="3" t="s">
        <v>4432</v>
      </c>
      <c r="C1369" s="3">
        <v>3025</v>
      </c>
      <c r="D1369" s="3" t="str">
        <f>VLOOKUP(B1369,[1]LifeList!$E$2:$G$2036,1)</f>
        <v>Greater Ani</v>
      </c>
      <c r="E1369" s="3" t="str">
        <f>VLOOKUP(B1369,[1]LifeList!$E$2:$G$2036,2)</f>
        <v>Ani des palétuviers</v>
      </c>
      <c r="F1369" s="3" t="str">
        <f>VLOOKUP(B1369,[1]LifeList!$E$2:$G$2036,3)</f>
        <v>Crotophaga major</v>
      </c>
      <c r="G1369" s="3" t="str">
        <f>VLOOKUP(B1369,[1]LifeList!$E$2:$I$2036,4)</f>
        <v>Cuculiformes</v>
      </c>
      <c r="H1369" s="3" t="str">
        <f>VLOOKUP(B1369,[1]LifeList!$E$2:$I$2036,5)</f>
        <v>Cuculidae (Cuckoos)</v>
      </c>
    </row>
    <row r="1370" spans="1:8" x14ac:dyDescent="0.15">
      <c r="A1370" s="3" t="s">
        <v>1315</v>
      </c>
      <c r="B1370" s="3" t="s">
        <v>4432</v>
      </c>
      <c r="C1370" s="3">
        <v>3025</v>
      </c>
      <c r="D1370" s="3" t="str">
        <f>VLOOKUP(B1370,[1]LifeList!$E$2:$G$2036,1)</f>
        <v>Greater Ani</v>
      </c>
      <c r="E1370" s="3" t="str">
        <f>VLOOKUP(B1370,[1]LifeList!$E$2:$G$2036,2)</f>
        <v>Ani des palétuviers</v>
      </c>
      <c r="F1370" s="3" t="str">
        <f>VLOOKUP(B1370,[1]LifeList!$E$2:$G$2036,3)</f>
        <v>Crotophaga major</v>
      </c>
      <c r="G1370" s="3" t="str">
        <f>VLOOKUP(B1370,[1]LifeList!$E$2:$I$2036,4)</f>
        <v>Cuculiformes</v>
      </c>
      <c r="H1370" s="3" t="str">
        <f>VLOOKUP(B1370,[1]LifeList!$E$2:$I$2036,5)</f>
        <v>Cuculidae (Cuckoos)</v>
      </c>
    </row>
    <row r="1371" spans="1:8" x14ac:dyDescent="0.15">
      <c r="A1371" s="3" t="s">
        <v>1316</v>
      </c>
      <c r="B1371" s="3" t="s">
        <v>3768</v>
      </c>
      <c r="C1371" s="3">
        <v>30376</v>
      </c>
      <c r="D1371" s="3" t="str">
        <f>VLOOKUP(B1371,[1]LifeList!$E$2:$G$2036,1)</f>
        <v>Greater Double-collared Sunbird</v>
      </c>
      <c r="E1371" s="3" t="str">
        <f>VLOOKUP(B1371,[1]LifeList!$E$2:$G$2036,2)</f>
        <v>Souimanga à plastron rouge</v>
      </c>
      <c r="F1371" s="3" t="str">
        <f>VLOOKUP(B1371,[1]LifeList!$E$2:$G$2036,3)</f>
        <v>Cinnyris afer</v>
      </c>
      <c r="G1371" s="3" t="str">
        <f>VLOOKUP(B1371,[1]LifeList!$E$2:$I$2036,4)</f>
        <v>Passeriformes</v>
      </c>
      <c r="H1371" s="3" t="str">
        <f>VLOOKUP(B1371,[1]LifeList!$E$2:$I$2036,5)</f>
        <v>Nectariniidae (Sunbirds and Spiderhunters)</v>
      </c>
    </row>
    <row r="1372" spans="1:8" x14ac:dyDescent="0.15">
      <c r="A1372" s="3" t="s">
        <v>1317</v>
      </c>
      <c r="B1372" s="3" t="s">
        <v>4433</v>
      </c>
      <c r="C1372" s="3">
        <v>12024</v>
      </c>
      <c r="D1372" s="3" t="str">
        <f>VLOOKUP(B1372,[1]LifeList!$E$2:$G$2036,1)</f>
        <v>Greater Kestrel</v>
      </c>
      <c r="E1372" s="3" t="str">
        <f>VLOOKUP(B1372,[1]LifeList!$E$2:$G$2036,2)</f>
        <v>Crécerelle aux yeux blancs</v>
      </c>
      <c r="F1372" s="3" t="str">
        <f>VLOOKUP(B1372,[1]LifeList!$E$2:$G$2036,3)</f>
        <v>Falco rupicoloides</v>
      </c>
      <c r="G1372" s="3" t="str">
        <f>VLOOKUP(B1372,[1]LifeList!$E$2:$I$2036,4)</f>
        <v>Falconiformes</v>
      </c>
      <c r="H1372" s="3" t="str">
        <f>VLOOKUP(B1372,[1]LifeList!$E$2:$I$2036,5)</f>
        <v>Falconidae (Falcons and Caracaras)</v>
      </c>
    </row>
    <row r="1373" spans="1:8" x14ac:dyDescent="0.15">
      <c r="A1373" s="3" t="s">
        <v>1318</v>
      </c>
      <c r="B1373" s="3" t="s">
        <v>4434</v>
      </c>
      <c r="C1373" s="3">
        <v>5983</v>
      </c>
      <c r="D1373" s="3" t="str">
        <f>VLOOKUP(B1373,[1]LifeList!$E$2:$G$2036,1)</f>
        <v>Greater Painted-Snipe</v>
      </c>
      <c r="E1373" s="3" t="str">
        <f>VLOOKUP(B1373,[1]LifeList!$E$2:$G$2036,2)</f>
        <v>Rhynchée peinte</v>
      </c>
      <c r="F1373" s="3" t="str">
        <f>VLOOKUP(B1373,[1]LifeList!$E$2:$G$2036,3)</f>
        <v>Rostratula benghalensis</v>
      </c>
      <c r="G1373" s="3" t="str">
        <f>VLOOKUP(B1373,[1]LifeList!$E$2:$I$2036,4)</f>
        <v>Charadriiformes</v>
      </c>
      <c r="H1373" s="3" t="str">
        <f>VLOOKUP(B1373,[1]LifeList!$E$2:$I$2036,5)</f>
        <v>Rostratulidae (Painted-Snipes)</v>
      </c>
    </row>
    <row r="1374" spans="1:8" x14ac:dyDescent="0.15">
      <c r="A1374" s="3" t="s">
        <v>1319</v>
      </c>
      <c r="B1374" s="3" t="s">
        <v>4435</v>
      </c>
      <c r="C1374" s="3">
        <v>694</v>
      </c>
      <c r="D1374" s="3" t="str">
        <f>VLOOKUP(B1374,[1]LifeList!$E$2:$G$2036,1)</f>
        <v>Greater Scaup</v>
      </c>
      <c r="E1374" s="3" t="str">
        <f>VLOOKUP(B1374,[1]LifeList!$E$2:$G$2036,2)</f>
        <v>Fuligule milouinan</v>
      </c>
      <c r="F1374" s="3" t="str">
        <f>VLOOKUP(B1374,[1]LifeList!$E$2:$G$2036,3)</f>
        <v>Aythya marila</v>
      </c>
      <c r="G1374" s="3" t="str">
        <f>VLOOKUP(B1374,[1]LifeList!$E$2:$I$2036,4)</f>
        <v>Anseriformes</v>
      </c>
      <c r="H1374" s="3" t="str">
        <f>VLOOKUP(B1374,[1]LifeList!$E$2:$I$2036,5)</f>
        <v>Anatidae (Ducks, Geese, and Waterfowl)</v>
      </c>
    </row>
    <row r="1375" spans="1:8" x14ac:dyDescent="0.15">
      <c r="A1375" s="3" t="s">
        <v>1334</v>
      </c>
      <c r="B1375" s="3" t="s">
        <v>4435</v>
      </c>
      <c r="C1375" s="3">
        <v>694</v>
      </c>
      <c r="D1375" s="3" t="str">
        <f>VLOOKUP(B1375,[1]LifeList!$E$2:$G$2036,1)</f>
        <v>Greater Scaup</v>
      </c>
      <c r="E1375" s="3" t="str">
        <f>VLOOKUP(B1375,[1]LifeList!$E$2:$G$2036,2)</f>
        <v>Fuligule milouinan</v>
      </c>
      <c r="F1375" s="3" t="str">
        <f>VLOOKUP(B1375,[1]LifeList!$E$2:$G$2036,3)</f>
        <v>Aythya marila</v>
      </c>
      <c r="G1375" s="3" t="str">
        <f>VLOOKUP(B1375,[1]LifeList!$E$2:$I$2036,4)</f>
        <v>Anseriformes</v>
      </c>
      <c r="H1375" s="3" t="str">
        <f>VLOOKUP(B1375,[1]LifeList!$E$2:$I$2036,5)</f>
        <v>Anatidae (Ducks, Geese, and Waterfowl)</v>
      </c>
    </row>
    <row r="1376" spans="1:8" x14ac:dyDescent="0.15">
      <c r="A1376" s="3" t="s">
        <v>1320</v>
      </c>
      <c r="B1376" s="3" t="s">
        <v>4435</v>
      </c>
      <c r="C1376" s="3">
        <v>694</v>
      </c>
      <c r="D1376" s="3" t="str">
        <f>VLOOKUP(B1376,[1]LifeList!$E$2:$G$2036,1)</f>
        <v>Greater Scaup</v>
      </c>
      <c r="E1376" s="3" t="str">
        <f>VLOOKUP(B1376,[1]LifeList!$E$2:$G$2036,2)</f>
        <v>Fuligule milouinan</v>
      </c>
      <c r="F1376" s="3" t="str">
        <f>VLOOKUP(B1376,[1]LifeList!$E$2:$G$2036,3)</f>
        <v>Aythya marila</v>
      </c>
      <c r="G1376" s="3" t="str">
        <f>VLOOKUP(B1376,[1]LifeList!$E$2:$I$2036,4)</f>
        <v>Anseriformes</v>
      </c>
      <c r="H1376" s="3" t="str">
        <f>VLOOKUP(B1376,[1]LifeList!$E$2:$I$2036,5)</f>
        <v>Anatidae (Ducks, Geese, and Waterfowl)</v>
      </c>
    </row>
    <row r="1377" spans="1:8" x14ac:dyDescent="0.15">
      <c r="A1377" s="3" t="s">
        <v>1321</v>
      </c>
      <c r="B1377" s="3" t="s">
        <v>4435</v>
      </c>
      <c r="C1377" s="3">
        <v>694</v>
      </c>
      <c r="D1377" s="3" t="str">
        <f>VLOOKUP(B1377,[1]LifeList!$E$2:$G$2036,1)</f>
        <v>Greater Scaup</v>
      </c>
      <c r="E1377" s="3" t="str">
        <f>VLOOKUP(B1377,[1]LifeList!$E$2:$G$2036,2)</f>
        <v>Fuligule milouinan</v>
      </c>
      <c r="F1377" s="3" t="str">
        <f>VLOOKUP(B1377,[1]LifeList!$E$2:$G$2036,3)</f>
        <v>Aythya marila</v>
      </c>
      <c r="G1377" s="3" t="str">
        <f>VLOOKUP(B1377,[1]LifeList!$E$2:$I$2036,4)</f>
        <v>Anseriformes</v>
      </c>
      <c r="H1377" s="3" t="str">
        <f>VLOOKUP(B1377,[1]LifeList!$E$2:$I$2036,5)</f>
        <v>Anatidae (Ducks, Geese, and Waterfowl)</v>
      </c>
    </row>
    <row r="1378" spans="1:8" x14ac:dyDescent="0.15">
      <c r="A1378" s="3" t="s">
        <v>1322</v>
      </c>
      <c r="B1378" s="3" t="s">
        <v>4436</v>
      </c>
      <c r="C1378" s="3">
        <v>12222</v>
      </c>
      <c r="D1378" s="3" t="str">
        <f>VLOOKUP(B1378,[1]LifeList!$E$2:$G$2036,1)</f>
        <v>Greater Vasa Parrot</v>
      </c>
      <c r="E1378" s="3" t="str">
        <f>VLOOKUP(B1378,[1]LifeList!$E$2:$G$2036,2)</f>
        <v>Grand Vaza</v>
      </c>
      <c r="F1378" s="3" t="str">
        <f>VLOOKUP(B1378,[1]LifeList!$E$2:$G$2036,3)</f>
        <v>Coracopsis vasa</v>
      </c>
      <c r="G1378" s="3" t="str">
        <f>VLOOKUP(B1378,[1]LifeList!$E$2:$I$2036,4)</f>
        <v>Psittaciformes</v>
      </c>
      <c r="H1378" s="3" t="str">
        <f>VLOOKUP(B1378,[1]LifeList!$E$2:$I$2036,5)</f>
        <v>Psittaculidae (Old World Parrots)</v>
      </c>
    </row>
    <row r="1379" spans="1:8" x14ac:dyDescent="0.15">
      <c r="A1379" s="3" t="s">
        <v>1323</v>
      </c>
      <c r="B1379" s="3" t="s">
        <v>4436</v>
      </c>
      <c r="C1379" s="3">
        <v>12222</v>
      </c>
      <c r="D1379" s="3" t="str">
        <f>VLOOKUP(B1379,[1]LifeList!$E$2:$G$2036,1)</f>
        <v>Greater Vasa Parrot</v>
      </c>
      <c r="E1379" s="3" t="str">
        <f>VLOOKUP(B1379,[1]LifeList!$E$2:$G$2036,2)</f>
        <v>Grand Vaza</v>
      </c>
      <c r="F1379" s="3" t="str">
        <f>VLOOKUP(B1379,[1]LifeList!$E$2:$G$2036,3)</f>
        <v>Coracopsis vasa</v>
      </c>
      <c r="G1379" s="3" t="str">
        <f>VLOOKUP(B1379,[1]LifeList!$E$2:$I$2036,4)</f>
        <v>Psittaciformes</v>
      </c>
      <c r="H1379" s="3" t="str">
        <f>VLOOKUP(B1379,[1]LifeList!$E$2:$I$2036,5)</f>
        <v>Psittaculidae (Old World Parrots)</v>
      </c>
    </row>
    <row r="1380" spans="1:8" x14ac:dyDescent="0.15">
      <c r="A1380" s="3" t="s">
        <v>1324</v>
      </c>
      <c r="B1380" s="3" t="s">
        <v>3769</v>
      </c>
      <c r="C1380" s="3">
        <v>287</v>
      </c>
      <c r="D1380" s="3" t="str">
        <f>VLOOKUP(B1380,[1]LifeList!$E$2:$G$2036,1)</f>
        <v>Greater White-fronted Goose</v>
      </c>
      <c r="E1380" s="3" t="str">
        <f>VLOOKUP(B1380,[1]LifeList!$E$2:$G$2036,2)</f>
        <v>Oie rieuse</v>
      </c>
      <c r="F1380" s="3" t="str">
        <f>VLOOKUP(B1380,[1]LifeList!$E$2:$G$2036,3)</f>
        <v>Anser albifrons</v>
      </c>
      <c r="G1380" s="3" t="str">
        <f>VLOOKUP(B1380,[1]LifeList!$E$2:$I$2036,4)</f>
        <v>Anseriformes</v>
      </c>
      <c r="H1380" s="3" t="str">
        <f>VLOOKUP(B1380,[1]LifeList!$E$2:$I$2036,5)</f>
        <v>Anatidae (Ducks, Geese, and Waterfowl)</v>
      </c>
    </row>
    <row r="1381" spans="1:8" x14ac:dyDescent="0.15">
      <c r="A1381" s="3" t="s">
        <v>1335</v>
      </c>
      <c r="B1381" s="3" t="s">
        <v>3769</v>
      </c>
      <c r="C1381" s="3">
        <v>287</v>
      </c>
      <c r="D1381" s="3" t="str">
        <f>VLOOKUP(B1381,[1]LifeList!$E$2:$G$2036,1)</f>
        <v>Greater White-fronted Goose</v>
      </c>
      <c r="E1381" s="3" t="str">
        <f>VLOOKUP(B1381,[1]LifeList!$E$2:$G$2036,2)</f>
        <v>Oie rieuse</v>
      </c>
      <c r="F1381" s="3" t="str">
        <f>VLOOKUP(B1381,[1]LifeList!$E$2:$G$2036,3)</f>
        <v>Anser albifrons</v>
      </c>
      <c r="G1381" s="3" t="str">
        <f>VLOOKUP(B1381,[1]LifeList!$E$2:$I$2036,4)</f>
        <v>Anseriformes</v>
      </c>
      <c r="H1381" s="3" t="str">
        <f>VLOOKUP(B1381,[1]LifeList!$E$2:$I$2036,5)</f>
        <v>Anatidae (Ducks, Geese, and Waterfowl)</v>
      </c>
    </row>
    <row r="1382" spans="1:8" x14ac:dyDescent="0.15">
      <c r="A1382" s="3" t="s">
        <v>1325</v>
      </c>
      <c r="B1382" s="3" t="s">
        <v>3769</v>
      </c>
      <c r="C1382" s="3">
        <v>287</v>
      </c>
      <c r="D1382" s="3" t="str">
        <f>VLOOKUP(B1382,[1]LifeList!$E$2:$G$2036,1)</f>
        <v>Greater White-fronted Goose</v>
      </c>
      <c r="E1382" s="3" t="str">
        <f>VLOOKUP(B1382,[1]LifeList!$E$2:$G$2036,2)</f>
        <v>Oie rieuse</v>
      </c>
      <c r="F1382" s="3" t="str">
        <f>VLOOKUP(B1382,[1]LifeList!$E$2:$G$2036,3)</f>
        <v>Anser albifrons</v>
      </c>
      <c r="G1382" s="3" t="str">
        <f>VLOOKUP(B1382,[1]LifeList!$E$2:$I$2036,4)</f>
        <v>Anseriformes</v>
      </c>
      <c r="H1382" s="3" t="str">
        <f>VLOOKUP(B1382,[1]LifeList!$E$2:$I$2036,5)</f>
        <v>Anatidae (Ducks, Geese, and Waterfowl)</v>
      </c>
    </row>
    <row r="1383" spans="1:8" x14ac:dyDescent="0.15">
      <c r="A1383" s="3" t="s">
        <v>1336</v>
      </c>
      <c r="B1383" s="3" t="s">
        <v>4437</v>
      </c>
      <c r="C1383" s="3">
        <v>6154</v>
      </c>
      <c r="D1383" s="3" t="str">
        <f>VLOOKUP(B1383,[1]LifeList!$E$2:$G$2036,1)</f>
        <v>Greater Yellowlegs</v>
      </c>
      <c r="E1383" s="3" t="str">
        <f>VLOOKUP(B1383,[1]LifeList!$E$2:$G$2036,2)</f>
        <v>Grand Chevalier</v>
      </c>
      <c r="F1383" s="3" t="str">
        <f>VLOOKUP(B1383,[1]LifeList!$E$2:$G$2036,3)</f>
        <v>Tringa melanoleuca</v>
      </c>
      <c r="G1383" s="3" t="str">
        <f>VLOOKUP(B1383,[1]LifeList!$E$2:$I$2036,4)</f>
        <v>Charadriiformes</v>
      </c>
      <c r="H1383" s="3" t="str">
        <f>VLOOKUP(B1383,[1]LifeList!$E$2:$I$2036,5)</f>
        <v>Scolopacidae (Sandpipers and Allies)</v>
      </c>
    </row>
    <row r="1384" spans="1:8" x14ac:dyDescent="0.15">
      <c r="A1384" s="3" t="s">
        <v>1326</v>
      </c>
      <c r="B1384" s="3" t="s">
        <v>4437</v>
      </c>
      <c r="C1384" s="3">
        <v>6154</v>
      </c>
      <c r="D1384" s="3" t="str">
        <f>VLOOKUP(B1384,[1]LifeList!$E$2:$G$2036,1)</f>
        <v>Greater Yellowlegs</v>
      </c>
      <c r="E1384" s="3" t="str">
        <f>VLOOKUP(B1384,[1]LifeList!$E$2:$G$2036,2)</f>
        <v>Grand Chevalier</v>
      </c>
      <c r="F1384" s="3" t="str">
        <f>VLOOKUP(B1384,[1]LifeList!$E$2:$G$2036,3)</f>
        <v>Tringa melanoleuca</v>
      </c>
      <c r="G1384" s="3" t="str">
        <f>VLOOKUP(B1384,[1]LifeList!$E$2:$I$2036,4)</f>
        <v>Charadriiformes</v>
      </c>
      <c r="H1384" s="3" t="str">
        <f>VLOOKUP(B1384,[1]LifeList!$E$2:$I$2036,5)</f>
        <v>Scolopacidae (Sandpipers and Allies)</v>
      </c>
    </row>
    <row r="1385" spans="1:8" x14ac:dyDescent="0.15">
      <c r="A1385" s="3" t="s">
        <v>1327</v>
      </c>
      <c r="B1385" s="3" t="s">
        <v>4437</v>
      </c>
      <c r="C1385" s="3">
        <v>6154</v>
      </c>
      <c r="D1385" s="3" t="str">
        <f>VLOOKUP(B1385,[1]LifeList!$E$2:$G$2036,1)</f>
        <v>Greater Yellowlegs</v>
      </c>
      <c r="E1385" s="3" t="str">
        <f>VLOOKUP(B1385,[1]LifeList!$E$2:$G$2036,2)</f>
        <v>Grand Chevalier</v>
      </c>
      <c r="F1385" s="3" t="str">
        <f>VLOOKUP(B1385,[1]LifeList!$E$2:$G$2036,3)</f>
        <v>Tringa melanoleuca</v>
      </c>
      <c r="G1385" s="3" t="str">
        <f>VLOOKUP(B1385,[1]LifeList!$E$2:$I$2036,4)</f>
        <v>Charadriiformes</v>
      </c>
      <c r="H1385" s="3" t="str">
        <f>VLOOKUP(B1385,[1]LifeList!$E$2:$I$2036,5)</f>
        <v>Scolopacidae (Sandpipers and Allies)</v>
      </c>
    </row>
    <row r="1386" spans="1:8" x14ac:dyDescent="0.15">
      <c r="A1386" s="3" t="s">
        <v>1328</v>
      </c>
      <c r="B1386" s="3" t="s">
        <v>4437</v>
      </c>
      <c r="C1386" s="3">
        <v>6154</v>
      </c>
      <c r="D1386" s="3" t="str">
        <f>VLOOKUP(B1386,[1]LifeList!$E$2:$G$2036,1)</f>
        <v>Greater Yellowlegs</v>
      </c>
      <c r="E1386" s="3" t="str">
        <f>VLOOKUP(B1386,[1]LifeList!$E$2:$G$2036,2)</f>
        <v>Grand Chevalier</v>
      </c>
      <c r="F1386" s="3" t="str">
        <f>VLOOKUP(B1386,[1]LifeList!$E$2:$G$2036,3)</f>
        <v>Tringa melanoleuca</v>
      </c>
      <c r="G1386" s="3" t="str">
        <f>VLOOKUP(B1386,[1]LifeList!$E$2:$I$2036,4)</f>
        <v>Charadriiformes</v>
      </c>
      <c r="H1386" s="3" t="str">
        <f>VLOOKUP(B1386,[1]LifeList!$E$2:$I$2036,5)</f>
        <v>Scolopacidae (Sandpipers and Allies)</v>
      </c>
    </row>
    <row r="1387" spans="1:8" x14ac:dyDescent="0.15">
      <c r="A1387" s="3" t="s">
        <v>1329</v>
      </c>
      <c r="B1387" s="3" t="s">
        <v>4437</v>
      </c>
      <c r="C1387" s="3">
        <v>6154</v>
      </c>
      <c r="D1387" s="3" t="str">
        <f>VLOOKUP(B1387,[1]LifeList!$E$2:$G$2036,1)</f>
        <v>Greater Yellowlegs</v>
      </c>
      <c r="E1387" s="3" t="str">
        <f>VLOOKUP(B1387,[1]LifeList!$E$2:$G$2036,2)</f>
        <v>Grand Chevalier</v>
      </c>
      <c r="F1387" s="3" t="str">
        <f>VLOOKUP(B1387,[1]LifeList!$E$2:$G$2036,3)</f>
        <v>Tringa melanoleuca</v>
      </c>
      <c r="G1387" s="3" t="str">
        <f>VLOOKUP(B1387,[1]LifeList!$E$2:$I$2036,4)</f>
        <v>Charadriiformes</v>
      </c>
      <c r="H1387" s="3" t="str">
        <f>VLOOKUP(B1387,[1]LifeList!$E$2:$I$2036,5)</f>
        <v>Scolopacidae (Sandpipers and Allies)</v>
      </c>
    </row>
    <row r="1388" spans="1:8" x14ac:dyDescent="0.15">
      <c r="A1388" s="3" t="s">
        <v>1330</v>
      </c>
      <c r="B1388" s="3" t="s">
        <v>4437</v>
      </c>
      <c r="C1388" s="3">
        <v>6154</v>
      </c>
      <c r="D1388" s="3" t="str">
        <f>VLOOKUP(B1388,[1]LifeList!$E$2:$G$2036,1)</f>
        <v>Greater Yellowlegs</v>
      </c>
      <c r="E1388" s="3" t="str">
        <f>VLOOKUP(B1388,[1]LifeList!$E$2:$G$2036,2)</f>
        <v>Grand Chevalier</v>
      </c>
      <c r="F1388" s="3" t="str">
        <f>VLOOKUP(B1388,[1]LifeList!$E$2:$G$2036,3)</f>
        <v>Tringa melanoleuca</v>
      </c>
      <c r="G1388" s="3" t="str">
        <f>VLOOKUP(B1388,[1]LifeList!$E$2:$I$2036,4)</f>
        <v>Charadriiformes</v>
      </c>
      <c r="H1388" s="3" t="str">
        <f>VLOOKUP(B1388,[1]LifeList!$E$2:$I$2036,5)</f>
        <v>Scolopacidae (Sandpipers and Allies)</v>
      </c>
    </row>
    <row r="1389" spans="1:8" x14ac:dyDescent="0.15">
      <c r="A1389" s="3" t="s">
        <v>1331</v>
      </c>
      <c r="B1389" s="3" t="s">
        <v>4437</v>
      </c>
      <c r="C1389" s="3">
        <v>6154</v>
      </c>
      <c r="D1389" s="3" t="str">
        <f>VLOOKUP(B1389,[1]LifeList!$E$2:$G$2036,1)</f>
        <v>Greater Yellowlegs</v>
      </c>
      <c r="E1389" s="3" t="str">
        <f>VLOOKUP(B1389,[1]LifeList!$E$2:$G$2036,2)</f>
        <v>Grand Chevalier</v>
      </c>
      <c r="F1389" s="3" t="str">
        <f>VLOOKUP(B1389,[1]LifeList!$E$2:$G$2036,3)</f>
        <v>Tringa melanoleuca</v>
      </c>
      <c r="G1389" s="3" t="str">
        <f>VLOOKUP(B1389,[1]LifeList!$E$2:$I$2036,4)</f>
        <v>Charadriiformes</v>
      </c>
      <c r="H1389" s="3" t="str">
        <f>VLOOKUP(B1389,[1]LifeList!$E$2:$I$2036,5)</f>
        <v>Scolopacidae (Sandpipers and Allies)</v>
      </c>
    </row>
    <row r="1390" spans="1:8" x14ac:dyDescent="0.15">
      <c r="A1390" s="3" t="s">
        <v>1332</v>
      </c>
      <c r="B1390" s="3" t="s">
        <v>4437</v>
      </c>
      <c r="C1390" s="3">
        <v>6154</v>
      </c>
      <c r="D1390" s="3" t="str">
        <f>VLOOKUP(B1390,[1]LifeList!$E$2:$G$2036,1)</f>
        <v>Greater Yellowlegs</v>
      </c>
      <c r="E1390" s="3" t="str">
        <f>VLOOKUP(B1390,[1]LifeList!$E$2:$G$2036,2)</f>
        <v>Grand Chevalier</v>
      </c>
      <c r="F1390" s="3" t="str">
        <f>VLOOKUP(B1390,[1]LifeList!$E$2:$G$2036,3)</f>
        <v>Tringa melanoleuca</v>
      </c>
      <c r="G1390" s="3" t="str">
        <f>VLOOKUP(B1390,[1]LifeList!$E$2:$I$2036,4)</f>
        <v>Charadriiformes</v>
      </c>
      <c r="H1390" s="3" t="str">
        <f>VLOOKUP(B1390,[1]LifeList!$E$2:$I$2036,5)</f>
        <v>Scolopacidae (Sandpipers and Allies)</v>
      </c>
    </row>
    <row r="1391" spans="1:8" x14ac:dyDescent="0.15">
      <c r="A1391" s="3" t="s">
        <v>1333</v>
      </c>
      <c r="B1391" s="3" t="s">
        <v>4437</v>
      </c>
      <c r="C1391" s="3">
        <v>6154</v>
      </c>
      <c r="D1391" s="3" t="str">
        <f>VLOOKUP(B1391,[1]LifeList!$E$2:$G$2036,1)</f>
        <v>Greater Yellowlegs</v>
      </c>
      <c r="E1391" s="3" t="str">
        <f>VLOOKUP(B1391,[1]LifeList!$E$2:$G$2036,2)</f>
        <v>Grand Chevalier</v>
      </c>
      <c r="F1391" s="3" t="str">
        <f>VLOOKUP(B1391,[1]LifeList!$E$2:$G$2036,3)</f>
        <v>Tringa melanoleuca</v>
      </c>
      <c r="G1391" s="3" t="str">
        <f>VLOOKUP(B1391,[1]LifeList!$E$2:$I$2036,4)</f>
        <v>Charadriiformes</v>
      </c>
      <c r="H1391" s="3" t="str">
        <f>VLOOKUP(B1391,[1]LifeList!$E$2:$I$2036,5)</f>
        <v>Scolopacidae (Sandpipers and Allies)</v>
      </c>
    </row>
    <row r="1392" spans="1:8" x14ac:dyDescent="0.15">
      <c r="A1392" s="3" t="s">
        <v>1361</v>
      </c>
      <c r="B1392" s="3" t="s">
        <v>4438</v>
      </c>
      <c r="C1392" s="3">
        <v>17533</v>
      </c>
      <c r="D1392" s="3" t="str">
        <f>VLOOKUP(B1392,[1]LifeList!$E$2:$G$2036,1)</f>
        <v>Green Catbird</v>
      </c>
      <c r="E1392" s="3" t="str">
        <f>VLOOKUP(B1392,[1]LifeList!$E$2:$G$2036,2)</f>
        <v>Jardinier vert</v>
      </c>
      <c r="F1392" s="3" t="str">
        <f>VLOOKUP(B1392,[1]LifeList!$E$2:$G$2036,3)</f>
        <v>Ailuroedus crassirostris</v>
      </c>
      <c r="G1392" s="3" t="str">
        <f>VLOOKUP(B1392,[1]LifeList!$E$2:$I$2036,4)</f>
        <v>Passeriformes</v>
      </c>
      <c r="H1392" s="3" t="str">
        <f>VLOOKUP(B1392,[1]LifeList!$E$2:$I$2036,5)</f>
        <v>Ptilonorhynchidae (Bowerbirds)</v>
      </c>
    </row>
    <row r="1393" spans="1:8" x14ac:dyDescent="0.15">
      <c r="A1393" s="3" t="s">
        <v>1363</v>
      </c>
      <c r="B1393" s="3" t="s">
        <v>4439</v>
      </c>
      <c r="C1393" s="3">
        <v>7704</v>
      </c>
      <c r="D1393" s="3" t="str">
        <f>VLOOKUP(B1393,[1]LifeList!$E$2:$G$2036,1)</f>
        <v>Green Heron</v>
      </c>
      <c r="E1393" s="3" t="str">
        <f>VLOOKUP(B1393,[1]LifeList!$E$2:$G$2036,2)</f>
        <v>Héron vert</v>
      </c>
      <c r="F1393" s="3" t="str">
        <f>VLOOKUP(B1393,[1]LifeList!$E$2:$G$2036,3)</f>
        <v>Butorides virescens</v>
      </c>
      <c r="G1393" s="3" t="str">
        <f>VLOOKUP(B1393,[1]LifeList!$E$2:$I$2036,4)</f>
        <v>Pelecaniformes</v>
      </c>
      <c r="H1393" s="3" t="str">
        <f>VLOOKUP(B1393,[1]LifeList!$E$2:$I$2036,5)</f>
        <v>Ardeidae (Herons, Egrets, and Bitterns)</v>
      </c>
    </row>
    <row r="1394" spans="1:8" x14ac:dyDescent="0.15">
      <c r="A1394" s="3" t="s">
        <v>1364</v>
      </c>
      <c r="B1394" s="3" t="s">
        <v>4439</v>
      </c>
      <c r="C1394" s="3">
        <v>7704</v>
      </c>
      <c r="D1394" s="3" t="str">
        <f>VLOOKUP(B1394,[1]LifeList!$E$2:$G$2036,1)</f>
        <v>Green Heron</v>
      </c>
      <c r="E1394" s="3" t="str">
        <f>VLOOKUP(B1394,[1]LifeList!$E$2:$G$2036,2)</f>
        <v>Héron vert</v>
      </c>
      <c r="F1394" s="3" t="str">
        <f>VLOOKUP(B1394,[1]LifeList!$E$2:$G$2036,3)</f>
        <v>Butorides virescens</v>
      </c>
      <c r="G1394" s="3" t="str">
        <f>VLOOKUP(B1394,[1]LifeList!$E$2:$I$2036,4)</f>
        <v>Pelecaniformes</v>
      </c>
      <c r="H1394" s="3" t="str">
        <f>VLOOKUP(B1394,[1]LifeList!$E$2:$I$2036,5)</f>
        <v>Ardeidae (Herons, Egrets, and Bitterns)</v>
      </c>
    </row>
    <row r="1395" spans="1:8" x14ac:dyDescent="0.15">
      <c r="A1395" s="3" t="s">
        <v>1365</v>
      </c>
      <c r="B1395" s="3" t="s">
        <v>4439</v>
      </c>
      <c r="C1395" s="3">
        <v>7704</v>
      </c>
      <c r="D1395" s="3" t="str">
        <f>VLOOKUP(B1395,[1]LifeList!$E$2:$G$2036,1)</f>
        <v>Green Heron</v>
      </c>
      <c r="E1395" s="3" t="str">
        <f>VLOOKUP(B1395,[1]LifeList!$E$2:$G$2036,2)</f>
        <v>Héron vert</v>
      </c>
      <c r="F1395" s="3" t="str">
        <f>VLOOKUP(B1395,[1]LifeList!$E$2:$G$2036,3)</f>
        <v>Butorides virescens</v>
      </c>
      <c r="G1395" s="3" t="str">
        <f>VLOOKUP(B1395,[1]LifeList!$E$2:$I$2036,4)</f>
        <v>Pelecaniformes</v>
      </c>
      <c r="H1395" s="3" t="str">
        <f>VLOOKUP(B1395,[1]LifeList!$E$2:$I$2036,5)</f>
        <v>Ardeidae (Herons, Egrets, and Bitterns)</v>
      </c>
    </row>
    <row r="1396" spans="1:8" x14ac:dyDescent="0.15">
      <c r="A1396" s="3" t="s">
        <v>1366</v>
      </c>
      <c r="B1396" s="3" t="s">
        <v>4439</v>
      </c>
      <c r="C1396" s="3">
        <v>7704</v>
      </c>
      <c r="D1396" s="3" t="str">
        <f>VLOOKUP(B1396,[1]LifeList!$E$2:$G$2036,1)</f>
        <v>Green Heron</v>
      </c>
      <c r="E1396" s="3" t="str">
        <f>VLOOKUP(B1396,[1]LifeList!$E$2:$G$2036,2)</f>
        <v>Héron vert</v>
      </c>
      <c r="F1396" s="3" t="str">
        <f>VLOOKUP(B1396,[1]LifeList!$E$2:$G$2036,3)</f>
        <v>Butorides virescens</v>
      </c>
      <c r="G1396" s="3" t="str">
        <f>VLOOKUP(B1396,[1]LifeList!$E$2:$I$2036,4)</f>
        <v>Pelecaniformes</v>
      </c>
      <c r="H1396" s="3" t="str">
        <f>VLOOKUP(B1396,[1]LifeList!$E$2:$I$2036,5)</f>
        <v>Ardeidae (Herons, Egrets, and Bitterns)</v>
      </c>
    </row>
    <row r="1397" spans="1:8" x14ac:dyDescent="0.15">
      <c r="A1397" s="3" t="s">
        <v>1367</v>
      </c>
      <c r="B1397" s="3" t="s">
        <v>4439</v>
      </c>
      <c r="C1397" s="3">
        <v>7704</v>
      </c>
      <c r="D1397" s="3" t="str">
        <f>VLOOKUP(B1397,[1]LifeList!$E$2:$G$2036,1)</f>
        <v>Green Heron</v>
      </c>
      <c r="E1397" s="3" t="str">
        <f>VLOOKUP(B1397,[1]LifeList!$E$2:$G$2036,2)</f>
        <v>Héron vert</v>
      </c>
      <c r="F1397" s="3" t="str">
        <f>VLOOKUP(B1397,[1]LifeList!$E$2:$G$2036,3)</f>
        <v>Butorides virescens</v>
      </c>
      <c r="G1397" s="3" t="str">
        <f>VLOOKUP(B1397,[1]LifeList!$E$2:$I$2036,4)</f>
        <v>Pelecaniformes</v>
      </c>
      <c r="H1397" s="3" t="str">
        <f>VLOOKUP(B1397,[1]LifeList!$E$2:$I$2036,5)</f>
        <v>Ardeidae (Herons, Egrets, and Bitterns)</v>
      </c>
    </row>
    <row r="1398" spans="1:8" x14ac:dyDescent="0.15">
      <c r="A1398" s="3" t="s">
        <v>1368</v>
      </c>
      <c r="B1398" s="3" t="s">
        <v>4439</v>
      </c>
      <c r="C1398" s="3">
        <v>7704</v>
      </c>
      <c r="D1398" s="3" t="str">
        <f>VLOOKUP(B1398,[1]LifeList!$E$2:$G$2036,1)</f>
        <v>Green Heron</v>
      </c>
      <c r="E1398" s="3" t="str">
        <f>VLOOKUP(B1398,[1]LifeList!$E$2:$G$2036,2)</f>
        <v>Héron vert</v>
      </c>
      <c r="F1398" s="3" t="str">
        <f>VLOOKUP(B1398,[1]LifeList!$E$2:$G$2036,3)</f>
        <v>Butorides virescens</v>
      </c>
      <c r="G1398" s="3" t="str">
        <f>VLOOKUP(B1398,[1]LifeList!$E$2:$I$2036,4)</f>
        <v>Pelecaniformes</v>
      </c>
      <c r="H1398" s="3" t="str">
        <f>VLOOKUP(B1398,[1]LifeList!$E$2:$I$2036,5)</f>
        <v>Ardeidae (Herons, Egrets, and Bitterns)</v>
      </c>
    </row>
    <row r="1399" spans="1:8" x14ac:dyDescent="0.15">
      <c r="A1399" s="3" t="s">
        <v>1369</v>
      </c>
      <c r="B1399" s="3" t="s">
        <v>4439</v>
      </c>
      <c r="C1399" s="3">
        <v>7704</v>
      </c>
      <c r="D1399" s="3" t="str">
        <f>VLOOKUP(B1399,[1]LifeList!$E$2:$G$2036,1)</f>
        <v>Green Heron</v>
      </c>
      <c r="E1399" s="3" t="str">
        <f>VLOOKUP(B1399,[1]LifeList!$E$2:$G$2036,2)</f>
        <v>Héron vert</v>
      </c>
      <c r="F1399" s="3" t="str">
        <f>VLOOKUP(B1399,[1]LifeList!$E$2:$G$2036,3)</f>
        <v>Butorides virescens</v>
      </c>
      <c r="G1399" s="3" t="str">
        <f>VLOOKUP(B1399,[1]LifeList!$E$2:$I$2036,4)</f>
        <v>Pelecaniformes</v>
      </c>
      <c r="H1399" s="3" t="str">
        <f>VLOOKUP(B1399,[1]LifeList!$E$2:$I$2036,5)</f>
        <v>Ardeidae (Herons, Egrets, and Bitterns)</v>
      </c>
    </row>
    <row r="1400" spans="1:8" x14ac:dyDescent="0.15">
      <c r="A1400" s="3" t="s">
        <v>1370</v>
      </c>
      <c r="B1400" s="3" t="s">
        <v>4439</v>
      </c>
      <c r="C1400" s="3">
        <v>7704</v>
      </c>
      <c r="D1400" s="3" t="str">
        <f>VLOOKUP(B1400,[1]LifeList!$E$2:$G$2036,1)</f>
        <v>Green Heron</v>
      </c>
      <c r="E1400" s="3" t="str">
        <f>VLOOKUP(B1400,[1]LifeList!$E$2:$G$2036,2)</f>
        <v>Héron vert</v>
      </c>
      <c r="F1400" s="3" t="str">
        <f>VLOOKUP(B1400,[1]LifeList!$E$2:$G$2036,3)</f>
        <v>Butorides virescens</v>
      </c>
      <c r="G1400" s="3" t="str">
        <f>VLOOKUP(B1400,[1]LifeList!$E$2:$I$2036,4)</f>
        <v>Pelecaniformes</v>
      </c>
      <c r="H1400" s="3" t="str">
        <f>VLOOKUP(B1400,[1]LifeList!$E$2:$I$2036,5)</f>
        <v>Ardeidae (Herons, Egrets, and Bitterns)</v>
      </c>
    </row>
    <row r="1401" spans="1:8" x14ac:dyDescent="0.15">
      <c r="A1401" s="3" t="s">
        <v>1371</v>
      </c>
      <c r="B1401" s="3" t="s">
        <v>4439</v>
      </c>
      <c r="C1401" s="3">
        <v>7704</v>
      </c>
      <c r="D1401" s="3" t="str">
        <f>VLOOKUP(B1401,[1]LifeList!$E$2:$G$2036,1)</f>
        <v>Green Heron</v>
      </c>
      <c r="E1401" s="3" t="str">
        <f>VLOOKUP(B1401,[1]LifeList!$E$2:$G$2036,2)</f>
        <v>Héron vert</v>
      </c>
      <c r="F1401" s="3" t="str">
        <f>VLOOKUP(B1401,[1]LifeList!$E$2:$G$2036,3)</f>
        <v>Butorides virescens</v>
      </c>
      <c r="G1401" s="3" t="str">
        <f>VLOOKUP(B1401,[1]LifeList!$E$2:$I$2036,4)</f>
        <v>Pelecaniformes</v>
      </c>
      <c r="H1401" s="3" t="str">
        <f>VLOOKUP(B1401,[1]LifeList!$E$2:$I$2036,5)</f>
        <v>Ardeidae (Herons, Egrets, and Bitterns)</v>
      </c>
    </row>
    <row r="1402" spans="1:8" x14ac:dyDescent="0.15">
      <c r="A1402" s="3" t="s">
        <v>1372</v>
      </c>
      <c r="B1402" s="3" t="s">
        <v>4439</v>
      </c>
      <c r="C1402" s="3">
        <v>7704</v>
      </c>
      <c r="D1402" s="3" t="str">
        <f>VLOOKUP(B1402,[1]LifeList!$E$2:$G$2036,1)</f>
        <v>Green Heron</v>
      </c>
      <c r="E1402" s="3" t="str">
        <f>VLOOKUP(B1402,[1]LifeList!$E$2:$G$2036,2)</f>
        <v>Héron vert</v>
      </c>
      <c r="F1402" s="3" t="str">
        <f>VLOOKUP(B1402,[1]LifeList!$E$2:$G$2036,3)</f>
        <v>Butorides virescens</v>
      </c>
      <c r="G1402" s="3" t="str">
        <f>VLOOKUP(B1402,[1]LifeList!$E$2:$I$2036,4)</f>
        <v>Pelecaniformes</v>
      </c>
      <c r="H1402" s="3" t="str">
        <f>VLOOKUP(B1402,[1]LifeList!$E$2:$I$2036,5)</f>
        <v>Ardeidae (Herons, Egrets, and Bitterns)</v>
      </c>
    </row>
    <row r="1403" spans="1:8" x14ac:dyDescent="0.15">
      <c r="A1403" s="3" t="s">
        <v>1373</v>
      </c>
      <c r="B1403" s="3" t="s">
        <v>4439</v>
      </c>
      <c r="C1403" s="3">
        <v>7704</v>
      </c>
      <c r="D1403" s="3" t="str">
        <f>VLOOKUP(B1403,[1]LifeList!$E$2:$G$2036,1)</f>
        <v>Green Heron</v>
      </c>
      <c r="E1403" s="3" t="str">
        <f>VLOOKUP(B1403,[1]LifeList!$E$2:$G$2036,2)</f>
        <v>Héron vert</v>
      </c>
      <c r="F1403" s="3" t="str">
        <f>VLOOKUP(B1403,[1]LifeList!$E$2:$G$2036,3)</f>
        <v>Butorides virescens</v>
      </c>
      <c r="G1403" s="3" t="str">
        <f>VLOOKUP(B1403,[1]LifeList!$E$2:$I$2036,4)</f>
        <v>Pelecaniformes</v>
      </c>
      <c r="H1403" s="3" t="str">
        <f>VLOOKUP(B1403,[1]LifeList!$E$2:$I$2036,5)</f>
        <v>Ardeidae (Herons, Egrets, and Bitterns)</v>
      </c>
    </row>
    <row r="1404" spans="1:8" x14ac:dyDescent="0.15">
      <c r="A1404" s="3" t="s">
        <v>1374</v>
      </c>
      <c r="B1404" s="3" t="s">
        <v>4439</v>
      </c>
      <c r="C1404" s="3">
        <v>7704</v>
      </c>
      <c r="D1404" s="3" t="str">
        <f>VLOOKUP(B1404,[1]LifeList!$E$2:$G$2036,1)</f>
        <v>Green Heron</v>
      </c>
      <c r="E1404" s="3" t="str">
        <f>VLOOKUP(B1404,[1]LifeList!$E$2:$G$2036,2)</f>
        <v>Héron vert</v>
      </c>
      <c r="F1404" s="3" t="str">
        <f>VLOOKUP(B1404,[1]LifeList!$E$2:$G$2036,3)</f>
        <v>Butorides virescens</v>
      </c>
      <c r="G1404" s="3" t="str">
        <f>VLOOKUP(B1404,[1]LifeList!$E$2:$I$2036,4)</f>
        <v>Pelecaniformes</v>
      </c>
      <c r="H1404" s="3" t="str">
        <f>VLOOKUP(B1404,[1]LifeList!$E$2:$I$2036,5)</f>
        <v>Ardeidae (Herons, Egrets, and Bitterns)</v>
      </c>
    </row>
    <row r="1405" spans="1:8" x14ac:dyDescent="0.15">
      <c r="A1405" s="3" t="s">
        <v>1375</v>
      </c>
      <c r="B1405" s="3" t="s">
        <v>4439</v>
      </c>
      <c r="C1405" s="3">
        <v>7704</v>
      </c>
      <c r="D1405" s="3" t="str">
        <f>VLOOKUP(B1405,[1]LifeList!$E$2:$G$2036,1)</f>
        <v>Green Heron</v>
      </c>
      <c r="E1405" s="3" t="str">
        <f>VLOOKUP(B1405,[1]LifeList!$E$2:$G$2036,2)</f>
        <v>Héron vert</v>
      </c>
      <c r="F1405" s="3" t="str">
        <f>VLOOKUP(B1405,[1]LifeList!$E$2:$G$2036,3)</f>
        <v>Butorides virescens</v>
      </c>
      <c r="G1405" s="3" t="str">
        <f>VLOOKUP(B1405,[1]LifeList!$E$2:$I$2036,4)</f>
        <v>Pelecaniformes</v>
      </c>
      <c r="H1405" s="3" t="str">
        <f>VLOOKUP(B1405,[1]LifeList!$E$2:$I$2036,5)</f>
        <v>Ardeidae (Herons, Egrets, and Bitterns)</v>
      </c>
    </row>
    <row r="1406" spans="1:8" x14ac:dyDescent="0.15">
      <c r="A1406" s="3" t="s">
        <v>1376</v>
      </c>
      <c r="B1406" s="3" t="s">
        <v>4439</v>
      </c>
      <c r="C1406" s="3">
        <v>7704</v>
      </c>
      <c r="D1406" s="3" t="str">
        <f>VLOOKUP(B1406,[1]LifeList!$E$2:$G$2036,1)</f>
        <v>Green Heron</v>
      </c>
      <c r="E1406" s="3" t="str">
        <f>VLOOKUP(B1406,[1]LifeList!$E$2:$G$2036,2)</f>
        <v>Héron vert</v>
      </c>
      <c r="F1406" s="3" t="str">
        <f>VLOOKUP(B1406,[1]LifeList!$E$2:$G$2036,3)</f>
        <v>Butorides virescens</v>
      </c>
      <c r="G1406" s="3" t="str">
        <f>VLOOKUP(B1406,[1]LifeList!$E$2:$I$2036,4)</f>
        <v>Pelecaniformes</v>
      </c>
      <c r="H1406" s="3" t="str">
        <f>VLOOKUP(B1406,[1]LifeList!$E$2:$I$2036,5)</f>
        <v>Ardeidae (Herons, Egrets, and Bitterns)</v>
      </c>
    </row>
    <row r="1407" spans="1:8" x14ac:dyDescent="0.15">
      <c r="A1407" s="3" t="s">
        <v>1377</v>
      </c>
      <c r="B1407" s="3" t="s">
        <v>4439</v>
      </c>
      <c r="C1407" s="3">
        <v>7704</v>
      </c>
      <c r="D1407" s="3" t="str">
        <f>VLOOKUP(B1407,[1]LifeList!$E$2:$G$2036,1)</f>
        <v>Green Heron</v>
      </c>
      <c r="E1407" s="3" t="str">
        <f>VLOOKUP(B1407,[1]LifeList!$E$2:$G$2036,2)</f>
        <v>Héron vert</v>
      </c>
      <c r="F1407" s="3" t="str">
        <f>VLOOKUP(B1407,[1]LifeList!$E$2:$G$2036,3)</f>
        <v>Butorides virescens</v>
      </c>
      <c r="G1407" s="3" t="str">
        <f>VLOOKUP(B1407,[1]LifeList!$E$2:$I$2036,4)</f>
        <v>Pelecaniformes</v>
      </c>
      <c r="H1407" s="3" t="str">
        <f>VLOOKUP(B1407,[1]LifeList!$E$2:$I$2036,5)</f>
        <v>Ardeidae (Herons, Egrets, and Bitterns)</v>
      </c>
    </row>
    <row r="1408" spans="1:8" x14ac:dyDescent="0.15">
      <c r="A1408" s="3" t="s">
        <v>1378</v>
      </c>
      <c r="B1408" s="3" t="s">
        <v>4439</v>
      </c>
      <c r="C1408" s="3">
        <v>7704</v>
      </c>
      <c r="D1408" s="3" t="str">
        <f>VLOOKUP(B1408,[1]LifeList!$E$2:$G$2036,1)</f>
        <v>Green Heron</v>
      </c>
      <c r="E1408" s="3" t="str">
        <f>VLOOKUP(B1408,[1]LifeList!$E$2:$G$2036,2)</f>
        <v>Héron vert</v>
      </c>
      <c r="F1408" s="3" t="str">
        <f>VLOOKUP(B1408,[1]LifeList!$E$2:$G$2036,3)</f>
        <v>Butorides virescens</v>
      </c>
      <c r="G1408" s="3" t="str">
        <f>VLOOKUP(B1408,[1]LifeList!$E$2:$I$2036,4)</f>
        <v>Pelecaniformes</v>
      </c>
      <c r="H1408" s="3" t="str">
        <f>VLOOKUP(B1408,[1]LifeList!$E$2:$I$2036,5)</f>
        <v>Ardeidae (Herons, Egrets, and Bitterns)</v>
      </c>
    </row>
    <row r="1409" spans="1:8" x14ac:dyDescent="0.15">
      <c r="A1409" s="3" t="s">
        <v>1379</v>
      </c>
      <c r="B1409" s="3" t="s">
        <v>4439</v>
      </c>
      <c r="C1409" s="3">
        <v>7704</v>
      </c>
      <c r="D1409" s="3" t="str">
        <f>VLOOKUP(B1409,[1]LifeList!$E$2:$G$2036,1)</f>
        <v>Green Heron</v>
      </c>
      <c r="E1409" s="3" t="str">
        <f>VLOOKUP(B1409,[1]LifeList!$E$2:$G$2036,2)</f>
        <v>Héron vert</v>
      </c>
      <c r="F1409" s="3" t="str">
        <f>VLOOKUP(B1409,[1]LifeList!$E$2:$G$2036,3)</f>
        <v>Butorides virescens</v>
      </c>
      <c r="G1409" s="3" t="str">
        <f>VLOOKUP(B1409,[1]LifeList!$E$2:$I$2036,4)</f>
        <v>Pelecaniformes</v>
      </c>
      <c r="H1409" s="3" t="str">
        <f>VLOOKUP(B1409,[1]LifeList!$E$2:$I$2036,5)</f>
        <v>Ardeidae (Herons, Egrets, and Bitterns)</v>
      </c>
    </row>
    <row r="1410" spans="1:8" x14ac:dyDescent="0.15">
      <c r="A1410" s="3" t="s">
        <v>1380</v>
      </c>
      <c r="B1410" s="3" t="s">
        <v>4439</v>
      </c>
      <c r="C1410" s="3">
        <v>7704</v>
      </c>
      <c r="D1410" s="3" t="str">
        <f>VLOOKUP(B1410,[1]LifeList!$E$2:$G$2036,1)</f>
        <v>Green Heron</v>
      </c>
      <c r="E1410" s="3" t="str">
        <f>VLOOKUP(B1410,[1]LifeList!$E$2:$G$2036,2)</f>
        <v>Héron vert</v>
      </c>
      <c r="F1410" s="3" t="str">
        <f>VLOOKUP(B1410,[1]LifeList!$E$2:$G$2036,3)</f>
        <v>Butorides virescens</v>
      </c>
      <c r="G1410" s="3" t="str">
        <f>VLOOKUP(B1410,[1]LifeList!$E$2:$I$2036,4)</f>
        <v>Pelecaniformes</v>
      </c>
      <c r="H1410" s="3" t="str">
        <f>VLOOKUP(B1410,[1]LifeList!$E$2:$I$2036,5)</f>
        <v>Ardeidae (Herons, Egrets, and Bitterns)</v>
      </c>
    </row>
    <row r="1411" spans="1:8" x14ac:dyDescent="0.15">
      <c r="A1411" s="3" t="s">
        <v>1381</v>
      </c>
      <c r="B1411" s="3" t="s">
        <v>4439</v>
      </c>
      <c r="C1411" s="3">
        <v>7704</v>
      </c>
      <c r="D1411" s="3" t="str">
        <f>VLOOKUP(B1411,[1]LifeList!$E$2:$G$2036,1)</f>
        <v>Green Heron</v>
      </c>
      <c r="E1411" s="3" t="str">
        <f>VLOOKUP(B1411,[1]LifeList!$E$2:$G$2036,2)</f>
        <v>Héron vert</v>
      </c>
      <c r="F1411" s="3" t="str">
        <f>VLOOKUP(B1411,[1]LifeList!$E$2:$G$2036,3)</f>
        <v>Butorides virescens</v>
      </c>
      <c r="G1411" s="3" t="str">
        <f>VLOOKUP(B1411,[1]LifeList!$E$2:$I$2036,4)</f>
        <v>Pelecaniformes</v>
      </c>
      <c r="H1411" s="3" t="str">
        <f>VLOOKUP(B1411,[1]LifeList!$E$2:$I$2036,5)</f>
        <v>Ardeidae (Herons, Egrets, and Bitterns)</v>
      </c>
    </row>
    <row r="1412" spans="1:8" x14ac:dyDescent="0.15">
      <c r="A1412" s="3" t="s">
        <v>1399</v>
      </c>
      <c r="B1412" s="3" t="s">
        <v>4439</v>
      </c>
      <c r="C1412" s="3">
        <v>7704</v>
      </c>
      <c r="D1412" s="3" t="str">
        <f>VLOOKUP(B1412,[1]LifeList!$E$2:$G$2036,1)</f>
        <v>Green Heron</v>
      </c>
      <c r="E1412" s="3" t="str">
        <f>VLOOKUP(B1412,[1]LifeList!$E$2:$G$2036,2)</f>
        <v>Héron vert</v>
      </c>
      <c r="F1412" s="3" t="str">
        <f>VLOOKUP(B1412,[1]LifeList!$E$2:$G$2036,3)</f>
        <v>Butorides virescens</v>
      </c>
      <c r="G1412" s="3" t="str">
        <f>VLOOKUP(B1412,[1]LifeList!$E$2:$I$2036,4)</f>
        <v>Pelecaniformes</v>
      </c>
      <c r="H1412" s="3" t="str">
        <f>VLOOKUP(B1412,[1]LifeList!$E$2:$I$2036,5)</f>
        <v>Ardeidae (Herons, Egrets, and Bitterns)</v>
      </c>
    </row>
    <row r="1413" spans="1:8" x14ac:dyDescent="0.15">
      <c r="A1413" s="3" t="s">
        <v>1362</v>
      </c>
      <c r="B1413" s="3" t="s">
        <v>4439</v>
      </c>
      <c r="C1413" s="3">
        <v>7704</v>
      </c>
      <c r="D1413" s="3" t="str">
        <f>VLOOKUP(B1413,[1]LifeList!$E$2:$G$2036,1)</f>
        <v>Green Heron</v>
      </c>
      <c r="E1413" s="3" t="str">
        <f>VLOOKUP(B1413,[1]LifeList!$E$2:$G$2036,2)</f>
        <v>Héron vert</v>
      </c>
      <c r="F1413" s="3" t="str">
        <f>VLOOKUP(B1413,[1]LifeList!$E$2:$G$2036,3)</f>
        <v>Butorides virescens</v>
      </c>
      <c r="G1413" s="3" t="str">
        <f>VLOOKUP(B1413,[1]LifeList!$E$2:$I$2036,4)</f>
        <v>Pelecaniformes</v>
      </c>
      <c r="H1413" s="3" t="str">
        <f>VLOOKUP(B1413,[1]LifeList!$E$2:$I$2036,5)</f>
        <v>Ardeidae (Herons, Egrets, and Bitterns)</v>
      </c>
    </row>
    <row r="1414" spans="1:8" x14ac:dyDescent="0.15">
      <c r="A1414" s="3" t="s">
        <v>1382</v>
      </c>
      <c r="B1414" s="3" t="s">
        <v>4440</v>
      </c>
      <c r="C1414" s="3">
        <v>35188</v>
      </c>
      <c r="D1414" s="3" t="str">
        <f>VLOOKUP(B1414,[1]LifeList!$E$2:$G$2036,1)</f>
        <v>Green Honeycreeper</v>
      </c>
      <c r="E1414" s="3" t="str">
        <f>VLOOKUP(B1414,[1]LifeList!$E$2:$G$2036,2)</f>
        <v>Tangara émeraude</v>
      </c>
      <c r="F1414" s="3" t="str">
        <f>VLOOKUP(B1414,[1]LifeList!$E$2:$G$2036,3)</f>
        <v>Chlorophanes spiza</v>
      </c>
      <c r="G1414" s="3" t="str">
        <f>VLOOKUP(B1414,[1]LifeList!$E$2:$I$2036,4)</f>
        <v>Passeriformes</v>
      </c>
      <c r="H1414" s="3" t="str">
        <f>VLOOKUP(B1414,[1]LifeList!$E$2:$I$2036,5)</f>
        <v>Thraupidae (Tanagers and Allies)</v>
      </c>
    </row>
    <row r="1415" spans="1:8" x14ac:dyDescent="0.15">
      <c r="A1415" s="3" t="s">
        <v>1383</v>
      </c>
      <c r="B1415" s="3" t="s">
        <v>4440</v>
      </c>
      <c r="C1415" s="3">
        <v>35188</v>
      </c>
      <c r="D1415" s="3" t="str">
        <f>VLOOKUP(B1415,[1]LifeList!$E$2:$G$2036,1)</f>
        <v>Green Honeycreeper</v>
      </c>
      <c r="E1415" s="3" t="str">
        <f>VLOOKUP(B1415,[1]LifeList!$E$2:$G$2036,2)</f>
        <v>Tangara émeraude</v>
      </c>
      <c r="F1415" s="3" t="str">
        <f>VLOOKUP(B1415,[1]LifeList!$E$2:$G$2036,3)</f>
        <v>Chlorophanes spiza</v>
      </c>
      <c r="G1415" s="3" t="str">
        <f>VLOOKUP(B1415,[1]LifeList!$E$2:$I$2036,4)</f>
        <v>Passeriformes</v>
      </c>
      <c r="H1415" s="3" t="str">
        <f>VLOOKUP(B1415,[1]LifeList!$E$2:$I$2036,5)</f>
        <v>Thraupidae (Tanagers and Allies)</v>
      </c>
    </row>
    <row r="1416" spans="1:8" x14ac:dyDescent="0.15">
      <c r="A1416" s="3" t="s">
        <v>1384</v>
      </c>
      <c r="B1416" s="3" t="s">
        <v>4440</v>
      </c>
      <c r="C1416" s="3">
        <v>35188</v>
      </c>
      <c r="D1416" s="3" t="str">
        <f>VLOOKUP(B1416,[1]LifeList!$E$2:$G$2036,1)</f>
        <v>Green Honeycreeper</v>
      </c>
      <c r="E1416" s="3" t="str">
        <f>VLOOKUP(B1416,[1]LifeList!$E$2:$G$2036,2)</f>
        <v>Tangara émeraude</v>
      </c>
      <c r="F1416" s="3" t="str">
        <f>VLOOKUP(B1416,[1]LifeList!$E$2:$G$2036,3)</f>
        <v>Chlorophanes spiza</v>
      </c>
      <c r="G1416" s="3" t="str">
        <f>VLOOKUP(B1416,[1]LifeList!$E$2:$I$2036,4)</f>
        <v>Passeriformes</v>
      </c>
      <c r="H1416" s="3" t="str">
        <f>VLOOKUP(B1416,[1]LifeList!$E$2:$I$2036,5)</f>
        <v>Thraupidae (Tanagers and Allies)</v>
      </c>
    </row>
    <row r="1417" spans="1:8" x14ac:dyDescent="0.15">
      <c r="A1417" s="3" t="s">
        <v>1385</v>
      </c>
      <c r="B1417" s="3" t="s">
        <v>4440</v>
      </c>
      <c r="C1417" s="3">
        <v>35188</v>
      </c>
      <c r="D1417" s="3" t="str">
        <f>VLOOKUP(B1417,[1]LifeList!$E$2:$G$2036,1)</f>
        <v>Green Honeycreeper</v>
      </c>
      <c r="E1417" s="3" t="str">
        <f>VLOOKUP(B1417,[1]LifeList!$E$2:$G$2036,2)</f>
        <v>Tangara émeraude</v>
      </c>
      <c r="F1417" s="3" t="str">
        <f>VLOOKUP(B1417,[1]LifeList!$E$2:$G$2036,3)</f>
        <v>Chlorophanes spiza</v>
      </c>
      <c r="G1417" s="3" t="str">
        <f>VLOOKUP(B1417,[1]LifeList!$E$2:$I$2036,4)</f>
        <v>Passeriformes</v>
      </c>
      <c r="H1417" s="3" t="str">
        <f>VLOOKUP(B1417,[1]LifeList!$E$2:$I$2036,5)</f>
        <v>Thraupidae (Tanagers and Allies)</v>
      </c>
    </row>
    <row r="1418" spans="1:8" x14ac:dyDescent="0.15">
      <c r="A1418" s="3" t="s">
        <v>1386</v>
      </c>
      <c r="B1418" s="3" t="s">
        <v>4441</v>
      </c>
      <c r="C1418" s="3">
        <v>7477</v>
      </c>
      <c r="D1418" s="3" t="str">
        <f>VLOOKUP(B1418,[1]LifeList!$E$2:$G$2036,1)</f>
        <v>Green Ibis</v>
      </c>
      <c r="E1418" s="3" t="str">
        <f>VLOOKUP(B1418,[1]LifeList!$E$2:$G$2036,2)</f>
        <v>Ibis vert</v>
      </c>
      <c r="F1418" s="3" t="str">
        <f>VLOOKUP(B1418,[1]LifeList!$E$2:$G$2036,3)</f>
        <v>Mesembrinibis cayennensis</v>
      </c>
      <c r="G1418" s="3" t="str">
        <f>VLOOKUP(B1418,[1]LifeList!$E$2:$I$2036,4)</f>
        <v>Pelecaniformes</v>
      </c>
      <c r="H1418" s="3" t="str">
        <f>VLOOKUP(B1418,[1]LifeList!$E$2:$I$2036,5)</f>
        <v>Threskiornithidae (Ibises and Spoonbills)</v>
      </c>
    </row>
    <row r="1419" spans="1:8" x14ac:dyDescent="0.15">
      <c r="A1419" s="3" t="s">
        <v>1387</v>
      </c>
      <c r="B1419" s="3" t="s">
        <v>4441</v>
      </c>
      <c r="C1419" s="3">
        <v>7477</v>
      </c>
      <c r="D1419" s="3" t="str">
        <f>VLOOKUP(B1419,[1]LifeList!$E$2:$G$2036,1)</f>
        <v>Green Ibis</v>
      </c>
      <c r="E1419" s="3" t="str">
        <f>VLOOKUP(B1419,[1]LifeList!$E$2:$G$2036,2)</f>
        <v>Ibis vert</v>
      </c>
      <c r="F1419" s="3" t="str">
        <f>VLOOKUP(B1419,[1]LifeList!$E$2:$G$2036,3)</f>
        <v>Mesembrinibis cayennensis</v>
      </c>
      <c r="G1419" s="3" t="str">
        <f>VLOOKUP(B1419,[1]LifeList!$E$2:$I$2036,4)</f>
        <v>Pelecaniformes</v>
      </c>
      <c r="H1419" s="3" t="str">
        <f>VLOOKUP(B1419,[1]LifeList!$E$2:$I$2036,5)</f>
        <v>Threskiornithidae (Ibises and Spoonbills)</v>
      </c>
    </row>
    <row r="1420" spans="1:8" x14ac:dyDescent="0.15">
      <c r="A1420" s="3" t="s">
        <v>1389</v>
      </c>
      <c r="B1420" s="3" t="s">
        <v>4442</v>
      </c>
      <c r="C1420" s="3">
        <v>10316</v>
      </c>
      <c r="D1420" s="3" t="str">
        <f>VLOOKUP(B1420,[1]LifeList!$E$2:$G$2036,1)</f>
        <v>Green Kingfisher</v>
      </c>
      <c r="E1420" s="3" t="str">
        <f>VLOOKUP(B1420,[1]LifeList!$E$2:$G$2036,2)</f>
        <v>Martin-pêcheur vert</v>
      </c>
      <c r="F1420" s="3" t="str">
        <f>VLOOKUP(B1420,[1]LifeList!$E$2:$G$2036,3)</f>
        <v>Chloroceryle americana</v>
      </c>
      <c r="G1420" s="3" t="str">
        <f>VLOOKUP(B1420,[1]LifeList!$E$2:$I$2036,4)</f>
        <v>Coraciiformes</v>
      </c>
      <c r="H1420" s="3" t="str">
        <f>VLOOKUP(B1420,[1]LifeList!$E$2:$I$2036,5)</f>
        <v>Alcedinidae (Kingfishers)</v>
      </c>
    </row>
    <row r="1421" spans="1:8" x14ac:dyDescent="0.15">
      <c r="A1421" s="3" t="s">
        <v>1390</v>
      </c>
      <c r="B1421" s="3" t="s">
        <v>4442</v>
      </c>
      <c r="C1421" s="3">
        <v>10316</v>
      </c>
      <c r="D1421" s="3" t="str">
        <f>VLOOKUP(B1421,[1]LifeList!$E$2:$G$2036,1)</f>
        <v>Green Kingfisher</v>
      </c>
      <c r="E1421" s="3" t="str">
        <f>VLOOKUP(B1421,[1]LifeList!$E$2:$G$2036,2)</f>
        <v>Martin-pêcheur vert</v>
      </c>
      <c r="F1421" s="3" t="str">
        <f>VLOOKUP(B1421,[1]LifeList!$E$2:$G$2036,3)</f>
        <v>Chloroceryle americana</v>
      </c>
      <c r="G1421" s="3" t="str">
        <f>VLOOKUP(B1421,[1]LifeList!$E$2:$I$2036,4)</f>
        <v>Coraciiformes</v>
      </c>
      <c r="H1421" s="3" t="str">
        <f>VLOOKUP(B1421,[1]LifeList!$E$2:$I$2036,5)</f>
        <v>Alcedinidae (Kingfishers)</v>
      </c>
    </row>
    <row r="1422" spans="1:8" x14ac:dyDescent="0.15">
      <c r="A1422" s="3" t="s">
        <v>1391</v>
      </c>
      <c r="B1422" s="3" t="s">
        <v>4442</v>
      </c>
      <c r="C1422" s="3">
        <v>10316</v>
      </c>
      <c r="D1422" s="3" t="str">
        <f>VLOOKUP(B1422,[1]LifeList!$E$2:$G$2036,1)</f>
        <v>Green Kingfisher</v>
      </c>
      <c r="E1422" s="3" t="str">
        <f>VLOOKUP(B1422,[1]LifeList!$E$2:$G$2036,2)</f>
        <v>Martin-pêcheur vert</v>
      </c>
      <c r="F1422" s="3" t="str">
        <f>VLOOKUP(B1422,[1]LifeList!$E$2:$G$2036,3)</f>
        <v>Chloroceryle americana</v>
      </c>
      <c r="G1422" s="3" t="str">
        <f>VLOOKUP(B1422,[1]LifeList!$E$2:$I$2036,4)</f>
        <v>Coraciiformes</v>
      </c>
      <c r="H1422" s="3" t="str">
        <f>VLOOKUP(B1422,[1]LifeList!$E$2:$I$2036,5)</f>
        <v>Alcedinidae (Kingfishers)</v>
      </c>
    </row>
    <row r="1423" spans="1:8" x14ac:dyDescent="0.15">
      <c r="A1423" s="3" t="s">
        <v>1388</v>
      </c>
      <c r="B1423" s="3" t="s">
        <v>4442</v>
      </c>
      <c r="C1423" s="3">
        <v>10316</v>
      </c>
      <c r="D1423" s="3" t="str">
        <f>VLOOKUP(B1423,[1]LifeList!$E$2:$G$2036,1)</f>
        <v>Green Kingfisher</v>
      </c>
      <c r="E1423" s="3" t="str">
        <f>VLOOKUP(B1423,[1]LifeList!$E$2:$G$2036,2)</f>
        <v>Martin-pêcheur vert</v>
      </c>
      <c r="F1423" s="3" t="str">
        <f>VLOOKUP(B1423,[1]LifeList!$E$2:$G$2036,3)</f>
        <v>Chloroceryle americana</v>
      </c>
      <c r="G1423" s="3" t="str">
        <f>VLOOKUP(B1423,[1]LifeList!$E$2:$I$2036,4)</f>
        <v>Coraciiformes</v>
      </c>
      <c r="H1423" s="3" t="str">
        <f>VLOOKUP(B1423,[1]LifeList!$E$2:$I$2036,5)</f>
        <v>Alcedinidae (Kingfishers)</v>
      </c>
    </row>
    <row r="1424" spans="1:8" x14ac:dyDescent="0.15">
      <c r="A1424" s="3" t="s">
        <v>1392</v>
      </c>
      <c r="B1424" s="3" t="s">
        <v>4443</v>
      </c>
      <c r="C1424" s="3">
        <v>12479</v>
      </c>
      <c r="D1424" s="3" t="str">
        <f>VLOOKUP(B1424,[1]LifeList!$E$2:$G$2036,1)</f>
        <v>Green Rosella</v>
      </c>
      <c r="E1424" s="3" t="str">
        <f>VLOOKUP(B1424,[1]LifeList!$E$2:$G$2036,2)</f>
        <v>Perruche à ventre jaune</v>
      </c>
      <c r="F1424" s="3" t="str">
        <f>VLOOKUP(B1424,[1]LifeList!$E$2:$G$2036,3)</f>
        <v>Platycercus caledonicus</v>
      </c>
      <c r="G1424" s="3" t="str">
        <f>VLOOKUP(B1424,[1]LifeList!$E$2:$I$2036,4)</f>
        <v>Psittaciformes</v>
      </c>
      <c r="H1424" s="3" t="str">
        <f>VLOOKUP(B1424,[1]LifeList!$E$2:$I$2036,5)</f>
        <v>Psittaculidae (Old World Parrots)</v>
      </c>
    </row>
    <row r="1425" spans="1:8" x14ac:dyDescent="0.15">
      <c r="A1425" s="3" t="s">
        <v>1393</v>
      </c>
      <c r="B1425" s="3" t="s">
        <v>4444</v>
      </c>
      <c r="C1425" s="3">
        <v>19108</v>
      </c>
      <c r="D1425" s="3" t="str">
        <f>VLOOKUP(B1425,[1]LifeList!$E$2:$G$2036,1)</f>
        <v>Green Shrike-Vireo</v>
      </c>
      <c r="E1425" s="3" t="str">
        <f>VLOOKUP(B1425,[1]LifeList!$E$2:$G$2036,2)</f>
        <v>Smaragdan émeraude</v>
      </c>
      <c r="F1425" s="3" t="str">
        <f>VLOOKUP(B1425,[1]LifeList!$E$2:$G$2036,3)</f>
        <v>Vireolanius pulchellus</v>
      </c>
      <c r="G1425" s="3" t="str">
        <f>VLOOKUP(B1425,[1]LifeList!$E$2:$I$2036,4)</f>
        <v>Passeriformes</v>
      </c>
      <c r="H1425" s="3" t="str">
        <f>VLOOKUP(B1425,[1]LifeList!$E$2:$I$2036,5)</f>
        <v>Vireonidae (Vireos, Shrike-Babblers, and Erpornis)</v>
      </c>
    </row>
    <row r="1426" spans="1:8" x14ac:dyDescent="0.15">
      <c r="A1426" s="3" t="s">
        <v>1394</v>
      </c>
      <c r="B1426" s="3" t="s">
        <v>4445</v>
      </c>
      <c r="C1426" s="3">
        <v>4438</v>
      </c>
      <c r="D1426" s="3" t="str">
        <f>VLOOKUP(B1426,[1]LifeList!$E$2:$G$2036,1)</f>
        <v>Green Thorntail</v>
      </c>
      <c r="E1426" s="3" t="str">
        <f>VLOOKUP(B1426,[1]LifeList!$E$2:$G$2036,2)</f>
        <v>Coquette à queue fine</v>
      </c>
      <c r="F1426" s="3" t="str">
        <f>VLOOKUP(B1426,[1]LifeList!$E$2:$G$2036,3)</f>
        <v>Discosura conversii</v>
      </c>
      <c r="G1426" s="3" t="str">
        <f>VLOOKUP(B1426,[1]LifeList!$E$2:$I$2036,4)</f>
        <v>Apodiformes</v>
      </c>
      <c r="H1426" s="3" t="str">
        <f>VLOOKUP(B1426,[1]LifeList!$E$2:$I$2036,5)</f>
        <v>Trochilidae (Hummingbirds)</v>
      </c>
    </row>
    <row r="1427" spans="1:8" x14ac:dyDescent="0.15">
      <c r="A1427" s="3" t="s">
        <v>1395</v>
      </c>
      <c r="B1427" s="3" t="s">
        <v>4445</v>
      </c>
      <c r="C1427" s="3">
        <v>4438</v>
      </c>
      <c r="D1427" s="3" t="str">
        <f>VLOOKUP(B1427,[1]LifeList!$E$2:$G$2036,1)</f>
        <v>Green Thorntail</v>
      </c>
      <c r="E1427" s="3" t="str">
        <f>VLOOKUP(B1427,[1]LifeList!$E$2:$G$2036,2)</f>
        <v>Coquette à queue fine</v>
      </c>
      <c r="F1427" s="3" t="str">
        <f>VLOOKUP(B1427,[1]LifeList!$E$2:$G$2036,3)</f>
        <v>Discosura conversii</v>
      </c>
      <c r="G1427" s="3" t="str">
        <f>VLOOKUP(B1427,[1]LifeList!$E$2:$I$2036,4)</f>
        <v>Apodiformes</v>
      </c>
      <c r="H1427" s="3" t="str">
        <f>VLOOKUP(B1427,[1]LifeList!$E$2:$I$2036,5)</f>
        <v>Trochilidae (Hummingbirds)</v>
      </c>
    </row>
    <row r="1428" spans="1:8" x14ac:dyDescent="0.15">
      <c r="A1428" s="3" t="s">
        <v>1396</v>
      </c>
      <c r="B1428" s="3" t="s">
        <v>4445</v>
      </c>
      <c r="C1428" s="3">
        <v>4438</v>
      </c>
      <c r="D1428" s="3" t="str">
        <f>VLOOKUP(B1428,[1]LifeList!$E$2:$G$2036,1)</f>
        <v>Green Thorntail</v>
      </c>
      <c r="E1428" s="3" t="str">
        <f>VLOOKUP(B1428,[1]LifeList!$E$2:$G$2036,2)</f>
        <v>Coquette à queue fine</v>
      </c>
      <c r="F1428" s="3" t="str">
        <f>VLOOKUP(B1428,[1]LifeList!$E$2:$G$2036,3)</f>
        <v>Discosura conversii</v>
      </c>
      <c r="G1428" s="3" t="str">
        <f>VLOOKUP(B1428,[1]LifeList!$E$2:$I$2036,4)</f>
        <v>Apodiformes</v>
      </c>
      <c r="H1428" s="3" t="str">
        <f>VLOOKUP(B1428,[1]LifeList!$E$2:$I$2036,5)</f>
        <v>Trochilidae (Hummingbirds)</v>
      </c>
    </row>
    <row r="1429" spans="1:8" x14ac:dyDescent="0.15">
      <c r="A1429" s="3" t="s">
        <v>3857</v>
      </c>
      <c r="B1429" s="3" t="s">
        <v>4445</v>
      </c>
      <c r="C1429" s="3">
        <v>4438</v>
      </c>
      <c r="D1429" s="3" t="str">
        <f>VLOOKUP(B1429,[1]LifeList!$E$2:$G$2036,1)</f>
        <v>Green Thorntail</v>
      </c>
      <c r="E1429" s="3" t="str">
        <f>VLOOKUP(B1429,[1]LifeList!$E$2:$G$2036,2)</f>
        <v>Coquette à queue fine</v>
      </c>
      <c r="F1429" s="3" t="str">
        <f>VLOOKUP(B1429,[1]LifeList!$E$2:$G$2036,3)</f>
        <v>Discosura conversii</v>
      </c>
      <c r="G1429" s="3" t="str">
        <f>VLOOKUP(B1429,[1]LifeList!$E$2:$I$2036,4)</f>
        <v>Apodiformes</v>
      </c>
      <c r="H1429" s="3" t="str">
        <f>VLOOKUP(B1429,[1]LifeList!$E$2:$I$2036,5)</f>
        <v>Trochilidae (Hummingbirds)</v>
      </c>
    </row>
    <row r="1430" spans="1:8" x14ac:dyDescent="0.15">
      <c r="A1430" s="3" t="s">
        <v>1397</v>
      </c>
      <c r="B1430" s="3" t="s">
        <v>4445</v>
      </c>
      <c r="C1430" s="3">
        <v>4438</v>
      </c>
      <c r="D1430" s="3" t="str">
        <f>VLOOKUP(B1430,[1]LifeList!$E$2:$G$2036,1)</f>
        <v>Green Thorntail</v>
      </c>
      <c r="E1430" s="3" t="str">
        <f>VLOOKUP(B1430,[1]LifeList!$E$2:$G$2036,2)</f>
        <v>Coquette à queue fine</v>
      </c>
      <c r="F1430" s="3" t="str">
        <f>VLOOKUP(B1430,[1]LifeList!$E$2:$G$2036,3)</f>
        <v>Discosura conversii</v>
      </c>
      <c r="G1430" s="3" t="str">
        <f>VLOOKUP(B1430,[1]LifeList!$E$2:$I$2036,4)</f>
        <v>Apodiformes</v>
      </c>
      <c r="H1430" s="3" t="str">
        <f>VLOOKUP(B1430,[1]LifeList!$E$2:$I$2036,5)</f>
        <v>Trochilidae (Hummingbirds)</v>
      </c>
    </row>
    <row r="1431" spans="1:8" x14ac:dyDescent="0.15">
      <c r="A1431" s="3" t="s">
        <v>1398</v>
      </c>
      <c r="B1431" s="3" t="s">
        <v>4446</v>
      </c>
      <c r="C1431" s="3">
        <v>9618</v>
      </c>
      <c r="D1431" s="3" t="str">
        <f>VLOOKUP(B1431,[1]LifeList!$E$2:$G$2036,1)</f>
        <v>Green Woodhoopoe</v>
      </c>
      <c r="E1431" s="3" t="str">
        <f>VLOOKUP(B1431,[1]LifeList!$E$2:$G$2036,2)</f>
        <v>Irrisor moqueur</v>
      </c>
      <c r="F1431" s="3" t="str">
        <f>VLOOKUP(B1431,[1]LifeList!$E$2:$G$2036,3)</f>
        <v>Phoeniculus purpureus</v>
      </c>
      <c r="G1431" s="3" t="str">
        <f>VLOOKUP(B1431,[1]LifeList!$E$2:$I$2036,4)</f>
        <v>Bucerotiformes</v>
      </c>
      <c r="H1431" s="3" t="str">
        <f>VLOOKUP(B1431,[1]LifeList!$E$2:$I$2036,5)</f>
        <v>Phoeniculidae (Woodhoopoes and Scimitarbills)</v>
      </c>
    </row>
    <row r="1432" spans="1:8" x14ac:dyDescent="0.15">
      <c r="A1432" s="3" t="s">
        <v>1337</v>
      </c>
      <c r="B1432" s="3" t="s">
        <v>4447</v>
      </c>
      <c r="C1432" s="3">
        <v>15849</v>
      </c>
      <c r="D1432" s="3" t="str">
        <f>VLOOKUP(B1432,[1]LifeList!$E$2:$G$2036,1)</f>
        <v>Green-and-black Fruiteater</v>
      </c>
      <c r="E1432" s="3" t="str">
        <f>VLOOKUP(B1432,[1]LifeList!$E$2:$G$2036,2)</f>
        <v>Cotinga vert et noir</v>
      </c>
      <c r="F1432" s="3" t="str">
        <f>VLOOKUP(B1432,[1]LifeList!$E$2:$G$2036,3)</f>
        <v>Pipreola riefferii</v>
      </c>
      <c r="G1432" s="3" t="str">
        <f>VLOOKUP(B1432,[1]LifeList!$E$2:$I$2036,4)</f>
        <v>Passeriformes</v>
      </c>
      <c r="H1432" s="3" t="str">
        <f>VLOOKUP(B1432,[1]LifeList!$E$2:$I$2036,5)</f>
        <v>Cotingidae (Cotingas)</v>
      </c>
    </row>
    <row r="1433" spans="1:8" x14ac:dyDescent="0.15">
      <c r="A1433" s="3" t="s">
        <v>3858</v>
      </c>
      <c r="B1433" s="3" t="s">
        <v>4447</v>
      </c>
      <c r="C1433" s="3">
        <v>15849</v>
      </c>
      <c r="D1433" s="3" t="str">
        <f>VLOOKUP(B1433,[1]LifeList!$E$2:$G$2036,1)</f>
        <v>Green-and-black Fruiteater</v>
      </c>
      <c r="E1433" s="3" t="str">
        <f>VLOOKUP(B1433,[1]LifeList!$E$2:$G$2036,2)</f>
        <v>Cotinga vert et noir</v>
      </c>
      <c r="F1433" s="3" t="str">
        <f>VLOOKUP(B1433,[1]LifeList!$E$2:$G$2036,3)</f>
        <v>Pipreola riefferii</v>
      </c>
      <c r="G1433" s="3" t="str">
        <f>VLOOKUP(B1433,[1]LifeList!$E$2:$I$2036,4)</f>
        <v>Passeriformes</v>
      </c>
      <c r="H1433" s="3" t="str">
        <f>VLOOKUP(B1433,[1]LifeList!$E$2:$I$2036,5)</f>
        <v>Cotingidae (Cotingas)</v>
      </c>
    </row>
    <row r="1434" spans="1:8" x14ac:dyDescent="0.15">
      <c r="A1434" s="3" t="s">
        <v>1338</v>
      </c>
      <c r="B1434" s="3" t="s">
        <v>4448</v>
      </c>
      <c r="C1434" s="3">
        <v>10322</v>
      </c>
      <c r="D1434" s="3" t="str">
        <f>VLOOKUP(B1434,[1]LifeList!$E$2:$G$2036,1)</f>
        <v>Green-and-rufous Kingfisher</v>
      </c>
      <c r="E1434" s="3" t="str">
        <f>VLOOKUP(B1434,[1]LifeList!$E$2:$G$2036,2)</f>
        <v>Martin-pêcheur bicolore</v>
      </c>
      <c r="F1434" s="3" t="str">
        <f>VLOOKUP(B1434,[1]LifeList!$E$2:$G$2036,3)</f>
        <v>Chloroceryle inda</v>
      </c>
      <c r="G1434" s="3" t="str">
        <f>VLOOKUP(B1434,[1]LifeList!$E$2:$I$2036,4)</f>
        <v>Coraciiformes</v>
      </c>
      <c r="H1434" s="3" t="str">
        <f>VLOOKUP(B1434,[1]LifeList!$E$2:$I$2036,5)</f>
        <v>Alcedinidae (Kingfishers)</v>
      </c>
    </row>
    <row r="1435" spans="1:8" x14ac:dyDescent="0.15">
      <c r="A1435" s="3" t="s">
        <v>1339</v>
      </c>
      <c r="B1435" s="3" t="s">
        <v>4449</v>
      </c>
      <c r="C1435" s="3">
        <v>23017</v>
      </c>
      <c r="D1435" s="3" t="str">
        <f>VLOOKUP(B1435,[1]LifeList!$E$2:$G$2036,1)</f>
        <v>Green-backed Camaroptera</v>
      </c>
      <c r="E1435" s="3" t="str">
        <f>VLOOKUP(B1435,[1]LifeList!$E$2:$G$2036,2)</f>
        <v>Camaroptère à tête grise</v>
      </c>
      <c r="F1435" s="3" t="str">
        <f>VLOOKUP(B1435,[1]LifeList!$E$2:$G$2036,3)</f>
        <v>Camaroptera brachyura</v>
      </c>
      <c r="G1435" s="3" t="str">
        <f>VLOOKUP(B1435,[1]LifeList!$E$2:$I$2036,4)</f>
        <v>Passeriformes</v>
      </c>
      <c r="H1435" s="3" t="str">
        <f>VLOOKUP(B1435,[1]LifeList!$E$2:$I$2036,5)</f>
        <v>Cisticolidae (Cisticolas and Allies)</v>
      </c>
    </row>
    <row r="1436" spans="1:8" x14ac:dyDescent="0.15">
      <c r="A1436" s="3" t="s">
        <v>1340</v>
      </c>
      <c r="B1436" s="3" t="s">
        <v>4449</v>
      </c>
      <c r="C1436" s="3">
        <v>23017</v>
      </c>
      <c r="D1436" s="3" t="str">
        <f>VLOOKUP(B1436,[1]LifeList!$E$2:$G$2036,1)</f>
        <v>Green-backed Camaroptera</v>
      </c>
      <c r="E1436" s="3" t="str">
        <f>VLOOKUP(B1436,[1]LifeList!$E$2:$G$2036,2)</f>
        <v>Camaroptère à tête grise</v>
      </c>
      <c r="F1436" s="3" t="str">
        <f>VLOOKUP(B1436,[1]LifeList!$E$2:$G$2036,3)</f>
        <v>Camaroptera brachyura</v>
      </c>
      <c r="G1436" s="3" t="str">
        <f>VLOOKUP(B1436,[1]LifeList!$E$2:$I$2036,4)</f>
        <v>Passeriformes</v>
      </c>
      <c r="H1436" s="3" t="str">
        <f>VLOOKUP(B1436,[1]LifeList!$E$2:$I$2036,5)</f>
        <v>Cisticolidae (Cisticolas and Allies)</v>
      </c>
    </row>
    <row r="1437" spans="1:8" x14ac:dyDescent="0.15">
      <c r="A1437" s="3" t="s">
        <v>1341</v>
      </c>
      <c r="B1437" s="3" t="s">
        <v>4450</v>
      </c>
      <c r="C1437" s="3">
        <v>4388</v>
      </c>
      <c r="D1437" s="3" t="str">
        <f>VLOOKUP(B1437,[1]LifeList!$E$2:$G$2036,1)</f>
        <v>Green-breasted Mango</v>
      </c>
      <c r="E1437" s="3" t="str">
        <f>VLOOKUP(B1437,[1]LifeList!$E$2:$G$2036,2)</f>
        <v>Mango de Prévost</v>
      </c>
      <c r="F1437" s="3" t="str">
        <f>VLOOKUP(B1437,[1]LifeList!$E$2:$G$2036,3)</f>
        <v>Anthracothorax prevostii</v>
      </c>
      <c r="G1437" s="3" t="str">
        <f>VLOOKUP(B1437,[1]LifeList!$E$2:$I$2036,4)</f>
        <v>Apodiformes</v>
      </c>
      <c r="H1437" s="3" t="str">
        <f>VLOOKUP(B1437,[1]LifeList!$E$2:$I$2036,5)</f>
        <v>Trochilidae (Hummingbirds)</v>
      </c>
    </row>
    <row r="1438" spans="1:8" x14ac:dyDescent="0.15">
      <c r="A1438" s="3" t="s">
        <v>1342</v>
      </c>
      <c r="B1438" s="3" t="s">
        <v>4451</v>
      </c>
      <c r="C1438" s="3">
        <v>4706</v>
      </c>
      <c r="D1438" s="3" t="str">
        <f>VLOOKUP(B1438,[1]LifeList!$E$2:$G$2036,1)</f>
        <v>Green-crowned Brilliant</v>
      </c>
      <c r="E1438" s="3" t="str">
        <f>VLOOKUP(B1438,[1]LifeList!$E$2:$G$2036,2)</f>
        <v>Brillant fer-de-lance</v>
      </c>
      <c r="F1438" s="3" t="str">
        <f>VLOOKUP(B1438,[1]LifeList!$E$2:$G$2036,3)</f>
        <v>Heliodoxa jacula</v>
      </c>
      <c r="G1438" s="3" t="str">
        <f>VLOOKUP(B1438,[1]LifeList!$E$2:$I$2036,4)</f>
        <v>Apodiformes</v>
      </c>
      <c r="H1438" s="3" t="str">
        <f>VLOOKUP(B1438,[1]LifeList!$E$2:$I$2036,5)</f>
        <v>Trochilidae (Hummingbirds)</v>
      </c>
    </row>
    <row r="1439" spans="1:8" x14ac:dyDescent="0.15">
      <c r="A1439" s="3" t="s">
        <v>1343</v>
      </c>
      <c r="B1439" s="3" t="s">
        <v>4451</v>
      </c>
      <c r="C1439" s="3">
        <v>4706</v>
      </c>
      <c r="D1439" s="3" t="str">
        <f>VLOOKUP(B1439,[1]LifeList!$E$2:$G$2036,1)</f>
        <v>Green-crowned Brilliant</v>
      </c>
      <c r="E1439" s="3" t="str">
        <f>VLOOKUP(B1439,[1]LifeList!$E$2:$G$2036,2)</f>
        <v>Brillant fer-de-lance</v>
      </c>
      <c r="F1439" s="3" t="str">
        <f>VLOOKUP(B1439,[1]LifeList!$E$2:$G$2036,3)</f>
        <v>Heliodoxa jacula</v>
      </c>
      <c r="G1439" s="3" t="str">
        <f>VLOOKUP(B1439,[1]LifeList!$E$2:$I$2036,4)</f>
        <v>Apodiformes</v>
      </c>
      <c r="H1439" s="3" t="str">
        <f>VLOOKUP(B1439,[1]LifeList!$E$2:$I$2036,5)</f>
        <v>Trochilidae (Hummingbirds)</v>
      </c>
    </row>
    <row r="1440" spans="1:8" x14ac:dyDescent="0.15">
      <c r="A1440" s="3" t="s">
        <v>1344</v>
      </c>
      <c r="B1440" s="3" t="s">
        <v>4451</v>
      </c>
      <c r="C1440" s="3">
        <v>4706</v>
      </c>
      <c r="D1440" s="3" t="str">
        <f>VLOOKUP(B1440,[1]LifeList!$E$2:$G$2036,1)</f>
        <v>Green-crowned Brilliant</v>
      </c>
      <c r="E1440" s="3" t="str">
        <f>VLOOKUP(B1440,[1]LifeList!$E$2:$G$2036,2)</f>
        <v>Brillant fer-de-lance</v>
      </c>
      <c r="F1440" s="3" t="str">
        <f>VLOOKUP(B1440,[1]LifeList!$E$2:$G$2036,3)</f>
        <v>Heliodoxa jacula</v>
      </c>
      <c r="G1440" s="3" t="str">
        <f>VLOOKUP(B1440,[1]LifeList!$E$2:$I$2036,4)</f>
        <v>Apodiformes</v>
      </c>
      <c r="H1440" s="3" t="str">
        <f>VLOOKUP(B1440,[1]LifeList!$E$2:$I$2036,5)</f>
        <v>Trochilidae (Hummingbirds)</v>
      </c>
    </row>
    <row r="1441" spans="1:8" x14ac:dyDescent="0.15">
      <c r="A1441" s="3" t="s">
        <v>1345</v>
      </c>
      <c r="B1441" s="3" t="s">
        <v>4451</v>
      </c>
      <c r="C1441" s="3">
        <v>4706</v>
      </c>
      <c r="D1441" s="3" t="str">
        <f>VLOOKUP(B1441,[1]LifeList!$E$2:$G$2036,1)</f>
        <v>Green-crowned Brilliant</v>
      </c>
      <c r="E1441" s="3" t="str">
        <f>VLOOKUP(B1441,[1]LifeList!$E$2:$G$2036,2)</f>
        <v>Brillant fer-de-lance</v>
      </c>
      <c r="F1441" s="3" t="str">
        <f>VLOOKUP(B1441,[1]LifeList!$E$2:$G$2036,3)</f>
        <v>Heliodoxa jacula</v>
      </c>
      <c r="G1441" s="3" t="str">
        <f>VLOOKUP(B1441,[1]LifeList!$E$2:$I$2036,4)</f>
        <v>Apodiformes</v>
      </c>
      <c r="H1441" s="3" t="str">
        <f>VLOOKUP(B1441,[1]LifeList!$E$2:$I$2036,5)</f>
        <v>Trochilidae (Hummingbirds)</v>
      </c>
    </row>
    <row r="1442" spans="1:8" x14ac:dyDescent="0.15">
      <c r="A1442" s="3" t="s">
        <v>1346</v>
      </c>
      <c r="B1442" s="3" t="s">
        <v>4451</v>
      </c>
      <c r="C1442" s="3">
        <v>4706</v>
      </c>
      <c r="D1442" s="3" t="str">
        <f>VLOOKUP(B1442,[1]LifeList!$E$2:$G$2036,1)</f>
        <v>Green-crowned Brilliant</v>
      </c>
      <c r="E1442" s="3" t="str">
        <f>VLOOKUP(B1442,[1]LifeList!$E$2:$G$2036,2)</f>
        <v>Brillant fer-de-lance</v>
      </c>
      <c r="F1442" s="3" t="str">
        <f>VLOOKUP(B1442,[1]LifeList!$E$2:$G$2036,3)</f>
        <v>Heliodoxa jacula</v>
      </c>
      <c r="G1442" s="3" t="str">
        <f>VLOOKUP(B1442,[1]LifeList!$E$2:$I$2036,4)</f>
        <v>Apodiformes</v>
      </c>
      <c r="H1442" s="3" t="str">
        <f>VLOOKUP(B1442,[1]LifeList!$E$2:$I$2036,5)</f>
        <v>Trochilidae (Hummingbirds)</v>
      </c>
    </row>
    <row r="1443" spans="1:8" x14ac:dyDescent="0.15">
      <c r="A1443" s="3" t="s">
        <v>1347</v>
      </c>
      <c r="B1443" s="3" t="s">
        <v>4451</v>
      </c>
      <c r="C1443" s="3">
        <v>4706</v>
      </c>
      <c r="D1443" s="3" t="str">
        <f>VLOOKUP(B1443,[1]LifeList!$E$2:$G$2036,1)</f>
        <v>Green-crowned Brilliant</v>
      </c>
      <c r="E1443" s="3" t="str">
        <f>VLOOKUP(B1443,[1]LifeList!$E$2:$G$2036,2)</f>
        <v>Brillant fer-de-lance</v>
      </c>
      <c r="F1443" s="3" t="str">
        <f>VLOOKUP(B1443,[1]LifeList!$E$2:$G$2036,3)</f>
        <v>Heliodoxa jacula</v>
      </c>
      <c r="G1443" s="3" t="str">
        <f>VLOOKUP(B1443,[1]LifeList!$E$2:$I$2036,4)</f>
        <v>Apodiformes</v>
      </c>
      <c r="H1443" s="3" t="str">
        <f>VLOOKUP(B1443,[1]LifeList!$E$2:$I$2036,5)</f>
        <v>Trochilidae (Hummingbirds)</v>
      </c>
    </row>
    <row r="1444" spans="1:8" x14ac:dyDescent="0.15">
      <c r="A1444" s="3" t="s">
        <v>1348</v>
      </c>
      <c r="B1444" s="3" t="s">
        <v>4451</v>
      </c>
      <c r="C1444" s="3">
        <v>4706</v>
      </c>
      <c r="D1444" s="3" t="str">
        <f>VLOOKUP(B1444,[1]LifeList!$E$2:$G$2036,1)</f>
        <v>Green-crowned Brilliant</v>
      </c>
      <c r="E1444" s="3" t="str">
        <f>VLOOKUP(B1444,[1]LifeList!$E$2:$G$2036,2)</f>
        <v>Brillant fer-de-lance</v>
      </c>
      <c r="F1444" s="3" t="str">
        <f>VLOOKUP(B1444,[1]LifeList!$E$2:$G$2036,3)</f>
        <v>Heliodoxa jacula</v>
      </c>
      <c r="G1444" s="3" t="str">
        <f>VLOOKUP(B1444,[1]LifeList!$E$2:$I$2036,4)</f>
        <v>Apodiformes</v>
      </c>
      <c r="H1444" s="3" t="str">
        <f>VLOOKUP(B1444,[1]LifeList!$E$2:$I$2036,5)</f>
        <v>Trochilidae (Hummingbirds)</v>
      </c>
    </row>
    <row r="1445" spans="1:8" x14ac:dyDescent="0.15">
      <c r="A1445" s="3" t="s">
        <v>1349</v>
      </c>
      <c r="B1445" s="3" t="s">
        <v>4451</v>
      </c>
      <c r="C1445" s="3">
        <v>4706</v>
      </c>
      <c r="D1445" s="3" t="str">
        <f>VLOOKUP(B1445,[1]LifeList!$E$2:$G$2036,1)</f>
        <v>Green-crowned Brilliant</v>
      </c>
      <c r="E1445" s="3" t="str">
        <f>VLOOKUP(B1445,[1]LifeList!$E$2:$G$2036,2)</f>
        <v>Brillant fer-de-lance</v>
      </c>
      <c r="F1445" s="3" t="str">
        <f>VLOOKUP(B1445,[1]LifeList!$E$2:$G$2036,3)</f>
        <v>Heliodoxa jacula</v>
      </c>
      <c r="G1445" s="3" t="str">
        <f>VLOOKUP(B1445,[1]LifeList!$E$2:$I$2036,4)</f>
        <v>Apodiformes</v>
      </c>
      <c r="H1445" s="3" t="str">
        <f>VLOOKUP(B1445,[1]LifeList!$E$2:$I$2036,5)</f>
        <v>Trochilidae (Hummingbirds)</v>
      </c>
    </row>
    <row r="1446" spans="1:8" x14ac:dyDescent="0.15">
      <c r="A1446" s="3" t="s">
        <v>1350</v>
      </c>
      <c r="B1446" s="3" t="s">
        <v>4451</v>
      </c>
      <c r="C1446" s="3">
        <v>4706</v>
      </c>
      <c r="D1446" s="3" t="str">
        <f>VLOOKUP(B1446,[1]LifeList!$E$2:$G$2036,1)</f>
        <v>Green-crowned Brilliant</v>
      </c>
      <c r="E1446" s="3" t="str">
        <f>VLOOKUP(B1446,[1]LifeList!$E$2:$G$2036,2)</f>
        <v>Brillant fer-de-lance</v>
      </c>
      <c r="F1446" s="3" t="str">
        <f>VLOOKUP(B1446,[1]LifeList!$E$2:$G$2036,3)</f>
        <v>Heliodoxa jacula</v>
      </c>
      <c r="G1446" s="3" t="str">
        <f>VLOOKUP(B1446,[1]LifeList!$E$2:$I$2036,4)</f>
        <v>Apodiformes</v>
      </c>
      <c r="H1446" s="3" t="str">
        <f>VLOOKUP(B1446,[1]LifeList!$E$2:$I$2036,5)</f>
        <v>Trochilidae (Hummingbirds)</v>
      </c>
    </row>
    <row r="1447" spans="1:8" x14ac:dyDescent="0.15">
      <c r="A1447" s="3" t="s">
        <v>1351</v>
      </c>
      <c r="B1447" s="3" t="s">
        <v>4451</v>
      </c>
      <c r="C1447" s="3">
        <v>4706</v>
      </c>
      <c r="D1447" s="3" t="str">
        <f>VLOOKUP(B1447,[1]LifeList!$E$2:$G$2036,1)</f>
        <v>Green-crowned Brilliant</v>
      </c>
      <c r="E1447" s="3" t="str">
        <f>VLOOKUP(B1447,[1]LifeList!$E$2:$G$2036,2)</f>
        <v>Brillant fer-de-lance</v>
      </c>
      <c r="F1447" s="3" t="str">
        <f>VLOOKUP(B1447,[1]LifeList!$E$2:$G$2036,3)</f>
        <v>Heliodoxa jacula</v>
      </c>
      <c r="G1447" s="3" t="str">
        <f>VLOOKUP(B1447,[1]LifeList!$E$2:$I$2036,4)</f>
        <v>Apodiformes</v>
      </c>
      <c r="H1447" s="3" t="str">
        <f>VLOOKUP(B1447,[1]LifeList!$E$2:$I$2036,5)</f>
        <v>Trochilidae (Hummingbirds)</v>
      </c>
    </row>
    <row r="1448" spans="1:8" x14ac:dyDescent="0.15">
      <c r="A1448" s="3" t="s">
        <v>1352</v>
      </c>
      <c r="B1448" s="3" t="s">
        <v>4452</v>
      </c>
      <c r="C1448" s="3">
        <v>4337</v>
      </c>
      <c r="D1448" s="3" t="str">
        <f>VLOOKUP(B1448,[1]LifeList!$E$2:$G$2036,1)</f>
        <v>Green-fronted Lancebill</v>
      </c>
      <c r="E1448" s="3" t="str">
        <f>VLOOKUP(B1448,[1]LifeList!$E$2:$G$2036,2)</f>
        <v>Porte-lance de Louise</v>
      </c>
      <c r="F1448" s="3" t="str">
        <f>VLOOKUP(B1448,[1]LifeList!$E$2:$G$2036,3)</f>
        <v>Doryfera ludovicae</v>
      </c>
      <c r="G1448" s="3" t="str">
        <f>VLOOKUP(B1448,[1]LifeList!$E$2:$I$2036,4)</f>
        <v>Apodiformes</v>
      </c>
      <c r="H1448" s="3" t="str">
        <f>VLOOKUP(B1448,[1]LifeList!$E$2:$I$2036,5)</f>
        <v>Trochilidae (Hummingbirds)</v>
      </c>
    </row>
    <row r="1449" spans="1:8" x14ac:dyDescent="0.15">
      <c r="A1449" s="3" t="s">
        <v>1353</v>
      </c>
      <c r="B1449" s="3" t="s">
        <v>4453</v>
      </c>
      <c r="C1449" s="3">
        <v>12990</v>
      </c>
      <c r="D1449" s="3" t="str">
        <f>VLOOKUP(B1449,[1]LifeList!$E$2:$G$2036,1)</f>
        <v>Green-rumped Parrotlet</v>
      </c>
      <c r="E1449" s="3" t="str">
        <f>VLOOKUP(B1449,[1]LifeList!$E$2:$G$2036,2)</f>
        <v>Toui été</v>
      </c>
      <c r="F1449" s="3" t="str">
        <f>VLOOKUP(B1449,[1]LifeList!$E$2:$G$2036,3)</f>
        <v>Forpus passerinus</v>
      </c>
      <c r="G1449" s="3" t="str">
        <f>VLOOKUP(B1449,[1]LifeList!$E$2:$I$2036,4)</f>
        <v>Psittaciformes</v>
      </c>
      <c r="H1449" s="3" t="str">
        <f>VLOOKUP(B1449,[1]LifeList!$E$2:$I$2036,5)</f>
        <v>Psittacidae (New World and African Parrots)</v>
      </c>
    </row>
    <row r="1450" spans="1:8" x14ac:dyDescent="0.15">
      <c r="A1450" s="3" t="s">
        <v>1354</v>
      </c>
      <c r="B1450" s="3" t="s">
        <v>4453</v>
      </c>
      <c r="C1450" s="3">
        <v>12990</v>
      </c>
      <c r="D1450" s="3" t="str">
        <f>VLOOKUP(B1450,[1]LifeList!$E$2:$G$2036,1)</f>
        <v>Green-rumped Parrotlet</v>
      </c>
      <c r="E1450" s="3" t="str">
        <f>VLOOKUP(B1450,[1]LifeList!$E$2:$G$2036,2)</f>
        <v>Toui été</v>
      </c>
      <c r="F1450" s="3" t="str">
        <f>VLOOKUP(B1450,[1]LifeList!$E$2:$G$2036,3)</f>
        <v>Forpus passerinus</v>
      </c>
      <c r="G1450" s="3" t="str">
        <f>VLOOKUP(B1450,[1]LifeList!$E$2:$I$2036,4)</f>
        <v>Psittaciformes</v>
      </c>
      <c r="H1450" s="3" t="str">
        <f>VLOOKUP(B1450,[1]LifeList!$E$2:$I$2036,5)</f>
        <v>Psittacidae (New World and African Parrots)</v>
      </c>
    </row>
    <row r="1451" spans="1:8" x14ac:dyDescent="0.15">
      <c r="A1451" s="3" t="s">
        <v>1355</v>
      </c>
      <c r="B1451" s="3" t="s">
        <v>4453</v>
      </c>
      <c r="C1451" s="3">
        <v>12990</v>
      </c>
      <c r="D1451" s="3" t="str">
        <f>VLOOKUP(B1451,[1]LifeList!$E$2:$G$2036,1)</f>
        <v>Green-rumped Parrotlet</v>
      </c>
      <c r="E1451" s="3" t="str">
        <f>VLOOKUP(B1451,[1]LifeList!$E$2:$G$2036,2)</f>
        <v>Toui été</v>
      </c>
      <c r="F1451" s="3" t="str">
        <f>VLOOKUP(B1451,[1]LifeList!$E$2:$G$2036,3)</f>
        <v>Forpus passerinus</v>
      </c>
      <c r="G1451" s="3" t="str">
        <f>VLOOKUP(B1451,[1]LifeList!$E$2:$I$2036,4)</f>
        <v>Psittaciformes</v>
      </c>
      <c r="H1451" s="3" t="str">
        <f>VLOOKUP(B1451,[1]LifeList!$E$2:$I$2036,5)</f>
        <v>Psittacidae (New World and African Parrots)</v>
      </c>
    </row>
    <row r="1452" spans="1:8" x14ac:dyDescent="0.15">
      <c r="A1452" s="3" t="s">
        <v>1356</v>
      </c>
      <c r="B1452" s="3" t="s">
        <v>4454</v>
      </c>
      <c r="C1452" s="3">
        <v>31383</v>
      </c>
      <c r="D1452" s="3" t="str">
        <f>VLOOKUP(B1452,[1]LifeList!$E$2:$G$2036,1)</f>
        <v>Green-winged Pytilia</v>
      </c>
      <c r="E1452" s="3" t="str">
        <f>VLOOKUP(B1452,[1]LifeList!$E$2:$G$2036,2)</f>
        <v>Beaumarquet melba</v>
      </c>
      <c r="F1452" s="3" t="str">
        <f>VLOOKUP(B1452,[1]LifeList!$E$2:$G$2036,3)</f>
        <v>Pytilia melba</v>
      </c>
      <c r="G1452" s="3" t="str">
        <f>VLOOKUP(B1452,[1]LifeList!$E$2:$I$2036,4)</f>
        <v>Passeriformes</v>
      </c>
      <c r="H1452" s="3" t="str">
        <f>VLOOKUP(B1452,[1]LifeList!$E$2:$I$2036,5)</f>
        <v>Estrildidae (Waxbills and Allies)</v>
      </c>
    </row>
    <row r="1453" spans="1:8" x14ac:dyDescent="0.15">
      <c r="A1453" s="3" t="s">
        <v>1357</v>
      </c>
      <c r="B1453" s="3" t="s">
        <v>4454</v>
      </c>
      <c r="C1453" s="3">
        <v>31383</v>
      </c>
      <c r="D1453" s="3" t="str">
        <f>VLOOKUP(B1453,[1]LifeList!$E$2:$G$2036,1)</f>
        <v>Green-winged Pytilia</v>
      </c>
      <c r="E1453" s="3" t="str">
        <f>VLOOKUP(B1453,[1]LifeList!$E$2:$G$2036,2)</f>
        <v>Beaumarquet melba</v>
      </c>
      <c r="F1453" s="3" t="str">
        <f>VLOOKUP(B1453,[1]LifeList!$E$2:$G$2036,3)</f>
        <v>Pytilia melba</v>
      </c>
      <c r="G1453" s="3" t="str">
        <f>VLOOKUP(B1453,[1]LifeList!$E$2:$I$2036,4)</f>
        <v>Passeriformes</v>
      </c>
      <c r="H1453" s="3" t="str">
        <f>VLOOKUP(B1453,[1]LifeList!$E$2:$I$2036,5)</f>
        <v>Estrildidae (Waxbills and Allies)</v>
      </c>
    </row>
    <row r="1454" spans="1:8" x14ac:dyDescent="0.15">
      <c r="A1454" s="3" t="s">
        <v>3859</v>
      </c>
      <c r="B1454" s="3" t="s">
        <v>4455</v>
      </c>
      <c r="C1454" s="3">
        <v>612</v>
      </c>
      <c r="D1454" s="3" t="str">
        <f>VLOOKUP(B1454,[1]LifeList!$E$2:$G$2036,1)</f>
        <v>Green-winged Teal</v>
      </c>
      <c r="E1454" s="3" t="str">
        <f>VLOOKUP(B1454,[1]LifeList!$E$2:$G$2036,2)</f>
        <v>Sarcelle d'hiver</v>
      </c>
      <c r="F1454" s="3" t="str">
        <f>VLOOKUP(B1454,[1]LifeList!$E$2:$G$2036,3)</f>
        <v>Anas crecca</v>
      </c>
      <c r="G1454" s="3" t="str">
        <f>VLOOKUP(B1454,[1]LifeList!$E$2:$I$2036,4)</f>
        <v>Anseriformes</v>
      </c>
      <c r="H1454" s="3" t="str">
        <f>VLOOKUP(B1454,[1]LifeList!$E$2:$I$2036,5)</f>
        <v>Anatidae (Ducks, Geese, and Waterfowl)</v>
      </c>
    </row>
    <row r="1455" spans="1:8" x14ac:dyDescent="0.15">
      <c r="A1455" s="3" t="s">
        <v>1359</v>
      </c>
      <c r="B1455" s="3" t="s">
        <v>4455</v>
      </c>
      <c r="C1455" s="3">
        <v>612</v>
      </c>
      <c r="D1455" s="3" t="str">
        <f>VLOOKUP(B1455,[1]LifeList!$E$2:$G$2036,1)</f>
        <v>Green-winged Teal</v>
      </c>
      <c r="E1455" s="3" t="str">
        <f>VLOOKUP(B1455,[1]LifeList!$E$2:$G$2036,2)</f>
        <v>Sarcelle d'hiver</v>
      </c>
      <c r="F1455" s="3" t="str">
        <f>VLOOKUP(B1455,[1]LifeList!$E$2:$G$2036,3)</f>
        <v>Anas crecca</v>
      </c>
      <c r="G1455" s="3" t="str">
        <f>VLOOKUP(B1455,[1]LifeList!$E$2:$I$2036,4)</f>
        <v>Anseriformes</v>
      </c>
      <c r="H1455" s="3" t="str">
        <f>VLOOKUP(B1455,[1]LifeList!$E$2:$I$2036,5)</f>
        <v>Anatidae (Ducks, Geese, and Waterfowl)</v>
      </c>
    </row>
    <row r="1456" spans="1:8" x14ac:dyDescent="0.15">
      <c r="A1456" s="3" t="s">
        <v>1360</v>
      </c>
      <c r="B1456" s="3" t="s">
        <v>4455</v>
      </c>
      <c r="C1456" s="3">
        <v>612</v>
      </c>
      <c r="D1456" s="3" t="str">
        <f>VLOOKUP(B1456,[1]LifeList!$E$2:$G$2036,1)</f>
        <v>Green-winged Teal</v>
      </c>
      <c r="E1456" s="3" t="str">
        <f>VLOOKUP(B1456,[1]LifeList!$E$2:$G$2036,2)</f>
        <v>Sarcelle d'hiver</v>
      </c>
      <c r="F1456" s="3" t="str">
        <f>VLOOKUP(B1456,[1]LifeList!$E$2:$G$2036,3)</f>
        <v>Anas crecca</v>
      </c>
      <c r="G1456" s="3" t="str">
        <f>VLOOKUP(B1456,[1]LifeList!$E$2:$I$2036,4)</f>
        <v>Anseriformes</v>
      </c>
      <c r="H1456" s="3" t="str">
        <f>VLOOKUP(B1456,[1]LifeList!$E$2:$I$2036,5)</f>
        <v>Anatidae (Ducks, Geese, and Waterfowl)</v>
      </c>
    </row>
    <row r="1457" spans="1:8" x14ac:dyDescent="0.15">
      <c r="A1457" s="3" t="s">
        <v>1358</v>
      </c>
      <c r="B1457" s="3" t="s">
        <v>4455</v>
      </c>
      <c r="C1457" s="3">
        <v>612</v>
      </c>
      <c r="D1457" s="3" t="str">
        <f>VLOOKUP(B1457,[1]LifeList!$E$2:$G$2036,1)</f>
        <v>Green-winged Teal</v>
      </c>
      <c r="E1457" s="3" t="str">
        <f>VLOOKUP(B1457,[1]LifeList!$E$2:$G$2036,2)</f>
        <v>Sarcelle d'hiver</v>
      </c>
      <c r="F1457" s="3" t="str">
        <f>VLOOKUP(B1457,[1]LifeList!$E$2:$G$2036,3)</f>
        <v>Anas crecca</v>
      </c>
      <c r="G1457" s="3" t="str">
        <f>VLOOKUP(B1457,[1]LifeList!$E$2:$I$2036,4)</f>
        <v>Anseriformes</v>
      </c>
      <c r="H1457" s="3" t="str">
        <f>VLOOKUP(B1457,[1]LifeList!$E$2:$I$2036,5)</f>
        <v>Anatidae (Ducks, Geese, and Waterfowl)</v>
      </c>
    </row>
    <row r="1458" spans="1:8" x14ac:dyDescent="0.15">
      <c r="A1458" s="3" t="s">
        <v>1400</v>
      </c>
      <c r="B1458" s="3" t="s">
        <v>4456</v>
      </c>
      <c r="C1458" s="3">
        <v>3027</v>
      </c>
      <c r="D1458" s="3" t="str">
        <f>VLOOKUP(B1458,[1]LifeList!$E$2:$G$2036,1)</f>
        <v>Groove-billed Ani</v>
      </c>
      <c r="E1458" s="3" t="str">
        <f>VLOOKUP(B1458,[1]LifeList!$E$2:$G$2036,2)</f>
        <v>Ani à bec cannelé</v>
      </c>
      <c r="F1458" s="3" t="str">
        <f>VLOOKUP(B1458,[1]LifeList!$E$2:$G$2036,3)</f>
        <v>Crotophaga sulcirostris</v>
      </c>
      <c r="G1458" s="3" t="str">
        <f>VLOOKUP(B1458,[1]LifeList!$E$2:$I$2036,4)</f>
        <v>Cuculiformes</v>
      </c>
      <c r="H1458" s="3" t="str">
        <f>VLOOKUP(B1458,[1]LifeList!$E$2:$I$2036,5)</f>
        <v>Cuculidae (Cuckoos)</v>
      </c>
    </row>
    <row r="1459" spans="1:8" x14ac:dyDescent="0.15">
      <c r="A1459" s="3" t="s">
        <v>1401</v>
      </c>
      <c r="B1459" s="3" t="s">
        <v>4457</v>
      </c>
      <c r="C1459" s="3">
        <v>10855</v>
      </c>
      <c r="D1459" s="3" t="str">
        <f>VLOOKUP(B1459,[1]LifeList!$E$2:$G$2036,1)</f>
        <v>Groove-billed Toucanet</v>
      </c>
      <c r="E1459" s="3" t="str">
        <f>VLOOKUP(B1459,[1]LifeList!$E$2:$G$2036,2)</f>
        <v>Toucanet à bec sillonné</v>
      </c>
      <c r="F1459" s="3" t="str">
        <f>VLOOKUP(B1459,[1]LifeList!$E$2:$G$2036,3)</f>
        <v>Aulacorhynchus sulcatus</v>
      </c>
      <c r="G1459" s="3" t="str">
        <f>VLOOKUP(B1459,[1]LifeList!$E$2:$I$2036,4)</f>
        <v>Piciformes</v>
      </c>
      <c r="H1459" s="3" t="str">
        <f>VLOOKUP(B1459,[1]LifeList!$E$2:$I$2036,5)</f>
        <v>Ramphastidae (Toucans)</v>
      </c>
    </row>
    <row r="1460" spans="1:8" x14ac:dyDescent="0.15">
      <c r="A1460" s="3" t="s">
        <v>1402</v>
      </c>
      <c r="B1460" s="3" t="s">
        <v>4458</v>
      </c>
      <c r="C1460" s="3">
        <v>28425</v>
      </c>
      <c r="D1460" s="3" t="str">
        <f>VLOOKUP(B1460,[1]LifeList!$E$2:$G$2036,1)</f>
        <v>Groundscraper Thrush</v>
      </c>
      <c r="E1460" s="3" t="str">
        <f>VLOOKUP(B1460,[1]LifeList!$E$2:$G$2036,2)</f>
        <v>Grive litsitsirupa</v>
      </c>
      <c r="F1460" s="3" t="str">
        <f>VLOOKUP(B1460,[1]LifeList!$E$2:$G$2036,3)</f>
        <v>Turdus litsitsirupa</v>
      </c>
      <c r="G1460" s="3" t="str">
        <f>VLOOKUP(B1460,[1]LifeList!$E$2:$I$2036,4)</f>
        <v>Passeriformes</v>
      </c>
      <c r="H1460" s="3" t="str">
        <f>VLOOKUP(B1460,[1]LifeList!$E$2:$I$2036,5)</f>
        <v>Turdidae (Thrushes and Allies)</v>
      </c>
    </row>
    <row r="1461" spans="1:8" x14ac:dyDescent="0.15">
      <c r="A1461" s="3" t="s">
        <v>1403</v>
      </c>
      <c r="B1461" s="3" t="s">
        <v>4459</v>
      </c>
      <c r="C1461" s="3">
        <v>11427</v>
      </c>
      <c r="D1461" s="3" t="str">
        <f>VLOOKUP(B1461,[1]LifeList!$E$2:$G$2036,1)</f>
        <v>Hairy Woodpecker</v>
      </c>
      <c r="E1461" s="3" t="str">
        <f>VLOOKUP(B1461,[1]LifeList!$E$2:$G$2036,2)</f>
        <v>Pic chevelu</v>
      </c>
      <c r="F1461" s="3" t="str">
        <f>VLOOKUP(B1461,[1]LifeList!$E$2:$G$2036,3)</f>
        <v>Leuconotopicus villosus</v>
      </c>
      <c r="G1461" s="3" t="str">
        <f>VLOOKUP(B1461,[1]LifeList!$E$2:$I$2036,4)</f>
        <v>Piciformes</v>
      </c>
      <c r="H1461" s="3" t="str">
        <f>VLOOKUP(B1461,[1]LifeList!$E$2:$I$2036,5)</f>
        <v>Picidae (Woodpeckers)</v>
      </c>
    </row>
    <row r="1462" spans="1:8" x14ac:dyDescent="0.15">
      <c r="A1462" s="3" t="s">
        <v>1404</v>
      </c>
      <c r="B1462" s="3" t="s">
        <v>4459</v>
      </c>
      <c r="C1462" s="3">
        <v>11427</v>
      </c>
      <c r="D1462" s="3" t="str">
        <f>VLOOKUP(B1462,[1]LifeList!$E$2:$G$2036,1)</f>
        <v>Hairy Woodpecker</v>
      </c>
      <c r="E1462" s="3" t="str">
        <f>VLOOKUP(B1462,[1]LifeList!$E$2:$G$2036,2)</f>
        <v>Pic chevelu</v>
      </c>
      <c r="F1462" s="3" t="str">
        <f>VLOOKUP(B1462,[1]LifeList!$E$2:$G$2036,3)</f>
        <v>Leuconotopicus villosus</v>
      </c>
      <c r="G1462" s="3" t="str">
        <f>VLOOKUP(B1462,[1]LifeList!$E$2:$I$2036,4)</f>
        <v>Piciformes</v>
      </c>
      <c r="H1462" s="3" t="str">
        <f>VLOOKUP(B1462,[1]LifeList!$E$2:$I$2036,5)</f>
        <v>Picidae (Woodpeckers)</v>
      </c>
    </row>
    <row r="1463" spans="1:8" x14ac:dyDescent="0.15">
      <c r="A1463" s="3" t="s">
        <v>1405</v>
      </c>
      <c r="B1463" s="3" t="s">
        <v>4460</v>
      </c>
      <c r="C1463" s="3">
        <v>7785</v>
      </c>
      <c r="D1463" s="3" t="str">
        <f>VLOOKUP(B1463,[1]LifeList!$E$2:$G$2036,1)</f>
        <v>Hamerkop</v>
      </c>
      <c r="E1463" s="3" t="str">
        <f>VLOOKUP(B1463,[1]LifeList!$E$2:$G$2036,2)</f>
        <v>Ombrette africaine</v>
      </c>
      <c r="F1463" s="3" t="str">
        <f>VLOOKUP(B1463,[1]LifeList!$E$2:$G$2036,3)</f>
        <v>Scopus umbretta</v>
      </c>
      <c r="G1463" s="3" t="str">
        <f>VLOOKUP(B1463,[1]LifeList!$E$2:$I$2036,4)</f>
        <v>Pelecaniformes</v>
      </c>
      <c r="H1463" s="3" t="str">
        <f>VLOOKUP(B1463,[1]LifeList!$E$2:$I$2036,5)</f>
        <v>Scopidae (Hamerkop)</v>
      </c>
    </row>
    <row r="1464" spans="1:8" x14ac:dyDescent="0.15">
      <c r="A1464" s="3" t="s">
        <v>1406</v>
      </c>
      <c r="B1464" s="3" t="s">
        <v>4460</v>
      </c>
      <c r="C1464" s="3">
        <v>7785</v>
      </c>
      <c r="D1464" s="3" t="str">
        <f>VLOOKUP(B1464,[1]LifeList!$E$2:$G$2036,1)</f>
        <v>Hamerkop</v>
      </c>
      <c r="E1464" s="3" t="str">
        <f>VLOOKUP(B1464,[1]LifeList!$E$2:$G$2036,2)</f>
        <v>Ombrette africaine</v>
      </c>
      <c r="F1464" s="3" t="str">
        <f>VLOOKUP(B1464,[1]LifeList!$E$2:$G$2036,3)</f>
        <v>Scopus umbretta</v>
      </c>
      <c r="G1464" s="3" t="str">
        <f>VLOOKUP(B1464,[1]LifeList!$E$2:$I$2036,4)</f>
        <v>Pelecaniformes</v>
      </c>
      <c r="H1464" s="3" t="str">
        <f>VLOOKUP(B1464,[1]LifeList!$E$2:$I$2036,5)</f>
        <v>Scopidae (Hamerkop)</v>
      </c>
    </row>
    <row r="1465" spans="1:8" x14ac:dyDescent="0.15">
      <c r="A1465" s="3" t="s">
        <v>1407</v>
      </c>
      <c r="B1465" s="3" t="s">
        <v>4460</v>
      </c>
      <c r="C1465" s="3">
        <v>7785</v>
      </c>
      <c r="D1465" s="3" t="str">
        <f>VLOOKUP(B1465,[1]LifeList!$E$2:$G$2036,1)</f>
        <v>Hamerkop</v>
      </c>
      <c r="E1465" s="3" t="str">
        <f>VLOOKUP(B1465,[1]LifeList!$E$2:$G$2036,2)</f>
        <v>Ombrette africaine</v>
      </c>
      <c r="F1465" s="3" t="str">
        <f>VLOOKUP(B1465,[1]LifeList!$E$2:$G$2036,3)</f>
        <v>Scopus umbretta</v>
      </c>
      <c r="G1465" s="3" t="str">
        <f>VLOOKUP(B1465,[1]LifeList!$E$2:$I$2036,4)</f>
        <v>Pelecaniformes</v>
      </c>
      <c r="H1465" s="3" t="str">
        <f>VLOOKUP(B1465,[1]LifeList!$E$2:$I$2036,5)</f>
        <v>Scopidae (Hamerkop)</v>
      </c>
    </row>
    <row r="1466" spans="1:8" x14ac:dyDescent="0.15">
      <c r="A1466" s="3" t="s">
        <v>1408</v>
      </c>
      <c r="B1466" s="3" t="s">
        <v>4460</v>
      </c>
      <c r="C1466" s="3">
        <v>7785</v>
      </c>
      <c r="D1466" s="3" t="str">
        <f>VLOOKUP(B1466,[1]LifeList!$E$2:$G$2036,1)</f>
        <v>Hamerkop</v>
      </c>
      <c r="E1466" s="3" t="str">
        <f>VLOOKUP(B1466,[1]LifeList!$E$2:$G$2036,2)</f>
        <v>Ombrette africaine</v>
      </c>
      <c r="F1466" s="3" t="str">
        <f>VLOOKUP(B1466,[1]LifeList!$E$2:$G$2036,3)</f>
        <v>Scopus umbretta</v>
      </c>
      <c r="G1466" s="3" t="str">
        <f>VLOOKUP(B1466,[1]LifeList!$E$2:$I$2036,4)</f>
        <v>Pelecaniformes</v>
      </c>
      <c r="H1466" s="3" t="str">
        <f>VLOOKUP(B1466,[1]LifeList!$E$2:$I$2036,5)</f>
        <v>Scopidae (Hamerkop)</v>
      </c>
    </row>
    <row r="1467" spans="1:8" x14ac:dyDescent="0.15">
      <c r="A1467" s="3" t="s">
        <v>1409</v>
      </c>
      <c r="B1467" s="3" t="s">
        <v>4460</v>
      </c>
      <c r="C1467" s="3">
        <v>7785</v>
      </c>
      <c r="D1467" s="3" t="str">
        <f>VLOOKUP(B1467,[1]LifeList!$E$2:$G$2036,1)</f>
        <v>Hamerkop</v>
      </c>
      <c r="E1467" s="3" t="str">
        <f>VLOOKUP(B1467,[1]LifeList!$E$2:$G$2036,2)</f>
        <v>Ombrette africaine</v>
      </c>
      <c r="F1467" s="3" t="str">
        <f>VLOOKUP(B1467,[1]LifeList!$E$2:$G$2036,3)</f>
        <v>Scopus umbretta</v>
      </c>
      <c r="G1467" s="3" t="str">
        <f>VLOOKUP(B1467,[1]LifeList!$E$2:$I$2036,4)</f>
        <v>Pelecaniformes</v>
      </c>
      <c r="H1467" s="3" t="str">
        <f>VLOOKUP(B1467,[1]LifeList!$E$2:$I$2036,5)</f>
        <v>Scopidae (Hamerkop)</v>
      </c>
    </row>
    <row r="1468" spans="1:8" x14ac:dyDescent="0.15">
      <c r="A1468" s="3" t="s">
        <v>1410</v>
      </c>
      <c r="B1468" s="3" t="s">
        <v>4461</v>
      </c>
      <c r="C1468" s="3">
        <v>727</v>
      </c>
      <c r="D1468" s="3" t="str">
        <f>VLOOKUP(B1468,[1]LifeList!$E$2:$G$2036,1)</f>
        <v>Harlequin Duck</v>
      </c>
      <c r="E1468" s="3" t="str">
        <f>VLOOKUP(B1468,[1]LifeList!$E$2:$G$2036,2)</f>
        <v>Arlequin plongeur</v>
      </c>
      <c r="F1468" s="3" t="str">
        <f>VLOOKUP(B1468,[1]LifeList!$E$2:$G$2036,3)</f>
        <v>Histrionicus histrionicus</v>
      </c>
      <c r="G1468" s="3" t="str">
        <f>VLOOKUP(B1468,[1]LifeList!$E$2:$I$2036,4)</f>
        <v>Anseriformes</v>
      </c>
      <c r="H1468" s="3" t="str">
        <f>VLOOKUP(B1468,[1]LifeList!$E$2:$I$2036,5)</f>
        <v>Anatidae (Ducks, Geese, and Waterfowl)</v>
      </c>
    </row>
    <row r="1469" spans="1:8" x14ac:dyDescent="0.15">
      <c r="A1469" s="3" t="s">
        <v>3860</v>
      </c>
      <c r="B1469" s="3" t="s">
        <v>5225</v>
      </c>
      <c r="C1469" s="3">
        <v>17808</v>
      </c>
      <c r="D1469" s="3" t="str">
        <f>VLOOKUP(B1469,[1]LifeList!$E$2:$G$2036,1)</f>
        <v>Harris's Hawk</v>
      </c>
      <c r="E1469" s="3" t="str">
        <f>VLOOKUP(B1469,[1]LifeList!$E$2:$G$2036,2)</f>
        <v>Buse de Harris</v>
      </c>
      <c r="F1469" s="3" t="str">
        <f>VLOOKUP(B1469,[1]LifeList!$E$2:$G$2036,3)</f>
        <v>Parabuteo unicinctus</v>
      </c>
      <c r="G1469" s="3" t="str">
        <f>VLOOKUP(B1469,[1]LifeList!$E$2:$I$2036,4)</f>
        <v>Accipitriformes</v>
      </c>
      <c r="H1469" s="3" t="str">
        <f>VLOOKUP(B1469,[1]LifeList!$E$2:$I$2036,5)</f>
        <v>Accipitridae (Hawks, Eagles, and Kites)</v>
      </c>
    </row>
    <row r="1470" spans="1:8" x14ac:dyDescent="0.15">
      <c r="A1470" s="3" t="s">
        <v>3861</v>
      </c>
      <c r="B1470" s="3" t="s">
        <v>5225</v>
      </c>
      <c r="C1470" s="3">
        <v>17808</v>
      </c>
      <c r="D1470" s="3" t="str">
        <f>VLOOKUP(B1470,[1]LifeList!$E$2:$G$2036,1)</f>
        <v>Harris's Hawk</v>
      </c>
      <c r="E1470" s="3" t="str">
        <f>VLOOKUP(B1470,[1]LifeList!$E$2:$G$2036,2)</f>
        <v>Buse de Harris</v>
      </c>
      <c r="F1470" s="3" t="str">
        <f>VLOOKUP(B1470,[1]LifeList!$E$2:$G$2036,3)</f>
        <v>Parabuteo unicinctus</v>
      </c>
      <c r="G1470" s="3" t="str">
        <f>VLOOKUP(B1470,[1]LifeList!$E$2:$I$2036,4)</f>
        <v>Accipitriformes</v>
      </c>
      <c r="H1470" s="3" t="str">
        <f>VLOOKUP(B1470,[1]LifeList!$E$2:$I$2036,5)</f>
        <v>Accipitridae (Hawks, Eagles, and Kites)</v>
      </c>
    </row>
    <row r="1471" spans="1:8" x14ac:dyDescent="0.15">
      <c r="A1471" s="3" t="s">
        <v>3862</v>
      </c>
      <c r="B1471" s="3" t="s">
        <v>5226</v>
      </c>
      <c r="C1471" s="3">
        <v>17808</v>
      </c>
      <c r="D1471" s="3" t="str">
        <f>VLOOKUP(B1471,[1]LifeList!$E$2:$G$2036,1)</f>
        <v>Hartlaub's Babbler</v>
      </c>
      <c r="E1471" s="3" t="str">
        <f>VLOOKUP(B1471,[1]LifeList!$E$2:$G$2036,2)</f>
        <v>Cratérope de Hartlaub</v>
      </c>
      <c r="F1471" s="3" t="str">
        <f>VLOOKUP(B1471,[1]LifeList!$E$2:$G$2036,3)</f>
        <v>Turdoides hartlaubii</v>
      </c>
      <c r="G1471" s="3" t="str">
        <f>VLOOKUP(B1471,[1]LifeList!$E$2:$I$2036,4)</f>
        <v>Passeriformes</v>
      </c>
      <c r="H1471" s="3" t="str">
        <f>VLOOKUP(B1471,[1]LifeList!$E$2:$I$2036,5)</f>
        <v>Leiothrichidae (Laughingthrushes and Allies)</v>
      </c>
    </row>
    <row r="1472" spans="1:8" x14ac:dyDescent="0.15">
      <c r="A1472" s="3" t="s">
        <v>1411</v>
      </c>
      <c r="B1472" s="3" t="s">
        <v>4462</v>
      </c>
      <c r="C1472" s="3">
        <v>32135</v>
      </c>
      <c r="D1472" s="3" t="str">
        <f>VLOOKUP(B1472,[1]LifeList!$E$2:$G$2036,1)</f>
        <v>Hawaii Amakihi</v>
      </c>
      <c r="E1472" s="3" t="str">
        <f>VLOOKUP(B1472,[1]LifeList!$E$2:$G$2036,2)</f>
        <v>Amakihi familier</v>
      </c>
      <c r="F1472" s="3" t="str">
        <f>VLOOKUP(B1472,[1]LifeList!$E$2:$G$2036,3)</f>
        <v>Chlorodrepanis virens</v>
      </c>
      <c r="G1472" s="3" t="str">
        <f>VLOOKUP(B1472,[1]LifeList!$E$2:$I$2036,4)</f>
        <v>Passeriformes</v>
      </c>
      <c r="H1472" s="3" t="str">
        <f>VLOOKUP(B1472,[1]LifeList!$E$2:$I$2036,5)</f>
        <v>Fringillidae (Finches, Euphonias, and Allies)</v>
      </c>
    </row>
    <row r="1473" spans="1:8" x14ac:dyDescent="0.15">
      <c r="A1473" s="3" t="s">
        <v>1412</v>
      </c>
      <c r="B1473" s="3" t="s">
        <v>4463</v>
      </c>
      <c r="C1473" s="3">
        <v>5497</v>
      </c>
      <c r="D1473" s="3" t="str">
        <f>VLOOKUP(B1473,[1]LifeList!$E$2:$G$2036,1)</f>
        <v>Hawaiian Coot</v>
      </c>
      <c r="E1473" s="3" t="str">
        <f>VLOOKUP(B1473,[1]LifeList!$E$2:$G$2036,2)</f>
        <v>Foulque des Hawaï</v>
      </c>
      <c r="F1473" s="3" t="str">
        <f>VLOOKUP(B1473,[1]LifeList!$E$2:$G$2036,3)</f>
        <v>Fulica alai</v>
      </c>
      <c r="G1473" s="3" t="str">
        <f>VLOOKUP(B1473,[1]LifeList!$E$2:$I$2036,4)</f>
        <v>Gruiformes</v>
      </c>
      <c r="H1473" s="3" t="str">
        <f>VLOOKUP(B1473,[1]LifeList!$E$2:$I$2036,5)</f>
        <v>Rallidae (Rails, Gallinules, and Coots)</v>
      </c>
    </row>
    <row r="1474" spans="1:8" x14ac:dyDescent="0.15">
      <c r="A1474" s="3" t="s">
        <v>3863</v>
      </c>
      <c r="B1474" s="3" t="s">
        <v>4464</v>
      </c>
      <c r="C1474" s="3">
        <v>365</v>
      </c>
      <c r="D1474" s="3" t="str">
        <f>VLOOKUP(B1474,[1]LifeList!$E$2:$G$2036,1)</f>
        <v>Hawaiian Goose</v>
      </c>
      <c r="E1474" s="3" t="str">
        <f>VLOOKUP(B1474,[1]LifeList!$E$2:$G$2036,2)</f>
        <v>Bernache néné</v>
      </c>
      <c r="F1474" s="3" t="str">
        <f>VLOOKUP(B1474,[1]LifeList!$E$2:$G$2036,3)</f>
        <v>Branta sandvicensis</v>
      </c>
      <c r="G1474" s="3" t="str">
        <f>VLOOKUP(B1474,[1]LifeList!$E$2:$I$2036,4)</f>
        <v>Anseriformes</v>
      </c>
      <c r="H1474" s="3" t="str">
        <f>VLOOKUP(B1474,[1]LifeList!$E$2:$I$2036,5)</f>
        <v>Anatidae (Ducks, Geese, and Waterfowl)</v>
      </c>
    </row>
    <row r="1475" spans="1:8" x14ac:dyDescent="0.15">
      <c r="A1475" s="3" t="s">
        <v>1413</v>
      </c>
      <c r="B1475" s="3" t="s">
        <v>4465</v>
      </c>
      <c r="C1475" s="3">
        <v>977</v>
      </c>
      <c r="D1475" s="3" t="str">
        <f>VLOOKUP(B1475,[1]LifeList!$E$2:$G$2036,1)</f>
        <v>Helmeted Guineafowl</v>
      </c>
      <c r="E1475" s="3" t="str">
        <f>VLOOKUP(B1475,[1]LifeList!$E$2:$G$2036,2)</f>
        <v>Pintade de Numidie</v>
      </c>
      <c r="F1475" s="3" t="str">
        <f>VLOOKUP(B1475,[1]LifeList!$E$2:$G$2036,3)</f>
        <v>Numida meleagris</v>
      </c>
      <c r="G1475" s="3" t="str">
        <f>VLOOKUP(B1475,[1]LifeList!$E$2:$I$2036,4)</f>
        <v>Galliformes</v>
      </c>
      <c r="H1475" s="3" t="str">
        <f>VLOOKUP(B1475,[1]LifeList!$E$2:$I$2036,5)</f>
        <v>Numididae (Guineafowl)</v>
      </c>
    </row>
    <row r="1476" spans="1:8" x14ac:dyDescent="0.15">
      <c r="A1476" s="3" t="s">
        <v>1414</v>
      </c>
      <c r="B1476" s="3" t="s">
        <v>4465</v>
      </c>
      <c r="C1476" s="3">
        <v>977</v>
      </c>
      <c r="D1476" s="3" t="str">
        <f>VLOOKUP(B1476,[1]LifeList!$E$2:$G$2036,1)</f>
        <v>Helmeted Guineafowl</v>
      </c>
      <c r="E1476" s="3" t="str">
        <f>VLOOKUP(B1476,[1]LifeList!$E$2:$G$2036,2)</f>
        <v>Pintade de Numidie</v>
      </c>
      <c r="F1476" s="3" t="str">
        <f>VLOOKUP(B1476,[1]LifeList!$E$2:$G$2036,3)</f>
        <v>Numida meleagris</v>
      </c>
      <c r="G1476" s="3" t="str">
        <f>VLOOKUP(B1476,[1]LifeList!$E$2:$I$2036,4)</f>
        <v>Galliformes</v>
      </c>
      <c r="H1476" s="3" t="str">
        <f>VLOOKUP(B1476,[1]LifeList!$E$2:$I$2036,5)</f>
        <v>Numididae (Guineafowl)</v>
      </c>
    </row>
    <row r="1477" spans="1:8" x14ac:dyDescent="0.15">
      <c r="A1477" s="3" t="s">
        <v>1415</v>
      </c>
      <c r="B1477" s="3" t="s">
        <v>4465</v>
      </c>
      <c r="C1477" s="3">
        <v>977</v>
      </c>
      <c r="D1477" s="3" t="str">
        <f>VLOOKUP(B1477,[1]LifeList!$E$2:$G$2036,1)</f>
        <v>Helmeted Guineafowl</v>
      </c>
      <c r="E1477" s="3" t="str">
        <f>VLOOKUP(B1477,[1]LifeList!$E$2:$G$2036,2)</f>
        <v>Pintade de Numidie</v>
      </c>
      <c r="F1477" s="3" t="str">
        <f>VLOOKUP(B1477,[1]LifeList!$E$2:$G$2036,3)</f>
        <v>Numida meleagris</v>
      </c>
      <c r="G1477" s="3" t="str">
        <f>VLOOKUP(B1477,[1]LifeList!$E$2:$I$2036,4)</f>
        <v>Galliformes</v>
      </c>
      <c r="H1477" s="3" t="str">
        <f>VLOOKUP(B1477,[1]LifeList!$E$2:$I$2036,5)</f>
        <v>Numididae (Guineafowl)</v>
      </c>
    </row>
    <row r="1478" spans="1:8" x14ac:dyDescent="0.15">
      <c r="A1478" s="3" t="s">
        <v>1416</v>
      </c>
      <c r="B1478" s="3" t="s">
        <v>4465</v>
      </c>
      <c r="C1478" s="3">
        <v>977</v>
      </c>
      <c r="D1478" s="3" t="str">
        <f>VLOOKUP(B1478,[1]LifeList!$E$2:$G$2036,1)</f>
        <v>Helmeted Guineafowl</v>
      </c>
      <c r="E1478" s="3" t="str">
        <f>VLOOKUP(B1478,[1]LifeList!$E$2:$G$2036,2)</f>
        <v>Pintade de Numidie</v>
      </c>
      <c r="F1478" s="3" t="str">
        <f>VLOOKUP(B1478,[1]LifeList!$E$2:$G$2036,3)</f>
        <v>Numida meleagris</v>
      </c>
      <c r="G1478" s="3" t="str">
        <f>VLOOKUP(B1478,[1]LifeList!$E$2:$I$2036,4)</f>
        <v>Galliformes</v>
      </c>
      <c r="H1478" s="3" t="str">
        <f>VLOOKUP(B1478,[1]LifeList!$E$2:$I$2036,5)</f>
        <v>Numididae (Guineafowl)</v>
      </c>
    </row>
    <row r="1479" spans="1:8" x14ac:dyDescent="0.15">
      <c r="A1479" s="3" t="s">
        <v>1417</v>
      </c>
      <c r="B1479" s="3" t="s">
        <v>4466</v>
      </c>
      <c r="C1479" s="3">
        <v>34413</v>
      </c>
      <c r="D1479" s="3" t="str">
        <f>VLOOKUP(B1479,[1]LifeList!$E$2:$G$2036,1)</f>
        <v>Hepatic Tanager</v>
      </c>
      <c r="E1479" s="3" t="str">
        <f>VLOOKUP(B1479,[1]LifeList!$E$2:$G$2036,2)</f>
        <v>Piranga orangé</v>
      </c>
      <c r="F1479" s="3" t="str">
        <f>VLOOKUP(B1479,[1]LifeList!$E$2:$G$2036,3)</f>
        <v>Piranga flava</v>
      </c>
      <c r="G1479" s="3" t="str">
        <f>VLOOKUP(B1479,[1]LifeList!$E$2:$I$2036,4)</f>
        <v>Passeriformes</v>
      </c>
      <c r="H1479" s="3" t="str">
        <f>VLOOKUP(B1479,[1]LifeList!$E$2:$I$2036,5)</f>
        <v>Cardinalidae (Cardinals and Allies)</v>
      </c>
    </row>
    <row r="1480" spans="1:8" x14ac:dyDescent="0.15">
      <c r="A1480" s="3" t="s">
        <v>1418</v>
      </c>
      <c r="B1480" s="3" t="s">
        <v>4466</v>
      </c>
      <c r="C1480" s="3">
        <v>34413</v>
      </c>
      <c r="D1480" s="3" t="str">
        <f>VLOOKUP(B1480,[1]LifeList!$E$2:$G$2036,1)</f>
        <v>Hepatic Tanager</v>
      </c>
      <c r="E1480" s="3" t="str">
        <f>VLOOKUP(B1480,[1]LifeList!$E$2:$G$2036,2)</f>
        <v>Piranga orangé</v>
      </c>
      <c r="F1480" s="3" t="str">
        <f>VLOOKUP(B1480,[1]LifeList!$E$2:$G$2036,3)</f>
        <v>Piranga flava</v>
      </c>
      <c r="G1480" s="3" t="str">
        <f>VLOOKUP(B1480,[1]LifeList!$E$2:$I$2036,4)</f>
        <v>Passeriformes</v>
      </c>
      <c r="H1480" s="3" t="str">
        <f>VLOOKUP(B1480,[1]LifeList!$E$2:$I$2036,5)</f>
        <v>Cardinalidae (Cardinals and Allies)</v>
      </c>
    </row>
    <row r="1481" spans="1:8" x14ac:dyDescent="0.15">
      <c r="A1481" s="3" t="s">
        <v>3864</v>
      </c>
      <c r="B1481" s="3" t="s">
        <v>4466</v>
      </c>
      <c r="C1481" s="3">
        <v>34413</v>
      </c>
      <c r="D1481" s="3" t="str">
        <f>VLOOKUP(B1481,[1]LifeList!$E$2:$G$2036,1)</f>
        <v>Hepatic Tanager</v>
      </c>
      <c r="E1481" s="3" t="str">
        <f>VLOOKUP(B1481,[1]LifeList!$E$2:$G$2036,2)</f>
        <v>Piranga orangé</v>
      </c>
      <c r="F1481" s="3" t="str">
        <f>VLOOKUP(B1481,[1]LifeList!$E$2:$G$2036,3)</f>
        <v>Piranga flava</v>
      </c>
      <c r="G1481" s="3" t="str">
        <f>VLOOKUP(B1481,[1]LifeList!$E$2:$I$2036,4)</f>
        <v>Passeriformes</v>
      </c>
      <c r="H1481" s="3" t="str">
        <f>VLOOKUP(B1481,[1]LifeList!$E$2:$I$2036,5)</f>
        <v>Cardinalidae (Cardinals and Allies)</v>
      </c>
    </row>
    <row r="1482" spans="1:8" x14ac:dyDescent="0.15">
      <c r="A1482" s="3" t="s">
        <v>1419</v>
      </c>
      <c r="B1482" s="3" t="s">
        <v>4466</v>
      </c>
      <c r="C1482" s="3">
        <v>34413</v>
      </c>
      <c r="D1482" s="3" t="str">
        <f>VLOOKUP(B1482,[1]LifeList!$E$2:$G$2036,1)</f>
        <v>Hepatic Tanager</v>
      </c>
      <c r="E1482" s="3" t="str">
        <f>VLOOKUP(B1482,[1]LifeList!$E$2:$G$2036,2)</f>
        <v>Piranga orangé</v>
      </c>
      <c r="F1482" s="3" t="str">
        <f>VLOOKUP(B1482,[1]LifeList!$E$2:$G$2036,3)</f>
        <v>Piranga flava</v>
      </c>
      <c r="G1482" s="3" t="str">
        <f>VLOOKUP(B1482,[1]LifeList!$E$2:$I$2036,4)</f>
        <v>Passeriformes</v>
      </c>
      <c r="H1482" s="3" t="str">
        <f>VLOOKUP(B1482,[1]LifeList!$E$2:$I$2036,5)</f>
        <v>Cardinalidae (Cardinals and Allies)</v>
      </c>
    </row>
    <row r="1483" spans="1:8" x14ac:dyDescent="0.15">
      <c r="A1483" s="3" t="s">
        <v>1420</v>
      </c>
      <c r="B1483" s="3" t="s">
        <v>4467</v>
      </c>
      <c r="C1483" s="3">
        <v>28333</v>
      </c>
      <c r="D1483" s="3" t="str">
        <f>VLOOKUP(B1483,[1]LifeList!$E$2:$G$2036,1)</f>
        <v>Hermit Thrush</v>
      </c>
      <c r="E1483" s="3" t="str">
        <f>VLOOKUP(B1483,[1]LifeList!$E$2:$G$2036,2)</f>
        <v>Grive solitaire</v>
      </c>
      <c r="F1483" s="3" t="str">
        <f>VLOOKUP(B1483,[1]LifeList!$E$2:$G$2036,3)</f>
        <v>Catharus guttatus</v>
      </c>
      <c r="G1483" s="3" t="str">
        <f>VLOOKUP(B1483,[1]LifeList!$E$2:$I$2036,4)</f>
        <v>Passeriformes</v>
      </c>
      <c r="H1483" s="3" t="str">
        <f>VLOOKUP(B1483,[1]LifeList!$E$2:$I$2036,5)</f>
        <v>Turdidae (Thrushes and Allies)</v>
      </c>
    </row>
    <row r="1484" spans="1:8" x14ac:dyDescent="0.15">
      <c r="A1484" s="3" t="s">
        <v>1421</v>
      </c>
      <c r="B1484" s="3" t="s">
        <v>4467</v>
      </c>
      <c r="C1484" s="3">
        <v>28333</v>
      </c>
      <c r="D1484" s="3" t="str">
        <f>VLOOKUP(B1484,[1]LifeList!$E$2:$G$2036,1)</f>
        <v>Hermit Thrush</v>
      </c>
      <c r="E1484" s="3" t="str">
        <f>VLOOKUP(B1484,[1]LifeList!$E$2:$G$2036,2)</f>
        <v>Grive solitaire</v>
      </c>
      <c r="F1484" s="3" t="str">
        <f>VLOOKUP(B1484,[1]LifeList!$E$2:$G$2036,3)</f>
        <v>Catharus guttatus</v>
      </c>
      <c r="G1484" s="3" t="str">
        <f>VLOOKUP(B1484,[1]LifeList!$E$2:$I$2036,4)</f>
        <v>Passeriformes</v>
      </c>
      <c r="H1484" s="3" t="str">
        <f>VLOOKUP(B1484,[1]LifeList!$E$2:$I$2036,5)</f>
        <v>Turdidae (Thrushes and Allies)</v>
      </c>
    </row>
    <row r="1485" spans="1:8" x14ac:dyDescent="0.15">
      <c r="A1485" s="3" t="s">
        <v>1422</v>
      </c>
      <c r="B1485" s="3" t="s">
        <v>4467</v>
      </c>
      <c r="C1485" s="3">
        <v>28333</v>
      </c>
      <c r="D1485" s="3" t="str">
        <f>VLOOKUP(B1485,[1]LifeList!$E$2:$G$2036,1)</f>
        <v>Hermit Thrush</v>
      </c>
      <c r="E1485" s="3" t="str">
        <f>VLOOKUP(B1485,[1]LifeList!$E$2:$G$2036,2)</f>
        <v>Grive solitaire</v>
      </c>
      <c r="F1485" s="3" t="str">
        <f>VLOOKUP(B1485,[1]LifeList!$E$2:$G$2036,3)</f>
        <v>Catharus guttatus</v>
      </c>
      <c r="G1485" s="3" t="str">
        <f>VLOOKUP(B1485,[1]LifeList!$E$2:$I$2036,4)</f>
        <v>Passeriformes</v>
      </c>
      <c r="H1485" s="3" t="str">
        <f>VLOOKUP(B1485,[1]LifeList!$E$2:$I$2036,5)</f>
        <v>Turdidae (Thrushes and Allies)</v>
      </c>
    </row>
    <row r="1486" spans="1:8" x14ac:dyDescent="0.15">
      <c r="A1486" s="3" t="s">
        <v>1423</v>
      </c>
      <c r="B1486" s="3" t="s">
        <v>4467</v>
      </c>
      <c r="C1486" s="3">
        <v>28333</v>
      </c>
      <c r="D1486" s="3" t="str">
        <f>VLOOKUP(B1486,[1]LifeList!$E$2:$G$2036,1)</f>
        <v>Hermit Thrush</v>
      </c>
      <c r="E1486" s="3" t="str">
        <f>VLOOKUP(B1486,[1]LifeList!$E$2:$G$2036,2)</f>
        <v>Grive solitaire</v>
      </c>
      <c r="F1486" s="3" t="str">
        <f>VLOOKUP(B1486,[1]LifeList!$E$2:$G$2036,3)</f>
        <v>Catharus guttatus</v>
      </c>
      <c r="G1486" s="3" t="str">
        <f>VLOOKUP(B1486,[1]LifeList!$E$2:$I$2036,4)</f>
        <v>Passeriformes</v>
      </c>
      <c r="H1486" s="3" t="str">
        <f>VLOOKUP(B1486,[1]LifeList!$E$2:$I$2036,5)</f>
        <v>Turdidae (Thrushes and Allies)</v>
      </c>
    </row>
    <row r="1487" spans="1:8" x14ac:dyDescent="0.15">
      <c r="A1487" s="3" t="s">
        <v>1424</v>
      </c>
      <c r="B1487" s="3" t="s">
        <v>4467</v>
      </c>
      <c r="C1487" s="3">
        <v>28333</v>
      </c>
      <c r="D1487" s="3" t="str">
        <f>VLOOKUP(B1487,[1]LifeList!$E$2:$G$2036,1)</f>
        <v>Hermit Thrush</v>
      </c>
      <c r="E1487" s="3" t="str">
        <f>VLOOKUP(B1487,[1]LifeList!$E$2:$G$2036,2)</f>
        <v>Grive solitaire</v>
      </c>
      <c r="F1487" s="3" t="str">
        <f>VLOOKUP(B1487,[1]LifeList!$E$2:$G$2036,3)</f>
        <v>Catharus guttatus</v>
      </c>
      <c r="G1487" s="3" t="str">
        <f>VLOOKUP(B1487,[1]LifeList!$E$2:$I$2036,4)</f>
        <v>Passeriformes</v>
      </c>
      <c r="H1487" s="3" t="str">
        <f>VLOOKUP(B1487,[1]LifeList!$E$2:$I$2036,5)</f>
        <v>Turdidae (Thrushes and Allies)</v>
      </c>
    </row>
    <row r="1488" spans="1:8" x14ac:dyDescent="0.15">
      <c r="A1488" s="3" t="s">
        <v>1425</v>
      </c>
      <c r="B1488" s="3" t="s">
        <v>4468</v>
      </c>
      <c r="C1488" s="3">
        <v>27628</v>
      </c>
      <c r="D1488" s="3" t="str">
        <f>VLOOKUP(B1488,[1]LifeList!$E$2:$G$2036,1)</f>
        <v>Hermit Wood-Wren</v>
      </c>
      <c r="E1488" s="3" t="str">
        <f>VLOOKUP(B1488,[1]LifeList!$E$2:$G$2036,2)</f>
        <v>Troglodyte ermite</v>
      </c>
      <c r="F1488" s="3" t="str">
        <f>VLOOKUP(B1488,[1]LifeList!$E$2:$G$2036,3)</f>
        <v>Henicorhina anachoreta</v>
      </c>
      <c r="G1488" s="3" t="str">
        <f>VLOOKUP(B1488,[1]LifeList!$E$2:$I$2036,4)</f>
        <v>Passeriformes</v>
      </c>
      <c r="H1488" s="3" t="str">
        <f>VLOOKUP(B1488,[1]LifeList!$E$2:$I$2036,5)</f>
        <v>Troglodytidae (Wrens)</v>
      </c>
    </row>
    <row r="1489" spans="1:8" x14ac:dyDescent="0.15">
      <c r="A1489" s="3" t="s">
        <v>3865</v>
      </c>
      <c r="B1489" s="3" t="s">
        <v>5250</v>
      </c>
      <c r="C1489" s="3">
        <v>17808</v>
      </c>
      <c r="D1489" s="3" t="str">
        <f>VLOOKUP(B1489,[1]LifeList!$E$2:$G$2036,1)</f>
        <v>Hildebrandt's Spurfowl</v>
      </c>
      <c r="E1489" s="3" t="str">
        <f>VLOOKUP(B1489,[1]LifeList!$E$2:$G$2036,2)</f>
        <v>Francolin de Hildebrandt</v>
      </c>
      <c r="F1489" s="3" t="str">
        <f>VLOOKUP(B1489,[1]LifeList!$E$2:$G$2036,3)</f>
        <v>Pternistis hildebrandti</v>
      </c>
      <c r="G1489" s="3" t="str">
        <f>VLOOKUP(B1489,[1]LifeList!$E$2:$I$2036,4)</f>
        <v>Galliformes</v>
      </c>
      <c r="H1489" s="3" t="str">
        <f>VLOOKUP(B1489,[1]LifeList!$E$2:$I$2036,5)</f>
        <v>Phasianidae (Pheasants, Grouse, and Allies)</v>
      </c>
    </row>
    <row r="1490" spans="1:8" x14ac:dyDescent="0.15">
      <c r="A1490" s="3" t="s">
        <v>3866</v>
      </c>
      <c r="B1490" s="3" t="s">
        <v>5251</v>
      </c>
      <c r="C1490" s="3">
        <v>17808</v>
      </c>
      <c r="D1490" s="3" t="str">
        <f>VLOOKUP(B1490,[1]LifeList!$E$2:$G$2036,1)</f>
        <v>Hildebrandt's Starling</v>
      </c>
      <c r="E1490" s="3" t="str">
        <f>VLOOKUP(B1490,[1]LifeList!$E$2:$G$2036,2)</f>
        <v>Choucador de Hildebrandt</v>
      </c>
      <c r="F1490" s="3" t="str">
        <f>VLOOKUP(B1490,[1]LifeList!$E$2:$G$2036,3)</f>
        <v>Lamprotornis hildebrandti</v>
      </c>
      <c r="G1490" s="3" t="str">
        <f>VLOOKUP(B1490,[1]LifeList!$E$2:$I$2036,4)</f>
        <v>Passeriformes</v>
      </c>
      <c r="H1490" s="3" t="str">
        <f>VLOOKUP(B1490,[1]LifeList!$E$2:$I$2036,5)</f>
        <v>Sturnidae (Starlings)</v>
      </c>
    </row>
    <row r="1491" spans="1:8" x14ac:dyDescent="0.15">
      <c r="A1491" s="3" t="s">
        <v>1426</v>
      </c>
      <c r="B1491" s="3" t="s">
        <v>4469</v>
      </c>
      <c r="C1491" s="3">
        <v>6860</v>
      </c>
      <c r="D1491" s="3" t="str">
        <f>VLOOKUP(B1491,[1]LifeList!$E$2:$G$2036,1)</f>
        <v>Hoary-headed Grebe</v>
      </c>
      <c r="E1491" s="3" t="str">
        <f>VLOOKUP(B1491,[1]LifeList!$E$2:$G$2036,2)</f>
        <v>Grèbe argenté</v>
      </c>
      <c r="F1491" s="3" t="str">
        <f>VLOOKUP(B1491,[1]LifeList!$E$2:$G$2036,3)</f>
        <v>Poliocephalus poliocephalus</v>
      </c>
      <c r="G1491" s="3" t="str">
        <f>VLOOKUP(B1491,[1]LifeList!$E$2:$I$2036,4)</f>
        <v>Podicipediformes</v>
      </c>
      <c r="H1491" s="3" t="str">
        <f>VLOOKUP(B1491,[1]LifeList!$E$2:$I$2036,5)</f>
        <v>Podicipedidae (Grebes)</v>
      </c>
    </row>
    <row r="1492" spans="1:8" x14ac:dyDescent="0.15">
      <c r="A1492" s="3" t="s">
        <v>1427</v>
      </c>
      <c r="B1492" s="3" t="s">
        <v>4469</v>
      </c>
      <c r="C1492" s="3">
        <v>6860</v>
      </c>
      <c r="D1492" s="3" t="str">
        <f>VLOOKUP(B1492,[1]LifeList!$E$2:$G$2036,1)</f>
        <v>Hoary-headed Grebe</v>
      </c>
      <c r="E1492" s="3" t="str">
        <f>VLOOKUP(B1492,[1]LifeList!$E$2:$G$2036,2)</f>
        <v>Grèbe argenté</v>
      </c>
      <c r="F1492" s="3" t="str">
        <f>VLOOKUP(B1492,[1]LifeList!$E$2:$G$2036,3)</f>
        <v>Poliocephalus poliocephalus</v>
      </c>
      <c r="G1492" s="3" t="str">
        <f>VLOOKUP(B1492,[1]LifeList!$E$2:$I$2036,4)</f>
        <v>Podicipediformes</v>
      </c>
      <c r="H1492" s="3" t="str">
        <f>VLOOKUP(B1492,[1]LifeList!$E$2:$I$2036,5)</f>
        <v>Podicipedidae (Grebes)</v>
      </c>
    </row>
    <row r="1493" spans="1:8" x14ac:dyDescent="0.15">
      <c r="A1493" s="3" t="s">
        <v>3867</v>
      </c>
      <c r="B1493" s="3" t="s">
        <v>5227</v>
      </c>
      <c r="C1493" s="3">
        <v>17808</v>
      </c>
      <c r="D1493" s="3" t="str">
        <f>VLOOKUP(B1493,[1]LifeList!$E$2:$G$2036,1)</f>
        <v>Hoffmann's Woodpecker</v>
      </c>
      <c r="E1493" s="3" t="str">
        <f>VLOOKUP(B1493,[1]LifeList!$E$2:$G$2036,2)</f>
        <v>Pic de Hoffmann</v>
      </c>
      <c r="F1493" s="3" t="str">
        <f>VLOOKUP(B1493,[1]LifeList!$E$2:$G$2036,3)</f>
        <v>Melanerpes hoffmannii</v>
      </c>
      <c r="G1493" s="3" t="str">
        <f>VLOOKUP(B1493,[1]LifeList!$E$2:$I$2036,4)</f>
        <v>Piciformes</v>
      </c>
      <c r="H1493" s="3" t="str">
        <f>VLOOKUP(B1493,[1]LifeList!$E$2:$I$2036,5)</f>
        <v>Picidae (Woodpeckers)</v>
      </c>
    </row>
    <row r="1494" spans="1:8" x14ac:dyDescent="0.15">
      <c r="A1494" s="3" t="s">
        <v>3868</v>
      </c>
      <c r="B1494" s="3" t="s">
        <v>5227</v>
      </c>
      <c r="C1494" s="3">
        <v>17808</v>
      </c>
      <c r="D1494" s="3" t="str">
        <f>VLOOKUP(B1494,[1]LifeList!$E$2:$G$2036,1)</f>
        <v>Hoffmann's Woodpecker</v>
      </c>
      <c r="E1494" s="3" t="str">
        <f>VLOOKUP(B1494,[1]LifeList!$E$2:$G$2036,2)</f>
        <v>Pic de Hoffmann</v>
      </c>
      <c r="F1494" s="3" t="str">
        <f>VLOOKUP(B1494,[1]LifeList!$E$2:$G$2036,3)</f>
        <v>Melanerpes hoffmannii</v>
      </c>
      <c r="G1494" s="3" t="str">
        <f>VLOOKUP(B1494,[1]LifeList!$E$2:$I$2036,4)</f>
        <v>Piciformes</v>
      </c>
      <c r="H1494" s="3" t="str">
        <f>VLOOKUP(B1494,[1]LifeList!$E$2:$I$2036,5)</f>
        <v>Picidae (Woodpeckers)</v>
      </c>
    </row>
    <row r="1495" spans="1:8" x14ac:dyDescent="0.15">
      <c r="A1495" s="3" t="s">
        <v>3869</v>
      </c>
      <c r="B1495" s="3" t="s">
        <v>5227</v>
      </c>
      <c r="C1495" s="3">
        <v>17808</v>
      </c>
      <c r="D1495" s="3" t="str">
        <f>VLOOKUP(B1495,[1]LifeList!$E$2:$G$2036,1)</f>
        <v>Hoffmann's Woodpecker</v>
      </c>
      <c r="E1495" s="3" t="str">
        <f>VLOOKUP(B1495,[1]LifeList!$E$2:$G$2036,2)</f>
        <v>Pic de Hoffmann</v>
      </c>
      <c r="F1495" s="3" t="str">
        <f>VLOOKUP(B1495,[1]LifeList!$E$2:$G$2036,3)</f>
        <v>Melanerpes hoffmannii</v>
      </c>
      <c r="G1495" s="3" t="str">
        <f>VLOOKUP(B1495,[1]LifeList!$E$2:$I$2036,4)</f>
        <v>Piciformes</v>
      </c>
      <c r="H1495" s="3" t="str">
        <f>VLOOKUP(B1495,[1]LifeList!$E$2:$I$2036,5)</f>
        <v>Picidae (Woodpeckers)</v>
      </c>
    </row>
    <row r="1496" spans="1:8" x14ac:dyDescent="0.15">
      <c r="A1496" s="3" t="s">
        <v>3870</v>
      </c>
      <c r="B1496" s="3" t="s">
        <v>5227</v>
      </c>
      <c r="C1496" s="3">
        <v>17808</v>
      </c>
      <c r="D1496" s="3" t="str">
        <f>VLOOKUP(B1496,[1]LifeList!$E$2:$G$2036,1)</f>
        <v>Hoffmann's Woodpecker</v>
      </c>
      <c r="E1496" s="3" t="str">
        <f>VLOOKUP(B1496,[1]LifeList!$E$2:$G$2036,2)</f>
        <v>Pic de Hoffmann</v>
      </c>
      <c r="F1496" s="3" t="str">
        <f>VLOOKUP(B1496,[1]LifeList!$E$2:$G$2036,3)</f>
        <v>Melanerpes hoffmannii</v>
      </c>
      <c r="G1496" s="3" t="str">
        <f>VLOOKUP(B1496,[1]LifeList!$E$2:$I$2036,4)</f>
        <v>Piciformes</v>
      </c>
      <c r="H1496" s="3" t="str">
        <f>VLOOKUP(B1496,[1]LifeList!$E$2:$I$2036,5)</f>
        <v>Picidae (Woodpeckers)</v>
      </c>
    </row>
    <row r="1497" spans="1:8" x14ac:dyDescent="0.15">
      <c r="A1497" s="3" t="s">
        <v>3871</v>
      </c>
      <c r="B1497" s="3" t="s">
        <v>5227</v>
      </c>
      <c r="C1497" s="3">
        <v>17808</v>
      </c>
      <c r="D1497" s="3" t="str">
        <f>VLOOKUP(B1497,[1]LifeList!$E$2:$G$2036,1)</f>
        <v>Hoffmann's Woodpecker</v>
      </c>
      <c r="E1497" s="3" t="str">
        <f>VLOOKUP(B1497,[1]LifeList!$E$2:$G$2036,2)</f>
        <v>Pic de Hoffmann</v>
      </c>
      <c r="F1497" s="3" t="str">
        <f>VLOOKUP(B1497,[1]LifeList!$E$2:$G$2036,3)</f>
        <v>Melanerpes hoffmannii</v>
      </c>
      <c r="G1497" s="3" t="str">
        <f>VLOOKUP(B1497,[1]LifeList!$E$2:$I$2036,4)</f>
        <v>Piciformes</v>
      </c>
      <c r="H1497" s="3" t="str">
        <f>VLOOKUP(B1497,[1]LifeList!$E$2:$I$2036,5)</f>
        <v>Picidae (Woodpeckers)</v>
      </c>
    </row>
    <row r="1498" spans="1:8" x14ac:dyDescent="0.15">
      <c r="A1498" s="3" t="s">
        <v>3872</v>
      </c>
      <c r="B1498" s="3" t="s">
        <v>5227</v>
      </c>
      <c r="C1498" s="3">
        <v>17808</v>
      </c>
      <c r="D1498" s="3" t="str">
        <f>VLOOKUP(B1498,[1]LifeList!$E$2:$G$2036,1)</f>
        <v>Hoffmann's Woodpecker</v>
      </c>
      <c r="E1498" s="3" t="str">
        <f>VLOOKUP(B1498,[1]LifeList!$E$2:$G$2036,2)</f>
        <v>Pic de Hoffmann</v>
      </c>
      <c r="F1498" s="3" t="str">
        <f>VLOOKUP(B1498,[1]LifeList!$E$2:$G$2036,3)</f>
        <v>Melanerpes hoffmannii</v>
      </c>
      <c r="G1498" s="3" t="str">
        <f>VLOOKUP(B1498,[1]LifeList!$E$2:$I$2036,4)</f>
        <v>Piciformes</v>
      </c>
      <c r="H1498" s="3" t="str">
        <f>VLOOKUP(B1498,[1]LifeList!$E$2:$I$2036,5)</f>
        <v>Picidae (Woodpeckers)</v>
      </c>
    </row>
    <row r="1499" spans="1:8" x14ac:dyDescent="0.15">
      <c r="A1499" s="3" t="s">
        <v>3873</v>
      </c>
      <c r="B1499" s="3" t="s">
        <v>5228</v>
      </c>
      <c r="C1499" s="3">
        <v>17808</v>
      </c>
      <c r="D1499" s="3" t="str">
        <f>VLOOKUP(B1499,[1]LifeList!$E$2:$G$2036,1)</f>
        <v>Holub's Golden-Weaver</v>
      </c>
      <c r="E1499" s="3" t="str">
        <f>VLOOKUP(B1499,[1]LifeList!$E$2:$G$2036,2)</f>
        <v>Tisserin safran</v>
      </c>
      <c r="F1499" s="3" t="str">
        <f>VLOOKUP(B1499,[1]LifeList!$E$2:$G$2036,3)</f>
        <v>Ploceus xanthops</v>
      </c>
      <c r="G1499" s="3" t="str">
        <f>VLOOKUP(B1499,[1]LifeList!$E$2:$I$2036,4)</f>
        <v>Passeriformes</v>
      </c>
      <c r="H1499" s="3" t="str">
        <f>VLOOKUP(B1499,[1]LifeList!$E$2:$I$2036,5)</f>
        <v>Ploceidae (Weavers and Allies)</v>
      </c>
    </row>
    <row r="1500" spans="1:8" x14ac:dyDescent="0.15">
      <c r="A1500" s="3" t="s">
        <v>1428</v>
      </c>
      <c r="B1500" s="3" t="s">
        <v>4470</v>
      </c>
      <c r="C1500" s="3">
        <v>754</v>
      </c>
      <c r="D1500" s="3" t="str">
        <f>VLOOKUP(B1500,[1]LifeList!$E$2:$G$2036,1)</f>
        <v>Hooded Merganser</v>
      </c>
      <c r="E1500" s="3" t="str">
        <f>VLOOKUP(B1500,[1]LifeList!$E$2:$G$2036,2)</f>
        <v>Harle couronné</v>
      </c>
      <c r="F1500" s="3" t="str">
        <f>VLOOKUP(B1500,[1]LifeList!$E$2:$G$2036,3)</f>
        <v>Lophodytes cucullatus</v>
      </c>
      <c r="G1500" s="3" t="str">
        <f>VLOOKUP(B1500,[1]LifeList!$E$2:$I$2036,4)</f>
        <v>Anseriformes</v>
      </c>
      <c r="H1500" s="3" t="str">
        <f>VLOOKUP(B1500,[1]LifeList!$E$2:$I$2036,5)</f>
        <v>Anatidae (Ducks, Geese, and Waterfowl)</v>
      </c>
    </row>
    <row r="1501" spans="1:8" x14ac:dyDescent="0.15">
      <c r="A1501" s="3" t="s">
        <v>1429</v>
      </c>
      <c r="B1501" s="3" t="s">
        <v>4470</v>
      </c>
      <c r="C1501" s="3">
        <v>754</v>
      </c>
      <c r="D1501" s="3" t="str">
        <f>VLOOKUP(B1501,[1]LifeList!$E$2:$G$2036,1)</f>
        <v>Hooded Merganser</v>
      </c>
      <c r="E1501" s="3" t="str">
        <f>VLOOKUP(B1501,[1]LifeList!$E$2:$G$2036,2)</f>
        <v>Harle couronné</v>
      </c>
      <c r="F1501" s="3" t="str">
        <f>VLOOKUP(B1501,[1]LifeList!$E$2:$G$2036,3)</f>
        <v>Lophodytes cucullatus</v>
      </c>
      <c r="G1501" s="3" t="str">
        <f>VLOOKUP(B1501,[1]LifeList!$E$2:$I$2036,4)</f>
        <v>Anseriformes</v>
      </c>
      <c r="H1501" s="3" t="str">
        <f>VLOOKUP(B1501,[1]LifeList!$E$2:$I$2036,5)</f>
        <v>Anatidae (Ducks, Geese, and Waterfowl)</v>
      </c>
    </row>
    <row r="1502" spans="1:8" x14ac:dyDescent="0.15">
      <c r="A1502" s="3" t="s">
        <v>1430</v>
      </c>
      <c r="B1502" s="3" t="s">
        <v>3770</v>
      </c>
      <c r="C1502" s="3">
        <v>34839</v>
      </c>
      <c r="D1502" s="3" t="str">
        <f>VLOOKUP(B1502,[1]LifeList!$E$2:$G$2036,1)</f>
        <v>Hooded Mountain Tanager</v>
      </c>
      <c r="E1502" s="3" t="str">
        <f>VLOOKUP(B1502,[1]LifeList!$E$2:$G$2036,2)</f>
        <v>Tangara montagnard</v>
      </c>
      <c r="F1502" s="3" t="str">
        <f>VLOOKUP(B1502,[1]LifeList!$E$2:$G$2036,3)</f>
        <v>Buthraupis montana</v>
      </c>
      <c r="G1502" s="3" t="str">
        <f>VLOOKUP(B1502,[1]LifeList!$E$2:$I$2036,4)</f>
        <v>Passeriformes</v>
      </c>
      <c r="H1502" s="3" t="str">
        <f>VLOOKUP(B1502,[1]LifeList!$E$2:$I$2036,5)</f>
        <v>Thraupidae (Tanagers and Allies)</v>
      </c>
    </row>
    <row r="1503" spans="1:8" x14ac:dyDescent="0.15">
      <c r="A1503" s="3" t="s">
        <v>1431</v>
      </c>
      <c r="B1503" s="3" t="s">
        <v>3770</v>
      </c>
      <c r="C1503" s="3">
        <v>34839</v>
      </c>
      <c r="D1503" s="3" t="str">
        <f>VLOOKUP(B1503,[1]LifeList!$E$2:$G$2036,1)</f>
        <v>Hooded Mountain Tanager</v>
      </c>
      <c r="E1503" s="3" t="str">
        <f>VLOOKUP(B1503,[1]LifeList!$E$2:$G$2036,2)</f>
        <v>Tangara montagnard</v>
      </c>
      <c r="F1503" s="3" t="str">
        <f>VLOOKUP(B1503,[1]LifeList!$E$2:$G$2036,3)</f>
        <v>Buthraupis montana</v>
      </c>
      <c r="G1503" s="3" t="str">
        <f>VLOOKUP(B1503,[1]LifeList!$E$2:$I$2036,4)</f>
        <v>Passeriformes</v>
      </c>
      <c r="H1503" s="3" t="str">
        <f>VLOOKUP(B1503,[1]LifeList!$E$2:$I$2036,5)</f>
        <v>Thraupidae (Tanagers and Allies)</v>
      </c>
    </row>
    <row r="1504" spans="1:8" x14ac:dyDescent="0.15">
      <c r="A1504" s="3" t="s">
        <v>1432</v>
      </c>
      <c r="B1504" s="3" t="s">
        <v>4471</v>
      </c>
      <c r="C1504" s="3">
        <v>5837</v>
      </c>
      <c r="D1504" s="3" t="str">
        <f>VLOOKUP(B1504,[1]LifeList!$E$2:$G$2036,1)</f>
        <v>Hooded Plover</v>
      </c>
      <c r="E1504" s="3" t="str">
        <f>VLOOKUP(B1504,[1]LifeList!$E$2:$G$2036,2)</f>
        <v>Pluvier à camail</v>
      </c>
      <c r="F1504" s="3" t="str">
        <f>VLOOKUP(B1504,[1]LifeList!$E$2:$G$2036,3)</f>
        <v>Thinornis cucullatus</v>
      </c>
      <c r="G1504" s="3" t="str">
        <f>VLOOKUP(B1504,[1]LifeList!$E$2:$I$2036,4)</f>
        <v>Charadriiformes</v>
      </c>
      <c r="H1504" s="3" t="str">
        <f>VLOOKUP(B1504,[1]LifeList!$E$2:$I$2036,5)</f>
        <v>Charadriidae (Plovers and Lapwings)</v>
      </c>
    </row>
    <row r="1505" spans="1:8" x14ac:dyDescent="0.15">
      <c r="A1505" s="3" t="s">
        <v>1434</v>
      </c>
      <c r="B1505" s="3" t="s">
        <v>4472</v>
      </c>
      <c r="C1505" s="3">
        <v>7935</v>
      </c>
      <c r="D1505" s="3" t="str">
        <f>VLOOKUP(B1505,[1]LifeList!$E$2:$G$2036,1)</f>
        <v>Hooded Vulture</v>
      </c>
      <c r="E1505" s="3" t="str">
        <f>VLOOKUP(B1505,[1]LifeList!$E$2:$G$2036,2)</f>
        <v>Vautour charognard</v>
      </c>
      <c r="F1505" s="3" t="str">
        <f>VLOOKUP(B1505,[1]LifeList!$E$2:$G$2036,3)</f>
        <v>Necrosyrtes monachus</v>
      </c>
      <c r="G1505" s="3" t="str">
        <f>VLOOKUP(B1505,[1]LifeList!$E$2:$I$2036,4)</f>
        <v>Accipitriformes</v>
      </c>
      <c r="H1505" s="3" t="str">
        <f>VLOOKUP(B1505,[1]LifeList!$E$2:$I$2036,5)</f>
        <v>Accipitridae (Hawks, Eagles, and Kites)</v>
      </c>
    </row>
    <row r="1506" spans="1:8" x14ac:dyDescent="0.15">
      <c r="A1506" s="3" t="s">
        <v>1435</v>
      </c>
      <c r="B1506" s="3" t="s">
        <v>4472</v>
      </c>
      <c r="C1506" s="3">
        <v>7935</v>
      </c>
      <c r="D1506" s="3" t="str">
        <f>VLOOKUP(B1506,[1]LifeList!$E$2:$G$2036,1)</f>
        <v>Hooded Vulture</v>
      </c>
      <c r="E1506" s="3" t="str">
        <f>VLOOKUP(B1506,[1]LifeList!$E$2:$G$2036,2)</f>
        <v>Vautour charognard</v>
      </c>
      <c r="F1506" s="3" t="str">
        <f>VLOOKUP(B1506,[1]LifeList!$E$2:$G$2036,3)</f>
        <v>Necrosyrtes monachus</v>
      </c>
      <c r="G1506" s="3" t="str">
        <f>VLOOKUP(B1506,[1]LifeList!$E$2:$I$2036,4)</f>
        <v>Accipitriformes</v>
      </c>
      <c r="H1506" s="3" t="str">
        <f>VLOOKUP(B1506,[1]LifeList!$E$2:$I$2036,5)</f>
        <v>Accipitridae (Hawks, Eagles, and Kites)</v>
      </c>
    </row>
    <row r="1507" spans="1:8" x14ac:dyDescent="0.15">
      <c r="A1507" s="3" t="s">
        <v>1433</v>
      </c>
      <c r="B1507" s="3" t="s">
        <v>4472</v>
      </c>
      <c r="C1507" s="3">
        <v>7935</v>
      </c>
      <c r="D1507" s="3" t="str">
        <f>VLOOKUP(B1507,[1]LifeList!$E$2:$G$2036,1)</f>
        <v>Hooded Vulture</v>
      </c>
      <c r="E1507" s="3" t="str">
        <f>VLOOKUP(B1507,[1]LifeList!$E$2:$G$2036,2)</f>
        <v>Vautour charognard</v>
      </c>
      <c r="F1507" s="3" t="str">
        <f>VLOOKUP(B1507,[1]LifeList!$E$2:$G$2036,3)</f>
        <v>Necrosyrtes monachus</v>
      </c>
      <c r="G1507" s="3" t="str">
        <f>VLOOKUP(B1507,[1]LifeList!$E$2:$I$2036,4)</f>
        <v>Accipitriformes</v>
      </c>
      <c r="H1507" s="3" t="str">
        <f>VLOOKUP(B1507,[1]LifeList!$E$2:$I$2036,5)</f>
        <v>Accipitridae (Hawks, Eagles, and Kites)</v>
      </c>
    </row>
    <row r="1508" spans="1:8" x14ac:dyDescent="0.15">
      <c r="A1508" s="3" t="s">
        <v>1436</v>
      </c>
      <c r="B1508" s="3" t="s">
        <v>4473</v>
      </c>
      <c r="C1508" s="3">
        <v>34057</v>
      </c>
      <c r="D1508" s="3" t="str">
        <f>VLOOKUP(B1508,[1]LifeList!$E$2:$G$2036,1)</f>
        <v>Hooded Warbler</v>
      </c>
      <c r="E1508" s="3" t="str">
        <f>VLOOKUP(B1508,[1]LifeList!$E$2:$G$2036,2)</f>
        <v>Paruline à capuchon</v>
      </c>
      <c r="F1508" s="3" t="str">
        <f>VLOOKUP(B1508,[1]LifeList!$E$2:$G$2036,3)</f>
        <v>Setophaga citrina</v>
      </c>
      <c r="G1508" s="3" t="str">
        <f>VLOOKUP(B1508,[1]LifeList!$E$2:$I$2036,4)</f>
        <v>Passeriformes</v>
      </c>
      <c r="H1508" s="3" t="str">
        <f>VLOOKUP(B1508,[1]LifeList!$E$2:$I$2036,5)</f>
        <v>Parulidae (New World Warblers)</v>
      </c>
    </row>
    <row r="1509" spans="1:8" x14ac:dyDescent="0.15">
      <c r="A1509" s="3" t="s">
        <v>1437</v>
      </c>
      <c r="B1509" s="3" t="s">
        <v>4473</v>
      </c>
      <c r="C1509" s="3">
        <v>34057</v>
      </c>
      <c r="D1509" s="3" t="str">
        <f>VLOOKUP(B1509,[1]LifeList!$E$2:$G$2036,1)</f>
        <v>Hooded Warbler</v>
      </c>
      <c r="E1509" s="3" t="str">
        <f>VLOOKUP(B1509,[1]LifeList!$E$2:$G$2036,2)</f>
        <v>Paruline à capuchon</v>
      </c>
      <c r="F1509" s="3" t="str">
        <f>VLOOKUP(B1509,[1]LifeList!$E$2:$G$2036,3)</f>
        <v>Setophaga citrina</v>
      </c>
      <c r="G1509" s="3" t="str">
        <f>VLOOKUP(B1509,[1]LifeList!$E$2:$I$2036,4)</f>
        <v>Passeriformes</v>
      </c>
      <c r="H1509" s="3" t="str">
        <f>VLOOKUP(B1509,[1]LifeList!$E$2:$I$2036,5)</f>
        <v>Parulidae (New World Warblers)</v>
      </c>
    </row>
    <row r="1510" spans="1:8" x14ac:dyDescent="0.15">
      <c r="A1510" s="3" t="s">
        <v>1438</v>
      </c>
      <c r="B1510" s="3" t="s">
        <v>4473</v>
      </c>
      <c r="C1510" s="3">
        <v>34057</v>
      </c>
      <c r="D1510" s="3" t="str">
        <f>VLOOKUP(B1510,[1]LifeList!$E$2:$G$2036,1)</f>
        <v>Hooded Warbler</v>
      </c>
      <c r="E1510" s="3" t="str">
        <f>VLOOKUP(B1510,[1]LifeList!$E$2:$G$2036,2)</f>
        <v>Paruline à capuchon</v>
      </c>
      <c r="F1510" s="3" t="str">
        <f>VLOOKUP(B1510,[1]LifeList!$E$2:$G$2036,3)</f>
        <v>Setophaga citrina</v>
      </c>
      <c r="G1510" s="3" t="str">
        <f>VLOOKUP(B1510,[1]LifeList!$E$2:$I$2036,4)</f>
        <v>Passeriformes</v>
      </c>
      <c r="H1510" s="3" t="str">
        <f>VLOOKUP(B1510,[1]LifeList!$E$2:$I$2036,5)</f>
        <v>Parulidae (New World Warblers)</v>
      </c>
    </row>
    <row r="1511" spans="1:8" x14ac:dyDescent="0.15">
      <c r="A1511" s="3" t="s">
        <v>1439</v>
      </c>
      <c r="B1511" s="3" t="s">
        <v>4473</v>
      </c>
      <c r="C1511" s="3">
        <v>34057</v>
      </c>
      <c r="D1511" s="3" t="str">
        <f>VLOOKUP(B1511,[1]LifeList!$E$2:$G$2036,1)</f>
        <v>Hooded Warbler</v>
      </c>
      <c r="E1511" s="3" t="str">
        <f>VLOOKUP(B1511,[1]LifeList!$E$2:$G$2036,2)</f>
        <v>Paruline à capuchon</v>
      </c>
      <c r="F1511" s="3" t="str">
        <f>VLOOKUP(B1511,[1]LifeList!$E$2:$G$2036,3)</f>
        <v>Setophaga citrina</v>
      </c>
      <c r="G1511" s="3" t="str">
        <f>VLOOKUP(B1511,[1]LifeList!$E$2:$I$2036,4)</f>
        <v>Passeriformes</v>
      </c>
      <c r="H1511" s="3" t="str">
        <f>VLOOKUP(B1511,[1]LifeList!$E$2:$I$2036,5)</f>
        <v>Parulidae (New World Warblers)</v>
      </c>
    </row>
    <row r="1512" spans="1:8" x14ac:dyDescent="0.15">
      <c r="A1512" s="3" t="s">
        <v>1440</v>
      </c>
      <c r="B1512" s="3" t="s">
        <v>4473</v>
      </c>
      <c r="C1512" s="3">
        <v>34057</v>
      </c>
      <c r="D1512" s="3" t="str">
        <f>VLOOKUP(B1512,[1]LifeList!$E$2:$G$2036,1)</f>
        <v>Hooded Warbler</v>
      </c>
      <c r="E1512" s="3" t="str">
        <f>VLOOKUP(B1512,[1]LifeList!$E$2:$G$2036,2)</f>
        <v>Paruline à capuchon</v>
      </c>
      <c r="F1512" s="3" t="str">
        <f>VLOOKUP(B1512,[1]LifeList!$E$2:$G$2036,3)</f>
        <v>Setophaga citrina</v>
      </c>
      <c r="G1512" s="3" t="str">
        <f>VLOOKUP(B1512,[1]LifeList!$E$2:$I$2036,4)</f>
        <v>Passeriformes</v>
      </c>
      <c r="H1512" s="3" t="str">
        <f>VLOOKUP(B1512,[1]LifeList!$E$2:$I$2036,5)</f>
        <v>Parulidae (New World Warblers)</v>
      </c>
    </row>
    <row r="1513" spans="1:8" x14ac:dyDescent="0.15">
      <c r="A1513" s="3" t="s">
        <v>1441</v>
      </c>
      <c r="B1513" s="3" t="s">
        <v>4473</v>
      </c>
      <c r="C1513" s="3">
        <v>34057</v>
      </c>
      <c r="D1513" s="3" t="str">
        <f>VLOOKUP(B1513,[1]LifeList!$E$2:$G$2036,1)</f>
        <v>Hooded Warbler</v>
      </c>
      <c r="E1513" s="3" t="str">
        <f>VLOOKUP(B1513,[1]LifeList!$E$2:$G$2036,2)</f>
        <v>Paruline à capuchon</v>
      </c>
      <c r="F1513" s="3" t="str">
        <f>VLOOKUP(B1513,[1]LifeList!$E$2:$G$2036,3)</f>
        <v>Setophaga citrina</v>
      </c>
      <c r="G1513" s="3" t="str">
        <f>VLOOKUP(B1513,[1]LifeList!$E$2:$I$2036,4)</f>
        <v>Passeriformes</v>
      </c>
      <c r="H1513" s="3" t="str">
        <f>VLOOKUP(B1513,[1]LifeList!$E$2:$I$2036,5)</f>
        <v>Parulidae (New World Warblers)</v>
      </c>
    </row>
    <row r="1514" spans="1:8" x14ac:dyDescent="0.15">
      <c r="A1514" s="3" t="s">
        <v>1442</v>
      </c>
      <c r="B1514" s="3" t="s">
        <v>4473</v>
      </c>
      <c r="C1514" s="3">
        <v>34057</v>
      </c>
      <c r="D1514" s="3" t="str">
        <f>VLOOKUP(B1514,[1]LifeList!$E$2:$G$2036,1)</f>
        <v>Hooded Warbler</v>
      </c>
      <c r="E1514" s="3" t="str">
        <f>VLOOKUP(B1514,[1]LifeList!$E$2:$G$2036,2)</f>
        <v>Paruline à capuchon</v>
      </c>
      <c r="F1514" s="3" t="str">
        <f>VLOOKUP(B1514,[1]LifeList!$E$2:$G$2036,3)</f>
        <v>Setophaga citrina</v>
      </c>
      <c r="G1514" s="3" t="str">
        <f>VLOOKUP(B1514,[1]LifeList!$E$2:$I$2036,4)</f>
        <v>Passeriformes</v>
      </c>
      <c r="H1514" s="3" t="str">
        <f>VLOOKUP(B1514,[1]LifeList!$E$2:$I$2036,5)</f>
        <v>Parulidae (New World Warblers)</v>
      </c>
    </row>
    <row r="1515" spans="1:8" x14ac:dyDescent="0.15">
      <c r="A1515" s="3" t="s">
        <v>1443</v>
      </c>
      <c r="B1515" s="3" t="s">
        <v>4473</v>
      </c>
      <c r="C1515" s="3">
        <v>34057</v>
      </c>
      <c r="D1515" s="3" t="str">
        <f>VLOOKUP(B1515,[1]LifeList!$E$2:$G$2036,1)</f>
        <v>Hooded Warbler</v>
      </c>
      <c r="E1515" s="3" t="str">
        <f>VLOOKUP(B1515,[1]LifeList!$E$2:$G$2036,2)</f>
        <v>Paruline à capuchon</v>
      </c>
      <c r="F1515" s="3" t="str">
        <f>VLOOKUP(B1515,[1]LifeList!$E$2:$G$2036,3)</f>
        <v>Setophaga citrina</v>
      </c>
      <c r="G1515" s="3" t="str">
        <f>VLOOKUP(B1515,[1]LifeList!$E$2:$I$2036,4)</f>
        <v>Passeriformes</v>
      </c>
      <c r="H1515" s="3" t="str">
        <f>VLOOKUP(B1515,[1]LifeList!$E$2:$I$2036,5)</f>
        <v>Parulidae (New World Warblers)</v>
      </c>
    </row>
    <row r="1516" spans="1:8" x14ac:dyDescent="0.15">
      <c r="A1516" s="3" t="s">
        <v>1444</v>
      </c>
      <c r="B1516" s="3" t="s">
        <v>4473</v>
      </c>
      <c r="C1516" s="3">
        <v>34057</v>
      </c>
      <c r="D1516" s="3" t="str">
        <f>VLOOKUP(B1516,[1]LifeList!$E$2:$G$2036,1)</f>
        <v>Hooded Warbler</v>
      </c>
      <c r="E1516" s="3" t="str">
        <f>VLOOKUP(B1516,[1]LifeList!$E$2:$G$2036,2)</f>
        <v>Paruline à capuchon</v>
      </c>
      <c r="F1516" s="3" t="str">
        <f>VLOOKUP(B1516,[1]LifeList!$E$2:$G$2036,3)</f>
        <v>Setophaga citrina</v>
      </c>
      <c r="G1516" s="3" t="str">
        <f>VLOOKUP(B1516,[1]LifeList!$E$2:$I$2036,4)</f>
        <v>Passeriformes</v>
      </c>
      <c r="H1516" s="3" t="str">
        <f>VLOOKUP(B1516,[1]LifeList!$E$2:$I$2036,5)</f>
        <v>Parulidae (New World Warblers)</v>
      </c>
    </row>
    <row r="1517" spans="1:8" x14ac:dyDescent="0.15">
      <c r="A1517" s="3" t="s">
        <v>1445</v>
      </c>
      <c r="B1517" s="3" t="s">
        <v>4474</v>
      </c>
      <c r="C1517" s="3">
        <v>7867</v>
      </c>
      <c r="D1517" s="3" t="str">
        <f>VLOOKUP(B1517,[1]LifeList!$E$2:$G$2036,1)</f>
        <v>Hook-billed Kite</v>
      </c>
      <c r="E1517" s="3" t="str">
        <f>VLOOKUP(B1517,[1]LifeList!$E$2:$G$2036,2)</f>
        <v>Bec-en-croc de Temminck</v>
      </c>
      <c r="F1517" s="3" t="str">
        <f>VLOOKUP(B1517,[1]LifeList!$E$2:$G$2036,3)</f>
        <v>Chondrohierax uncinatus</v>
      </c>
      <c r="G1517" s="3" t="str">
        <f>VLOOKUP(B1517,[1]LifeList!$E$2:$I$2036,4)</f>
        <v>Accipitriformes</v>
      </c>
      <c r="H1517" s="3" t="str">
        <f>VLOOKUP(B1517,[1]LifeList!$E$2:$I$2036,5)</f>
        <v>Accipitridae (Hawks, Eagles, and Kites)</v>
      </c>
    </row>
    <row r="1518" spans="1:8" x14ac:dyDescent="0.15">
      <c r="A1518" s="3" t="s">
        <v>1446</v>
      </c>
      <c r="B1518" s="3" t="s">
        <v>4474</v>
      </c>
      <c r="C1518" s="3">
        <v>7867</v>
      </c>
      <c r="D1518" s="3" t="str">
        <f>VLOOKUP(B1518,[1]LifeList!$E$2:$G$2036,1)</f>
        <v>Hook-billed Kite</v>
      </c>
      <c r="E1518" s="3" t="str">
        <f>VLOOKUP(B1518,[1]LifeList!$E$2:$G$2036,2)</f>
        <v>Bec-en-croc de Temminck</v>
      </c>
      <c r="F1518" s="3" t="str">
        <f>VLOOKUP(B1518,[1]LifeList!$E$2:$G$2036,3)</f>
        <v>Chondrohierax uncinatus</v>
      </c>
      <c r="G1518" s="3" t="str">
        <f>VLOOKUP(B1518,[1]LifeList!$E$2:$I$2036,4)</f>
        <v>Accipitriformes</v>
      </c>
      <c r="H1518" s="3" t="str">
        <f>VLOOKUP(B1518,[1]LifeList!$E$2:$I$2036,5)</f>
        <v>Accipitridae (Hawks, Eagles, and Kites)</v>
      </c>
    </row>
    <row r="1519" spans="1:8" x14ac:dyDescent="0.15">
      <c r="A1519" s="3" t="s">
        <v>1447</v>
      </c>
      <c r="B1519" s="3" t="s">
        <v>4475</v>
      </c>
      <c r="C1519" s="3">
        <v>19991</v>
      </c>
      <c r="D1519" s="3" t="str">
        <f>VLOOKUP(B1519,[1]LifeList!$E$2:$G$2036,1)</f>
        <v>Hook-billed Vanga</v>
      </c>
      <c r="E1519" s="3" t="str">
        <f>VLOOKUP(B1519,[1]LifeList!$E$2:$G$2036,2)</f>
        <v>Vanga écorcheur</v>
      </c>
      <c r="F1519" s="3" t="str">
        <f>VLOOKUP(B1519,[1]LifeList!$E$2:$G$2036,3)</f>
        <v>Vanga curvirostris</v>
      </c>
      <c r="G1519" s="3" t="str">
        <f>VLOOKUP(B1519,[1]LifeList!$E$2:$I$2036,4)</f>
        <v>Passeriformes</v>
      </c>
      <c r="H1519" s="3" t="str">
        <f>VLOOKUP(B1519,[1]LifeList!$E$2:$I$2036,5)</f>
        <v>Vangidae (Vangas, Helmetshrikes, and Allies)</v>
      </c>
    </row>
    <row r="1520" spans="1:8" x14ac:dyDescent="0.15">
      <c r="A1520" s="3" t="s">
        <v>1448</v>
      </c>
      <c r="B1520" s="3" t="s">
        <v>4475</v>
      </c>
      <c r="C1520" s="3">
        <v>19991</v>
      </c>
      <c r="D1520" s="3" t="str">
        <f>VLOOKUP(B1520,[1]LifeList!$E$2:$G$2036,1)</f>
        <v>Hook-billed Vanga</v>
      </c>
      <c r="E1520" s="3" t="str">
        <f>VLOOKUP(B1520,[1]LifeList!$E$2:$G$2036,2)</f>
        <v>Vanga écorcheur</v>
      </c>
      <c r="F1520" s="3" t="str">
        <f>VLOOKUP(B1520,[1]LifeList!$E$2:$G$2036,3)</f>
        <v>Vanga curvirostris</v>
      </c>
      <c r="G1520" s="3" t="str">
        <f>VLOOKUP(B1520,[1]LifeList!$E$2:$I$2036,4)</f>
        <v>Passeriformes</v>
      </c>
      <c r="H1520" s="3" t="str">
        <f>VLOOKUP(B1520,[1]LifeList!$E$2:$I$2036,5)</f>
        <v>Vangidae (Vangas, Helmetshrikes, and Allies)</v>
      </c>
    </row>
    <row r="1521" spans="1:8" x14ac:dyDescent="0.15">
      <c r="A1521" s="3" t="s">
        <v>1449</v>
      </c>
      <c r="B1521" s="3" t="s">
        <v>4475</v>
      </c>
      <c r="C1521" s="3">
        <v>19991</v>
      </c>
      <c r="D1521" s="3" t="str">
        <f>VLOOKUP(B1521,[1]LifeList!$E$2:$G$2036,1)</f>
        <v>Hook-billed Vanga</v>
      </c>
      <c r="E1521" s="3" t="str">
        <f>VLOOKUP(B1521,[1]LifeList!$E$2:$G$2036,2)</f>
        <v>Vanga écorcheur</v>
      </c>
      <c r="F1521" s="3" t="str">
        <f>VLOOKUP(B1521,[1]LifeList!$E$2:$G$2036,3)</f>
        <v>Vanga curvirostris</v>
      </c>
      <c r="G1521" s="3" t="str">
        <f>VLOOKUP(B1521,[1]LifeList!$E$2:$I$2036,4)</f>
        <v>Passeriformes</v>
      </c>
      <c r="H1521" s="3" t="str">
        <f>VLOOKUP(B1521,[1]LifeList!$E$2:$I$2036,5)</f>
        <v>Vangidae (Vangas, Helmetshrikes, and Allies)</v>
      </c>
    </row>
    <row r="1522" spans="1:8" x14ac:dyDescent="0.15">
      <c r="A1522" s="3" t="s">
        <v>1450</v>
      </c>
      <c r="B1522" s="3" t="s">
        <v>4476</v>
      </c>
      <c r="C1522" s="3">
        <v>6866</v>
      </c>
      <c r="D1522" s="3" t="str">
        <f>VLOOKUP(B1522,[1]LifeList!$E$2:$G$2036,1)</f>
        <v>Horned Grebe</v>
      </c>
      <c r="E1522" s="3" t="str">
        <f>VLOOKUP(B1522,[1]LifeList!$E$2:$G$2036,2)</f>
        <v>Grèbe esclavon</v>
      </c>
      <c r="F1522" s="3" t="str">
        <f>VLOOKUP(B1522,[1]LifeList!$E$2:$G$2036,3)</f>
        <v>Podiceps auritus</v>
      </c>
      <c r="G1522" s="3" t="str">
        <f>VLOOKUP(B1522,[1]LifeList!$E$2:$I$2036,4)</f>
        <v>Podicipediformes</v>
      </c>
      <c r="H1522" s="3" t="str">
        <f>VLOOKUP(B1522,[1]LifeList!$E$2:$I$2036,5)</f>
        <v>Podicipedidae (Grebes)</v>
      </c>
    </row>
    <row r="1523" spans="1:8" x14ac:dyDescent="0.15">
      <c r="A1523" s="3" t="s">
        <v>1451</v>
      </c>
      <c r="B1523" s="3" t="s">
        <v>4476</v>
      </c>
      <c r="C1523" s="3">
        <v>6866</v>
      </c>
      <c r="D1523" s="3" t="str">
        <f>VLOOKUP(B1523,[1]LifeList!$E$2:$G$2036,1)</f>
        <v>Horned Grebe</v>
      </c>
      <c r="E1523" s="3" t="str">
        <f>VLOOKUP(B1523,[1]LifeList!$E$2:$G$2036,2)</f>
        <v>Grèbe esclavon</v>
      </c>
      <c r="F1523" s="3" t="str">
        <f>VLOOKUP(B1523,[1]LifeList!$E$2:$G$2036,3)</f>
        <v>Podiceps auritus</v>
      </c>
      <c r="G1523" s="3" t="str">
        <f>VLOOKUP(B1523,[1]LifeList!$E$2:$I$2036,4)</f>
        <v>Podicipediformes</v>
      </c>
      <c r="H1523" s="3" t="str">
        <f>VLOOKUP(B1523,[1]LifeList!$E$2:$I$2036,5)</f>
        <v>Podicipedidae (Grebes)</v>
      </c>
    </row>
    <row r="1524" spans="1:8" x14ac:dyDescent="0.15">
      <c r="A1524" s="3" t="s">
        <v>1452</v>
      </c>
      <c r="B1524" s="3" t="s">
        <v>4476</v>
      </c>
      <c r="C1524" s="3">
        <v>6866</v>
      </c>
      <c r="D1524" s="3" t="str">
        <f>VLOOKUP(B1524,[1]LifeList!$E$2:$G$2036,1)</f>
        <v>Horned Grebe</v>
      </c>
      <c r="E1524" s="3" t="str">
        <f>VLOOKUP(B1524,[1]LifeList!$E$2:$G$2036,2)</f>
        <v>Grèbe esclavon</v>
      </c>
      <c r="F1524" s="3" t="str">
        <f>VLOOKUP(B1524,[1]LifeList!$E$2:$G$2036,3)</f>
        <v>Podiceps auritus</v>
      </c>
      <c r="G1524" s="3" t="str">
        <f>VLOOKUP(B1524,[1]LifeList!$E$2:$I$2036,4)</f>
        <v>Podicipediformes</v>
      </c>
      <c r="H1524" s="3" t="str">
        <f>VLOOKUP(B1524,[1]LifeList!$E$2:$I$2036,5)</f>
        <v>Podicipedidae (Grebes)</v>
      </c>
    </row>
    <row r="1525" spans="1:8" x14ac:dyDescent="0.15">
      <c r="A1525" s="3" t="s">
        <v>1453</v>
      </c>
      <c r="B1525" s="3" t="s">
        <v>4477</v>
      </c>
      <c r="C1525" s="3">
        <v>22710</v>
      </c>
      <c r="D1525" s="3" t="str">
        <f>VLOOKUP(B1525,[1]LifeList!$E$2:$G$2036,1)</f>
        <v>Horned Lark</v>
      </c>
      <c r="E1525" s="3" t="str">
        <f>VLOOKUP(B1525,[1]LifeList!$E$2:$G$2036,2)</f>
        <v>Alouette hausse-col</v>
      </c>
      <c r="F1525" s="3" t="str">
        <f>VLOOKUP(B1525,[1]LifeList!$E$2:$G$2036,3)</f>
        <v>Eremophila alpestris</v>
      </c>
      <c r="G1525" s="3" t="str">
        <f>VLOOKUP(B1525,[1]LifeList!$E$2:$I$2036,4)</f>
        <v>Passeriformes</v>
      </c>
      <c r="H1525" s="3" t="str">
        <f>VLOOKUP(B1525,[1]LifeList!$E$2:$I$2036,5)</f>
        <v>Alaudidae (Larks)</v>
      </c>
    </row>
    <row r="1526" spans="1:8" x14ac:dyDescent="0.15">
      <c r="A1526" s="3" t="s">
        <v>1454</v>
      </c>
      <c r="B1526" s="3" t="s">
        <v>4477</v>
      </c>
      <c r="C1526" s="3">
        <v>22710</v>
      </c>
      <c r="D1526" s="3" t="str">
        <f>VLOOKUP(B1526,[1]LifeList!$E$2:$G$2036,1)</f>
        <v>Horned Lark</v>
      </c>
      <c r="E1526" s="3" t="str">
        <f>VLOOKUP(B1526,[1]LifeList!$E$2:$G$2036,2)</f>
        <v>Alouette hausse-col</v>
      </c>
      <c r="F1526" s="3" t="str">
        <f>VLOOKUP(B1526,[1]LifeList!$E$2:$G$2036,3)</f>
        <v>Eremophila alpestris</v>
      </c>
      <c r="G1526" s="3" t="str">
        <f>VLOOKUP(B1526,[1]LifeList!$E$2:$I$2036,4)</f>
        <v>Passeriformes</v>
      </c>
      <c r="H1526" s="3" t="str">
        <f>VLOOKUP(B1526,[1]LifeList!$E$2:$I$2036,5)</f>
        <v>Alaudidae (Larks)</v>
      </c>
    </row>
    <row r="1527" spans="1:8" x14ac:dyDescent="0.15">
      <c r="A1527" s="3" t="s">
        <v>1455</v>
      </c>
      <c r="B1527" s="3" t="s">
        <v>4477</v>
      </c>
      <c r="C1527" s="3">
        <v>22710</v>
      </c>
      <c r="D1527" s="3" t="str">
        <f>VLOOKUP(B1527,[1]LifeList!$E$2:$G$2036,1)</f>
        <v>Horned Lark</v>
      </c>
      <c r="E1527" s="3" t="str">
        <f>VLOOKUP(B1527,[1]LifeList!$E$2:$G$2036,2)</f>
        <v>Alouette hausse-col</v>
      </c>
      <c r="F1527" s="3" t="str">
        <f>VLOOKUP(B1527,[1]LifeList!$E$2:$G$2036,3)</f>
        <v>Eremophila alpestris</v>
      </c>
      <c r="G1527" s="3" t="str">
        <f>VLOOKUP(B1527,[1]LifeList!$E$2:$I$2036,4)</f>
        <v>Passeriformes</v>
      </c>
      <c r="H1527" s="3" t="str">
        <f>VLOOKUP(B1527,[1]LifeList!$E$2:$I$2036,5)</f>
        <v>Alaudidae (Larks)</v>
      </c>
    </row>
    <row r="1528" spans="1:8" x14ac:dyDescent="0.15">
      <c r="A1528" s="3" t="s">
        <v>1457</v>
      </c>
      <c r="B1528" s="3" t="s">
        <v>4478</v>
      </c>
      <c r="C1528" s="3">
        <v>32310</v>
      </c>
      <c r="D1528" s="3" t="str">
        <f>VLOOKUP(B1528,[1]LifeList!$E$2:$G$2036,1)</f>
        <v>House Finch</v>
      </c>
      <c r="E1528" s="3" t="str">
        <f>VLOOKUP(B1528,[1]LifeList!$E$2:$G$2036,2)</f>
        <v>Roselin familier</v>
      </c>
      <c r="F1528" s="3" t="str">
        <f>VLOOKUP(B1528,[1]LifeList!$E$2:$G$2036,3)</f>
        <v>Haemorhous mexicanus</v>
      </c>
      <c r="G1528" s="3" t="str">
        <f>VLOOKUP(B1528,[1]LifeList!$E$2:$I$2036,4)</f>
        <v>Passeriformes</v>
      </c>
      <c r="H1528" s="3" t="str">
        <f>VLOOKUP(B1528,[1]LifeList!$E$2:$I$2036,5)</f>
        <v>Fringillidae (Finches, Euphonias, and Allies)</v>
      </c>
    </row>
    <row r="1529" spans="1:8" x14ac:dyDescent="0.15">
      <c r="A1529" s="3" t="s">
        <v>1463</v>
      </c>
      <c r="B1529" s="3" t="s">
        <v>4478</v>
      </c>
      <c r="C1529" s="3">
        <v>32310</v>
      </c>
      <c r="D1529" s="3" t="str">
        <f>VLOOKUP(B1529,[1]LifeList!$E$2:$G$2036,1)</f>
        <v>House Finch</v>
      </c>
      <c r="E1529" s="3" t="str">
        <f>VLOOKUP(B1529,[1]LifeList!$E$2:$G$2036,2)</f>
        <v>Roselin familier</v>
      </c>
      <c r="F1529" s="3" t="str">
        <f>VLOOKUP(B1529,[1]LifeList!$E$2:$G$2036,3)</f>
        <v>Haemorhous mexicanus</v>
      </c>
      <c r="G1529" s="3" t="str">
        <f>VLOOKUP(B1529,[1]LifeList!$E$2:$I$2036,4)</f>
        <v>Passeriformes</v>
      </c>
      <c r="H1529" s="3" t="str">
        <f>VLOOKUP(B1529,[1]LifeList!$E$2:$I$2036,5)</f>
        <v>Fringillidae (Finches, Euphonias, and Allies)</v>
      </c>
    </row>
    <row r="1530" spans="1:8" x14ac:dyDescent="0.15">
      <c r="A1530" s="3" t="s">
        <v>1458</v>
      </c>
      <c r="B1530" s="3" t="s">
        <v>4478</v>
      </c>
      <c r="C1530" s="3">
        <v>32310</v>
      </c>
      <c r="D1530" s="3" t="str">
        <f>VLOOKUP(B1530,[1]LifeList!$E$2:$G$2036,1)</f>
        <v>House Finch</v>
      </c>
      <c r="E1530" s="3" t="str">
        <f>VLOOKUP(B1530,[1]LifeList!$E$2:$G$2036,2)</f>
        <v>Roselin familier</v>
      </c>
      <c r="F1530" s="3" t="str">
        <f>VLOOKUP(B1530,[1]LifeList!$E$2:$G$2036,3)</f>
        <v>Haemorhous mexicanus</v>
      </c>
      <c r="G1530" s="3" t="str">
        <f>VLOOKUP(B1530,[1]LifeList!$E$2:$I$2036,4)</f>
        <v>Passeriformes</v>
      </c>
      <c r="H1530" s="3" t="str">
        <f>VLOOKUP(B1530,[1]LifeList!$E$2:$I$2036,5)</f>
        <v>Fringillidae (Finches, Euphonias, and Allies)</v>
      </c>
    </row>
    <row r="1531" spans="1:8" x14ac:dyDescent="0.15">
      <c r="A1531" s="3" t="s">
        <v>1459</v>
      </c>
      <c r="B1531" s="3" t="s">
        <v>4478</v>
      </c>
      <c r="C1531" s="3">
        <v>32310</v>
      </c>
      <c r="D1531" s="3" t="str">
        <f>VLOOKUP(B1531,[1]LifeList!$E$2:$G$2036,1)</f>
        <v>House Finch</v>
      </c>
      <c r="E1531" s="3" t="str">
        <f>VLOOKUP(B1531,[1]LifeList!$E$2:$G$2036,2)</f>
        <v>Roselin familier</v>
      </c>
      <c r="F1531" s="3" t="str">
        <f>VLOOKUP(B1531,[1]LifeList!$E$2:$G$2036,3)</f>
        <v>Haemorhous mexicanus</v>
      </c>
      <c r="G1531" s="3" t="str">
        <f>VLOOKUP(B1531,[1]LifeList!$E$2:$I$2036,4)</f>
        <v>Passeriformes</v>
      </c>
      <c r="H1531" s="3" t="str">
        <f>VLOOKUP(B1531,[1]LifeList!$E$2:$I$2036,5)</f>
        <v>Fringillidae (Finches, Euphonias, and Allies)</v>
      </c>
    </row>
    <row r="1532" spans="1:8" x14ac:dyDescent="0.15">
      <c r="A1532" s="3" t="s">
        <v>1456</v>
      </c>
      <c r="B1532" s="3" t="s">
        <v>4478</v>
      </c>
      <c r="C1532" s="3">
        <v>32310</v>
      </c>
      <c r="D1532" s="3" t="str">
        <f>VLOOKUP(B1532,[1]LifeList!$E$2:$G$2036,1)</f>
        <v>House Finch</v>
      </c>
      <c r="E1532" s="3" t="str">
        <f>VLOOKUP(B1532,[1]LifeList!$E$2:$G$2036,2)</f>
        <v>Roselin familier</v>
      </c>
      <c r="F1532" s="3" t="str">
        <f>VLOOKUP(B1532,[1]LifeList!$E$2:$G$2036,3)</f>
        <v>Haemorhous mexicanus</v>
      </c>
      <c r="G1532" s="3" t="str">
        <f>VLOOKUP(B1532,[1]LifeList!$E$2:$I$2036,4)</f>
        <v>Passeriformes</v>
      </c>
      <c r="H1532" s="3" t="str">
        <f>VLOOKUP(B1532,[1]LifeList!$E$2:$I$2036,5)</f>
        <v>Fringillidae (Finches, Euphonias, and Allies)</v>
      </c>
    </row>
    <row r="1533" spans="1:8" x14ac:dyDescent="0.15">
      <c r="A1533" s="3" t="s">
        <v>1460</v>
      </c>
      <c r="B1533" s="3" t="s">
        <v>4479</v>
      </c>
      <c r="C1533" s="3">
        <v>31534</v>
      </c>
      <c r="D1533" s="3" t="str">
        <f>VLOOKUP(B1533,[1]LifeList!$E$2:$G$2036,1)</f>
        <v>House Sparrow</v>
      </c>
      <c r="E1533" s="3" t="str">
        <f>VLOOKUP(B1533,[1]LifeList!$E$2:$G$2036,2)</f>
        <v>Moineau domestique</v>
      </c>
      <c r="F1533" s="3" t="str">
        <f>VLOOKUP(B1533,[1]LifeList!$E$2:$G$2036,3)</f>
        <v>Passer domesticus</v>
      </c>
      <c r="G1533" s="3" t="str">
        <f>VLOOKUP(B1533,[1]LifeList!$E$2:$I$2036,4)</f>
        <v>Passeriformes</v>
      </c>
      <c r="H1533" s="3" t="str">
        <f>VLOOKUP(B1533,[1]LifeList!$E$2:$I$2036,5)</f>
        <v>Passeridae (Old World Sparrows)</v>
      </c>
    </row>
    <row r="1534" spans="1:8" x14ac:dyDescent="0.15">
      <c r="A1534" s="3" t="s">
        <v>1461</v>
      </c>
      <c r="B1534" s="3" t="s">
        <v>4479</v>
      </c>
      <c r="C1534" s="3">
        <v>31534</v>
      </c>
      <c r="D1534" s="3" t="str">
        <f>VLOOKUP(B1534,[1]LifeList!$E$2:$G$2036,1)</f>
        <v>House Sparrow</v>
      </c>
      <c r="E1534" s="3" t="str">
        <f>VLOOKUP(B1534,[1]LifeList!$E$2:$G$2036,2)</f>
        <v>Moineau domestique</v>
      </c>
      <c r="F1534" s="3" t="str">
        <f>VLOOKUP(B1534,[1]LifeList!$E$2:$G$2036,3)</f>
        <v>Passer domesticus</v>
      </c>
      <c r="G1534" s="3" t="str">
        <f>VLOOKUP(B1534,[1]LifeList!$E$2:$I$2036,4)</f>
        <v>Passeriformes</v>
      </c>
      <c r="H1534" s="3" t="str">
        <f>VLOOKUP(B1534,[1]LifeList!$E$2:$I$2036,5)</f>
        <v>Passeridae (Old World Sparrows)</v>
      </c>
    </row>
    <row r="1535" spans="1:8" x14ac:dyDescent="0.15">
      <c r="A1535" s="3" t="s">
        <v>1462</v>
      </c>
      <c r="B1535" s="3" t="s">
        <v>4479</v>
      </c>
      <c r="C1535" s="3">
        <v>31534</v>
      </c>
      <c r="D1535" s="3" t="str">
        <f>VLOOKUP(B1535,[1]LifeList!$E$2:$G$2036,1)</f>
        <v>House Sparrow</v>
      </c>
      <c r="E1535" s="3" t="str">
        <f>VLOOKUP(B1535,[1]LifeList!$E$2:$G$2036,2)</f>
        <v>Moineau domestique</v>
      </c>
      <c r="F1535" s="3" t="str">
        <f>VLOOKUP(B1535,[1]LifeList!$E$2:$G$2036,3)</f>
        <v>Passer domesticus</v>
      </c>
      <c r="G1535" s="3" t="str">
        <f>VLOOKUP(B1535,[1]LifeList!$E$2:$I$2036,4)</f>
        <v>Passeriformes</v>
      </c>
      <c r="H1535" s="3" t="str">
        <f>VLOOKUP(B1535,[1]LifeList!$E$2:$I$2036,5)</f>
        <v>Passeridae (Old World Sparrows)</v>
      </c>
    </row>
    <row r="1536" spans="1:8" x14ac:dyDescent="0.15">
      <c r="A1536" s="3" t="s">
        <v>1464</v>
      </c>
      <c r="B1536" s="3" t="s">
        <v>4480</v>
      </c>
      <c r="C1536" s="3">
        <v>6048</v>
      </c>
      <c r="D1536" s="3" t="str">
        <f>VLOOKUP(B1536,[1]LifeList!$E$2:$G$2036,1)</f>
        <v>Hudsonian Godwit</v>
      </c>
      <c r="E1536" s="3" t="str">
        <f>VLOOKUP(B1536,[1]LifeList!$E$2:$G$2036,2)</f>
        <v>Barge hudsonienne</v>
      </c>
      <c r="F1536" s="3" t="str">
        <f>VLOOKUP(B1536,[1]LifeList!$E$2:$G$2036,3)</f>
        <v>Limosa haemastica</v>
      </c>
      <c r="G1536" s="3" t="str">
        <f>VLOOKUP(B1536,[1]LifeList!$E$2:$I$2036,4)</f>
        <v>Charadriiformes</v>
      </c>
      <c r="H1536" s="3" t="str">
        <f>VLOOKUP(B1536,[1]LifeList!$E$2:$I$2036,5)</f>
        <v>Scolopacidae (Sandpipers and Allies)</v>
      </c>
    </row>
    <row r="1537" spans="1:8" x14ac:dyDescent="0.15">
      <c r="A1537" s="3" t="s">
        <v>1465</v>
      </c>
      <c r="B1537" s="3" t="s">
        <v>4480</v>
      </c>
      <c r="C1537" s="3">
        <v>6048</v>
      </c>
      <c r="D1537" s="3" t="str">
        <f>VLOOKUP(B1537,[1]LifeList!$E$2:$G$2036,1)</f>
        <v>Hudsonian Godwit</v>
      </c>
      <c r="E1537" s="3" t="str">
        <f>VLOOKUP(B1537,[1]LifeList!$E$2:$G$2036,2)</f>
        <v>Barge hudsonienne</v>
      </c>
      <c r="F1537" s="3" t="str">
        <f>VLOOKUP(B1537,[1]LifeList!$E$2:$G$2036,3)</f>
        <v>Limosa haemastica</v>
      </c>
      <c r="G1537" s="3" t="str">
        <f>VLOOKUP(B1537,[1]LifeList!$E$2:$I$2036,4)</f>
        <v>Charadriiformes</v>
      </c>
      <c r="H1537" s="3" t="str">
        <f>VLOOKUP(B1537,[1]LifeList!$E$2:$I$2036,5)</f>
        <v>Scolopacidae (Sandpipers and Allies)</v>
      </c>
    </row>
    <row r="1538" spans="1:8" x14ac:dyDescent="0.15">
      <c r="A1538" s="3" t="s">
        <v>3874</v>
      </c>
      <c r="B1538" s="3" t="s">
        <v>5252</v>
      </c>
      <c r="C1538" s="3">
        <v>17808</v>
      </c>
      <c r="D1538" s="3" t="str">
        <f>VLOOKUP(B1538,[1]LifeList!$E$2:$G$2036,1)</f>
        <v>Humblot's Heron</v>
      </c>
      <c r="E1538" s="3" t="str">
        <f>VLOOKUP(B1538,[1]LifeList!$E$2:$G$2036,2)</f>
        <v>Héron de Humblot</v>
      </c>
      <c r="F1538" s="3" t="str">
        <f>VLOOKUP(B1538,[1]LifeList!$E$2:$G$2036,3)</f>
        <v>Ardea humbloti</v>
      </c>
      <c r="G1538" s="3" t="str">
        <f>VLOOKUP(B1538,[1]LifeList!$E$2:$I$2036,4)</f>
        <v>Pelecaniformes</v>
      </c>
      <c r="H1538" s="3" t="str">
        <f>VLOOKUP(B1538,[1]LifeList!$E$2:$I$2036,5)</f>
        <v>Ardeidae (Herons, Egrets, and Bitterns)</v>
      </c>
    </row>
    <row r="1539" spans="1:8" x14ac:dyDescent="0.15">
      <c r="A1539" s="3" t="s">
        <v>1466</v>
      </c>
      <c r="B1539" s="3" t="s">
        <v>4481</v>
      </c>
      <c r="C1539" s="3">
        <v>32118</v>
      </c>
      <c r="D1539" s="3" t="str">
        <f>VLOOKUP(B1539,[1]LifeList!$E$2:$G$2036,1)</f>
        <v>Iiwi</v>
      </c>
      <c r="E1539" s="3" t="str">
        <f>VLOOKUP(B1539,[1]LifeList!$E$2:$G$2036,2)</f>
        <v>Iiwi rouge</v>
      </c>
      <c r="F1539" s="3" t="str">
        <f>VLOOKUP(B1539,[1]LifeList!$E$2:$G$2036,3)</f>
        <v>Drepanis coccinea</v>
      </c>
      <c r="G1539" s="3" t="str">
        <f>VLOOKUP(B1539,[1]LifeList!$E$2:$I$2036,4)</f>
        <v>Passeriformes</v>
      </c>
      <c r="H1539" s="3" t="str">
        <f>VLOOKUP(B1539,[1]LifeList!$E$2:$I$2036,5)</f>
        <v>Fringillidae (Finches, Euphonias, and Allies)</v>
      </c>
    </row>
    <row r="1540" spans="1:8" x14ac:dyDescent="0.15">
      <c r="A1540" s="3" t="s">
        <v>1467</v>
      </c>
      <c r="B1540" s="3" t="s">
        <v>4482</v>
      </c>
      <c r="C1540" s="3">
        <v>2242</v>
      </c>
      <c r="D1540" s="3" t="str">
        <f>VLOOKUP(B1540,[1]LifeList!$E$2:$G$2036,1)</f>
        <v>Inca Dove</v>
      </c>
      <c r="E1540" s="3" t="str">
        <f>VLOOKUP(B1540,[1]LifeList!$E$2:$G$2036,2)</f>
        <v>Colombe inca</v>
      </c>
      <c r="F1540" s="3" t="str">
        <f>VLOOKUP(B1540,[1]LifeList!$E$2:$G$2036,3)</f>
        <v>Columbina inca</v>
      </c>
      <c r="G1540" s="3" t="str">
        <f>VLOOKUP(B1540,[1]LifeList!$E$2:$I$2036,4)</f>
        <v>Columbiformes</v>
      </c>
      <c r="H1540" s="3" t="str">
        <f>VLOOKUP(B1540,[1]LifeList!$E$2:$I$2036,5)</f>
        <v>Columbidae (Pigeons and Doves)</v>
      </c>
    </row>
    <row r="1541" spans="1:8" x14ac:dyDescent="0.15">
      <c r="A1541" s="3" t="s">
        <v>1469</v>
      </c>
      <c r="B1541" s="3" t="s">
        <v>4483</v>
      </c>
      <c r="C1541" s="3">
        <v>34607</v>
      </c>
      <c r="D1541" s="3" t="str">
        <f>VLOOKUP(B1541,[1]LifeList!$E$2:$G$2036,1)</f>
        <v>Indigo Bunting</v>
      </c>
      <c r="E1541" s="3" t="str">
        <f>VLOOKUP(B1541,[1]LifeList!$E$2:$G$2036,2)</f>
        <v>Passerin indigo</v>
      </c>
      <c r="F1541" s="3" t="str">
        <f>VLOOKUP(B1541,[1]LifeList!$E$2:$G$2036,3)</f>
        <v>Passerina cyanea</v>
      </c>
      <c r="G1541" s="3" t="str">
        <f>VLOOKUP(B1541,[1]LifeList!$E$2:$I$2036,4)</f>
        <v>Passeriformes</v>
      </c>
      <c r="H1541" s="3" t="str">
        <f>VLOOKUP(B1541,[1]LifeList!$E$2:$I$2036,5)</f>
        <v>Cardinalidae (Cardinals and Allies)</v>
      </c>
    </row>
    <row r="1542" spans="1:8" x14ac:dyDescent="0.15">
      <c r="A1542" s="3" t="s">
        <v>1470</v>
      </c>
      <c r="B1542" s="3" t="s">
        <v>4483</v>
      </c>
      <c r="C1542" s="3">
        <v>34607</v>
      </c>
      <c r="D1542" s="3" t="str">
        <f>VLOOKUP(B1542,[1]LifeList!$E$2:$G$2036,1)</f>
        <v>Indigo Bunting</v>
      </c>
      <c r="E1542" s="3" t="str">
        <f>VLOOKUP(B1542,[1]LifeList!$E$2:$G$2036,2)</f>
        <v>Passerin indigo</v>
      </c>
      <c r="F1542" s="3" t="str">
        <f>VLOOKUP(B1542,[1]LifeList!$E$2:$G$2036,3)</f>
        <v>Passerina cyanea</v>
      </c>
      <c r="G1542" s="3" t="str">
        <f>VLOOKUP(B1542,[1]LifeList!$E$2:$I$2036,4)</f>
        <v>Passeriformes</v>
      </c>
      <c r="H1542" s="3" t="str">
        <f>VLOOKUP(B1542,[1]LifeList!$E$2:$I$2036,5)</f>
        <v>Cardinalidae (Cardinals and Allies)</v>
      </c>
    </row>
    <row r="1543" spans="1:8" x14ac:dyDescent="0.15">
      <c r="A1543" s="3" t="s">
        <v>1471</v>
      </c>
      <c r="B1543" s="3" t="s">
        <v>4483</v>
      </c>
      <c r="C1543" s="3">
        <v>34607</v>
      </c>
      <c r="D1543" s="3" t="str">
        <f>VLOOKUP(B1543,[1]LifeList!$E$2:$G$2036,1)</f>
        <v>Indigo Bunting</v>
      </c>
      <c r="E1543" s="3" t="str">
        <f>VLOOKUP(B1543,[1]LifeList!$E$2:$G$2036,2)</f>
        <v>Passerin indigo</v>
      </c>
      <c r="F1543" s="3" t="str">
        <f>VLOOKUP(B1543,[1]LifeList!$E$2:$G$2036,3)</f>
        <v>Passerina cyanea</v>
      </c>
      <c r="G1543" s="3" t="str">
        <f>VLOOKUP(B1543,[1]LifeList!$E$2:$I$2036,4)</f>
        <v>Passeriformes</v>
      </c>
      <c r="H1543" s="3" t="str">
        <f>VLOOKUP(B1543,[1]LifeList!$E$2:$I$2036,5)</f>
        <v>Cardinalidae (Cardinals and Allies)</v>
      </c>
    </row>
    <row r="1544" spans="1:8" x14ac:dyDescent="0.15">
      <c r="A1544" s="3" t="s">
        <v>1472</v>
      </c>
      <c r="B1544" s="3" t="s">
        <v>4483</v>
      </c>
      <c r="C1544" s="3">
        <v>34607</v>
      </c>
      <c r="D1544" s="3" t="str">
        <f>VLOOKUP(B1544,[1]LifeList!$E$2:$G$2036,1)</f>
        <v>Indigo Bunting</v>
      </c>
      <c r="E1544" s="3" t="str">
        <f>VLOOKUP(B1544,[1]LifeList!$E$2:$G$2036,2)</f>
        <v>Passerin indigo</v>
      </c>
      <c r="F1544" s="3" t="str">
        <f>VLOOKUP(B1544,[1]LifeList!$E$2:$G$2036,3)</f>
        <v>Passerina cyanea</v>
      </c>
      <c r="G1544" s="3" t="str">
        <f>VLOOKUP(B1544,[1]LifeList!$E$2:$I$2036,4)</f>
        <v>Passeriformes</v>
      </c>
      <c r="H1544" s="3" t="str">
        <f>VLOOKUP(B1544,[1]LifeList!$E$2:$I$2036,5)</f>
        <v>Cardinalidae (Cardinals and Allies)</v>
      </c>
    </row>
    <row r="1545" spans="1:8" x14ac:dyDescent="0.15">
      <c r="A1545" s="3" t="s">
        <v>1468</v>
      </c>
      <c r="B1545" s="3" t="s">
        <v>4484</v>
      </c>
      <c r="C1545" s="3">
        <v>5081</v>
      </c>
      <c r="D1545" s="3" t="str">
        <f>VLOOKUP(B1545,[1]LifeList!$E$2:$G$2036,1)</f>
        <v>Indigo-capped Hummingbird</v>
      </c>
      <c r="E1545" s="3" t="str">
        <f>VLOOKUP(B1545,[1]LifeList!$E$2:$G$2036,2)</f>
        <v>Ariane à front bleu</v>
      </c>
      <c r="F1545" s="3" t="str">
        <f>VLOOKUP(B1545,[1]LifeList!$E$2:$G$2036,3)</f>
        <v>Saucerottia cyanifrons</v>
      </c>
      <c r="G1545" s="3" t="str">
        <f>VLOOKUP(B1545,[1]LifeList!$E$2:$I$2036,4)</f>
        <v>Apodiformes</v>
      </c>
      <c r="H1545" s="3" t="str">
        <f>VLOOKUP(B1545,[1]LifeList!$E$2:$I$2036,5)</f>
        <v>Trochilidae (Hummingbirds)</v>
      </c>
    </row>
    <row r="1546" spans="1:8" x14ac:dyDescent="0.15">
      <c r="A1546" s="3" t="s">
        <v>1473</v>
      </c>
      <c r="B1546" s="3" t="s">
        <v>4485</v>
      </c>
      <c r="C1546" s="3">
        <v>27538</v>
      </c>
      <c r="D1546" s="3" t="str">
        <f>VLOOKUP(B1546,[1]LifeList!$E$2:$G$2036,1)</f>
        <v>Isthmian Wren</v>
      </c>
      <c r="E1546" s="3" t="str">
        <f>VLOOKUP(B1546,[1]LifeList!$E$2:$G$2036,2)</f>
        <v>Troglodyte du Panama</v>
      </c>
      <c r="F1546" s="3" t="str">
        <f>VLOOKUP(B1546,[1]LifeList!$E$2:$G$2036,3)</f>
        <v>Cantorchilus elutus</v>
      </c>
      <c r="G1546" s="3" t="str">
        <f>VLOOKUP(B1546,[1]LifeList!$E$2:$I$2036,4)</f>
        <v>Passeriformes</v>
      </c>
      <c r="H1546" s="3" t="str">
        <f>VLOOKUP(B1546,[1]LifeList!$E$2:$I$2036,5)</f>
        <v>Troglodytidae (Wrens)</v>
      </c>
    </row>
    <row r="1547" spans="1:8" x14ac:dyDescent="0.15">
      <c r="A1547" s="3" t="s">
        <v>1474</v>
      </c>
      <c r="B1547" s="3" t="s">
        <v>4486</v>
      </c>
      <c r="C1547" s="3">
        <v>14844</v>
      </c>
      <c r="D1547" s="3" t="str">
        <f>VLOOKUP(B1547,[1]LifeList!$E$2:$G$2036,1)</f>
        <v>Ivory-billed Woodcreeper</v>
      </c>
      <c r="E1547" s="3" t="str">
        <f>VLOOKUP(B1547,[1]LifeList!$E$2:$G$2036,2)</f>
        <v>Grimpar à bec ivoire</v>
      </c>
      <c r="F1547" s="3" t="str">
        <f>VLOOKUP(B1547,[1]LifeList!$E$2:$G$2036,3)</f>
        <v>Xiphorhynchus flavigaster</v>
      </c>
      <c r="G1547" s="3" t="str">
        <f>VLOOKUP(B1547,[1]LifeList!$E$2:$I$2036,4)</f>
        <v>Passeriformes</v>
      </c>
      <c r="H1547" s="3" t="str">
        <f>VLOOKUP(B1547,[1]LifeList!$E$2:$I$2036,5)</f>
        <v>Furnariidae (Ovenbirds and Woodcreepers)</v>
      </c>
    </row>
    <row r="1548" spans="1:8" x14ac:dyDescent="0.15">
      <c r="A1548" s="3" t="s">
        <v>1475</v>
      </c>
      <c r="B1548" s="3" t="s">
        <v>4487</v>
      </c>
      <c r="C1548" s="3">
        <v>7301</v>
      </c>
      <c r="D1548" s="3" t="str">
        <f>VLOOKUP(B1548,[1]LifeList!$E$2:$G$2036,1)</f>
        <v>Jabiru</v>
      </c>
      <c r="E1548" s="3" t="str">
        <f>VLOOKUP(B1548,[1]LifeList!$E$2:$G$2036,2)</f>
        <v>Jabiru d'Amérique</v>
      </c>
      <c r="F1548" s="3" t="str">
        <f>VLOOKUP(B1548,[1]LifeList!$E$2:$G$2036,3)</f>
        <v>Jabiru mycteria</v>
      </c>
      <c r="G1548" s="3" t="str">
        <f>VLOOKUP(B1548,[1]LifeList!$E$2:$I$2036,4)</f>
        <v>Ciconiiformes</v>
      </c>
      <c r="H1548" s="3" t="str">
        <f>VLOOKUP(B1548,[1]LifeList!$E$2:$I$2036,5)</f>
        <v>Ciconiidae (Storks)</v>
      </c>
    </row>
    <row r="1549" spans="1:8" x14ac:dyDescent="0.15">
      <c r="A1549" s="3" t="s">
        <v>1476</v>
      </c>
      <c r="B1549" s="3" t="s">
        <v>4488</v>
      </c>
      <c r="C1549" s="3">
        <v>8541</v>
      </c>
      <c r="D1549" s="3" t="str">
        <f>VLOOKUP(B1549,[1]LifeList!$E$2:$G$2036,1)</f>
        <v>Jackal Buzzard</v>
      </c>
      <c r="E1549" s="3" t="str">
        <f>VLOOKUP(B1549,[1]LifeList!$E$2:$G$2036,2)</f>
        <v>Buse rounoir</v>
      </c>
      <c r="F1549" s="3" t="str">
        <f>VLOOKUP(B1549,[1]LifeList!$E$2:$G$2036,3)</f>
        <v>Buteo rufofuscus</v>
      </c>
      <c r="G1549" s="3" t="str">
        <f>VLOOKUP(B1549,[1]LifeList!$E$2:$I$2036,4)</f>
        <v>Accipitriformes</v>
      </c>
      <c r="H1549" s="3" t="str">
        <f>VLOOKUP(B1549,[1]LifeList!$E$2:$I$2036,5)</f>
        <v>Accipitridae (Hawks, Eagles, and Kites)</v>
      </c>
    </row>
    <row r="1550" spans="1:8" x14ac:dyDescent="0.15">
      <c r="A1550" s="3" t="s">
        <v>1477</v>
      </c>
      <c r="B1550" s="3" t="s">
        <v>4489</v>
      </c>
      <c r="C1550" s="3">
        <v>31066</v>
      </c>
      <c r="D1550" s="3" t="str">
        <f>VLOOKUP(B1550,[1]LifeList!$E$2:$G$2036,1)</f>
        <v>Java Sparrow</v>
      </c>
      <c r="E1550" s="3" t="str">
        <f>VLOOKUP(B1550,[1]LifeList!$E$2:$G$2036,2)</f>
        <v>Padda de Java</v>
      </c>
      <c r="F1550" s="3" t="str">
        <f>VLOOKUP(B1550,[1]LifeList!$E$2:$G$2036,3)</f>
        <v>Padda oryzivora</v>
      </c>
      <c r="G1550" s="3" t="str">
        <f>VLOOKUP(B1550,[1]LifeList!$E$2:$I$2036,4)</f>
        <v>Passeriformes</v>
      </c>
      <c r="H1550" s="3" t="str">
        <f>VLOOKUP(B1550,[1]LifeList!$E$2:$I$2036,5)</f>
        <v>Estrildidae (Waxbills and Allies)</v>
      </c>
    </row>
    <row r="1551" spans="1:8" x14ac:dyDescent="0.15">
      <c r="A1551" s="3" t="s">
        <v>1478</v>
      </c>
      <c r="B1551" s="3" t="s">
        <v>4490</v>
      </c>
      <c r="C1551" s="3">
        <v>1529</v>
      </c>
      <c r="D1551" s="3" t="str">
        <f>VLOOKUP(B1551,[1]LifeList!$E$2:$G$2036,1)</f>
        <v>Kalij Pheasant</v>
      </c>
      <c r="E1551" s="3" t="str">
        <f>VLOOKUP(B1551,[1]LifeList!$E$2:$G$2036,2)</f>
        <v>Faisan leucomèle</v>
      </c>
      <c r="F1551" s="3" t="str">
        <f>VLOOKUP(B1551,[1]LifeList!$E$2:$G$2036,3)</f>
        <v>Lophura leucomelanos</v>
      </c>
      <c r="G1551" s="3" t="str">
        <f>VLOOKUP(B1551,[1]LifeList!$E$2:$I$2036,4)</f>
        <v>Galliformes</v>
      </c>
      <c r="H1551" s="3" t="str">
        <f>VLOOKUP(B1551,[1]LifeList!$E$2:$I$2036,5)</f>
        <v>Phasianidae (Pheasants, Grouse, and Allies)</v>
      </c>
    </row>
    <row r="1552" spans="1:8" x14ac:dyDescent="0.15">
      <c r="A1552" s="3" t="s">
        <v>1479</v>
      </c>
      <c r="B1552" s="3" t="s">
        <v>4491</v>
      </c>
      <c r="C1552" s="3">
        <v>9890</v>
      </c>
      <c r="D1552" s="3" t="str">
        <f>VLOOKUP(B1552,[1]LifeList!$E$2:$G$2036,1)</f>
        <v>Keel-billed Motmot</v>
      </c>
      <c r="E1552" s="3" t="str">
        <f>VLOOKUP(B1552,[1]LifeList!$E$2:$G$2036,2)</f>
        <v>Motmot à bec caréné</v>
      </c>
      <c r="F1552" s="3" t="str">
        <f>VLOOKUP(B1552,[1]LifeList!$E$2:$G$2036,3)</f>
        <v>Electron carinatum</v>
      </c>
      <c r="G1552" s="3" t="str">
        <f>VLOOKUP(B1552,[1]LifeList!$E$2:$I$2036,4)</f>
        <v>Coraciiformes</v>
      </c>
      <c r="H1552" s="3" t="str">
        <f>VLOOKUP(B1552,[1]LifeList!$E$2:$I$2036,5)</f>
        <v>Momotidae (Motmots)</v>
      </c>
    </row>
    <row r="1553" spans="1:8" x14ac:dyDescent="0.15">
      <c r="A1553" s="3" t="s">
        <v>1480</v>
      </c>
      <c r="B1553" s="3" t="s">
        <v>4492</v>
      </c>
      <c r="C1553" s="3">
        <v>10936</v>
      </c>
      <c r="D1553" s="3" t="str">
        <f>VLOOKUP(B1553,[1]LifeList!$E$2:$G$2036,1)</f>
        <v>Keel-billed Toucan</v>
      </c>
      <c r="E1553" s="3" t="str">
        <f>VLOOKUP(B1553,[1]LifeList!$E$2:$G$2036,2)</f>
        <v>Toucan à carène</v>
      </c>
      <c r="F1553" s="3" t="str">
        <f>VLOOKUP(B1553,[1]LifeList!$E$2:$G$2036,3)</f>
        <v>Ramphastos sulfuratus</v>
      </c>
      <c r="G1553" s="3" t="str">
        <f>VLOOKUP(B1553,[1]LifeList!$E$2:$I$2036,4)</f>
        <v>Piciformes</v>
      </c>
      <c r="H1553" s="3" t="str">
        <f>VLOOKUP(B1553,[1]LifeList!$E$2:$I$2036,5)</f>
        <v>Ramphastidae (Toucans)</v>
      </c>
    </row>
    <row r="1554" spans="1:8" x14ac:dyDescent="0.15">
      <c r="A1554" s="3" t="s">
        <v>1481</v>
      </c>
      <c r="B1554" s="3" t="s">
        <v>4492</v>
      </c>
      <c r="C1554" s="3">
        <v>10936</v>
      </c>
      <c r="D1554" s="3" t="str">
        <f>VLOOKUP(B1554,[1]LifeList!$E$2:$G$2036,1)</f>
        <v>Keel-billed Toucan</v>
      </c>
      <c r="E1554" s="3" t="str">
        <f>VLOOKUP(B1554,[1]LifeList!$E$2:$G$2036,2)</f>
        <v>Toucan à carène</v>
      </c>
      <c r="F1554" s="3" t="str">
        <f>VLOOKUP(B1554,[1]LifeList!$E$2:$G$2036,3)</f>
        <v>Ramphastos sulfuratus</v>
      </c>
      <c r="G1554" s="3" t="str">
        <f>VLOOKUP(B1554,[1]LifeList!$E$2:$I$2036,4)</f>
        <v>Piciformes</v>
      </c>
      <c r="H1554" s="3" t="str">
        <f>VLOOKUP(B1554,[1]LifeList!$E$2:$I$2036,5)</f>
        <v>Ramphastidae (Toucans)</v>
      </c>
    </row>
    <row r="1555" spans="1:8" x14ac:dyDescent="0.15">
      <c r="A1555" s="3" t="s">
        <v>1482</v>
      </c>
      <c r="B1555" s="3" t="s">
        <v>4492</v>
      </c>
      <c r="C1555" s="3">
        <v>10936</v>
      </c>
      <c r="D1555" s="3" t="str">
        <f>VLOOKUP(B1555,[1]LifeList!$E$2:$G$2036,1)</f>
        <v>Keel-billed Toucan</v>
      </c>
      <c r="E1555" s="3" t="str">
        <f>VLOOKUP(B1555,[1]LifeList!$E$2:$G$2036,2)</f>
        <v>Toucan à carène</v>
      </c>
      <c r="F1555" s="3" t="str">
        <f>VLOOKUP(B1555,[1]LifeList!$E$2:$G$2036,3)</f>
        <v>Ramphastos sulfuratus</v>
      </c>
      <c r="G1555" s="3" t="str">
        <f>VLOOKUP(B1555,[1]LifeList!$E$2:$I$2036,4)</f>
        <v>Piciformes</v>
      </c>
      <c r="H1555" s="3" t="str">
        <f>VLOOKUP(B1555,[1]LifeList!$E$2:$I$2036,5)</f>
        <v>Ramphastidae (Toucans)</v>
      </c>
    </row>
    <row r="1556" spans="1:8" x14ac:dyDescent="0.15">
      <c r="A1556" s="3" t="s">
        <v>1483</v>
      </c>
      <c r="B1556" s="3" t="s">
        <v>4492</v>
      </c>
      <c r="C1556" s="3">
        <v>10936</v>
      </c>
      <c r="D1556" s="3" t="str">
        <f>VLOOKUP(B1556,[1]LifeList!$E$2:$G$2036,1)</f>
        <v>Keel-billed Toucan</v>
      </c>
      <c r="E1556" s="3" t="str">
        <f>VLOOKUP(B1556,[1]LifeList!$E$2:$G$2036,2)</f>
        <v>Toucan à carène</v>
      </c>
      <c r="F1556" s="3" t="str">
        <f>VLOOKUP(B1556,[1]LifeList!$E$2:$G$2036,3)</f>
        <v>Ramphastos sulfuratus</v>
      </c>
      <c r="G1556" s="3" t="str">
        <f>VLOOKUP(B1556,[1]LifeList!$E$2:$I$2036,4)</f>
        <v>Piciformes</v>
      </c>
      <c r="H1556" s="3" t="str">
        <f>VLOOKUP(B1556,[1]LifeList!$E$2:$I$2036,5)</f>
        <v>Ramphastidae (Toucans)</v>
      </c>
    </row>
    <row r="1557" spans="1:8" x14ac:dyDescent="0.15">
      <c r="A1557" s="3" t="s">
        <v>1484</v>
      </c>
      <c r="B1557" s="3" t="s">
        <v>4492</v>
      </c>
      <c r="C1557" s="3">
        <v>10936</v>
      </c>
      <c r="D1557" s="3" t="str">
        <f>VLOOKUP(B1557,[1]LifeList!$E$2:$G$2036,1)</f>
        <v>Keel-billed Toucan</v>
      </c>
      <c r="E1557" s="3" t="str">
        <f>VLOOKUP(B1557,[1]LifeList!$E$2:$G$2036,2)</f>
        <v>Toucan à carène</v>
      </c>
      <c r="F1557" s="3" t="str">
        <f>VLOOKUP(B1557,[1]LifeList!$E$2:$G$2036,3)</f>
        <v>Ramphastos sulfuratus</v>
      </c>
      <c r="G1557" s="3" t="str">
        <f>VLOOKUP(B1557,[1]LifeList!$E$2:$I$2036,4)</f>
        <v>Piciformes</v>
      </c>
      <c r="H1557" s="3" t="str">
        <f>VLOOKUP(B1557,[1]LifeList!$E$2:$I$2036,5)</f>
        <v>Ramphastidae (Toucans)</v>
      </c>
    </row>
    <row r="1558" spans="1:8" x14ac:dyDescent="0.15">
      <c r="A1558" s="3" t="s">
        <v>1485</v>
      </c>
      <c r="B1558" s="3" t="s">
        <v>4492</v>
      </c>
      <c r="C1558" s="3">
        <v>10936</v>
      </c>
      <c r="D1558" s="3" t="str">
        <f>VLOOKUP(B1558,[1]LifeList!$E$2:$G$2036,1)</f>
        <v>Keel-billed Toucan</v>
      </c>
      <c r="E1558" s="3" t="str">
        <f>VLOOKUP(B1558,[1]LifeList!$E$2:$G$2036,2)</f>
        <v>Toucan à carène</v>
      </c>
      <c r="F1558" s="3" t="str">
        <f>VLOOKUP(B1558,[1]LifeList!$E$2:$G$2036,3)</f>
        <v>Ramphastos sulfuratus</v>
      </c>
      <c r="G1558" s="3" t="str">
        <f>VLOOKUP(B1558,[1]LifeList!$E$2:$I$2036,4)</f>
        <v>Piciformes</v>
      </c>
      <c r="H1558" s="3" t="str">
        <f>VLOOKUP(B1558,[1]LifeList!$E$2:$I$2036,5)</f>
        <v>Ramphastidae (Toucans)</v>
      </c>
    </row>
    <row r="1559" spans="1:8" x14ac:dyDescent="0.15">
      <c r="A1559" s="3" t="s">
        <v>1486</v>
      </c>
      <c r="B1559" s="3" t="s">
        <v>4492</v>
      </c>
      <c r="C1559" s="3">
        <v>10936</v>
      </c>
      <c r="D1559" s="3" t="str">
        <f>VLOOKUP(B1559,[1]LifeList!$E$2:$G$2036,1)</f>
        <v>Keel-billed Toucan</v>
      </c>
      <c r="E1559" s="3" t="str">
        <f>VLOOKUP(B1559,[1]LifeList!$E$2:$G$2036,2)</f>
        <v>Toucan à carène</v>
      </c>
      <c r="F1559" s="3" t="str">
        <f>VLOOKUP(B1559,[1]LifeList!$E$2:$G$2036,3)</f>
        <v>Ramphastos sulfuratus</v>
      </c>
      <c r="G1559" s="3" t="str">
        <f>VLOOKUP(B1559,[1]LifeList!$E$2:$I$2036,4)</f>
        <v>Piciformes</v>
      </c>
      <c r="H1559" s="3" t="str">
        <f>VLOOKUP(B1559,[1]LifeList!$E$2:$I$2036,5)</f>
        <v>Ramphastidae (Toucans)</v>
      </c>
    </row>
    <row r="1560" spans="1:8" x14ac:dyDescent="0.15">
      <c r="A1560" s="3" t="s">
        <v>1487</v>
      </c>
      <c r="B1560" s="3" t="s">
        <v>4492</v>
      </c>
      <c r="C1560" s="3">
        <v>10936</v>
      </c>
      <c r="D1560" s="3" t="str">
        <f>VLOOKUP(B1560,[1]LifeList!$E$2:$G$2036,1)</f>
        <v>Keel-billed Toucan</v>
      </c>
      <c r="E1560" s="3" t="str">
        <f>VLOOKUP(B1560,[1]LifeList!$E$2:$G$2036,2)</f>
        <v>Toucan à carène</v>
      </c>
      <c r="F1560" s="3" t="str">
        <f>VLOOKUP(B1560,[1]LifeList!$E$2:$G$2036,3)</f>
        <v>Ramphastos sulfuratus</v>
      </c>
      <c r="G1560" s="3" t="str">
        <f>VLOOKUP(B1560,[1]LifeList!$E$2:$I$2036,4)</f>
        <v>Piciformes</v>
      </c>
      <c r="H1560" s="3" t="str">
        <f>VLOOKUP(B1560,[1]LifeList!$E$2:$I$2036,5)</f>
        <v>Ramphastidae (Toucans)</v>
      </c>
    </row>
    <row r="1561" spans="1:8" x14ac:dyDescent="0.15">
      <c r="A1561" s="3" t="s">
        <v>1488</v>
      </c>
      <c r="B1561" s="3" t="s">
        <v>4492</v>
      </c>
      <c r="C1561" s="3">
        <v>10936</v>
      </c>
      <c r="D1561" s="3" t="str">
        <f>VLOOKUP(B1561,[1]LifeList!$E$2:$G$2036,1)</f>
        <v>Keel-billed Toucan</v>
      </c>
      <c r="E1561" s="3" t="str">
        <f>VLOOKUP(B1561,[1]LifeList!$E$2:$G$2036,2)</f>
        <v>Toucan à carène</v>
      </c>
      <c r="F1561" s="3" t="str">
        <f>VLOOKUP(B1561,[1]LifeList!$E$2:$G$2036,3)</f>
        <v>Ramphastos sulfuratus</v>
      </c>
      <c r="G1561" s="3" t="str">
        <f>VLOOKUP(B1561,[1]LifeList!$E$2:$I$2036,4)</f>
        <v>Piciformes</v>
      </c>
      <c r="H1561" s="3" t="str">
        <f>VLOOKUP(B1561,[1]LifeList!$E$2:$I$2036,5)</f>
        <v>Ramphastidae (Toucans)</v>
      </c>
    </row>
    <row r="1562" spans="1:8" x14ac:dyDescent="0.15">
      <c r="A1562" s="3" t="s">
        <v>1489</v>
      </c>
      <c r="B1562" s="3" t="s">
        <v>4493</v>
      </c>
      <c r="C1562" s="3">
        <v>6533</v>
      </c>
      <c r="D1562" s="3" t="str">
        <f>VLOOKUP(B1562,[1]LifeList!$E$2:$G$2036,1)</f>
        <v>Kelp Gull</v>
      </c>
      <c r="E1562" s="3" t="str">
        <f>VLOOKUP(B1562,[1]LifeList!$E$2:$G$2036,2)</f>
        <v>Goéland dominicain</v>
      </c>
      <c r="F1562" s="3" t="str">
        <f>VLOOKUP(B1562,[1]LifeList!$E$2:$G$2036,3)</f>
        <v>Larus dominicanus</v>
      </c>
      <c r="G1562" s="3" t="str">
        <f>VLOOKUP(B1562,[1]LifeList!$E$2:$I$2036,4)</f>
        <v>Charadriiformes</v>
      </c>
      <c r="H1562" s="3" t="str">
        <f>VLOOKUP(B1562,[1]LifeList!$E$2:$I$2036,5)</f>
        <v>Laridae (Gulls, Terns, and Skimmers)</v>
      </c>
    </row>
    <row r="1563" spans="1:8" x14ac:dyDescent="0.15">
      <c r="A1563" s="3" t="s">
        <v>1490</v>
      </c>
      <c r="B1563" s="3" t="s">
        <v>4493</v>
      </c>
      <c r="C1563" s="3">
        <v>6533</v>
      </c>
      <c r="D1563" s="3" t="str">
        <f>VLOOKUP(B1563,[1]LifeList!$E$2:$G$2036,1)</f>
        <v>Kelp Gull</v>
      </c>
      <c r="E1563" s="3" t="str">
        <f>VLOOKUP(B1563,[1]LifeList!$E$2:$G$2036,2)</f>
        <v>Goéland dominicain</v>
      </c>
      <c r="F1563" s="3" t="str">
        <f>VLOOKUP(B1563,[1]LifeList!$E$2:$G$2036,3)</f>
        <v>Larus dominicanus</v>
      </c>
      <c r="G1563" s="3" t="str">
        <f>VLOOKUP(B1563,[1]LifeList!$E$2:$I$2036,4)</f>
        <v>Charadriiformes</v>
      </c>
      <c r="H1563" s="3" t="str">
        <f>VLOOKUP(B1563,[1]LifeList!$E$2:$I$2036,5)</f>
        <v>Laridae (Gulls, Terns, and Skimmers)</v>
      </c>
    </row>
    <row r="1564" spans="1:8" x14ac:dyDescent="0.15">
      <c r="A1564" s="3" t="s">
        <v>1491</v>
      </c>
      <c r="B1564" s="3" t="s">
        <v>4494</v>
      </c>
      <c r="C1564" s="3">
        <v>34011</v>
      </c>
      <c r="D1564" s="3" t="str">
        <f>VLOOKUP(B1564,[1]LifeList!$E$2:$G$2036,1)</f>
        <v>Kentucky Warbler</v>
      </c>
      <c r="E1564" s="3" t="str">
        <f>VLOOKUP(B1564,[1]LifeList!$E$2:$G$2036,2)</f>
        <v>Paruline du Kentucky</v>
      </c>
      <c r="F1564" s="3" t="str">
        <f>VLOOKUP(B1564,[1]LifeList!$E$2:$G$2036,3)</f>
        <v>Geothlypis formosa</v>
      </c>
      <c r="G1564" s="3" t="str">
        <f>VLOOKUP(B1564,[1]LifeList!$E$2:$I$2036,4)</f>
        <v>Passeriformes</v>
      </c>
      <c r="H1564" s="3" t="str">
        <f>VLOOKUP(B1564,[1]LifeList!$E$2:$I$2036,5)</f>
        <v>Parulidae (New World Warblers)</v>
      </c>
    </row>
    <row r="1565" spans="1:8" x14ac:dyDescent="0.15">
      <c r="A1565" s="3" t="s">
        <v>1492</v>
      </c>
      <c r="B1565" s="3" t="s">
        <v>4495</v>
      </c>
      <c r="C1565" s="3">
        <v>5827</v>
      </c>
      <c r="D1565" s="3" t="str">
        <f>VLOOKUP(B1565,[1]LifeList!$E$2:$G$2036,1)</f>
        <v>Killdeer</v>
      </c>
      <c r="E1565" s="3" t="str">
        <f>VLOOKUP(B1565,[1]LifeList!$E$2:$G$2036,2)</f>
        <v>Pluvier kildir</v>
      </c>
      <c r="F1565" s="3" t="str">
        <f>VLOOKUP(B1565,[1]LifeList!$E$2:$G$2036,3)</f>
        <v>Charadrius vociferus</v>
      </c>
      <c r="G1565" s="3" t="str">
        <f>VLOOKUP(B1565,[1]LifeList!$E$2:$I$2036,4)</f>
        <v>Charadriiformes</v>
      </c>
      <c r="H1565" s="3" t="str">
        <f>VLOOKUP(B1565,[1]LifeList!$E$2:$I$2036,5)</f>
        <v>Charadriidae (Plovers and Lapwings)</v>
      </c>
    </row>
    <row r="1566" spans="1:8" x14ac:dyDescent="0.15">
      <c r="A1566" s="3" t="s">
        <v>1493</v>
      </c>
      <c r="B1566" s="3" t="s">
        <v>4495</v>
      </c>
      <c r="C1566" s="3">
        <v>5827</v>
      </c>
      <c r="D1566" s="3" t="str">
        <f>VLOOKUP(B1566,[1]LifeList!$E$2:$G$2036,1)</f>
        <v>Killdeer</v>
      </c>
      <c r="E1566" s="3" t="str">
        <f>VLOOKUP(B1566,[1]LifeList!$E$2:$G$2036,2)</f>
        <v>Pluvier kildir</v>
      </c>
      <c r="F1566" s="3" t="str">
        <f>VLOOKUP(B1566,[1]LifeList!$E$2:$G$2036,3)</f>
        <v>Charadrius vociferus</v>
      </c>
      <c r="G1566" s="3" t="str">
        <f>VLOOKUP(B1566,[1]LifeList!$E$2:$I$2036,4)</f>
        <v>Charadriiformes</v>
      </c>
      <c r="H1566" s="3" t="str">
        <f>VLOOKUP(B1566,[1]LifeList!$E$2:$I$2036,5)</f>
        <v>Charadriidae (Plovers and Lapwings)</v>
      </c>
    </row>
    <row r="1567" spans="1:8" x14ac:dyDescent="0.15">
      <c r="A1567" s="3" t="s">
        <v>1494</v>
      </c>
      <c r="B1567" s="3" t="s">
        <v>4495</v>
      </c>
      <c r="C1567" s="3">
        <v>5827</v>
      </c>
      <c r="D1567" s="3" t="str">
        <f>VLOOKUP(B1567,[1]LifeList!$E$2:$G$2036,1)</f>
        <v>Killdeer</v>
      </c>
      <c r="E1567" s="3" t="str">
        <f>VLOOKUP(B1567,[1]LifeList!$E$2:$G$2036,2)</f>
        <v>Pluvier kildir</v>
      </c>
      <c r="F1567" s="3" t="str">
        <f>VLOOKUP(B1567,[1]LifeList!$E$2:$G$2036,3)</f>
        <v>Charadrius vociferus</v>
      </c>
      <c r="G1567" s="3" t="str">
        <f>VLOOKUP(B1567,[1]LifeList!$E$2:$I$2036,4)</f>
        <v>Charadriiformes</v>
      </c>
      <c r="H1567" s="3" t="str">
        <f>VLOOKUP(B1567,[1]LifeList!$E$2:$I$2036,5)</f>
        <v>Charadriidae (Plovers and Lapwings)</v>
      </c>
    </row>
    <row r="1568" spans="1:8" x14ac:dyDescent="0.15">
      <c r="A1568" s="3" t="s">
        <v>1495</v>
      </c>
      <c r="B1568" s="3" t="s">
        <v>4495</v>
      </c>
      <c r="C1568" s="3">
        <v>5827</v>
      </c>
      <c r="D1568" s="3" t="str">
        <f>VLOOKUP(B1568,[1]LifeList!$E$2:$G$2036,1)</f>
        <v>Killdeer</v>
      </c>
      <c r="E1568" s="3" t="str">
        <f>VLOOKUP(B1568,[1]LifeList!$E$2:$G$2036,2)</f>
        <v>Pluvier kildir</v>
      </c>
      <c r="F1568" s="3" t="str">
        <f>VLOOKUP(B1568,[1]LifeList!$E$2:$G$2036,3)</f>
        <v>Charadrius vociferus</v>
      </c>
      <c r="G1568" s="3" t="str">
        <f>VLOOKUP(B1568,[1]LifeList!$E$2:$I$2036,4)</f>
        <v>Charadriiformes</v>
      </c>
      <c r="H1568" s="3" t="str">
        <f>VLOOKUP(B1568,[1]LifeList!$E$2:$I$2036,5)</f>
        <v>Charadriidae (Plovers and Lapwings)</v>
      </c>
    </row>
    <row r="1569" spans="1:8" x14ac:dyDescent="0.15">
      <c r="A1569" s="3" t="s">
        <v>1496</v>
      </c>
      <c r="B1569" s="3" t="s">
        <v>4495</v>
      </c>
      <c r="C1569" s="3">
        <v>5827</v>
      </c>
      <c r="D1569" s="3" t="str">
        <f>VLOOKUP(B1569,[1]LifeList!$E$2:$G$2036,1)</f>
        <v>Killdeer</v>
      </c>
      <c r="E1569" s="3" t="str">
        <f>VLOOKUP(B1569,[1]LifeList!$E$2:$G$2036,2)</f>
        <v>Pluvier kildir</v>
      </c>
      <c r="F1569" s="3" t="str">
        <f>VLOOKUP(B1569,[1]LifeList!$E$2:$G$2036,3)</f>
        <v>Charadrius vociferus</v>
      </c>
      <c r="G1569" s="3" t="str">
        <f>VLOOKUP(B1569,[1]LifeList!$E$2:$I$2036,4)</f>
        <v>Charadriiformes</v>
      </c>
      <c r="H1569" s="3" t="str">
        <f>VLOOKUP(B1569,[1]LifeList!$E$2:$I$2036,5)</f>
        <v>Charadriidae (Plovers and Lapwings)</v>
      </c>
    </row>
    <row r="1570" spans="1:8" x14ac:dyDescent="0.15">
      <c r="A1570" s="3" t="s">
        <v>1497</v>
      </c>
      <c r="B1570" s="3" t="s">
        <v>4495</v>
      </c>
      <c r="C1570" s="3">
        <v>5827</v>
      </c>
      <c r="D1570" s="3" t="str">
        <f>VLOOKUP(B1570,[1]LifeList!$E$2:$G$2036,1)</f>
        <v>Killdeer</v>
      </c>
      <c r="E1570" s="3" t="str">
        <f>VLOOKUP(B1570,[1]LifeList!$E$2:$G$2036,2)</f>
        <v>Pluvier kildir</v>
      </c>
      <c r="F1570" s="3" t="str">
        <f>VLOOKUP(B1570,[1]LifeList!$E$2:$G$2036,3)</f>
        <v>Charadrius vociferus</v>
      </c>
      <c r="G1570" s="3" t="str">
        <f>VLOOKUP(B1570,[1]LifeList!$E$2:$I$2036,4)</f>
        <v>Charadriiformes</v>
      </c>
      <c r="H1570" s="3" t="str">
        <f>VLOOKUP(B1570,[1]LifeList!$E$2:$I$2036,5)</f>
        <v>Charadriidae (Plovers and Lapwings)</v>
      </c>
    </row>
    <row r="1571" spans="1:8" x14ac:dyDescent="0.15">
      <c r="A1571" s="3" t="s">
        <v>1498</v>
      </c>
      <c r="B1571" s="3" t="s">
        <v>4495</v>
      </c>
      <c r="C1571" s="3">
        <v>5827</v>
      </c>
      <c r="D1571" s="3" t="str">
        <f>VLOOKUP(B1571,[1]LifeList!$E$2:$G$2036,1)</f>
        <v>Killdeer</v>
      </c>
      <c r="E1571" s="3" t="str">
        <f>VLOOKUP(B1571,[1]LifeList!$E$2:$G$2036,2)</f>
        <v>Pluvier kildir</v>
      </c>
      <c r="F1571" s="3" t="str">
        <f>VLOOKUP(B1571,[1]LifeList!$E$2:$G$2036,3)</f>
        <v>Charadrius vociferus</v>
      </c>
      <c r="G1571" s="3" t="str">
        <f>VLOOKUP(B1571,[1]LifeList!$E$2:$I$2036,4)</f>
        <v>Charadriiformes</v>
      </c>
      <c r="H1571" s="3" t="str">
        <f>VLOOKUP(B1571,[1]LifeList!$E$2:$I$2036,5)</f>
        <v>Charadriidae (Plovers and Lapwings)</v>
      </c>
    </row>
    <row r="1572" spans="1:8" x14ac:dyDescent="0.15">
      <c r="A1572" s="3" t="s">
        <v>1499</v>
      </c>
      <c r="B1572" s="3" t="s">
        <v>4495</v>
      </c>
      <c r="C1572" s="3">
        <v>5827</v>
      </c>
      <c r="D1572" s="3" t="str">
        <f>VLOOKUP(B1572,[1]LifeList!$E$2:$G$2036,1)</f>
        <v>Killdeer</v>
      </c>
      <c r="E1572" s="3" t="str">
        <f>VLOOKUP(B1572,[1]LifeList!$E$2:$G$2036,2)</f>
        <v>Pluvier kildir</v>
      </c>
      <c r="F1572" s="3" t="str">
        <f>VLOOKUP(B1572,[1]LifeList!$E$2:$G$2036,3)</f>
        <v>Charadrius vociferus</v>
      </c>
      <c r="G1572" s="3" t="str">
        <f>VLOOKUP(B1572,[1]LifeList!$E$2:$I$2036,4)</f>
        <v>Charadriiformes</v>
      </c>
      <c r="H1572" s="3" t="str">
        <f>VLOOKUP(B1572,[1]LifeList!$E$2:$I$2036,5)</f>
        <v>Charadriidae (Plovers and Lapwings)</v>
      </c>
    </row>
    <row r="1573" spans="1:8" x14ac:dyDescent="0.15">
      <c r="A1573" s="3" t="s">
        <v>1500</v>
      </c>
      <c r="B1573" s="3" t="s">
        <v>4495</v>
      </c>
      <c r="C1573" s="3">
        <v>5827</v>
      </c>
      <c r="D1573" s="3" t="str">
        <f>VLOOKUP(B1573,[1]LifeList!$E$2:$G$2036,1)</f>
        <v>Killdeer</v>
      </c>
      <c r="E1573" s="3" t="str">
        <f>VLOOKUP(B1573,[1]LifeList!$E$2:$G$2036,2)</f>
        <v>Pluvier kildir</v>
      </c>
      <c r="F1573" s="3" t="str">
        <f>VLOOKUP(B1573,[1]LifeList!$E$2:$G$2036,3)</f>
        <v>Charadrius vociferus</v>
      </c>
      <c r="G1573" s="3" t="str">
        <f>VLOOKUP(B1573,[1]LifeList!$E$2:$I$2036,4)</f>
        <v>Charadriiformes</v>
      </c>
      <c r="H1573" s="3" t="str">
        <f>VLOOKUP(B1573,[1]LifeList!$E$2:$I$2036,5)</f>
        <v>Charadriidae (Plovers and Lapwings)</v>
      </c>
    </row>
    <row r="1574" spans="1:8" x14ac:dyDescent="0.15">
      <c r="A1574" s="3" t="s">
        <v>1501</v>
      </c>
      <c r="B1574" s="3" t="s">
        <v>4495</v>
      </c>
      <c r="C1574" s="3">
        <v>5827</v>
      </c>
      <c r="D1574" s="3" t="str">
        <f>VLOOKUP(B1574,[1]LifeList!$E$2:$G$2036,1)</f>
        <v>Killdeer</v>
      </c>
      <c r="E1574" s="3" t="str">
        <f>VLOOKUP(B1574,[1]LifeList!$E$2:$G$2036,2)</f>
        <v>Pluvier kildir</v>
      </c>
      <c r="F1574" s="3" t="str">
        <f>VLOOKUP(B1574,[1]LifeList!$E$2:$G$2036,3)</f>
        <v>Charadrius vociferus</v>
      </c>
      <c r="G1574" s="3" t="str">
        <f>VLOOKUP(B1574,[1]LifeList!$E$2:$I$2036,4)</f>
        <v>Charadriiformes</v>
      </c>
      <c r="H1574" s="3" t="str">
        <f>VLOOKUP(B1574,[1]LifeList!$E$2:$I$2036,5)</f>
        <v>Charadriidae (Plovers and Lapwings)</v>
      </c>
    </row>
    <row r="1575" spans="1:8" x14ac:dyDescent="0.15">
      <c r="A1575" s="3" t="s">
        <v>1502</v>
      </c>
      <c r="B1575" s="3" t="s">
        <v>4495</v>
      </c>
      <c r="C1575" s="3">
        <v>5827</v>
      </c>
      <c r="D1575" s="3" t="str">
        <f>VLOOKUP(B1575,[1]LifeList!$E$2:$G$2036,1)</f>
        <v>Killdeer</v>
      </c>
      <c r="E1575" s="3" t="str">
        <f>VLOOKUP(B1575,[1]LifeList!$E$2:$G$2036,2)</f>
        <v>Pluvier kildir</v>
      </c>
      <c r="F1575" s="3" t="str">
        <f>VLOOKUP(B1575,[1]LifeList!$E$2:$G$2036,3)</f>
        <v>Charadrius vociferus</v>
      </c>
      <c r="G1575" s="3" t="str">
        <f>VLOOKUP(B1575,[1]LifeList!$E$2:$I$2036,4)</f>
        <v>Charadriiformes</v>
      </c>
      <c r="H1575" s="3" t="str">
        <f>VLOOKUP(B1575,[1]LifeList!$E$2:$I$2036,5)</f>
        <v>Charadriidae (Plovers and Lapwings)</v>
      </c>
    </row>
    <row r="1576" spans="1:8" x14ac:dyDescent="0.15">
      <c r="A1576" s="3" t="s">
        <v>3875</v>
      </c>
      <c r="B1576" s="3" t="s">
        <v>5229</v>
      </c>
      <c r="C1576" s="3">
        <v>17808</v>
      </c>
      <c r="D1576" s="3" t="str">
        <f>VLOOKUP(B1576,[1]LifeList!$E$2:$G$2036,1)</f>
        <v>Kirtland's Warbler</v>
      </c>
      <c r="E1576" s="3" t="str">
        <f>VLOOKUP(B1576,[1]LifeList!$E$2:$G$2036,2)</f>
        <v>Paruline de Kirtland</v>
      </c>
      <c r="F1576" s="3" t="str">
        <f>VLOOKUP(B1576,[1]LifeList!$E$2:$G$2036,3)</f>
        <v>Setophaga kirtlandii</v>
      </c>
      <c r="G1576" s="3" t="str">
        <f>VLOOKUP(B1576,[1]LifeList!$E$2:$I$2036,4)</f>
        <v>Passeriformes</v>
      </c>
      <c r="H1576" s="3" t="str">
        <f>VLOOKUP(B1576,[1]LifeList!$E$2:$I$2036,5)</f>
        <v>Parulidae (New World Warblers)</v>
      </c>
    </row>
    <row r="1577" spans="1:8" x14ac:dyDescent="0.15">
      <c r="A1577" s="3" t="s">
        <v>3876</v>
      </c>
      <c r="B1577" s="3" t="s">
        <v>5230</v>
      </c>
      <c r="C1577" s="3">
        <v>17808</v>
      </c>
      <c r="D1577" s="3" t="str">
        <f>VLOOKUP(B1577,[1]LifeList!$E$2:$G$2036,1)</f>
        <v>Kittlitz's Plover</v>
      </c>
      <c r="E1577" s="3" t="str">
        <f>VLOOKUP(B1577,[1]LifeList!$E$2:$G$2036,2)</f>
        <v>Pluvier pâtre</v>
      </c>
      <c r="F1577" s="3" t="str">
        <f>VLOOKUP(B1577,[1]LifeList!$E$2:$G$2036,3)</f>
        <v>Anarhynchus pecuarius</v>
      </c>
      <c r="G1577" s="3" t="str">
        <f>VLOOKUP(B1577,[1]LifeList!$E$2:$I$2036,4)</f>
        <v>Charadriiformes</v>
      </c>
      <c r="H1577" s="3" t="str">
        <f>VLOOKUP(B1577,[1]LifeList!$E$2:$I$2036,5)</f>
        <v>Charadriidae (Plovers and Lapwings)</v>
      </c>
    </row>
    <row r="1578" spans="1:8" x14ac:dyDescent="0.15">
      <c r="A1578" s="3" t="s">
        <v>3877</v>
      </c>
      <c r="B1578" s="3" t="s">
        <v>5230</v>
      </c>
      <c r="C1578" s="3">
        <v>17808</v>
      </c>
      <c r="D1578" s="3" t="str">
        <f>VLOOKUP(B1578,[1]LifeList!$E$2:$G$2036,1)</f>
        <v>Kittlitz's Plover</v>
      </c>
      <c r="E1578" s="3" t="str">
        <f>VLOOKUP(B1578,[1]LifeList!$E$2:$G$2036,2)</f>
        <v>Pluvier pâtre</v>
      </c>
      <c r="F1578" s="3" t="str">
        <f>VLOOKUP(B1578,[1]LifeList!$E$2:$G$2036,3)</f>
        <v>Anarhynchus pecuarius</v>
      </c>
      <c r="G1578" s="3" t="str">
        <f>VLOOKUP(B1578,[1]LifeList!$E$2:$I$2036,4)</f>
        <v>Charadriiformes</v>
      </c>
      <c r="H1578" s="3" t="str">
        <f>VLOOKUP(B1578,[1]LifeList!$E$2:$I$2036,5)</f>
        <v>Charadriidae (Plovers and Lapwings)</v>
      </c>
    </row>
    <row r="1579" spans="1:8" x14ac:dyDescent="0.15">
      <c r="A1579" s="3" t="s">
        <v>3878</v>
      </c>
      <c r="B1579" s="3" t="s">
        <v>5230</v>
      </c>
      <c r="C1579" s="3">
        <v>17808</v>
      </c>
      <c r="D1579" s="3" t="str">
        <f>VLOOKUP(B1579,[1]LifeList!$E$2:$G$2036,1)</f>
        <v>Kittlitz's Plover</v>
      </c>
      <c r="E1579" s="3" t="str">
        <f>VLOOKUP(B1579,[1]LifeList!$E$2:$G$2036,2)</f>
        <v>Pluvier pâtre</v>
      </c>
      <c r="F1579" s="3" t="str">
        <f>VLOOKUP(B1579,[1]LifeList!$E$2:$G$2036,3)</f>
        <v>Anarhynchus pecuarius</v>
      </c>
      <c r="G1579" s="3" t="str">
        <f>VLOOKUP(B1579,[1]LifeList!$E$2:$I$2036,4)</f>
        <v>Charadriiformes</v>
      </c>
      <c r="H1579" s="3" t="str">
        <f>VLOOKUP(B1579,[1]LifeList!$E$2:$I$2036,5)</f>
        <v>Charadriidae (Plovers and Lapwings)</v>
      </c>
    </row>
    <row r="1580" spans="1:8" x14ac:dyDescent="0.15">
      <c r="A1580" s="3" t="s">
        <v>3879</v>
      </c>
      <c r="B1580" s="3" t="s">
        <v>5230</v>
      </c>
      <c r="C1580" s="3">
        <v>17808</v>
      </c>
      <c r="D1580" s="3" t="str">
        <f>VLOOKUP(B1580,[1]LifeList!$E$2:$G$2036,1)</f>
        <v>Kittlitz's Plover</v>
      </c>
      <c r="E1580" s="3" t="str">
        <f>VLOOKUP(B1580,[1]LifeList!$E$2:$G$2036,2)</f>
        <v>Pluvier pâtre</v>
      </c>
      <c r="F1580" s="3" t="str">
        <f>VLOOKUP(B1580,[1]LifeList!$E$2:$G$2036,3)</f>
        <v>Anarhynchus pecuarius</v>
      </c>
      <c r="G1580" s="3" t="str">
        <f>VLOOKUP(B1580,[1]LifeList!$E$2:$I$2036,4)</f>
        <v>Charadriiformes</v>
      </c>
      <c r="H1580" s="3" t="str">
        <f>VLOOKUP(B1580,[1]LifeList!$E$2:$I$2036,5)</f>
        <v>Charadriidae (Plovers and Lapwings)</v>
      </c>
    </row>
    <row r="1581" spans="1:8" x14ac:dyDescent="0.15">
      <c r="A1581" s="3" t="s">
        <v>3880</v>
      </c>
      <c r="B1581" s="3" t="s">
        <v>5230</v>
      </c>
      <c r="C1581" s="3">
        <v>17808</v>
      </c>
      <c r="D1581" s="3" t="str">
        <f>VLOOKUP(B1581,[1]LifeList!$E$2:$G$2036,1)</f>
        <v>Kittlitz's Plover</v>
      </c>
      <c r="E1581" s="3" t="str">
        <f>VLOOKUP(B1581,[1]LifeList!$E$2:$G$2036,2)</f>
        <v>Pluvier pâtre</v>
      </c>
      <c r="F1581" s="3" t="str">
        <f>VLOOKUP(B1581,[1]LifeList!$E$2:$G$2036,3)</f>
        <v>Anarhynchus pecuarius</v>
      </c>
      <c r="G1581" s="3" t="str">
        <f>VLOOKUP(B1581,[1]LifeList!$E$2:$I$2036,4)</f>
        <v>Charadriiformes</v>
      </c>
      <c r="H1581" s="3" t="str">
        <f>VLOOKUP(B1581,[1]LifeList!$E$2:$I$2036,5)</f>
        <v>Charadriidae (Plovers and Lapwings)</v>
      </c>
    </row>
    <row r="1582" spans="1:8" x14ac:dyDescent="0.15">
      <c r="A1582" s="3" t="s">
        <v>1503</v>
      </c>
      <c r="B1582" s="3" t="s">
        <v>4496</v>
      </c>
      <c r="C1582" s="3">
        <v>396</v>
      </c>
      <c r="D1582" s="3" t="str">
        <f>VLOOKUP(B1582,[1]LifeList!$E$2:$G$2036,1)</f>
        <v>Knob-billed Duck</v>
      </c>
      <c r="E1582" s="3" t="str">
        <f>VLOOKUP(B1582,[1]LifeList!$E$2:$G$2036,2)</f>
        <v>Canard à bosse</v>
      </c>
      <c r="F1582" s="3" t="str">
        <f>VLOOKUP(B1582,[1]LifeList!$E$2:$G$2036,3)</f>
        <v>Sarkidiornis melanotos</v>
      </c>
      <c r="G1582" s="3" t="str">
        <f>VLOOKUP(B1582,[1]LifeList!$E$2:$I$2036,4)</f>
        <v>Anseriformes</v>
      </c>
      <c r="H1582" s="3" t="str">
        <f>VLOOKUP(B1582,[1]LifeList!$E$2:$I$2036,5)</f>
        <v>Anatidae (Ducks, Geese, and Waterfowl)</v>
      </c>
    </row>
    <row r="1583" spans="1:8" x14ac:dyDescent="0.15">
      <c r="A1583" s="3" t="s">
        <v>1504</v>
      </c>
      <c r="B1583" s="3" t="s">
        <v>4497</v>
      </c>
      <c r="C1583" s="3">
        <v>2918</v>
      </c>
      <c r="D1583" s="3" t="str">
        <f>VLOOKUP(B1583,[1]LifeList!$E$2:$G$2036,1)</f>
        <v>Kori Bustard</v>
      </c>
      <c r="E1583" s="3" t="str">
        <f>VLOOKUP(B1583,[1]LifeList!$E$2:$G$2036,2)</f>
        <v>Outarde kori</v>
      </c>
      <c r="F1583" s="3" t="str">
        <f>VLOOKUP(B1583,[1]LifeList!$E$2:$G$2036,3)</f>
        <v>Ardeotis kori</v>
      </c>
      <c r="G1583" s="3" t="str">
        <f>VLOOKUP(B1583,[1]LifeList!$E$2:$I$2036,4)</f>
        <v>Otidiformes</v>
      </c>
      <c r="H1583" s="3" t="str">
        <f>VLOOKUP(B1583,[1]LifeList!$E$2:$I$2036,5)</f>
        <v>Otididae (Bustards)</v>
      </c>
    </row>
    <row r="1584" spans="1:8" x14ac:dyDescent="0.15">
      <c r="A1584" s="3" t="s">
        <v>1505</v>
      </c>
      <c r="B1584" s="3" t="s">
        <v>4497</v>
      </c>
      <c r="C1584" s="3">
        <v>2918</v>
      </c>
      <c r="D1584" s="3" t="str">
        <f>VLOOKUP(B1584,[1]LifeList!$E$2:$G$2036,1)</f>
        <v>Kori Bustard</v>
      </c>
      <c r="E1584" s="3" t="str">
        <f>VLOOKUP(B1584,[1]LifeList!$E$2:$G$2036,2)</f>
        <v>Outarde kori</v>
      </c>
      <c r="F1584" s="3" t="str">
        <f>VLOOKUP(B1584,[1]LifeList!$E$2:$G$2036,3)</f>
        <v>Ardeotis kori</v>
      </c>
      <c r="G1584" s="3" t="str">
        <f>VLOOKUP(B1584,[1]LifeList!$E$2:$I$2036,4)</f>
        <v>Otidiformes</v>
      </c>
      <c r="H1584" s="3" t="str">
        <f>VLOOKUP(B1584,[1]LifeList!$E$2:$I$2036,5)</f>
        <v>Otididae (Bustards)</v>
      </c>
    </row>
    <row r="1585" spans="1:8" x14ac:dyDescent="0.15">
      <c r="A1585" s="3" t="s">
        <v>1506</v>
      </c>
      <c r="B1585" s="3" t="s">
        <v>4497</v>
      </c>
      <c r="C1585" s="3">
        <v>2918</v>
      </c>
      <c r="D1585" s="3" t="str">
        <f>VLOOKUP(B1585,[1]LifeList!$E$2:$G$2036,1)</f>
        <v>Kori Bustard</v>
      </c>
      <c r="E1585" s="3" t="str">
        <f>VLOOKUP(B1585,[1]LifeList!$E$2:$G$2036,2)</f>
        <v>Outarde kori</v>
      </c>
      <c r="F1585" s="3" t="str">
        <f>VLOOKUP(B1585,[1]LifeList!$E$2:$G$2036,3)</f>
        <v>Ardeotis kori</v>
      </c>
      <c r="G1585" s="3" t="str">
        <f>VLOOKUP(B1585,[1]LifeList!$E$2:$I$2036,4)</f>
        <v>Otidiformes</v>
      </c>
      <c r="H1585" s="3" t="str">
        <f>VLOOKUP(B1585,[1]LifeList!$E$2:$I$2036,5)</f>
        <v>Otididae (Bustards)</v>
      </c>
    </row>
    <row r="1586" spans="1:8" x14ac:dyDescent="0.15">
      <c r="A1586" s="3" t="s">
        <v>1507</v>
      </c>
      <c r="B1586" s="3" t="s">
        <v>4497</v>
      </c>
      <c r="C1586" s="3">
        <v>2918</v>
      </c>
      <c r="D1586" s="3" t="str">
        <f>VLOOKUP(B1586,[1]LifeList!$E$2:$G$2036,1)</f>
        <v>Kori Bustard</v>
      </c>
      <c r="E1586" s="3" t="str">
        <f>VLOOKUP(B1586,[1]LifeList!$E$2:$G$2036,2)</f>
        <v>Outarde kori</v>
      </c>
      <c r="F1586" s="3" t="str">
        <f>VLOOKUP(B1586,[1]LifeList!$E$2:$G$2036,3)</f>
        <v>Ardeotis kori</v>
      </c>
      <c r="G1586" s="3" t="str">
        <f>VLOOKUP(B1586,[1]LifeList!$E$2:$I$2036,4)</f>
        <v>Otidiformes</v>
      </c>
      <c r="H1586" s="3" t="str">
        <f>VLOOKUP(B1586,[1]LifeList!$E$2:$I$2036,5)</f>
        <v>Otididae (Bustards)</v>
      </c>
    </row>
    <row r="1587" spans="1:8" x14ac:dyDescent="0.15">
      <c r="A1587" s="3" t="s">
        <v>3881</v>
      </c>
      <c r="B1587" s="3" t="s">
        <v>5253</v>
      </c>
      <c r="C1587" s="3">
        <v>17808</v>
      </c>
      <c r="D1587" s="3" t="str">
        <f>VLOOKUP(B1587,[1]LifeList!$E$2:$G$2036,1)</f>
        <v>Lafresnaye's Vanga</v>
      </c>
      <c r="E1587" s="3" t="str">
        <f>VLOOKUP(B1587,[1]LifeList!$E$2:$G$2036,2)</f>
        <v>Vanga de Lafresnaye</v>
      </c>
      <c r="F1587" s="3" t="str">
        <f>VLOOKUP(B1587,[1]LifeList!$E$2:$G$2036,3)</f>
        <v>Xenopirostris xenopirostris</v>
      </c>
      <c r="G1587" s="3" t="str">
        <f>VLOOKUP(B1587,[1]LifeList!$E$2:$I$2036,4)</f>
        <v>Passeriformes</v>
      </c>
      <c r="H1587" s="3" t="str">
        <f>VLOOKUP(B1587,[1]LifeList!$E$2:$I$2036,5)</f>
        <v>Vangidae (Vangas, Helmetshrikes, and Allies)</v>
      </c>
    </row>
    <row r="1588" spans="1:8" x14ac:dyDescent="0.15">
      <c r="A1588" s="3" t="s">
        <v>3882</v>
      </c>
      <c r="B1588" s="3" t="s">
        <v>5253</v>
      </c>
      <c r="C1588" s="3">
        <v>17808</v>
      </c>
      <c r="D1588" s="3" t="str">
        <f>VLOOKUP(B1588,[1]LifeList!$E$2:$G$2036,1)</f>
        <v>Lafresnaye's Vanga</v>
      </c>
      <c r="E1588" s="3" t="str">
        <f>VLOOKUP(B1588,[1]LifeList!$E$2:$G$2036,2)</f>
        <v>Vanga de Lafresnaye</v>
      </c>
      <c r="F1588" s="3" t="str">
        <f>VLOOKUP(B1588,[1]LifeList!$E$2:$G$2036,3)</f>
        <v>Xenopirostris xenopirostris</v>
      </c>
      <c r="G1588" s="3" t="str">
        <f>VLOOKUP(B1588,[1]LifeList!$E$2:$I$2036,4)</f>
        <v>Passeriformes</v>
      </c>
      <c r="H1588" s="3" t="str">
        <f>VLOOKUP(B1588,[1]LifeList!$E$2:$I$2036,5)</f>
        <v>Vangidae (Vangas, Helmetshrikes, and Allies)</v>
      </c>
    </row>
    <row r="1589" spans="1:8" x14ac:dyDescent="0.15">
      <c r="A1589" s="3" t="s">
        <v>3883</v>
      </c>
      <c r="B1589" s="3" t="s">
        <v>5253</v>
      </c>
      <c r="C1589" s="3">
        <v>17808</v>
      </c>
      <c r="D1589" s="3" t="str">
        <f>VLOOKUP(B1589,[1]LifeList!$E$2:$G$2036,1)</f>
        <v>Lafresnaye's Vanga</v>
      </c>
      <c r="E1589" s="3" t="str">
        <f>VLOOKUP(B1589,[1]LifeList!$E$2:$G$2036,2)</f>
        <v>Vanga de Lafresnaye</v>
      </c>
      <c r="F1589" s="3" t="str">
        <f>VLOOKUP(B1589,[1]LifeList!$E$2:$G$2036,3)</f>
        <v>Xenopirostris xenopirostris</v>
      </c>
      <c r="G1589" s="3" t="str">
        <f>VLOOKUP(B1589,[1]LifeList!$E$2:$I$2036,4)</f>
        <v>Passeriformes</v>
      </c>
      <c r="H1589" s="3" t="str">
        <f>VLOOKUP(B1589,[1]LifeList!$E$2:$I$2036,5)</f>
        <v>Vangidae (Vangas, Helmetshrikes, and Allies)</v>
      </c>
    </row>
    <row r="1590" spans="1:8" x14ac:dyDescent="0.15">
      <c r="A1590" s="3" t="s">
        <v>1509</v>
      </c>
      <c r="B1590" s="3" t="s">
        <v>4498</v>
      </c>
      <c r="C1590" s="3">
        <v>15699</v>
      </c>
      <c r="D1590" s="3" t="str">
        <f>VLOOKUP(B1590,[1]LifeList!$E$2:$G$2036,1)</f>
        <v>Lance-tailed Manakin</v>
      </c>
      <c r="E1590" s="3" t="str">
        <f>VLOOKUP(B1590,[1]LifeList!$E$2:$G$2036,2)</f>
        <v>Manakin lancéolé</v>
      </c>
      <c r="F1590" s="3" t="str">
        <f>VLOOKUP(B1590,[1]LifeList!$E$2:$G$2036,3)</f>
        <v>Chiroxiphia lanceolata</v>
      </c>
      <c r="G1590" s="3" t="str">
        <f>VLOOKUP(B1590,[1]LifeList!$E$2:$I$2036,4)</f>
        <v>Passeriformes</v>
      </c>
      <c r="H1590" s="3" t="str">
        <f>VLOOKUP(B1590,[1]LifeList!$E$2:$I$2036,5)</f>
        <v>Pipridae (Manakins)</v>
      </c>
    </row>
    <row r="1591" spans="1:8" x14ac:dyDescent="0.15">
      <c r="A1591" s="3" t="s">
        <v>1510</v>
      </c>
      <c r="B1591" s="3" t="s">
        <v>4498</v>
      </c>
      <c r="C1591" s="3">
        <v>15699</v>
      </c>
      <c r="D1591" s="3" t="str">
        <f>VLOOKUP(B1591,[1]LifeList!$E$2:$G$2036,1)</f>
        <v>Lance-tailed Manakin</v>
      </c>
      <c r="E1591" s="3" t="str">
        <f>VLOOKUP(B1591,[1]LifeList!$E$2:$G$2036,2)</f>
        <v>Manakin lancéolé</v>
      </c>
      <c r="F1591" s="3" t="str">
        <f>VLOOKUP(B1591,[1]LifeList!$E$2:$G$2036,3)</f>
        <v>Chiroxiphia lanceolata</v>
      </c>
      <c r="G1591" s="3" t="str">
        <f>VLOOKUP(B1591,[1]LifeList!$E$2:$I$2036,4)</f>
        <v>Passeriformes</v>
      </c>
      <c r="H1591" s="3" t="str">
        <f>VLOOKUP(B1591,[1]LifeList!$E$2:$I$2036,5)</f>
        <v>Pipridae (Manakins)</v>
      </c>
    </row>
    <row r="1592" spans="1:8" x14ac:dyDescent="0.15">
      <c r="A1592" s="3" t="s">
        <v>1508</v>
      </c>
      <c r="B1592" s="3" t="s">
        <v>4498</v>
      </c>
      <c r="C1592" s="3">
        <v>15699</v>
      </c>
      <c r="D1592" s="3" t="str">
        <f>VLOOKUP(B1592,[1]LifeList!$E$2:$G$2036,1)</f>
        <v>Lance-tailed Manakin</v>
      </c>
      <c r="E1592" s="3" t="str">
        <f>VLOOKUP(B1592,[1]LifeList!$E$2:$G$2036,2)</f>
        <v>Manakin lancéolé</v>
      </c>
      <c r="F1592" s="3" t="str">
        <f>VLOOKUP(B1592,[1]LifeList!$E$2:$G$2036,3)</f>
        <v>Chiroxiphia lanceolata</v>
      </c>
      <c r="G1592" s="3" t="str">
        <f>VLOOKUP(B1592,[1]LifeList!$E$2:$I$2036,4)</f>
        <v>Passeriformes</v>
      </c>
      <c r="H1592" s="3" t="str">
        <f>VLOOKUP(B1592,[1]LifeList!$E$2:$I$2036,5)</f>
        <v>Pipridae (Manakins)</v>
      </c>
    </row>
    <row r="1593" spans="1:8" x14ac:dyDescent="0.15">
      <c r="A1593" s="3" t="s">
        <v>1511</v>
      </c>
      <c r="B1593" s="3" t="s">
        <v>4499</v>
      </c>
      <c r="C1593" s="3">
        <v>32664</v>
      </c>
      <c r="D1593" s="3" t="str">
        <f>VLOOKUP(B1593,[1]LifeList!$E$2:$G$2036,1)</f>
        <v>Lapland Longspur</v>
      </c>
      <c r="E1593" s="3" t="str">
        <f>VLOOKUP(B1593,[1]LifeList!$E$2:$G$2036,2)</f>
        <v>Plectrophane lapon</v>
      </c>
      <c r="F1593" s="3" t="str">
        <f>VLOOKUP(B1593,[1]LifeList!$E$2:$G$2036,3)</f>
        <v>Calcarius lapponicus</v>
      </c>
      <c r="G1593" s="3" t="str">
        <f>VLOOKUP(B1593,[1]LifeList!$E$2:$I$2036,4)</f>
        <v>Passeriformes</v>
      </c>
      <c r="H1593" s="3" t="str">
        <f>VLOOKUP(B1593,[1]LifeList!$E$2:$I$2036,5)</f>
        <v>Calcariidae (Longspurs and Snow Buntings)</v>
      </c>
    </row>
    <row r="1594" spans="1:8" x14ac:dyDescent="0.15">
      <c r="A1594" s="3" t="s">
        <v>1512</v>
      </c>
      <c r="B1594" s="3" t="s">
        <v>4500</v>
      </c>
      <c r="C1594" s="3">
        <v>7931</v>
      </c>
      <c r="D1594" s="3" t="str">
        <f>VLOOKUP(B1594,[1]LifeList!$E$2:$G$2036,1)</f>
        <v>Lappet-faced Vulture</v>
      </c>
      <c r="E1594" s="3" t="str">
        <f>VLOOKUP(B1594,[1]LifeList!$E$2:$G$2036,2)</f>
        <v>Vautour oricou</v>
      </c>
      <c r="F1594" s="3" t="str">
        <f>VLOOKUP(B1594,[1]LifeList!$E$2:$G$2036,3)</f>
        <v>Torgos tracheliotos</v>
      </c>
      <c r="G1594" s="3" t="str">
        <f>VLOOKUP(B1594,[1]LifeList!$E$2:$I$2036,4)</f>
        <v>Accipitriformes</v>
      </c>
      <c r="H1594" s="3" t="str">
        <f>VLOOKUP(B1594,[1]LifeList!$E$2:$I$2036,5)</f>
        <v>Accipitridae (Hawks, Eagles, and Kites)</v>
      </c>
    </row>
    <row r="1595" spans="1:8" x14ac:dyDescent="0.15">
      <c r="A1595" s="3" t="s">
        <v>1513</v>
      </c>
      <c r="B1595" s="3" t="s">
        <v>4500</v>
      </c>
      <c r="C1595" s="3">
        <v>7931</v>
      </c>
      <c r="D1595" s="3" t="str">
        <f>VLOOKUP(B1595,[1]LifeList!$E$2:$G$2036,1)</f>
        <v>Lappet-faced Vulture</v>
      </c>
      <c r="E1595" s="3" t="str">
        <f>VLOOKUP(B1595,[1]LifeList!$E$2:$G$2036,2)</f>
        <v>Vautour oricou</v>
      </c>
      <c r="F1595" s="3" t="str">
        <f>VLOOKUP(B1595,[1]LifeList!$E$2:$G$2036,3)</f>
        <v>Torgos tracheliotos</v>
      </c>
      <c r="G1595" s="3" t="str">
        <f>VLOOKUP(B1595,[1]LifeList!$E$2:$I$2036,4)</f>
        <v>Accipitriformes</v>
      </c>
      <c r="H1595" s="3" t="str">
        <f>VLOOKUP(B1595,[1]LifeList!$E$2:$I$2036,5)</f>
        <v>Accipitridae (Hawks, Eagles, and Kites)</v>
      </c>
    </row>
    <row r="1596" spans="1:8" x14ac:dyDescent="0.15">
      <c r="A1596" s="3" t="s">
        <v>1514</v>
      </c>
      <c r="B1596" s="3" t="s">
        <v>4501</v>
      </c>
      <c r="C1596" s="3">
        <v>33321</v>
      </c>
      <c r="D1596" s="3" t="str">
        <f>VLOOKUP(B1596,[1]LifeList!$E$2:$G$2036,1)</f>
        <v>Large-footed Finch</v>
      </c>
      <c r="E1596" s="3" t="str">
        <f>VLOOKUP(B1596,[1]LifeList!$E$2:$G$2036,2)</f>
        <v>Tohi à grands pieds</v>
      </c>
      <c r="F1596" s="3" t="str">
        <f>VLOOKUP(B1596,[1]LifeList!$E$2:$G$2036,3)</f>
        <v>Pezopetes capitalis</v>
      </c>
      <c r="G1596" s="3" t="str">
        <f>VLOOKUP(B1596,[1]LifeList!$E$2:$I$2036,4)</f>
        <v>Passeriformes</v>
      </c>
      <c r="H1596" s="3" t="str">
        <f>VLOOKUP(B1596,[1]LifeList!$E$2:$I$2036,5)</f>
        <v>Passerellidae (New World Sparrows)</v>
      </c>
    </row>
    <row r="1597" spans="1:8" x14ac:dyDescent="0.15">
      <c r="A1597" s="3" t="s">
        <v>1515</v>
      </c>
      <c r="B1597" s="3" t="s">
        <v>4501</v>
      </c>
      <c r="C1597" s="3">
        <v>33321</v>
      </c>
      <c r="D1597" s="3" t="str">
        <f>VLOOKUP(B1597,[1]LifeList!$E$2:$G$2036,1)</f>
        <v>Large-footed Finch</v>
      </c>
      <c r="E1597" s="3" t="str">
        <f>VLOOKUP(B1597,[1]LifeList!$E$2:$G$2036,2)</f>
        <v>Tohi à grands pieds</v>
      </c>
      <c r="F1597" s="3" t="str">
        <f>VLOOKUP(B1597,[1]LifeList!$E$2:$G$2036,3)</f>
        <v>Pezopetes capitalis</v>
      </c>
      <c r="G1597" s="3" t="str">
        <f>VLOOKUP(B1597,[1]LifeList!$E$2:$I$2036,4)</f>
        <v>Passeriformes</v>
      </c>
      <c r="H1597" s="3" t="str">
        <f>VLOOKUP(B1597,[1]LifeList!$E$2:$I$2036,5)</f>
        <v>Passerellidae (New World Sparrows)</v>
      </c>
    </row>
    <row r="1598" spans="1:8" x14ac:dyDescent="0.15">
      <c r="A1598" s="3" t="s">
        <v>1516</v>
      </c>
      <c r="B1598" s="3" t="s">
        <v>4501</v>
      </c>
      <c r="C1598" s="3">
        <v>33321</v>
      </c>
      <c r="D1598" s="3" t="str">
        <f>VLOOKUP(B1598,[1]LifeList!$E$2:$G$2036,1)</f>
        <v>Large-footed Finch</v>
      </c>
      <c r="E1598" s="3" t="str">
        <f>VLOOKUP(B1598,[1]LifeList!$E$2:$G$2036,2)</f>
        <v>Tohi à grands pieds</v>
      </c>
      <c r="F1598" s="3" t="str">
        <f>VLOOKUP(B1598,[1]LifeList!$E$2:$G$2036,3)</f>
        <v>Pezopetes capitalis</v>
      </c>
      <c r="G1598" s="3" t="str">
        <f>VLOOKUP(B1598,[1]LifeList!$E$2:$I$2036,4)</f>
        <v>Passeriformes</v>
      </c>
      <c r="H1598" s="3" t="str">
        <f>VLOOKUP(B1598,[1]LifeList!$E$2:$I$2036,5)</f>
        <v>Passerellidae (New World Sparrows)</v>
      </c>
    </row>
    <row r="1599" spans="1:8" x14ac:dyDescent="0.15">
      <c r="A1599" s="3" t="s">
        <v>1517</v>
      </c>
      <c r="B1599" s="3" t="s">
        <v>4502</v>
      </c>
      <c r="C1599" s="3">
        <v>32775</v>
      </c>
      <c r="D1599" s="3" t="str">
        <f>VLOOKUP(B1599,[1]LifeList!$E$2:$G$2036,1)</f>
        <v>Lark-like Bunting</v>
      </c>
      <c r="E1599" s="3" t="str">
        <f>VLOOKUP(B1599,[1]LifeList!$E$2:$G$2036,2)</f>
        <v>Bruant des rochers</v>
      </c>
      <c r="F1599" s="3" t="str">
        <f>VLOOKUP(B1599,[1]LifeList!$E$2:$G$2036,3)</f>
        <v>Emberiza impetuani</v>
      </c>
      <c r="G1599" s="3" t="str">
        <f>VLOOKUP(B1599,[1]LifeList!$E$2:$I$2036,4)</f>
        <v>Passeriformes</v>
      </c>
      <c r="H1599" s="3" t="str">
        <f>VLOOKUP(B1599,[1]LifeList!$E$2:$I$2036,5)</f>
        <v>Emberizidae (Old World Buntings)</v>
      </c>
    </row>
    <row r="1600" spans="1:8" x14ac:dyDescent="0.15">
      <c r="A1600" s="3" t="s">
        <v>1518</v>
      </c>
      <c r="B1600" s="3" t="s">
        <v>4503</v>
      </c>
      <c r="C1600" s="3">
        <v>11939</v>
      </c>
      <c r="D1600" s="3" t="str">
        <f>VLOOKUP(B1600,[1]LifeList!$E$2:$G$2036,1)</f>
        <v>Laughing Falcon</v>
      </c>
      <c r="E1600" s="3" t="str">
        <f>VLOOKUP(B1600,[1]LifeList!$E$2:$G$2036,2)</f>
        <v>Macagua rieur</v>
      </c>
      <c r="F1600" s="3" t="str">
        <f>VLOOKUP(B1600,[1]LifeList!$E$2:$G$2036,3)</f>
        <v>Herpetotheres cachinnans</v>
      </c>
      <c r="G1600" s="3" t="str">
        <f>VLOOKUP(B1600,[1]LifeList!$E$2:$I$2036,4)</f>
        <v>Falconiformes</v>
      </c>
      <c r="H1600" s="3" t="str">
        <f>VLOOKUP(B1600,[1]LifeList!$E$2:$I$2036,5)</f>
        <v>Falconidae (Falcons and Caracaras)</v>
      </c>
    </row>
    <row r="1601" spans="1:8" x14ac:dyDescent="0.15">
      <c r="A1601" s="3" t="s">
        <v>1519</v>
      </c>
      <c r="B1601" s="3" t="s">
        <v>4503</v>
      </c>
      <c r="C1601" s="3">
        <v>11939</v>
      </c>
      <c r="D1601" s="3" t="str">
        <f>VLOOKUP(B1601,[1]LifeList!$E$2:$G$2036,1)</f>
        <v>Laughing Falcon</v>
      </c>
      <c r="E1601" s="3" t="str">
        <f>VLOOKUP(B1601,[1]LifeList!$E$2:$G$2036,2)</f>
        <v>Macagua rieur</v>
      </c>
      <c r="F1601" s="3" t="str">
        <f>VLOOKUP(B1601,[1]LifeList!$E$2:$G$2036,3)</f>
        <v>Herpetotheres cachinnans</v>
      </c>
      <c r="G1601" s="3" t="str">
        <f>VLOOKUP(B1601,[1]LifeList!$E$2:$I$2036,4)</f>
        <v>Falconiformes</v>
      </c>
      <c r="H1601" s="3" t="str">
        <f>VLOOKUP(B1601,[1]LifeList!$E$2:$I$2036,5)</f>
        <v>Falconidae (Falcons and Caracaras)</v>
      </c>
    </row>
    <row r="1602" spans="1:8" x14ac:dyDescent="0.15">
      <c r="A1602" s="3" t="s">
        <v>1520</v>
      </c>
      <c r="B1602" s="3" t="s">
        <v>4504</v>
      </c>
      <c r="C1602" s="3">
        <v>6490</v>
      </c>
      <c r="D1602" s="3" t="str">
        <f>VLOOKUP(B1602,[1]LifeList!$E$2:$G$2036,1)</f>
        <v>Laughing Gull</v>
      </c>
      <c r="E1602" s="3" t="str">
        <f>VLOOKUP(B1602,[1]LifeList!$E$2:$G$2036,2)</f>
        <v>Mouette atricille</v>
      </c>
      <c r="F1602" s="3" t="str">
        <f>VLOOKUP(B1602,[1]LifeList!$E$2:$G$2036,3)</f>
        <v>Leucophaeus atricilla</v>
      </c>
      <c r="G1602" s="3" t="str">
        <f>VLOOKUP(B1602,[1]LifeList!$E$2:$I$2036,4)</f>
        <v>Charadriiformes</v>
      </c>
      <c r="H1602" s="3" t="str">
        <f>VLOOKUP(B1602,[1]LifeList!$E$2:$I$2036,5)</f>
        <v>Laridae (Gulls, Terns, and Skimmers)</v>
      </c>
    </row>
    <row r="1603" spans="1:8" x14ac:dyDescent="0.15">
      <c r="A1603" s="3" t="s">
        <v>1521</v>
      </c>
      <c r="B1603" s="3" t="s">
        <v>4504</v>
      </c>
      <c r="C1603" s="3">
        <v>6490</v>
      </c>
      <c r="D1603" s="3" t="str">
        <f>VLOOKUP(B1603,[1]LifeList!$E$2:$G$2036,1)</f>
        <v>Laughing Gull</v>
      </c>
      <c r="E1603" s="3" t="str">
        <f>VLOOKUP(B1603,[1]LifeList!$E$2:$G$2036,2)</f>
        <v>Mouette atricille</v>
      </c>
      <c r="F1603" s="3" t="str">
        <f>VLOOKUP(B1603,[1]LifeList!$E$2:$G$2036,3)</f>
        <v>Leucophaeus atricilla</v>
      </c>
      <c r="G1603" s="3" t="str">
        <f>VLOOKUP(B1603,[1]LifeList!$E$2:$I$2036,4)</f>
        <v>Charadriiformes</v>
      </c>
      <c r="H1603" s="3" t="str">
        <f>VLOOKUP(B1603,[1]LifeList!$E$2:$I$2036,5)</f>
        <v>Laridae (Gulls, Terns, and Skimmers)</v>
      </c>
    </row>
    <row r="1604" spans="1:8" x14ac:dyDescent="0.15">
      <c r="A1604" s="3" t="s">
        <v>1522</v>
      </c>
      <c r="B1604" s="3" t="s">
        <v>4504</v>
      </c>
      <c r="C1604" s="3">
        <v>6490</v>
      </c>
      <c r="D1604" s="3" t="str">
        <f>VLOOKUP(B1604,[1]LifeList!$E$2:$G$2036,1)</f>
        <v>Laughing Gull</v>
      </c>
      <c r="E1604" s="3" t="str">
        <f>VLOOKUP(B1604,[1]LifeList!$E$2:$G$2036,2)</f>
        <v>Mouette atricille</v>
      </c>
      <c r="F1604" s="3" t="str">
        <f>VLOOKUP(B1604,[1]LifeList!$E$2:$G$2036,3)</f>
        <v>Leucophaeus atricilla</v>
      </c>
      <c r="G1604" s="3" t="str">
        <f>VLOOKUP(B1604,[1]LifeList!$E$2:$I$2036,4)</f>
        <v>Charadriiformes</v>
      </c>
      <c r="H1604" s="3" t="str">
        <f>VLOOKUP(B1604,[1]LifeList!$E$2:$I$2036,5)</f>
        <v>Laridae (Gulls, Terns, and Skimmers)</v>
      </c>
    </row>
    <row r="1605" spans="1:8" x14ac:dyDescent="0.15">
      <c r="A1605" s="3" t="s">
        <v>1523</v>
      </c>
      <c r="B1605" s="3" t="s">
        <v>4504</v>
      </c>
      <c r="C1605" s="3">
        <v>6490</v>
      </c>
      <c r="D1605" s="3" t="str">
        <f>VLOOKUP(B1605,[1]LifeList!$E$2:$G$2036,1)</f>
        <v>Laughing Gull</v>
      </c>
      <c r="E1605" s="3" t="str">
        <f>VLOOKUP(B1605,[1]LifeList!$E$2:$G$2036,2)</f>
        <v>Mouette atricille</v>
      </c>
      <c r="F1605" s="3" t="str">
        <f>VLOOKUP(B1605,[1]LifeList!$E$2:$G$2036,3)</f>
        <v>Leucophaeus atricilla</v>
      </c>
      <c r="G1605" s="3" t="str">
        <f>VLOOKUP(B1605,[1]LifeList!$E$2:$I$2036,4)</f>
        <v>Charadriiformes</v>
      </c>
      <c r="H1605" s="3" t="str">
        <f>VLOOKUP(B1605,[1]LifeList!$E$2:$I$2036,5)</f>
        <v>Laridae (Gulls, Terns, and Skimmers)</v>
      </c>
    </row>
    <row r="1606" spans="1:8" x14ac:dyDescent="0.15">
      <c r="A1606" s="3" t="s">
        <v>1524</v>
      </c>
      <c r="B1606" s="3" t="s">
        <v>4504</v>
      </c>
      <c r="C1606" s="3">
        <v>6490</v>
      </c>
      <c r="D1606" s="3" t="str">
        <f>VLOOKUP(B1606,[1]LifeList!$E$2:$G$2036,1)</f>
        <v>Laughing Gull</v>
      </c>
      <c r="E1606" s="3" t="str">
        <f>VLOOKUP(B1606,[1]LifeList!$E$2:$G$2036,2)</f>
        <v>Mouette atricille</v>
      </c>
      <c r="F1606" s="3" t="str">
        <f>VLOOKUP(B1606,[1]LifeList!$E$2:$G$2036,3)</f>
        <v>Leucophaeus atricilla</v>
      </c>
      <c r="G1606" s="3" t="str">
        <f>VLOOKUP(B1606,[1]LifeList!$E$2:$I$2036,4)</f>
        <v>Charadriiformes</v>
      </c>
      <c r="H1606" s="3" t="str">
        <f>VLOOKUP(B1606,[1]LifeList!$E$2:$I$2036,5)</f>
        <v>Laridae (Gulls, Terns, and Skimmers)</v>
      </c>
    </row>
    <row r="1607" spans="1:8" x14ac:dyDescent="0.15">
      <c r="A1607" s="3" t="s">
        <v>1525</v>
      </c>
      <c r="B1607" s="3" t="s">
        <v>4504</v>
      </c>
      <c r="C1607" s="3">
        <v>6490</v>
      </c>
      <c r="D1607" s="3" t="str">
        <f>VLOOKUP(B1607,[1]LifeList!$E$2:$G$2036,1)</f>
        <v>Laughing Gull</v>
      </c>
      <c r="E1607" s="3" t="str">
        <f>VLOOKUP(B1607,[1]LifeList!$E$2:$G$2036,2)</f>
        <v>Mouette atricille</v>
      </c>
      <c r="F1607" s="3" t="str">
        <f>VLOOKUP(B1607,[1]LifeList!$E$2:$G$2036,3)</f>
        <v>Leucophaeus atricilla</v>
      </c>
      <c r="G1607" s="3" t="str">
        <f>VLOOKUP(B1607,[1]LifeList!$E$2:$I$2036,4)</f>
        <v>Charadriiformes</v>
      </c>
      <c r="H1607" s="3" t="str">
        <f>VLOOKUP(B1607,[1]LifeList!$E$2:$I$2036,5)</f>
        <v>Laridae (Gulls, Terns, and Skimmers)</v>
      </c>
    </row>
    <row r="1608" spans="1:8" x14ac:dyDescent="0.15">
      <c r="A1608" s="3" t="s">
        <v>1526</v>
      </c>
      <c r="B1608" s="3" t="s">
        <v>4505</v>
      </c>
      <c r="C1608" s="3">
        <v>10028</v>
      </c>
      <c r="D1608" s="3" t="str">
        <f>VLOOKUP(B1608,[1]LifeList!$E$2:$G$2036,1)</f>
        <v>Laughing Kookaburra</v>
      </c>
      <c r="E1608" s="3" t="str">
        <f>VLOOKUP(B1608,[1]LifeList!$E$2:$G$2036,2)</f>
        <v>Martin-chasseur géant</v>
      </c>
      <c r="F1608" s="3" t="str">
        <f>VLOOKUP(B1608,[1]LifeList!$E$2:$G$2036,3)</f>
        <v>Dacelo novaeguineae</v>
      </c>
      <c r="G1608" s="3" t="str">
        <f>VLOOKUP(B1608,[1]LifeList!$E$2:$I$2036,4)</f>
        <v>Coraciiformes</v>
      </c>
      <c r="H1608" s="3" t="str">
        <f>VLOOKUP(B1608,[1]LifeList!$E$2:$I$2036,5)</f>
        <v>Alcedinidae (Kingfishers)</v>
      </c>
    </row>
    <row r="1609" spans="1:8" x14ac:dyDescent="0.15">
      <c r="A1609" s="3" t="s">
        <v>1527</v>
      </c>
      <c r="B1609" s="3" t="s">
        <v>4505</v>
      </c>
      <c r="C1609" s="3">
        <v>10028</v>
      </c>
      <c r="D1609" s="3" t="str">
        <f>VLOOKUP(B1609,[1]LifeList!$E$2:$G$2036,1)</f>
        <v>Laughing Kookaburra</v>
      </c>
      <c r="E1609" s="3" t="str">
        <f>VLOOKUP(B1609,[1]LifeList!$E$2:$G$2036,2)</f>
        <v>Martin-chasseur géant</v>
      </c>
      <c r="F1609" s="3" t="str">
        <f>VLOOKUP(B1609,[1]LifeList!$E$2:$G$2036,3)</f>
        <v>Dacelo novaeguineae</v>
      </c>
      <c r="G1609" s="3" t="str">
        <f>VLOOKUP(B1609,[1]LifeList!$E$2:$I$2036,4)</f>
        <v>Coraciiformes</v>
      </c>
      <c r="H1609" s="3" t="str">
        <f>VLOOKUP(B1609,[1]LifeList!$E$2:$I$2036,5)</f>
        <v>Alcedinidae (Kingfishers)</v>
      </c>
    </row>
    <row r="1610" spans="1:8" x14ac:dyDescent="0.15">
      <c r="A1610" s="3" t="s">
        <v>1528</v>
      </c>
      <c r="B1610" s="3" t="s">
        <v>4505</v>
      </c>
      <c r="C1610" s="3">
        <v>10028</v>
      </c>
      <c r="D1610" s="3" t="str">
        <f>VLOOKUP(B1610,[1]LifeList!$E$2:$G$2036,1)</f>
        <v>Laughing Kookaburra</v>
      </c>
      <c r="E1610" s="3" t="str">
        <f>VLOOKUP(B1610,[1]LifeList!$E$2:$G$2036,2)</f>
        <v>Martin-chasseur géant</v>
      </c>
      <c r="F1610" s="3" t="str">
        <f>VLOOKUP(B1610,[1]LifeList!$E$2:$G$2036,3)</f>
        <v>Dacelo novaeguineae</v>
      </c>
      <c r="G1610" s="3" t="str">
        <f>VLOOKUP(B1610,[1]LifeList!$E$2:$I$2036,4)</f>
        <v>Coraciiformes</v>
      </c>
      <c r="H1610" s="3" t="str">
        <f>VLOOKUP(B1610,[1]LifeList!$E$2:$I$2036,5)</f>
        <v>Alcedinidae (Kingfishers)</v>
      </c>
    </row>
    <row r="1611" spans="1:8" x14ac:dyDescent="0.15">
      <c r="A1611" s="3" t="s">
        <v>1529</v>
      </c>
      <c r="B1611" s="3" t="s">
        <v>4505</v>
      </c>
      <c r="C1611" s="3">
        <v>10028</v>
      </c>
      <c r="D1611" s="3" t="str">
        <f>VLOOKUP(B1611,[1]LifeList!$E$2:$G$2036,1)</f>
        <v>Laughing Kookaburra</v>
      </c>
      <c r="E1611" s="3" t="str">
        <f>VLOOKUP(B1611,[1]LifeList!$E$2:$G$2036,2)</f>
        <v>Martin-chasseur géant</v>
      </c>
      <c r="F1611" s="3" t="str">
        <f>VLOOKUP(B1611,[1]LifeList!$E$2:$G$2036,3)</f>
        <v>Dacelo novaeguineae</v>
      </c>
      <c r="G1611" s="3" t="str">
        <f>VLOOKUP(B1611,[1]LifeList!$E$2:$I$2036,4)</f>
        <v>Coraciiformes</v>
      </c>
      <c r="H1611" s="3" t="str">
        <f>VLOOKUP(B1611,[1]LifeList!$E$2:$I$2036,5)</f>
        <v>Alcedinidae (Kingfishers)</v>
      </c>
    </row>
    <row r="1612" spans="1:8" x14ac:dyDescent="0.15">
      <c r="A1612" s="3" t="s">
        <v>1530</v>
      </c>
      <c r="B1612" s="3" t="s">
        <v>4505</v>
      </c>
      <c r="C1612" s="3">
        <v>10028</v>
      </c>
      <c r="D1612" s="3" t="str">
        <f>VLOOKUP(B1612,[1]LifeList!$E$2:$G$2036,1)</f>
        <v>Laughing Kookaburra</v>
      </c>
      <c r="E1612" s="3" t="str">
        <f>VLOOKUP(B1612,[1]LifeList!$E$2:$G$2036,2)</f>
        <v>Martin-chasseur géant</v>
      </c>
      <c r="F1612" s="3" t="str">
        <f>VLOOKUP(B1612,[1]LifeList!$E$2:$G$2036,3)</f>
        <v>Dacelo novaeguineae</v>
      </c>
      <c r="G1612" s="3" t="str">
        <f>VLOOKUP(B1612,[1]LifeList!$E$2:$I$2036,4)</f>
        <v>Coraciiformes</v>
      </c>
      <c r="H1612" s="3" t="str">
        <f>VLOOKUP(B1612,[1]LifeList!$E$2:$I$2036,5)</f>
        <v>Alcedinidae (Kingfishers)</v>
      </c>
    </row>
    <row r="1613" spans="1:8" x14ac:dyDescent="0.15">
      <c r="A1613" s="3" t="s">
        <v>1531</v>
      </c>
      <c r="B1613" s="3" t="s">
        <v>4506</v>
      </c>
      <c r="C1613" s="3">
        <v>7670</v>
      </c>
      <c r="D1613" s="3" t="str">
        <f>VLOOKUP(B1613,[1]LifeList!$E$2:$G$2036,1)</f>
        <v>Lava Heron</v>
      </c>
      <c r="E1613" s="3" t="str">
        <f>VLOOKUP(B1613,[1]LifeList!$E$2:$G$2036,2)</f>
        <v>Héron des Galapagos</v>
      </c>
      <c r="F1613" s="3" t="str">
        <f>VLOOKUP(B1613,[1]LifeList!$E$2:$G$2036,3)</f>
        <v>Butorides sundevalli</v>
      </c>
      <c r="G1613" s="3" t="str">
        <f>VLOOKUP(B1613,[1]LifeList!$E$2:$I$2036,4)</f>
        <v>Pelecaniformes</v>
      </c>
      <c r="H1613" s="3" t="str">
        <f>VLOOKUP(B1613,[1]LifeList!$E$2:$I$2036,5)</f>
        <v>Ardeidae (Herons, Egrets, and Bitterns)</v>
      </c>
    </row>
    <row r="1614" spans="1:8" x14ac:dyDescent="0.15">
      <c r="A1614" s="3" t="s">
        <v>1532</v>
      </c>
      <c r="B1614" s="3" t="s">
        <v>4507</v>
      </c>
      <c r="C1614" s="3">
        <v>4960</v>
      </c>
      <c r="D1614" s="3" t="str">
        <f>VLOOKUP(B1614,[1]LifeList!$E$2:$G$2036,1)</f>
        <v>Lazuline Sabrewing</v>
      </c>
      <c r="E1614" s="3" t="str">
        <f>VLOOKUP(B1614,[1]LifeList!$E$2:$G$2036,2)</f>
        <v>Campyloptère lazulite</v>
      </c>
      <c r="F1614" s="3" t="str">
        <f>VLOOKUP(B1614,[1]LifeList!$E$2:$G$2036,3)</f>
        <v>Campylopterus falcatus</v>
      </c>
      <c r="G1614" s="3" t="str">
        <f>VLOOKUP(B1614,[1]LifeList!$E$2:$I$2036,4)</f>
        <v>Apodiformes</v>
      </c>
      <c r="H1614" s="3" t="str">
        <f>VLOOKUP(B1614,[1]LifeList!$E$2:$I$2036,5)</f>
        <v>Trochilidae (Hummingbirds)</v>
      </c>
    </row>
    <row r="1615" spans="1:8" x14ac:dyDescent="0.15">
      <c r="A1615" s="3" t="s">
        <v>1533</v>
      </c>
      <c r="B1615" s="3" t="s">
        <v>4508</v>
      </c>
      <c r="C1615" s="3">
        <v>7565</v>
      </c>
      <c r="D1615" s="3" t="str">
        <f>VLOOKUP(B1615,[1]LifeList!$E$2:$G$2036,1)</f>
        <v>Least Bittern</v>
      </c>
      <c r="E1615" s="3" t="str">
        <f>VLOOKUP(B1615,[1]LifeList!$E$2:$G$2036,2)</f>
        <v>Petit Blongios</v>
      </c>
      <c r="F1615" s="3" t="str">
        <f>VLOOKUP(B1615,[1]LifeList!$E$2:$G$2036,3)</f>
        <v>Botaurus exilis</v>
      </c>
      <c r="G1615" s="3" t="str">
        <f>VLOOKUP(B1615,[1]LifeList!$E$2:$I$2036,4)</f>
        <v>Pelecaniformes</v>
      </c>
      <c r="H1615" s="3" t="str">
        <f>VLOOKUP(B1615,[1]LifeList!$E$2:$I$2036,5)</f>
        <v>Ardeidae (Herons, Egrets, and Bitterns)</v>
      </c>
    </row>
    <row r="1616" spans="1:8" x14ac:dyDescent="0.15">
      <c r="A1616" s="3" t="s">
        <v>1534</v>
      </c>
      <c r="B1616" s="3" t="s">
        <v>4508</v>
      </c>
      <c r="C1616" s="3">
        <v>7565</v>
      </c>
      <c r="D1616" s="3" t="str">
        <f>VLOOKUP(B1616,[1]LifeList!$E$2:$G$2036,1)</f>
        <v>Least Bittern</v>
      </c>
      <c r="E1616" s="3" t="str">
        <f>VLOOKUP(B1616,[1]LifeList!$E$2:$G$2036,2)</f>
        <v>Petit Blongios</v>
      </c>
      <c r="F1616" s="3" t="str">
        <f>VLOOKUP(B1616,[1]LifeList!$E$2:$G$2036,3)</f>
        <v>Botaurus exilis</v>
      </c>
      <c r="G1616" s="3" t="str">
        <f>VLOOKUP(B1616,[1]LifeList!$E$2:$I$2036,4)</f>
        <v>Pelecaniformes</v>
      </c>
      <c r="H1616" s="3" t="str">
        <f>VLOOKUP(B1616,[1]LifeList!$E$2:$I$2036,5)</f>
        <v>Ardeidae (Herons, Egrets, and Bitterns)</v>
      </c>
    </row>
    <row r="1617" spans="1:8" x14ac:dyDescent="0.15">
      <c r="A1617" s="3" t="s">
        <v>1535</v>
      </c>
      <c r="B1617" s="3" t="s">
        <v>4508</v>
      </c>
      <c r="C1617" s="3">
        <v>7565</v>
      </c>
      <c r="D1617" s="3" t="str">
        <f>VLOOKUP(B1617,[1]LifeList!$E$2:$G$2036,1)</f>
        <v>Least Bittern</v>
      </c>
      <c r="E1617" s="3" t="str">
        <f>VLOOKUP(B1617,[1]LifeList!$E$2:$G$2036,2)</f>
        <v>Petit Blongios</v>
      </c>
      <c r="F1617" s="3" t="str">
        <f>VLOOKUP(B1617,[1]LifeList!$E$2:$G$2036,3)</f>
        <v>Botaurus exilis</v>
      </c>
      <c r="G1617" s="3" t="str">
        <f>VLOOKUP(B1617,[1]LifeList!$E$2:$I$2036,4)</f>
        <v>Pelecaniformes</v>
      </c>
      <c r="H1617" s="3" t="str">
        <f>VLOOKUP(B1617,[1]LifeList!$E$2:$I$2036,5)</f>
        <v>Ardeidae (Herons, Egrets, and Bitterns)</v>
      </c>
    </row>
    <row r="1618" spans="1:8" x14ac:dyDescent="0.15">
      <c r="A1618" s="3" t="s">
        <v>1536</v>
      </c>
      <c r="B1618" s="3" t="s">
        <v>4508</v>
      </c>
      <c r="C1618" s="3">
        <v>7565</v>
      </c>
      <c r="D1618" s="3" t="str">
        <f>VLOOKUP(B1618,[1]LifeList!$E$2:$G$2036,1)</f>
        <v>Least Bittern</v>
      </c>
      <c r="E1618" s="3" t="str">
        <f>VLOOKUP(B1618,[1]LifeList!$E$2:$G$2036,2)</f>
        <v>Petit Blongios</v>
      </c>
      <c r="F1618" s="3" t="str">
        <f>VLOOKUP(B1618,[1]LifeList!$E$2:$G$2036,3)</f>
        <v>Botaurus exilis</v>
      </c>
      <c r="G1618" s="3" t="str">
        <f>VLOOKUP(B1618,[1]LifeList!$E$2:$I$2036,4)</f>
        <v>Pelecaniformes</v>
      </c>
      <c r="H1618" s="3" t="str">
        <f>VLOOKUP(B1618,[1]LifeList!$E$2:$I$2036,5)</f>
        <v>Ardeidae (Herons, Egrets, and Bitterns)</v>
      </c>
    </row>
    <row r="1619" spans="1:8" x14ac:dyDescent="0.15">
      <c r="A1619" s="3" t="s">
        <v>1537</v>
      </c>
      <c r="B1619" s="3" t="s">
        <v>4508</v>
      </c>
      <c r="C1619" s="3">
        <v>7565</v>
      </c>
      <c r="D1619" s="3" t="str">
        <f>VLOOKUP(B1619,[1]LifeList!$E$2:$G$2036,1)</f>
        <v>Least Bittern</v>
      </c>
      <c r="E1619" s="3" t="str">
        <f>VLOOKUP(B1619,[1]LifeList!$E$2:$G$2036,2)</f>
        <v>Petit Blongios</v>
      </c>
      <c r="F1619" s="3" t="str">
        <f>VLOOKUP(B1619,[1]LifeList!$E$2:$G$2036,3)</f>
        <v>Botaurus exilis</v>
      </c>
      <c r="G1619" s="3" t="str">
        <f>VLOOKUP(B1619,[1]LifeList!$E$2:$I$2036,4)</f>
        <v>Pelecaniformes</v>
      </c>
      <c r="H1619" s="3" t="str">
        <f>VLOOKUP(B1619,[1]LifeList!$E$2:$I$2036,5)</f>
        <v>Ardeidae (Herons, Egrets, and Bitterns)</v>
      </c>
    </row>
    <row r="1620" spans="1:8" x14ac:dyDescent="0.15">
      <c r="A1620" s="3" t="s">
        <v>1538</v>
      </c>
      <c r="B1620" s="3" t="s">
        <v>4509</v>
      </c>
      <c r="C1620" s="3">
        <v>16963</v>
      </c>
      <c r="D1620" s="3" t="str">
        <f>VLOOKUP(B1620,[1]LifeList!$E$2:$G$2036,1)</f>
        <v>Least Flycatcher</v>
      </c>
      <c r="E1620" s="3" t="str">
        <f>VLOOKUP(B1620,[1]LifeList!$E$2:$G$2036,2)</f>
        <v>Moucherolle tchébec</v>
      </c>
      <c r="F1620" s="3" t="str">
        <f>VLOOKUP(B1620,[1]LifeList!$E$2:$G$2036,3)</f>
        <v>Empidonax minimus</v>
      </c>
      <c r="G1620" s="3" t="str">
        <f>VLOOKUP(B1620,[1]LifeList!$E$2:$I$2036,4)</f>
        <v>Passeriformes</v>
      </c>
      <c r="H1620" s="3" t="str">
        <f>VLOOKUP(B1620,[1]LifeList!$E$2:$I$2036,5)</f>
        <v>Tyrannidae (Tyrant Flycatchers)</v>
      </c>
    </row>
    <row r="1621" spans="1:8" x14ac:dyDescent="0.15">
      <c r="A1621" s="3" t="s">
        <v>1539</v>
      </c>
      <c r="B1621" s="3" t="s">
        <v>4509</v>
      </c>
      <c r="C1621" s="3">
        <v>16963</v>
      </c>
      <c r="D1621" s="3" t="str">
        <f>VLOOKUP(B1621,[1]LifeList!$E$2:$G$2036,1)</f>
        <v>Least Flycatcher</v>
      </c>
      <c r="E1621" s="3" t="str">
        <f>VLOOKUP(B1621,[1]LifeList!$E$2:$G$2036,2)</f>
        <v>Moucherolle tchébec</v>
      </c>
      <c r="F1621" s="3" t="str">
        <f>VLOOKUP(B1621,[1]LifeList!$E$2:$G$2036,3)</f>
        <v>Empidonax minimus</v>
      </c>
      <c r="G1621" s="3" t="str">
        <f>VLOOKUP(B1621,[1]LifeList!$E$2:$I$2036,4)</f>
        <v>Passeriformes</v>
      </c>
      <c r="H1621" s="3" t="str">
        <f>VLOOKUP(B1621,[1]LifeList!$E$2:$I$2036,5)</f>
        <v>Tyrannidae (Tyrant Flycatchers)</v>
      </c>
    </row>
    <row r="1622" spans="1:8" x14ac:dyDescent="0.15">
      <c r="A1622" s="3" t="s">
        <v>1540</v>
      </c>
      <c r="B1622" s="3" t="s">
        <v>4509</v>
      </c>
      <c r="C1622" s="3">
        <v>16963</v>
      </c>
      <c r="D1622" s="3" t="str">
        <f>VLOOKUP(B1622,[1]LifeList!$E$2:$G$2036,1)</f>
        <v>Least Flycatcher</v>
      </c>
      <c r="E1622" s="3" t="str">
        <f>VLOOKUP(B1622,[1]LifeList!$E$2:$G$2036,2)</f>
        <v>Moucherolle tchébec</v>
      </c>
      <c r="F1622" s="3" t="str">
        <f>VLOOKUP(B1622,[1]LifeList!$E$2:$G$2036,3)</f>
        <v>Empidonax minimus</v>
      </c>
      <c r="G1622" s="3" t="str">
        <f>VLOOKUP(B1622,[1]LifeList!$E$2:$I$2036,4)</f>
        <v>Passeriformes</v>
      </c>
      <c r="H1622" s="3" t="str">
        <f>VLOOKUP(B1622,[1]LifeList!$E$2:$I$2036,5)</f>
        <v>Tyrannidae (Tyrant Flycatchers)</v>
      </c>
    </row>
    <row r="1623" spans="1:8" x14ac:dyDescent="0.15">
      <c r="A1623" s="3" t="s">
        <v>1570</v>
      </c>
      <c r="B1623" s="3" t="s">
        <v>4509</v>
      </c>
      <c r="C1623" s="3">
        <v>16963</v>
      </c>
      <c r="D1623" s="3" t="str">
        <f>VLOOKUP(B1623,[1]LifeList!$E$2:$G$2036,1)</f>
        <v>Least Flycatcher</v>
      </c>
      <c r="E1623" s="3" t="str">
        <f>VLOOKUP(B1623,[1]LifeList!$E$2:$G$2036,2)</f>
        <v>Moucherolle tchébec</v>
      </c>
      <c r="F1623" s="3" t="str">
        <f>VLOOKUP(B1623,[1]LifeList!$E$2:$G$2036,3)</f>
        <v>Empidonax minimus</v>
      </c>
      <c r="G1623" s="3" t="str">
        <f>VLOOKUP(B1623,[1]LifeList!$E$2:$I$2036,4)</f>
        <v>Passeriformes</v>
      </c>
      <c r="H1623" s="3" t="str">
        <f>VLOOKUP(B1623,[1]LifeList!$E$2:$I$2036,5)</f>
        <v>Tyrannidae (Tyrant Flycatchers)</v>
      </c>
    </row>
    <row r="1624" spans="1:8" x14ac:dyDescent="0.15">
      <c r="A1624" s="3" t="s">
        <v>1541</v>
      </c>
      <c r="B1624" s="3" t="s">
        <v>4509</v>
      </c>
      <c r="C1624" s="3">
        <v>16963</v>
      </c>
      <c r="D1624" s="3" t="str">
        <f>VLOOKUP(B1624,[1]LifeList!$E$2:$G$2036,1)</f>
        <v>Least Flycatcher</v>
      </c>
      <c r="E1624" s="3" t="str">
        <f>VLOOKUP(B1624,[1]LifeList!$E$2:$G$2036,2)</f>
        <v>Moucherolle tchébec</v>
      </c>
      <c r="F1624" s="3" t="str">
        <f>VLOOKUP(B1624,[1]LifeList!$E$2:$G$2036,3)</f>
        <v>Empidonax minimus</v>
      </c>
      <c r="G1624" s="3" t="str">
        <f>VLOOKUP(B1624,[1]LifeList!$E$2:$I$2036,4)</f>
        <v>Passeriformes</v>
      </c>
      <c r="H1624" s="3" t="str">
        <f>VLOOKUP(B1624,[1]LifeList!$E$2:$I$2036,5)</f>
        <v>Tyrannidae (Tyrant Flycatchers)</v>
      </c>
    </row>
    <row r="1625" spans="1:8" x14ac:dyDescent="0.15">
      <c r="A1625" s="3" t="s">
        <v>1542</v>
      </c>
      <c r="B1625" s="3" t="s">
        <v>4509</v>
      </c>
      <c r="C1625" s="3">
        <v>16963</v>
      </c>
      <c r="D1625" s="3" t="str">
        <f>VLOOKUP(B1625,[1]LifeList!$E$2:$G$2036,1)</f>
        <v>Least Flycatcher</v>
      </c>
      <c r="E1625" s="3" t="str">
        <f>VLOOKUP(B1625,[1]LifeList!$E$2:$G$2036,2)</f>
        <v>Moucherolle tchébec</v>
      </c>
      <c r="F1625" s="3" t="str">
        <f>VLOOKUP(B1625,[1]LifeList!$E$2:$G$2036,3)</f>
        <v>Empidonax minimus</v>
      </c>
      <c r="G1625" s="3" t="str">
        <f>VLOOKUP(B1625,[1]LifeList!$E$2:$I$2036,4)</f>
        <v>Passeriformes</v>
      </c>
      <c r="H1625" s="3" t="str">
        <f>VLOOKUP(B1625,[1]LifeList!$E$2:$I$2036,5)</f>
        <v>Tyrannidae (Tyrant Flycatchers)</v>
      </c>
    </row>
    <row r="1626" spans="1:8" x14ac:dyDescent="0.15">
      <c r="A1626" s="3" t="s">
        <v>1543</v>
      </c>
      <c r="B1626" s="3" t="s">
        <v>4509</v>
      </c>
      <c r="C1626" s="3">
        <v>16963</v>
      </c>
      <c r="D1626" s="3" t="str">
        <f>VLOOKUP(B1626,[1]LifeList!$E$2:$G$2036,1)</f>
        <v>Least Flycatcher</v>
      </c>
      <c r="E1626" s="3" t="str">
        <f>VLOOKUP(B1626,[1]LifeList!$E$2:$G$2036,2)</f>
        <v>Moucherolle tchébec</v>
      </c>
      <c r="F1626" s="3" t="str">
        <f>VLOOKUP(B1626,[1]LifeList!$E$2:$G$2036,3)</f>
        <v>Empidonax minimus</v>
      </c>
      <c r="G1626" s="3" t="str">
        <f>VLOOKUP(B1626,[1]LifeList!$E$2:$I$2036,4)</f>
        <v>Passeriformes</v>
      </c>
      <c r="H1626" s="3" t="str">
        <f>VLOOKUP(B1626,[1]LifeList!$E$2:$I$2036,5)</f>
        <v>Tyrannidae (Tyrant Flycatchers)</v>
      </c>
    </row>
    <row r="1627" spans="1:8" x14ac:dyDescent="0.15">
      <c r="A1627" s="3" t="s">
        <v>1544</v>
      </c>
      <c r="B1627" s="3" t="s">
        <v>4509</v>
      </c>
      <c r="C1627" s="3">
        <v>16963</v>
      </c>
      <c r="D1627" s="3" t="str">
        <f>VLOOKUP(B1627,[1]LifeList!$E$2:$G$2036,1)</f>
        <v>Least Flycatcher</v>
      </c>
      <c r="E1627" s="3" t="str">
        <f>VLOOKUP(B1627,[1]LifeList!$E$2:$G$2036,2)</f>
        <v>Moucherolle tchébec</v>
      </c>
      <c r="F1627" s="3" t="str">
        <f>VLOOKUP(B1627,[1]LifeList!$E$2:$G$2036,3)</f>
        <v>Empidonax minimus</v>
      </c>
      <c r="G1627" s="3" t="str">
        <f>VLOOKUP(B1627,[1]LifeList!$E$2:$I$2036,4)</f>
        <v>Passeriformes</v>
      </c>
      <c r="H1627" s="3" t="str">
        <f>VLOOKUP(B1627,[1]LifeList!$E$2:$I$2036,5)</f>
        <v>Tyrannidae (Tyrant Flycatchers)</v>
      </c>
    </row>
    <row r="1628" spans="1:8" x14ac:dyDescent="0.15">
      <c r="A1628" s="3" t="s">
        <v>1545</v>
      </c>
      <c r="B1628" s="3" t="s">
        <v>4509</v>
      </c>
      <c r="C1628" s="3">
        <v>16963</v>
      </c>
      <c r="D1628" s="3" t="str">
        <f>VLOOKUP(B1628,[1]LifeList!$E$2:$G$2036,1)</f>
        <v>Least Flycatcher</v>
      </c>
      <c r="E1628" s="3" t="str">
        <f>VLOOKUP(B1628,[1]LifeList!$E$2:$G$2036,2)</f>
        <v>Moucherolle tchébec</v>
      </c>
      <c r="F1628" s="3" t="str">
        <f>VLOOKUP(B1628,[1]LifeList!$E$2:$G$2036,3)</f>
        <v>Empidonax minimus</v>
      </c>
      <c r="G1628" s="3" t="str">
        <f>VLOOKUP(B1628,[1]LifeList!$E$2:$I$2036,4)</f>
        <v>Passeriformes</v>
      </c>
      <c r="H1628" s="3" t="str">
        <f>VLOOKUP(B1628,[1]LifeList!$E$2:$I$2036,5)</f>
        <v>Tyrannidae (Tyrant Flycatchers)</v>
      </c>
    </row>
    <row r="1629" spans="1:8" x14ac:dyDescent="0.15">
      <c r="A1629" s="3" t="s">
        <v>1546</v>
      </c>
      <c r="B1629" s="3" t="s">
        <v>4509</v>
      </c>
      <c r="C1629" s="3">
        <v>16963</v>
      </c>
      <c r="D1629" s="3" t="str">
        <f>VLOOKUP(B1629,[1]LifeList!$E$2:$G$2036,1)</f>
        <v>Least Flycatcher</v>
      </c>
      <c r="E1629" s="3" t="str">
        <f>VLOOKUP(B1629,[1]LifeList!$E$2:$G$2036,2)</f>
        <v>Moucherolle tchébec</v>
      </c>
      <c r="F1629" s="3" t="str">
        <f>VLOOKUP(B1629,[1]LifeList!$E$2:$G$2036,3)</f>
        <v>Empidonax minimus</v>
      </c>
      <c r="G1629" s="3" t="str">
        <f>VLOOKUP(B1629,[1]LifeList!$E$2:$I$2036,4)</f>
        <v>Passeriformes</v>
      </c>
      <c r="H1629" s="3" t="str">
        <f>VLOOKUP(B1629,[1]LifeList!$E$2:$I$2036,5)</f>
        <v>Tyrannidae (Tyrant Flycatchers)</v>
      </c>
    </row>
    <row r="1630" spans="1:8" x14ac:dyDescent="0.15">
      <c r="A1630" s="3" t="s">
        <v>1547</v>
      </c>
      <c r="B1630" s="3" t="s">
        <v>4509</v>
      </c>
      <c r="C1630" s="3">
        <v>16963</v>
      </c>
      <c r="D1630" s="3" t="str">
        <f>VLOOKUP(B1630,[1]LifeList!$E$2:$G$2036,1)</f>
        <v>Least Flycatcher</v>
      </c>
      <c r="E1630" s="3" t="str">
        <f>VLOOKUP(B1630,[1]LifeList!$E$2:$G$2036,2)</f>
        <v>Moucherolle tchébec</v>
      </c>
      <c r="F1630" s="3" t="str">
        <f>VLOOKUP(B1630,[1]LifeList!$E$2:$G$2036,3)</f>
        <v>Empidonax minimus</v>
      </c>
      <c r="G1630" s="3" t="str">
        <f>VLOOKUP(B1630,[1]LifeList!$E$2:$I$2036,4)</f>
        <v>Passeriformes</v>
      </c>
      <c r="H1630" s="3" t="str">
        <f>VLOOKUP(B1630,[1]LifeList!$E$2:$I$2036,5)</f>
        <v>Tyrannidae (Tyrant Flycatchers)</v>
      </c>
    </row>
    <row r="1631" spans="1:8" x14ac:dyDescent="0.15">
      <c r="A1631" s="3" t="s">
        <v>1548</v>
      </c>
      <c r="B1631" s="3" t="s">
        <v>4509</v>
      </c>
      <c r="C1631" s="3">
        <v>16963</v>
      </c>
      <c r="D1631" s="3" t="str">
        <f>VLOOKUP(B1631,[1]LifeList!$E$2:$G$2036,1)</f>
        <v>Least Flycatcher</v>
      </c>
      <c r="E1631" s="3" t="str">
        <f>VLOOKUP(B1631,[1]LifeList!$E$2:$G$2036,2)</f>
        <v>Moucherolle tchébec</v>
      </c>
      <c r="F1631" s="3" t="str">
        <f>VLOOKUP(B1631,[1]LifeList!$E$2:$G$2036,3)</f>
        <v>Empidonax minimus</v>
      </c>
      <c r="G1631" s="3" t="str">
        <f>VLOOKUP(B1631,[1]LifeList!$E$2:$I$2036,4)</f>
        <v>Passeriformes</v>
      </c>
      <c r="H1631" s="3" t="str">
        <f>VLOOKUP(B1631,[1]LifeList!$E$2:$I$2036,5)</f>
        <v>Tyrannidae (Tyrant Flycatchers)</v>
      </c>
    </row>
    <row r="1632" spans="1:8" x14ac:dyDescent="0.15">
      <c r="A1632" s="3" t="s">
        <v>1549</v>
      </c>
      <c r="B1632" s="3" t="s">
        <v>4510</v>
      </c>
      <c r="C1632" s="3">
        <v>6849</v>
      </c>
      <c r="D1632" s="3" t="str">
        <f>VLOOKUP(B1632,[1]LifeList!$E$2:$G$2036,1)</f>
        <v>Least Grebe</v>
      </c>
      <c r="E1632" s="3" t="str">
        <f>VLOOKUP(B1632,[1]LifeList!$E$2:$G$2036,2)</f>
        <v>Grèbe minime</v>
      </c>
      <c r="F1632" s="3" t="str">
        <f>VLOOKUP(B1632,[1]LifeList!$E$2:$G$2036,3)</f>
        <v>Tachybaptus dominicus</v>
      </c>
      <c r="G1632" s="3" t="str">
        <f>VLOOKUP(B1632,[1]LifeList!$E$2:$I$2036,4)</f>
        <v>Podicipediformes</v>
      </c>
      <c r="H1632" s="3" t="str">
        <f>VLOOKUP(B1632,[1]LifeList!$E$2:$I$2036,5)</f>
        <v>Podicipedidae (Grebes)</v>
      </c>
    </row>
    <row r="1633" spans="1:8" x14ac:dyDescent="0.15">
      <c r="A1633" s="3" t="s">
        <v>1550</v>
      </c>
      <c r="B1633" s="3" t="s">
        <v>4510</v>
      </c>
      <c r="C1633" s="3">
        <v>6849</v>
      </c>
      <c r="D1633" s="3" t="str">
        <f>VLOOKUP(B1633,[1]LifeList!$E$2:$G$2036,1)</f>
        <v>Least Grebe</v>
      </c>
      <c r="E1633" s="3" t="str">
        <f>VLOOKUP(B1633,[1]LifeList!$E$2:$G$2036,2)</f>
        <v>Grèbe minime</v>
      </c>
      <c r="F1633" s="3" t="str">
        <f>VLOOKUP(B1633,[1]LifeList!$E$2:$G$2036,3)</f>
        <v>Tachybaptus dominicus</v>
      </c>
      <c r="G1633" s="3" t="str">
        <f>VLOOKUP(B1633,[1]LifeList!$E$2:$I$2036,4)</f>
        <v>Podicipediformes</v>
      </c>
      <c r="H1633" s="3" t="str">
        <f>VLOOKUP(B1633,[1]LifeList!$E$2:$I$2036,5)</f>
        <v>Podicipedidae (Grebes)</v>
      </c>
    </row>
    <row r="1634" spans="1:8" x14ac:dyDescent="0.15">
      <c r="A1634" s="3" t="s">
        <v>1552</v>
      </c>
      <c r="B1634" s="3" t="s">
        <v>4511</v>
      </c>
      <c r="C1634" s="3">
        <v>6226</v>
      </c>
      <c r="D1634" s="3" t="str">
        <f>VLOOKUP(B1634,[1]LifeList!$E$2:$G$2036,1)</f>
        <v>Least Sandpiper</v>
      </c>
      <c r="E1634" s="3" t="str">
        <f>VLOOKUP(B1634,[1]LifeList!$E$2:$G$2036,2)</f>
        <v>Bécasseau minuscule</v>
      </c>
      <c r="F1634" s="3" t="str">
        <f>VLOOKUP(B1634,[1]LifeList!$E$2:$G$2036,3)</f>
        <v>Calidris minutilla</v>
      </c>
      <c r="G1634" s="3" t="str">
        <f>VLOOKUP(B1634,[1]LifeList!$E$2:$I$2036,4)</f>
        <v>Charadriiformes</v>
      </c>
      <c r="H1634" s="3" t="str">
        <f>VLOOKUP(B1634,[1]LifeList!$E$2:$I$2036,5)</f>
        <v>Scolopacidae (Sandpipers and Allies)</v>
      </c>
    </row>
    <row r="1635" spans="1:8" x14ac:dyDescent="0.15">
      <c r="A1635" s="3" t="s">
        <v>1553</v>
      </c>
      <c r="B1635" s="3" t="s">
        <v>4511</v>
      </c>
      <c r="C1635" s="3">
        <v>6226</v>
      </c>
      <c r="D1635" s="3" t="str">
        <f>VLOOKUP(B1635,[1]LifeList!$E$2:$G$2036,1)</f>
        <v>Least Sandpiper</v>
      </c>
      <c r="E1635" s="3" t="str">
        <f>VLOOKUP(B1635,[1]LifeList!$E$2:$G$2036,2)</f>
        <v>Bécasseau minuscule</v>
      </c>
      <c r="F1635" s="3" t="str">
        <f>VLOOKUP(B1635,[1]LifeList!$E$2:$G$2036,3)</f>
        <v>Calidris minutilla</v>
      </c>
      <c r="G1635" s="3" t="str">
        <f>VLOOKUP(B1635,[1]LifeList!$E$2:$I$2036,4)</f>
        <v>Charadriiformes</v>
      </c>
      <c r="H1635" s="3" t="str">
        <f>VLOOKUP(B1635,[1]LifeList!$E$2:$I$2036,5)</f>
        <v>Scolopacidae (Sandpipers and Allies)</v>
      </c>
    </row>
    <row r="1636" spans="1:8" x14ac:dyDescent="0.15">
      <c r="A1636" s="3" t="s">
        <v>1554</v>
      </c>
      <c r="B1636" s="3" t="s">
        <v>4511</v>
      </c>
      <c r="C1636" s="3">
        <v>6226</v>
      </c>
      <c r="D1636" s="3" t="str">
        <f>VLOOKUP(B1636,[1]LifeList!$E$2:$G$2036,1)</f>
        <v>Least Sandpiper</v>
      </c>
      <c r="E1636" s="3" t="str">
        <f>VLOOKUP(B1636,[1]LifeList!$E$2:$G$2036,2)</f>
        <v>Bécasseau minuscule</v>
      </c>
      <c r="F1636" s="3" t="str">
        <f>VLOOKUP(B1636,[1]LifeList!$E$2:$G$2036,3)</f>
        <v>Calidris minutilla</v>
      </c>
      <c r="G1636" s="3" t="str">
        <f>VLOOKUP(B1636,[1]LifeList!$E$2:$I$2036,4)</f>
        <v>Charadriiformes</v>
      </c>
      <c r="H1636" s="3" t="str">
        <f>VLOOKUP(B1636,[1]LifeList!$E$2:$I$2036,5)</f>
        <v>Scolopacidae (Sandpipers and Allies)</v>
      </c>
    </row>
    <row r="1637" spans="1:8" x14ac:dyDescent="0.15">
      <c r="A1637" s="3" t="s">
        <v>1555</v>
      </c>
      <c r="B1637" s="3" t="s">
        <v>4511</v>
      </c>
      <c r="C1637" s="3">
        <v>6226</v>
      </c>
      <c r="D1637" s="3" t="str">
        <f>VLOOKUP(B1637,[1]LifeList!$E$2:$G$2036,1)</f>
        <v>Least Sandpiper</v>
      </c>
      <c r="E1637" s="3" t="str">
        <f>VLOOKUP(B1637,[1]LifeList!$E$2:$G$2036,2)</f>
        <v>Bécasseau minuscule</v>
      </c>
      <c r="F1637" s="3" t="str">
        <f>VLOOKUP(B1637,[1]LifeList!$E$2:$G$2036,3)</f>
        <v>Calidris minutilla</v>
      </c>
      <c r="G1637" s="3" t="str">
        <f>VLOOKUP(B1637,[1]LifeList!$E$2:$I$2036,4)</f>
        <v>Charadriiformes</v>
      </c>
      <c r="H1637" s="3" t="str">
        <f>VLOOKUP(B1637,[1]LifeList!$E$2:$I$2036,5)</f>
        <v>Scolopacidae (Sandpipers and Allies)</v>
      </c>
    </row>
    <row r="1638" spans="1:8" x14ac:dyDescent="0.15">
      <c r="A1638" s="3" t="s">
        <v>1556</v>
      </c>
      <c r="B1638" s="3" t="s">
        <v>4511</v>
      </c>
      <c r="C1638" s="3">
        <v>6226</v>
      </c>
      <c r="D1638" s="3" t="str">
        <f>VLOOKUP(B1638,[1]LifeList!$E$2:$G$2036,1)</f>
        <v>Least Sandpiper</v>
      </c>
      <c r="E1638" s="3" t="str">
        <f>VLOOKUP(B1638,[1]LifeList!$E$2:$G$2036,2)</f>
        <v>Bécasseau minuscule</v>
      </c>
      <c r="F1638" s="3" t="str">
        <f>VLOOKUP(B1638,[1]LifeList!$E$2:$G$2036,3)</f>
        <v>Calidris minutilla</v>
      </c>
      <c r="G1638" s="3" t="str">
        <f>VLOOKUP(B1638,[1]LifeList!$E$2:$I$2036,4)</f>
        <v>Charadriiformes</v>
      </c>
      <c r="H1638" s="3" t="str">
        <f>VLOOKUP(B1638,[1]LifeList!$E$2:$I$2036,5)</f>
        <v>Scolopacidae (Sandpipers and Allies)</v>
      </c>
    </row>
    <row r="1639" spans="1:8" x14ac:dyDescent="0.15">
      <c r="A1639" s="3" t="s">
        <v>1557</v>
      </c>
      <c r="B1639" s="3" t="s">
        <v>4511</v>
      </c>
      <c r="C1639" s="3">
        <v>6226</v>
      </c>
      <c r="D1639" s="3" t="str">
        <f>VLOOKUP(B1639,[1]LifeList!$E$2:$G$2036,1)</f>
        <v>Least Sandpiper</v>
      </c>
      <c r="E1639" s="3" t="str">
        <f>VLOOKUP(B1639,[1]LifeList!$E$2:$G$2036,2)</f>
        <v>Bécasseau minuscule</v>
      </c>
      <c r="F1639" s="3" t="str">
        <f>VLOOKUP(B1639,[1]LifeList!$E$2:$G$2036,3)</f>
        <v>Calidris minutilla</v>
      </c>
      <c r="G1639" s="3" t="str">
        <f>VLOOKUP(B1639,[1]LifeList!$E$2:$I$2036,4)</f>
        <v>Charadriiformes</v>
      </c>
      <c r="H1639" s="3" t="str">
        <f>VLOOKUP(B1639,[1]LifeList!$E$2:$I$2036,5)</f>
        <v>Scolopacidae (Sandpipers and Allies)</v>
      </c>
    </row>
    <row r="1640" spans="1:8" x14ac:dyDescent="0.15">
      <c r="A1640" s="3" t="s">
        <v>1558</v>
      </c>
      <c r="B1640" s="3" t="s">
        <v>4511</v>
      </c>
      <c r="C1640" s="3">
        <v>6226</v>
      </c>
      <c r="D1640" s="3" t="str">
        <f>VLOOKUP(B1640,[1]LifeList!$E$2:$G$2036,1)</f>
        <v>Least Sandpiper</v>
      </c>
      <c r="E1640" s="3" t="str">
        <f>VLOOKUP(B1640,[1]LifeList!$E$2:$G$2036,2)</f>
        <v>Bécasseau minuscule</v>
      </c>
      <c r="F1640" s="3" t="str">
        <f>VLOOKUP(B1640,[1]LifeList!$E$2:$G$2036,3)</f>
        <v>Calidris minutilla</v>
      </c>
      <c r="G1640" s="3" t="str">
        <f>VLOOKUP(B1640,[1]LifeList!$E$2:$I$2036,4)</f>
        <v>Charadriiformes</v>
      </c>
      <c r="H1640" s="3" t="str">
        <f>VLOOKUP(B1640,[1]LifeList!$E$2:$I$2036,5)</f>
        <v>Scolopacidae (Sandpipers and Allies)</v>
      </c>
    </row>
    <row r="1641" spans="1:8" x14ac:dyDescent="0.15">
      <c r="A1641" s="3" t="s">
        <v>1559</v>
      </c>
      <c r="B1641" s="3" t="s">
        <v>4511</v>
      </c>
      <c r="C1641" s="3">
        <v>6226</v>
      </c>
      <c r="D1641" s="3" t="str">
        <f>VLOOKUP(B1641,[1]LifeList!$E$2:$G$2036,1)</f>
        <v>Least Sandpiper</v>
      </c>
      <c r="E1641" s="3" t="str">
        <f>VLOOKUP(B1641,[1]LifeList!$E$2:$G$2036,2)</f>
        <v>Bécasseau minuscule</v>
      </c>
      <c r="F1641" s="3" t="str">
        <f>VLOOKUP(B1641,[1]LifeList!$E$2:$G$2036,3)</f>
        <v>Calidris minutilla</v>
      </c>
      <c r="G1641" s="3" t="str">
        <f>VLOOKUP(B1641,[1]LifeList!$E$2:$I$2036,4)</f>
        <v>Charadriiformes</v>
      </c>
      <c r="H1641" s="3" t="str">
        <f>VLOOKUP(B1641,[1]LifeList!$E$2:$I$2036,5)</f>
        <v>Scolopacidae (Sandpipers and Allies)</v>
      </c>
    </row>
    <row r="1642" spans="1:8" x14ac:dyDescent="0.15">
      <c r="A1642" s="3" t="s">
        <v>1560</v>
      </c>
      <c r="B1642" s="3" t="s">
        <v>4511</v>
      </c>
      <c r="C1642" s="3">
        <v>6226</v>
      </c>
      <c r="D1642" s="3" t="str">
        <f>VLOOKUP(B1642,[1]LifeList!$E$2:$G$2036,1)</f>
        <v>Least Sandpiper</v>
      </c>
      <c r="E1642" s="3" t="str">
        <f>VLOOKUP(B1642,[1]LifeList!$E$2:$G$2036,2)</f>
        <v>Bécasseau minuscule</v>
      </c>
      <c r="F1642" s="3" t="str">
        <f>VLOOKUP(B1642,[1]LifeList!$E$2:$G$2036,3)</f>
        <v>Calidris minutilla</v>
      </c>
      <c r="G1642" s="3" t="str">
        <f>VLOOKUP(B1642,[1]LifeList!$E$2:$I$2036,4)</f>
        <v>Charadriiformes</v>
      </c>
      <c r="H1642" s="3" t="str">
        <f>VLOOKUP(B1642,[1]LifeList!$E$2:$I$2036,5)</f>
        <v>Scolopacidae (Sandpipers and Allies)</v>
      </c>
    </row>
    <row r="1643" spans="1:8" x14ac:dyDescent="0.15">
      <c r="A1643" s="3" t="s">
        <v>1561</v>
      </c>
      <c r="B1643" s="3" t="s">
        <v>4511</v>
      </c>
      <c r="C1643" s="3">
        <v>6226</v>
      </c>
      <c r="D1643" s="3" t="str">
        <f>VLOOKUP(B1643,[1]LifeList!$E$2:$G$2036,1)</f>
        <v>Least Sandpiper</v>
      </c>
      <c r="E1643" s="3" t="str">
        <f>VLOOKUP(B1643,[1]LifeList!$E$2:$G$2036,2)</f>
        <v>Bécasseau minuscule</v>
      </c>
      <c r="F1643" s="3" t="str">
        <f>VLOOKUP(B1643,[1]LifeList!$E$2:$G$2036,3)</f>
        <v>Calidris minutilla</v>
      </c>
      <c r="G1643" s="3" t="str">
        <f>VLOOKUP(B1643,[1]LifeList!$E$2:$I$2036,4)</f>
        <v>Charadriiformes</v>
      </c>
      <c r="H1643" s="3" t="str">
        <f>VLOOKUP(B1643,[1]LifeList!$E$2:$I$2036,5)</f>
        <v>Scolopacidae (Sandpipers and Allies)</v>
      </c>
    </row>
    <row r="1644" spans="1:8" x14ac:dyDescent="0.15">
      <c r="A1644" s="3" t="s">
        <v>1562</v>
      </c>
      <c r="B1644" s="3" t="s">
        <v>4511</v>
      </c>
      <c r="C1644" s="3">
        <v>6226</v>
      </c>
      <c r="D1644" s="3" t="str">
        <f>VLOOKUP(B1644,[1]LifeList!$E$2:$G$2036,1)</f>
        <v>Least Sandpiper</v>
      </c>
      <c r="E1644" s="3" t="str">
        <f>VLOOKUP(B1644,[1]LifeList!$E$2:$G$2036,2)</f>
        <v>Bécasseau minuscule</v>
      </c>
      <c r="F1644" s="3" t="str">
        <f>VLOOKUP(B1644,[1]LifeList!$E$2:$G$2036,3)</f>
        <v>Calidris minutilla</v>
      </c>
      <c r="G1644" s="3" t="str">
        <f>VLOOKUP(B1644,[1]LifeList!$E$2:$I$2036,4)</f>
        <v>Charadriiformes</v>
      </c>
      <c r="H1644" s="3" t="str">
        <f>VLOOKUP(B1644,[1]LifeList!$E$2:$I$2036,5)</f>
        <v>Scolopacidae (Sandpipers and Allies)</v>
      </c>
    </row>
    <row r="1645" spans="1:8" x14ac:dyDescent="0.15">
      <c r="A1645" s="3" t="s">
        <v>1563</v>
      </c>
      <c r="B1645" s="3" t="s">
        <v>4511</v>
      </c>
      <c r="C1645" s="3">
        <v>6226</v>
      </c>
      <c r="D1645" s="3" t="str">
        <f>VLOOKUP(B1645,[1]LifeList!$E$2:$G$2036,1)</f>
        <v>Least Sandpiper</v>
      </c>
      <c r="E1645" s="3" t="str">
        <f>VLOOKUP(B1645,[1]LifeList!$E$2:$G$2036,2)</f>
        <v>Bécasseau minuscule</v>
      </c>
      <c r="F1645" s="3" t="str">
        <f>VLOOKUP(B1645,[1]LifeList!$E$2:$G$2036,3)</f>
        <v>Calidris minutilla</v>
      </c>
      <c r="G1645" s="3" t="str">
        <f>VLOOKUP(B1645,[1]LifeList!$E$2:$I$2036,4)</f>
        <v>Charadriiformes</v>
      </c>
      <c r="H1645" s="3" t="str">
        <f>VLOOKUP(B1645,[1]LifeList!$E$2:$I$2036,5)</f>
        <v>Scolopacidae (Sandpipers and Allies)</v>
      </c>
    </row>
    <row r="1646" spans="1:8" x14ac:dyDescent="0.15">
      <c r="A1646" s="3" t="s">
        <v>1564</v>
      </c>
      <c r="B1646" s="3" t="s">
        <v>4511</v>
      </c>
      <c r="C1646" s="3">
        <v>6226</v>
      </c>
      <c r="D1646" s="3" t="str">
        <f>VLOOKUP(B1646,[1]LifeList!$E$2:$G$2036,1)</f>
        <v>Least Sandpiper</v>
      </c>
      <c r="E1646" s="3" t="str">
        <f>VLOOKUP(B1646,[1]LifeList!$E$2:$G$2036,2)</f>
        <v>Bécasseau minuscule</v>
      </c>
      <c r="F1646" s="3" t="str">
        <f>VLOOKUP(B1646,[1]LifeList!$E$2:$G$2036,3)</f>
        <v>Calidris minutilla</v>
      </c>
      <c r="G1646" s="3" t="str">
        <f>VLOOKUP(B1646,[1]LifeList!$E$2:$I$2036,4)</f>
        <v>Charadriiformes</v>
      </c>
      <c r="H1646" s="3" t="str">
        <f>VLOOKUP(B1646,[1]LifeList!$E$2:$I$2036,5)</f>
        <v>Scolopacidae (Sandpipers and Allies)</v>
      </c>
    </row>
    <row r="1647" spans="1:8" x14ac:dyDescent="0.15">
      <c r="A1647" s="3" t="s">
        <v>1565</v>
      </c>
      <c r="B1647" s="3" t="s">
        <v>4511</v>
      </c>
      <c r="C1647" s="3">
        <v>6226</v>
      </c>
      <c r="D1647" s="3" t="str">
        <f>VLOOKUP(B1647,[1]LifeList!$E$2:$G$2036,1)</f>
        <v>Least Sandpiper</v>
      </c>
      <c r="E1647" s="3" t="str">
        <f>VLOOKUP(B1647,[1]LifeList!$E$2:$G$2036,2)</f>
        <v>Bécasseau minuscule</v>
      </c>
      <c r="F1647" s="3" t="str">
        <f>VLOOKUP(B1647,[1]LifeList!$E$2:$G$2036,3)</f>
        <v>Calidris minutilla</v>
      </c>
      <c r="G1647" s="3" t="str">
        <f>VLOOKUP(B1647,[1]LifeList!$E$2:$I$2036,4)</f>
        <v>Charadriiformes</v>
      </c>
      <c r="H1647" s="3" t="str">
        <f>VLOOKUP(B1647,[1]LifeList!$E$2:$I$2036,5)</f>
        <v>Scolopacidae (Sandpipers and Allies)</v>
      </c>
    </row>
    <row r="1648" spans="1:8" x14ac:dyDescent="0.15">
      <c r="A1648" s="3" t="s">
        <v>1566</v>
      </c>
      <c r="B1648" s="3" t="s">
        <v>4511</v>
      </c>
      <c r="C1648" s="3">
        <v>6226</v>
      </c>
      <c r="D1648" s="3" t="str">
        <f>VLOOKUP(B1648,[1]LifeList!$E$2:$G$2036,1)</f>
        <v>Least Sandpiper</v>
      </c>
      <c r="E1648" s="3" t="str">
        <f>VLOOKUP(B1648,[1]LifeList!$E$2:$G$2036,2)</f>
        <v>Bécasseau minuscule</v>
      </c>
      <c r="F1648" s="3" t="str">
        <f>VLOOKUP(B1648,[1]LifeList!$E$2:$G$2036,3)</f>
        <v>Calidris minutilla</v>
      </c>
      <c r="G1648" s="3" t="str">
        <f>VLOOKUP(B1648,[1]LifeList!$E$2:$I$2036,4)</f>
        <v>Charadriiformes</v>
      </c>
      <c r="H1648" s="3" t="str">
        <f>VLOOKUP(B1648,[1]LifeList!$E$2:$I$2036,5)</f>
        <v>Scolopacidae (Sandpipers and Allies)</v>
      </c>
    </row>
    <row r="1649" spans="1:8" x14ac:dyDescent="0.15">
      <c r="A1649" s="3" t="s">
        <v>1567</v>
      </c>
      <c r="B1649" s="3" t="s">
        <v>4511</v>
      </c>
      <c r="C1649" s="3">
        <v>6226</v>
      </c>
      <c r="D1649" s="3" t="str">
        <f>VLOOKUP(B1649,[1]LifeList!$E$2:$G$2036,1)</f>
        <v>Least Sandpiper</v>
      </c>
      <c r="E1649" s="3" t="str">
        <f>VLOOKUP(B1649,[1]LifeList!$E$2:$G$2036,2)</f>
        <v>Bécasseau minuscule</v>
      </c>
      <c r="F1649" s="3" t="str">
        <f>VLOOKUP(B1649,[1]LifeList!$E$2:$G$2036,3)</f>
        <v>Calidris minutilla</v>
      </c>
      <c r="G1649" s="3" t="str">
        <f>VLOOKUP(B1649,[1]LifeList!$E$2:$I$2036,4)</f>
        <v>Charadriiformes</v>
      </c>
      <c r="H1649" s="3" t="str">
        <f>VLOOKUP(B1649,[1]LifeList!$E$2:$I$2036,5)</f>
        <v>Scolopacidae (Sandpipers and Allies)</v>
      </c>
    </row>
    <row r="1650" spans="1:8" x14ac:dyDescent="0.15">
      <c r="A1650" s="3" t="s">
        <v>1568</v>
      </c>
      <c r="B1650" s="3" t="s">
        <v>4511</v>
      </c>
      <c r="C1650" s="3">
        <v>6226</v>
      </c>
      <c r="D1650" s="3" t="str">
        <f>VLOOKUP(B1650,[1]LifeList!$E$2:$G$2036,1)</f>
        <v>Least Sandpiper</v>
      </c>
      <c r="E1650" s="3" t="str">
        <f>VLOOKUP(B1650,[1]LifeList!$E$2:$G$2036,2)</f>
        <v>Bécasseau minuscule</v>
      </c>
      <c r="F1650" s="3" t="str">
        <f>VLOOKUP(B1650,[1]LifeList!$E$2:$G$2036,3)</f>
        <v>Calidris minutilla</v>
      </c>
      <c r="G1650" s="3" t="str">
        <f>VLOOKUP(B1650,[1]LifeList!$E$2:$I$2036,4)</f>
        <v>Charadriiformes</v>
      </c>
      <c r="H1650" s="3" t="str">
        <f>VLOOKUP(B1650,[1]LifeList!$E$2:$I$2036,5)</f>
        <v>Scolopacidae (Sandpipers and Allies)</v>
      </c>
    </row>
    <row r="1651" spans="1:8" x14ac:dyDescent="0.15">
      <c r="A1651" s="3" t="s">
        <v>1569</v>
      </c>
      <c r="B1651" s="3" t="s">
        <v>4511</v>
      </c>
      <c r="C1651" s="3">
        <v>6226</v>
      </c>
      <c r="D1651" s="3" t="str">
        <f>VLOOKUP(B1651,[1]LifeList!$E$2:$G$2036,1)</f>
        <v>Least Sandpiper</v>
      </c>
      <c r="E1651" s="3" t="str">
        <f>VLOOKUP(B1651,[1]LifeList!$E$2:$G$2036,2)</f>
        <v>Bécasseau minuscule</v>
      </c>
      <c r="F1651" s="3" t="str">
        <f>VLOOKUP(B1651,[1]LifeList!$E$2:$G$2036,3)</f>
        <v>Calidris minutilla</v>
      </c>
      <c r="G1651" s="3" t="str">
        <f>VLOOKUP(B1651,[1]LifeList!$E$2:$I$2036,4)</f>
        <v>Charadriiformes</v>
      </c>
      <c r="H1651" s="3" t="str">
        <f>VLOOKUP(B1651,[1]LifeList!$E$2:$I$2036,5)</f>
        <v>Scolopacidae (Sandpipers and Allies)</v>
      </c>
    </row>
    <row r="1652" spans="1:8" x14ac:dyDescent="0.15">
      <c r="A1652" s="3" t="s">
        <v>1551</v>
      </c>
      <c r="B1652" s="3" t="s">
        <v>4511</v>
      </c>
      <c r="C1652" s="3">
        <v>6226</v>
      </c>
      <c r="D1652" s="3" t="str">
        <f>VLOOKUP(B1652,[1]LifeList!$E$2:$G$2036,1)</f>
        <v>Least Sandpiper</v>
      </c>
      <c r="E1652" s="3" t="str">
        <f>VLOOKUP(B1652,[1]LifeList!$E$2:$G$2036,2)</f>
        <v>Bécasseau minuscule</v>
      </c>
      <c r="F1652" s="3" t="str">
        <f>VLOOKUP(B1652,[1]LifeList!$E$2:$G$2036,3)</f>
        <v>Calidris minutilla</v>
      </c>
      <c r="G1652" s="3" t="str">
        <f>VLOOKUP(B1652,[1]LifeList!$E$2:$I$2036,4)</f>
        <v>Charadriiformes</v>
      </c>
      <c r="H1652" s="3" t="str">
        <f>VLOOKUP(B1652,[1]LifeList!$E$2:$I$2036,5)</f>
        <v>Scolopacidae (Sandpipers and Allies)</v>
      </c>
    </row>
    <row r="1653" spans="1:8" x14ac:dyDescent="0.15">
      <c r="A1653" s="3" t="s">
        <v>1571</v>
      </c>
      <c r="B1653" s="3" t="s">
        <v>3771</v>
      </c>
      <c r="C1653" s="3">
        <v>6576</v>
      </c>
      <c r="D1653" s="3" t="str">
        <f>VLOOKUP(B1653,[1]LifeList!$E$2:$G$2036,1)</f>
        <v>Lesser Black-backed Gull</v>
      </c>
      <c r="E1653" s="3" t="str">
        <f>VLOOKUP(B1653,[1]LifeList!$E$2:$G$2036,2)</f>
        <v>Goéland brun</v>
      </c>
      <c r="F1653" s="3" t="str">
        <f>VLOOKUP(B1653,[1]LifeList!$E$2:$G$2036,3)</f>
        <v>Larus fuscus</v>
      </c>
      <c r="G1653" s="3" t="str">
        <f>VLOOKUP(B1653,[1]LifeList!$E$2:$I$2036,4)</f>
        <v>Charadriiformes</v>
      </c>
      <c r="H1653" s="3" t="str">
        <f>VLOOKUP(B1653,[1]LifeList!$E$2:$I$2036,5)</f>
        <v>Laridae (Gulls, Terns, and Skimmers)</v>
      </c>
    </row>
    <row r="1654" spans="1:8" x14ac:dyDescent="0.15">
      <c r="A1654" s="3" t="s">
        <v>1572</v>
      </c>
      <c r="B1654" s="3" t="s">
        <v>4512</v>
      </c>
      <c r="C1654" s="3">
        <v>6783</v>
      </c>
      <c r="D1654" s="3" t="str">
        <f>VLOOKUP(B1654,[1]LifeList!$E$2:$G$2036,1)</f>
        <v>Lesser Crested Tern</v>
      </c>
      <c r="E1654" s="3" t="str">
        <f>VLOOKUP(B1654,[1]LifeList!$E$2:$G$2036,2)</f>
        <v>Sterne voyageuse</v>
      </c>
      <c r="F1654" s="3" t="str">
        <f>VLOOKUP(B1654,[1]LifeList!$E$2:$G$2036,3)</f>
        <v>Thalasseus bengalensis</v>
      </c>
      <c r="G1654" s="3" t="str">
        <f>VLOOKUP(B1654,[1]LifeList!$E$2:$I$2036,4)</f>
        <v>Charadriiformes</v>
      </c>
      <c r="H1654" s="3" t="str">
        <f>VLOOKUP(B1654,[1]LifeList!$E$2:$I$2036,5)</f>
        <v>Laridae (Gulls, Terns, and Skimmers)</v>
      </c>
    </row>
    <row r="1655" spans="1:8" ht="12" customHeight="1" x14ac:dyDescent="0.15">
      <c r="A1655" s="3" t="s">
        <v>1573</v>
      </c>
      <c r="B1655" s="3" t="s">
        <v>4512</v>
      </c>
      <c r="C1655" s="3">
        <v>6783</v>
      </c>
      <c r="D1655" s="3" t="str">
        <f>VLOOKUP(B1655,[1]LifeList!$E$2:$G$2036,1)</f>
        <v>Lesser Crested Tern</v>
      </c>
      <c r="E1655" s="3" t="str">
        <f>VLOOKUP(B1655,[1]LifeList!$E$2:$G$2036,2)</f>
        <v>Sterne voyageuse</v>
      </c>
      <c r="F1655" s="3" t="str">
        <f>VLOOKUP(B1655,[1]LifeList!$E$2:$G$2036,3)</f>
        <v>Thalasseus bengalensis</v>
      </c>
      <c r="G1655" s="3" t="str">
        <f>VLOOKUP(B1655,[1]LifeList!$E$2:$I$2036,4)</f>
        <v>Charadriiformes</v>
      </c>
      <c r="H1655" s="3" t="str">
        <f>VLOOKUP(B1655,[1]LifeList!$E$2:$I$2036,5)</f>
        <v>Laridae (Gulls, Terns, and Skimmers)</v>
      </c>
    </row>
    <row r="1656" spans="1:8" x14ac:dyDescent="0.15">
      <c r="A1656" s="3" t="s">
        <v>1574</v>
      </c>
      <c r="B1656" s="3" t="s">
        <v>4513</v>
      </c>
      <c r="C1656" s="3">
        <v>3034</v>
      </c>
      <c r="D1656" s="3" t="str">
        <f>VLOOKUP(B1656,[1]LifeList!$E$2:$G$2036,1)</f>
        <v>Lesser Ground-Cuckoo</v>
      </c>
      <c r="E1656" s="3" t="str">
        <f>VLOOKUP(B1656,[1]LifeList!$E$2:$G$2036,2)</f>
        <v>Géocoucou de Lesson</v>
      </c>
      <c r="F1656" s="3" t="str">
        <f>VLOOKUP(B1656,[1]LifeList!$E$2:$G$2036,3)</f>
        <v>Morococcyx erythropygus</v>
      </c>
      <c r="G1656" s="3" t="str">
        <f>VLOOKUP(B1656,[1]LifeList!$E$2:$I$2036,4)</f>
        <v>Cuculiformes</v>
      </c>
      <c r="H1656" s="3" t="str">
        <f>VLOOKUP(B1656,[1]LifeList!$E$2:$I$2036,5)</f>
        <v>Cuculidae (Cuckoos)</v>
      </c>
    </row>
    <row r="1657" spans="1:8" x14ac:dyDescent="0.15">
      <c r="A1657" s="3" t="s">
        <v>1575</v>
      </c>
      <c r="B1657" s="3" t="s">
        <v>4514</v>
      </c>
      <c r="C1657" s="3">
        <v>17365</v>
      </c>
      <c r="D1657" s="3" t="str">
        <f>VLOOKUP(B1657,[1]LifeList!$E$2:$G$2036,1)</f>
        <v>Lesser Kiskadee</v>
      </c>
      <c r="E1657" s="3" t="str">
        <f>VLOOKUP(B1657,[1]LifeList!$E$2:$G$2036,2)</f>
        <v>Tyran licteur</v>
      </c>
      <c r="F1657" s="3" t="str">
        <f>VLOOKUP(B1657,[1]LifeList!$E$2:$G$2036,3)</f>
        <v>Philohydor lictor</v>
      </c>
      <c r="G1657" s="3" t="str">
        <f>VLOOKUP(B1657,[1]LifeList!$E$2:$I$2036,4)</f>
        <v>Passeriformes</v>
      </c>
      <c r="H1657" s="3" t="str">
        <f>VLOOKUP(B1657,[1]LifeList!$E$2:$I$2036,5)</f>
        <v>Tyrannidae (Tyrant Flycatchers)</v>
      </c>
    </row>
    <row r="1658" spans="1:8" x14ac:dyDescent="0.15">
      <c r="A1658" s="3" t="s">
        <v>1576</v>
      </c>
      <c r="B1658" s="3" t="s">
        <v>4514</v>
      </c>
      <c r="C1658" s="3">
        <v>17365</v>
      </c>
      <c r="D1658" s="3" t="str">
        <f>VLOOKUP(B1658,[1]LifeList!$E$2:$G$2036,1)</f>
        <v>Lesser Kiskadee</v>
      </c>
      <c r="E1658" s="3" t="str">
        <f>VLOOKUP(B1658,[1]LifeList!$E$2:$G$2036,2)</f>
        <v>Tyran licteur</v>
      </c>
      <c r="F1658" s="3" t="str">
        <f>VLOOKUP(B1658,[1]LifeList!$E$2:$G$2036,3)</f>
        <v>Philohydor lictor</v>
      </c>
      <c r="G1658" s="3" t="str">
        <f>VLOOKUP(B1658,[1]LifeList!$E$2:$I$2036,4)</f>
        <v>Passeriformes</v>
      </c>
      <c r="H1658" s="3" t="str">
        <f>VLOOKUP(B1658,[1]LifeList!$E$2:$I$2036,5)</f>
        <v>Tyrannidae (Tyrant Flycatchers)</v>
      </c>
    </row>
    <row r="1659" spans="1:8" x14ac:dyDescent="0.15">
      <c r="A1659" s="3" t="s">
        <v>1577</v>
      </c>
      <c r="B1659" s="3" t="s">
        <v>4514</v>
      </c>
      <c r="C1659" s="3">
        <v>17365</v>
      </c>
      <c r="D1659" s="3" t="str">
        <f>VLOOKUP(B1659,[1]LifeList!$E$2:$G$2036,1)</f>
        <v>Lesser Kiskadee</v>
      </c>
      <c r="E1659" s="3" t="str">
        <f>VLOOKUP(B1659,[1]LifeList!$E$2:$G$2036,2)</f>
        <v>Tyran licteur</v>
      </c>
      <c r="F1659" s="3" t="str">
        <f>VLOOKUP(B1659,[1]LifeList!$E$2:$G$2036,3)</f>
        <v>Philohydor lictor</v>
      </c>
      <c r="G1659" s="3" t="str">
        <f>VLOOKUP(B1659,[1]LifeList!$E$2:$I$2036,4)</f>
        <v>Passeriformes</v>
      </c>
      <c r="H1659" s="3" t="str">
        <f>VLOOKUP(B1659,[1]LifeList!$E$2:$I$2036,5)</f>
        <v>Tyrannidae (Tyrant Flycatchers)</v>
      </c>
    </row>
    <row r="1660" spans="1:8" x14ac:dyDescent="0.15">
      <c r="A1660" s="3" t="s">
        <v>1578</v>
      </c>
      <c r="B1660" s="3" t="s">
        <v>4514</v>
      </c>
      <c r="C1660" s="3">
        <v>17365</v>
      </c>
      <c r="D1660" s="3" t="str">
        <f>VLOOKUP(B1660,[1]LifeList!$E$2:$G$2036,1)</f>
        <v>Lesser Kiskadee</v>
      </c>
      <c r="E1660" s="3" t="str">
        <f>VLOOKUP(B1660,[1]LifeList!$E$2:$G$2036,2)</f>
        <v>Tyran licteur</v>
      </c>
      <c r="F1660" s="3" t="str">
        <f>VLOOKUP(B1660,[1]LifeList!$E$2:$G$2036,3)</f>
        <v>Philohydor lictor</v>
      </c>
      <c r="G1660" s="3" t="str">
        <f>VLOOKUP(B1660,[1]LifeList!$E$2:$I$2036,4)</f>
        <v>Passeriformes</v>
      </c>
      <c r="H1660" s="3" t="str">
        <f>VLOOKUP(B1660,[1]LifeList!$E$2:$I$2036,5)</f>
        <v>Tyrannidae (Tyrant Flycatchers)</v>
      </c>
    </row>
    <row r="1661" spans="1:8" x14ac:dyDescent="0.15">
      <c r="A1661" s="3" t="s">
        <v>1579</v>
      </c>
      <c r="B1661" s="3" t="s">
        <v>4514</v>
      </c>
      <c r="C1661" s="3">
        <v>17365</v>
      </c>
      <c r="D1661" s="3" t="str">
        <f>VLOOKUP(B1661,[1]LifeList!$E$2:$G$2036,1)</f>
        <v>Lesser Kiskadee</v>
      </c>
      <c r="E1661" s="3" t="str">
        <f>VLOOKUP(B1661,[1]LifeList!$E$2:$G$2036,2)</f>
        <v>Tyran licteur</v>
      </c>
      <c r="F1661" s="3" t="str">
        <f>VLOOKUP(B1661,[1]LifeList!$E$2:$G$2036,3)</f>
        <v>Philohydor lictor</v>
      </c>
      <c r="G1661" s="3" t="str">
        <f>VLOOKUP(B1661,[1]LifeList!$E$2:$I$2036,4)</f>
        <v>Passeriformes</v>
      </c>
      <c r="H1661" s="3" t="str">
        <f>VLOOKUP(B1661,[1]LifeList!$E$2:$I$2036,5)</f>
        <v>Tyrannidae (Tyrant Flycatchers)</v>
      </c>
    </row>
    <row r="1662" spans="1:8" x14ac:dyDescent="0.15">
      <c r="A1662" s="3" t="s">
        <v>1581</v>
      </c>
      <c r="B1662" s="3" t="s">
        <v>4515</v>
      </c>
      <c r="C1662" s="3">
        <v>700</v>
      </c>
      <c r="D1662" s="3" t="str">
        <f>VLOOKUP(B1662,[1]LifeList!$E$2:$G$2036,1)</f>
        <v>Lesser Scaup</v>
      </c>
      <c r="E1662" s="3" t="str">
        <f>VLOOKUP(B1662,[1]LifeList!$E$2:$G$2036,2)</f>
        <v>Petit Fuligule</v>
      </c>
      <c r="F1662" s="3" t="str">
        <f>VLOOKUP(B1662,[1]LifeList!$E$2:$G$2036,3)</f>
        <v>Aythya affinis</v>
      </c>
      <c r="G1662" s="3" t="str">
        <f>VLOOKUP(B1662,[1]LifeList!$E$2:$I$2036,4)</f>
        <v>Anseriformes</v>
      </c>
      <c r="H1662" s="3" t="str">
        <f>VLOOKUP(B1662,[1]LifeList!$E$2:$I$2036,5)</f>
        <v>Anatidae (Ducks, Geese, and Waterfowl)</v>
      </c>
    </row>
    <row r="1663" spans="1:8" x14ac:dyDescent="0.15">
      <c r="A1663" s="3" t="s">
        <v>1582</v>
      </c>
      <c r="B1663" s="3" t="s">
        <v>4515</v>
      </c>
      <c r="C1663" s="3">
        <v>700</v>
      </c>
      <c r="D1663" s="3" t="str">
        <f>VLOOKUP(B1663,[1]LifeList!$E$2:$G$2036,1)</f>
        <v>Lesser Scaup</v>
      </c>
      <c r="E1663" s="3" t="str">
        <f>VLOOKUP(B1663,[1]LifeList!$E$2:$G$2036,2)</f>
        <v>Petit Fuligule</v>
      </c>
      <c r="F1663" s="3" t="str">
        <f>VLOOKUP(B1663,[1]LifeList!$E$2:$G$2036,3)</f>
        <v>Aythya affinis</v>
      </c>
      <c r="G1663" s="3" t="str">
        <f>VLOOKUP(B1663,[1]LifeList!$E$2:$I$2036,4)</f>
        <v>Anseriformes</v>
      </c>
      <c r="H1663" s="3" t="str">
        <f>VLOOKUP(B1663,[1]LifeList!$E$2:$I$2036,5)</f>
        <v>Anatidae (Ducks, Geese, and Waterfowl)</v>
      </c>
    </row>
    <row r="1664" spans="1:8" x14ac:dyDescent="0.15">
      <c r="A1664" s="3" t="s">
        <v>1583</v>
      </c>
      <c r="B1664" s="3" t="s">
        <v>4515</v>
      </c>
      <c r="C1664" s="3">
        <v>700</v>
      </c>
      <c r="D1664" s="3" t="str">
        <f>VLOOKUP(B1664,[1]LifeList!$E$2:$G$2036,1)</f>
        <v>Lesser Scaup</v>
      </c>
      <c r="E1664" s="3" t="str">
        <f>VLOOKUP(B1664,[1]LifeList!$E$2:$G$2036,2)</f>
        <v>Petit Fuligule</v>
      </c>
      <c r="F1664" s="3" t="str">
        <f>VLOOKUP(B1664,[1]LifeList!$E$2:$G$2036,3)</f>
        <v>Aythya affinis</v>
      </c>
      <c r="G1664" s="3" t="str">
        <f>VLOOKUP(B1664,[1]LifeList!$E$2:$I$2036,4)</f>
        <v>Anseriformes</v>
      </c>
      <c r="H1664" s="3" t="str">
        <f>VLOOKUP(B1664,[1]LifeList!$E$2:$I$2036,5)</f>
        <v>Anatidae (Ducks, Geese, and Waterfowl)</v>
      </c>
    </row>
    <row r="1665" spans="1:8" x14ac:dyDescent="0.15">
      <c r="A1665" s="3" t="s">
        <v>1584</v>
      </c>
      <c r="B1665" s="3" t="s">
        <v>4515</v>
      </c>
      <c r="C1665" s="3">
        <v>700</v>
      </c>
      <c r="D1665" s="3" t="str">
        <f>VLOOKUP(B1665,[1]LifeList!$E$2:$G$2036,1)</f>
        <v>Lesser Scaup</v>
      </c>
      <c r="E1665" s="3" t="str">
        <f>VLOOKUP(B1665,[1]LifeList!$E$2:$G$2036,2)</f>
        <v>Petit Fuligule</v>
      </c>
      <c r="F1665" s="3" t="str">
        <f>VLOOKUP(B1665,[1]LifeList!$E$2:$G$2036,3)</f>
        <v>Aythya affinis</v>
      </c>
      <c r="G1665" s="3" t="str">
        <f>VLOOKUP(B1665,[1]LifeList!$E$2:$I$2036,4)</f>
        <v>Anseriformes</v>
      </c>
      <c r="H1665" s="3" t="str">
        <f>VLOOKUP(B1665,[1]LifeList!$E$2:$I$2036,5)</f>
        <v>Anatidae (Ducks, Geese, and Waterfowl)</v>
      </c>
    </row>
    <row r="1666" spans="1:8" x14ac:dyDescent="0.15">
      <c r="A1666" s="3" t="s">
        <v>1585</v>
      </c>
      <c r="B1666" s="3" t="s">
        <v>4515</v>
      </c>
      <c r="C1666" s="3">
        <v>700</v>
      </c>
      <c r="D1666" s="3" t="str">
        <f>VLOOKUP(B1666,[1]LifeList!$E$2:$G$2036,1)</f>
        <v>Lesser Scaup</v>
      </c>
      <c r="E1666" s="3" t="str">
        <f>VLOOKUP(B1666,[1]LifeList!$E$2:$G$2036,2)</f>
        <v>Petit Fuligule</v>
      </c>
      <c r="F1666" s="3" t="str">
        <f>VLOOKUP(B1666,[1]LifeList!$E$2:$G$2036,3)</f>
        <v>Aythya affinis</v>
      </c>
      <c r="G1666" s="3" t="str">
        <f>VLOOKUP(B1666,[1]LifeList!$E$2:$I$2036,4)</f>
        <v>Anseriformes</v>
      </c>
      <c r="H1666" s="3" t="str">
        <f>VLOOKUP(B1666,[1]LifeList!$E$2:$I$2036,5)</f>
        <v>Anatidae (Ducks, Geese, and Waterfowl)</v>
      </c>
    </row>
    <row r="1667" spans="1:8" x14ac:dyDescent="0.15">
      <c r="A1667" s="3" t="s">
        <v>1586</v>
      </c>
      <c r="B1667" s="3" t="s">
        <v>4515</v>
      </c>
      <c r="C1667" s="3">
        <v>700</v>
      </c>
      <c r="D1667" s="3" t="str">
        <f>VLOOKUP(B1667,[1]LifeList!$E$2:$G$2036,1)</f>
        <v>Lesser Scaup</v>
      </c>
      <c r="E1667" s="3" t="str">
        <f>VLOOKUP(B1667,[1]LifeList!$E$2:$G$2036,2)</f>
        <v>Petit Fuligule</v>
      </c>
      <c r="F1667" s="3" t="str">
        <f>VLOOKUP(B1667,[1]LifeList!$E$2:$G$2036,3)</f>
        <v>Aythya affinis</v>
      </c>
      <c r="G1667" s="3" t="str">
        <f>VLOOKUP(B1667,[1]LifeList!$E$2:$I$2036,4)</f>
        <v>Anseriformes</v>
      </c>
      <c r="H1667" s="3" t="str">
        <f>VLOOKUP(B1667,[1]LifeList!$E$2:$I$2036,5)</f>
        <v>Anatidae (Ducks, Geese, and Waterfowl)</v>
      </c>
    </row>
    <row r="1668" spans="1:8" x14ac:dyDescent="0.15">
      <c r="A1668" s="3" t="s">
        <v>1601</v>
      </c>
      <c r="B1668" s="3" t="s">
        <v>4515</v>
      </c>
      <c r="C1668" s="3">
        <v>700</v>
      </c>
      <c r="D1668" s="3" t="str">
        <f>VLOOKUP(B1668,[1]LifeList!$E$2:$G$2036,1)</f>
        <v>Lesser Scaup</v>
      </c>
      <c r="E1668" s="3" t="str">
        <f>VLOOKUP(B1668,[1]LifeList!$E$2:$G$2036,2)</f>
        <v>Petit Fuligule</v>
      </c>
      <c r="F1668" s="3" t="str">
        <f>VLOOKUP(B1668,[1]LifeList!$E$2:$G$2036,3)</f>
        <v>Aythya affinis</v>
      </c>
      <c r="G1668" s="3" t="str">
        <f>VLOOKUP(B1668,[1]LifeList!$E$2:$I$2036,4)</f>
        <v>Anseriformes</v>
      </c>
      <c r="H1668" s="3" t="str">
        <f>VLOOKUP(B1668,[1]LifeList!$E$2:$I$2036,5)</f>
        <v>Anatidae (Ducks, Geese, and Waterfowl)</v>
      </c>
    </row>
    <row r="1669" spans="1:8" x14ac:dyDescent="0.15">
      <c r="A1669" s="3" t="s">
        <v>1580</v>
      </c>
      <c r="B1669" s="3" t="s">
        <v>4515</v>
      </c>
      <c r="C1669" s="3">
        <v>700</v>
      </c>
      <c r="D1669" s="3" t="str">
        <f>VLOOKUP(B1669,[1]LifeList!$E$2:$G$2036,1)</f>
        <v>Lesser Scaup</v>
      </c>
      <c r="E1669" s="3" t="str">
        <f>VLOOKUP(B1669,[1]LifeList!$E$2:$G$2036,2)</f>
        <v>Petit Fuligule</v>
      </c>
      <c r="F1669" s="3" t="str">
        <f>VLOOKUP(B1669,[1]LifeList!$E$2:$G$2036,3)</f>
        <v>Aythya affinis</v>
      </c>
      <c r="G1669" s="3" t="str">
        <f>VLOOKUP(B1669,[1]LifeList!$E$2:$I$2036,4)</f>
        <v>Anseriformes</v>
      </c>
      <c r="H1669" s="3" t="str">
        <f>VLOOKUP(B1669,[1]LifeList!$E$2:$I$2036,5)</f>
        <v>Anatidae (Ducks, Geese, and Waterfowl)</v>
      </c>
    </row>
    <row r="1670" spans="1:8" x14ac:dyDescent="0.15">
      <c r="A1670" s="3" t="s">
        <v>1587</v>
      </c>
      <c r="B1670" s="3" t="s">
        <v>4516</v>
      </c>
      <c r="C1670" s="3">
        <v>4359</v>
      </c>
      <c r="D1670" s="3" t="str">
        <f>VLOOKUP(B1670,[1]LifeList!$E$2:$G$2036,1)</f>
        <v>Lesser Violetear</v>
      </c>
      <c r="E1670" s="3" t="str">
        <f>VLOOKUP(B1670,[1]LifeList!$E$2:$G$2036,2)</f>
        <v>Colibri cyanote</v>
      </c>
      <c r="F1670" s="3" t="str">
        <f>VLOOKUP(B1670,[1]LifeList!$E$2:$G$2036,3)</f>
        <v>Colibri cyanotus</v>
      </c>
      <c r="G1670" s="3" t="str">
        <f>VLOOKUP(B1670,[1]LifeList!$E$2:$I$2036,4)</f>
        <v>Apodiformes</v>
      </c>
      <c r="H1670" s="3" t="str">
        <f>VLOOKUP(B1670,[1]LifeList!$E$2:$I$2036,5)</f>
        <v>Trochilidae (Hummingbirds)</v>
      </c>
    </row>
    <row r="1671" spans="1:8" x14ac:dyDescent="0.15">
      <c r="A1671" s="3" t="s">
        <v>1588</v>
      </c>
      <c r="B1671" s="3" t="s">
        <v>4516</v>
      </c>
      <c r="C1671" s="3">
        <v>4359</v>
      </c>
      <c r="D1671" s="3" t="str">
        <f>VLOOKUP(B1671,[1]LifeList!$E$2:$G$2036,1)</f>
        <v>Lesser Violetear</v>
      </c>
      <c r="E1671" s="3" t="str">
        <f>VLOOKUP(B1671,[1]LifeList!$E$2:$G$2036,2)</f>
        <v>Colibri cyanote</v>
      </c>
      <c r="F1671" s="3" t="str">
        <f>VLOOKUP(B1671,[1]LifeList!$E$2:$G$2036,3)</f>
        <v>Colibri cyanotus</v>
      </c>
      <c r="G1671" s="3" t="str">
        <f>VLOOKUP(B1671,[1]LifeList!$E$2:$I$2036,4)</f>
        <v>Apodiformes</v>
      </c>
      <c r="H1671" s="3" t="str">
        <f>VLOOKUP(B1671,[1]LifeList!$E$2:$I$2036,5)</f>
        <v>Trochilidae (Hummingbirds)</v>
      </c>
    </row>
    <row r="1672" spans="1:8" x14ac:dyDescent="0.15">
      <c r="A1672" s="3" t="s">
        <v>1589</v>
      </c>
      <c r="B1672" s="3" t="s">
        <v>4516</v>
      </c>
      <c r="C1672" s="3">
        <v>4359</v>
      </c>
      <c r="D1672" s="3" t="str">
        <f>VLOOKUP(B1672,[1]LifeList!$E$2:$G$2036,1)</f>
        <v>Lesser Violetear</v>
      </c>
      <c r="E1672" s="3" t="str">
        <f>VLOOKUP(B1672,[1]LifeList!$E$2:$G$2036,2)</f>
        <v>Colibri cyanote</v>
      </c>
      <c r="F1672" s="3" t="str">
        <f>VLOOKUP(B1672,[1]LifeList!$E$2:$G$2036,3)</f>
        <v>Colibri cyanotus</v>
      </c>
      <c r="G1672" s="3" t="str">
        <f>VLOOKUP(B1672,[1]LifeList!$E$2:$I$2036,4)</f>
        <v>Apodiformes</v>
      </c>
      <c r="H1672" s="3" t="str">
        <f>VLOOKUP(B1672,[1]LifeList!$E$2:$I$2036,5)</f>
        <v>Trochilidae (Hummingbirds)</v>
      </c>
    </row>
    <row r="1673" spans="1:8" x14ac:dyDescent="0.15">
      <c r="A1673" s="3" t="s">
        <v>1590</v>
      </c>
      <c r="B1673" s="3" t="s">
        <v>4516</v>
      </c>
      <c r="C1673" s="3">
        <v>4359</v>
      </c>
      <c r="D1673" s="3" t="str">
        <f>VLOOKUP(B1673,[1]LifeList!$E$2:$G$2036,1)</f>
        <v>Lesser Violetear</v>
      </c>
      <c r="E1673" s="3" t="str">
        <f>VLOOKUP(B1673,[1]LifeList!$E$2:$G$2036,2)</f>
        <v>Colibri cyanote</v>
      </c>
      <c r="F1673" s="3" t="str">
        <f>VLOOKUP(B1673,[1]LifeList!$E$2:$G$2036,3)</f>
        <v>Colibri cyanotus</v>
      </c>
      <c r="G1673" s="3" t="str">
        <f>VLOOKUP(B1673,[1]LifeList!$E$2:$I$2036,4)</f>
        <v>Apodiformes</v>
      </c>
      <c r="H1673" s="3" t="str">
        <f>VLOOKUP(B1673,[1]LifeList!$E$2:$I$2036,5)</f>
        <v>Trochilidae (Hummingbirds)</v>
      </c>
    </row>
    <row r="1674" spans="1:8" x14ac:dyDescent="0.15">
      <c r="A1674" s="3" t="s">
        <v>1591</v>
      </c>
      <c r="B1674" s="3" t="s">
        <v>3772</v>
      </c>
      <c r="C1674" s="3">
        <v>7823</v>
      </c>
      <c r="D1674" s="3" t="str">
        <f>VLOOKUP(B1674,[1]LifeList!$E$2:$G$2036,1)</f>
        <v>Lesser Yellow-headed Vulture</v>
      </c>
      <c r="E1674" s="3" t="str">
        <f>VLOOKUP(B1674,[1]LifeList!$E$2:$G$2036,2)</f>
        <v>Urubu à tête jaune</v>
      </c>
      <c r="F1674" s="3" t="str">
        <f>VLOOKUP(B1674,[1]LifeList!$E$2:$G$2036,3)</f>
        <v>Cathartes burrovianus</v>
      </c>
      <c r="G1674" s="3" t="str">
        <f>VLOOKUP(B1674,[1]LifeList!$E$2:$I$2036,4)</f>
        <v>Cathartiformes</v>
      </c>
      <c r="H1674" s="3" t="str">
        <f>VLOOKUP(B1674,[1]LifeList!$E$2:$I$2036,5)</f>
        <v>Cathartidae (New World Vultures)</v>
      </c>
    </row>
    <row r="1675" spans="1:8" x14ac:dyDescent="0.15">
      <c r="A1675" s="3" t="s">
        <v>1592</v>
      </c>
      <c r="B1675" s="3" t="s">
        <v>3772</v>
      </c>
      <c r="C1675" s="3">
        <v>7823</v>
      </c>
      <c r="D1675" s="3" t="str">
        <f>VLOOKUP(B1675,[1]LifeList!$E$2:$G$2036,1)</f>
        <v>Lesser Yellow-headed Vulture</v>
      </c>
      <c r="E1675" s="3" t="str">
        <f>VLOOKUP(B1675,[1]LifeList!$E$2:$G$2036,2)</f>
        <v>Urubu à tête jaune</v>
      </c>
      <c r="F1675" s="3" t="str">
        <f>VLOOKUP(B1675,[1]LifeList!$E$2:$G$2036,3)</f>
        <v>Cathartes burrovianus</v>
      </c>
      <c r="G1675" s="3" t="str">
        <f>VLOOKUP(B1675,[1]LifeList!$E$2:$I$2036,4)</f>
        <v>Cathartiformes</v>
      </c>
      <c r="H1675" s="3" t="str">
        <f>VLOOKUP(B1675,[1]LifeList!$E$2:$I$2036,5)</f>
        <v>Cathartidae (New World Vultures)</v>
      </c>
    </row>
    <row r="1676" spans="1:8" x14ac:dyDescent="0.15">
      <c r="A1676" s="3" t="s">
        <v>1593</v>
      </c>
      <c r="B1676" s="3" t="s">
        <v>4517</v>
      </c>
      <c r="C1676" s="3">
        <v>6145</v>
      </c>
      <c r="D1676" s="3" t="str">
        <f>VLOOKUP(B1676,[1]LifeList!$E$2:$G$2036,1)</f>
        <v>Lesser Yellowlegs</v>
      </c>
      <c r="E1676" s="3" t="str">
        <f>VLOOKUP(B1676,[1]LifeList!$E$2:$G$2036,2)</f>
        <v>Petit Chevalier</v>
      </c>
      <c r="F1676" s="3" t="str">
        <f>VLOOKUP(B1676,[1]LifeList!$E$2:$G$2036,3)</f>
        <v>Tringa flavipes</v>
      </c>
      <c r="G1676" s="3" t="str">
        <f>VLOOKUP(B1676,[1]LifeList!$E$2:$I$2036,4)</f>
        <v>Charadriiformes</v>
      </c>
      <c r="H1676" s="3" t="str">
        <f>VLOOKUP(B1676,[1]LifeList!$E$2:$I$2036,5)</f>
        <v>Scolopacidae (Sandpipers and Allies)</v>
      </c>
    </row>
    <row r="1677" spans="1:8" x14ac:dyDescent="0.15">
      <c r="A1677" s="3" t="s">
        <v>1594</v>
      </c>
      <c r="B1677" s="3" t="s">
        <v>4517</v>
      </c>
      <c r="C1677" s="3">
        <v>6145</v>
      </c>
      <c r="D1677" s="3" t="str">
        <f>VLOOKUP(B1677,[1]LifeList!$E$2:$G$2036,1)</f>
        <v>Lesser Yellowlegs</v>
      </c>
      <c r="E1677" s="3" t="str">
        <f>VLOOKUP(B1677,[1]LifeList!$E$2:$G$2036,2)</f>
        <v>Petit Chevalier</v>
      </c>
      <c r="F1677" s="3" t="str">
        <f>VLOOKUP(B1677,[1]LifeList!$E$2:$G$2036,3)</f>
        <v>Tringa flavipes</v>
      </c>
      <c r="G1677" s="3" t="str">
        <f>VLOOKUP(B1677,[1]LifeList!$E$2:$I$2036,4)</f>
        <v>Charadriiformes</v>
      </c>
      <c r="H1677" s="3" t="str">
        <f>VLOOKUP(B1677,[1]LifeList!$E$2:$I$2036,5)</f>
        <v>Scolopacidae (Sandpipers and Allies)</v>
      </c>
    </row>
    <row r="1678" spans="1:8" x14ac:dyDescent="0.15">
      <c r="A1678" s="3" t="s">
        <v>1595</v>
      </c>
      <c r="B1678" s="3" t="s">
        <v>4517</v>
      </c>
      <c r="C1678" s="3">
        <v>6145</v>
      </c>
      <c r="D1678" s="3" t="str">
        <f>VLOOKUP(B1678,[1]LifeList!$E$2:$G$2036,1)</f>
        <v>Lesser Yellowlegs</v>
      </c>
      <c r="E1678" s="3" t="str">
        <f>VLOOKUP(B1678,[1]LifeList!$E$2:$G$2036,2)</f>
        <v>Petit Chevalier</v>
      </c>
      <c r="F1678" s="3" t="str">
        <f>VLOOKUP(B1678,[1]LifeList!$E$2:$G$2036,3)</f>
        <v>Tringa flavipes</v>
      </c>
      <c r="G1678" s="3" t="str">
        <f>VLOOKUP(B1678,[1]LifeList!$E$2:$I$2036,4)</f>
        <v>Charadriiformes</v>
      </c>
      <c r="H1678" s="3" t="str">
        <f>VLOOKUP(B1678,[1]LifeList!$E$2:$I$2036,5)</f>
        <v>Scolopacidae (Sandpipers and Allies)</v>
      </c>
    </row>
    <row r="1679" spans="1:8" x14ac:dyDescent="0.15">
      <c r="A1679" s="3" t="s">
        <v>1596</v>
      </c>
      <c r="B1679" s="3" t="s">
        <v>4517</v>
      </c>
      <c r="C1679" s="3">
        <v>6145</v>
      </c>
      <c r="D1679" s="3" t="str">
        <f>VLOOKUP(B1679,[1]LifeList!$E$2:$G$2036,1)</f>
        <v>Lesser Yellowlegs</v>
      </c>
      <c r="E1679" s="3" t="str">
        <f>VLOOKUP(B1679,[1]LifeList!$E$2:$G$2036,2)</f>
        <v>Petit Chevalier</v>
      </c>
      <c r="F1679" s="3" t="str">
        <f>VLOOKUP(B1679,[1]LifeList!$E$2:$G$2036,3)</f>
        <v>Tringa flavipes</v>
      </c>
      <c r="G1679" s="3" t="str">
        <f>VLOOKUP(B1679,[1]LifeList!$E$2:$I$2036,4)</f>
        <v>Charadriiformes</v>
      </c>
      <c r="H1679" s="3" t="str">
        <f>VLOOKUP(B1679,[1]LifeList!$E$2:$I$2036,5)</f>
        <v>Scolopacidae (Sandpipers and Allies)</v>
      </c>
    </row>
    <row r="1680" spans="1:8" x14ac:dyDescent="0.15">
      <c r="A1680" s="3" t="s">
        <v>1597</v>
      </c>
      <c r="B1680" s="3" t="s">
        <v>4517</v>
      </c>
      <c r="C1680" s="3">
        <v>6145</v>
      </c>
      <c r="D1680" s="3" t="str">
        <f>VLOOKUP(B1680,[1]LifeList!$E$2:$G$2036,1)</f>
        <v>Lesser Yellowlegs</v>
      </c>
      <c r="E1680" s="3" t="str">
        <f>VLOOKUP(B1680,[1]LifeList!$E$2:$G$2036,2)</f>
        <v>Petit Chevalier</v>
      </c>
      <c r="F1680" s="3" t="str">
        <f>VLOOKUP(B1680,[1]LifeList!$E$2:$G$2036,3)</f>
        <v>Tringa flavipes</v>
      </c>
      <c r="G1680" s="3" t="str">
        <f>VLOOKUP(B1680,[1]LifeList!$E$2:$I$2036,4)</f>
        <v>Charadriiformes</v>
      </c>
      <c r="H1680" s="3" t="str">
        <f>VLOOKUP(B1680,[1]LifeList!$E$2:$I$2036,5)</f>
        <v>Scolopacidae (Sandpipers and Allies)</v>
      </c>
    </row>
    <row r="1681" spans="1:8" x14ac:dyDescent="0.15">
      <c r="A1681" s="3" t="s">
        <v>1598</v>
      </c>
      <c r="B1681" s="3" t="s">
        <v>4517</v>
      </c>
      <c r="C1681" s="3">
        <v>6145</v>
      </c>
      <c r="D1681" s="3" t="str">
        <f>VLOOKUP(B1681,[1]LifeList!$E$2:$G$2036,1)</f>
        <v>Lesser Yellowlegs</v>
      </c>
      <c r="E1681" s="3" t="str">
        <f>VLOOKUP(B1681,[1]LifeList!$E$2:$G$2036,2)</f>
        <v>Petit Chevalier</v>
      </c>
      <c r="F1681" s="3" t="str">
        <f>VLOOKUP(B1681,[1]LifeList!$E$2:$G$2036,3)</f>
        <v>Tringa flavipes</v>
      </c>
      <c r="G1681" s="3" t="str">
        <f>VLOOKUP(B1681,[1]LifeList!$E$2:$I$2036,4)</f>
        <v>Charadriiformes</v>
      </c>
      <c r="H1681" s="3" t="str">
        <f>VLOOKUP(B1681,[1]LifeList!$E$2:$I$2036,5)</f>
        <v>Scolopacidae (Sandpipers and Allies)</v>
      </c>
    </row>
    <row r="1682" spans="1:8" x14ac:dyDescent="0.15">
      <c r="A1682" s="3" t="s">
        <v>1599</v>
      </c>
      <c r="B1682" s="3" t="s">
        <v>4517</v>
      </c>
      <c r="C1682" s="3">
        <v>6145</v>
      </c>
      <c r="D1682" s="3" t="str">
        <f>VLOOKUP(B1682,[1]LifeList!$E$2:$G$2036,1)</f>
        <v>Lesser Yellowlegs</v>
      </c>
      <c r="E1682" s="3" t="str">
        <f>VLOOKUP(B1682,[1]LifeList!$E$2:$G$2036,2)</f>
        <v>Petit Chevalier</v>
      </c>
      <c r="F1682" s="3" t="str">
        <f>VLOOKUP(B1682,[1]LifeList!$E$2:$G$2036,3)</f>
        <v>Tringa flavipes</v>
      </c>
      <c r="G1682" s="3" t="str">
        <f>VLOOKUP(B1682,[1]LifeList!$E$2:$I$2036,4)</f>
        <v>Charadriiformes</v>
      </c>
      <c r="H1682" s="3" t="str">
        <f>VLOOKUP(B1682,[1]LifeList!$E$2:$I$2036,5)</f>
        <v>Scolopacidae (Sandpipers and Allies)</v>
      </c>
    </row>
    <row r="1683" spans="1:8" x14ac:dyDescent="0.15">
      <c r="A1683" s="3" t="s">
        <v>1600</v>
      </c>
      <c r="B1683" s="3" t="s">
        <v>4517</v>
      </c>
      <c r="C1683" s="3">
        <v>6145</v>
      </c>
      <c r="D1683" s="3" t="str">
        <f>VLOOKUP(B1683,[1]LifeList!$E$2:$G$2036,1)</f>
        <v>Lesser Yellowlegs</v>
      </c>
      <c r="E1683" s="3" t="str">
        <f>VLOOKUP(B1683,[1]LifeList!$E$2:$G$2036,2)</f>
        <v>Petit Chevalier</v>
      </c>
      <c r="F1683" s="3" t="str">
        <f>VLOOKUP(B1683,[1]LifeList!$E$2:$G$2036,3)</f>
        <v>Tringa flavipes</v>
      </c>
      <c r="G1683" s="3" t="str">
        <f>VLOOKUP(B1683,[1]LifeList!$E$2:$I$2036,4)</f>
        <v>Charadriiformes</v>
      </c>
      <c r="H1683" s="3" t="str">
        <f>VLOOKUP(B1683,[1]LifeList!$E$2:$I$2036,5)</f>
        <v>Scolopacidae (Sandpipers and Allies)</v>
      </c>
    </row>
    <row r="1684" spans="1:8" x14ac:dyDescent="0.15">
      <c r="A1684" s="3" t="s">
        <v>3884</v>
      </c>
      <c r="B1684" s="3" t="s">
        <v>5231</v>
      </c>
      <c r="C1684" s="3">
        <v>17808</v>
      </c>
      <c r="D1684" s="3" t="str">
        <f>VLOOKUP(B1684,[1]LifeList!$E$2:$G$2036,1)</f>
        <v>Lesson's Motmot</v>
      </c>
      <c r="E1684" s="3" t="str">
        <f>VLOOKUP(B1684,[1]LifeList!$E$2:$G$2036,2)</f>
        <v>Motmot de Lesson</v>
      </c>
      <c r="F1684" s="3" t="str">
        <f>VLOOKUP(B1684,[1]LifeList!$E$2:$G$2036,3)</f>
        <v>Momotus lessonii</v>
      </c>
      <c r="G1684" s="3" t="str">
        <f>VLOOKUP(B1684,[1]LifeList!$E$2:$I$2036,4)</f>
        <v>Coraciiformes</v>
      </c>
      <c r="H1684" s="3" t="str">
        <f>VLOOKUP(B1684,[1]LifeList!$E$2:$I$2036,5)</f>
        <v>Momotidae (Motmots)</v>
      </c>
    </row>
    <row r="1685" spans="1:8" x14ac:dyDescent="0.15">
      <c r="A1685" s="3" t="s">
        <v>3885</v>
      </c>
      <c r="B1685" s="3" t="s">
        <v>5231</v>
      </c>
      <c r="C1685" s="3">
        <v>17808</v>
      </c>
      <c r="D1685" s="3" t="str">
        <f>VLOOKUP(B1685,[1]LifeList!$E$2:$G$2036,1)</f>
        <v>Lesson's Motmot</v>
      </c>
      <c r="E1685" s="3" t="str">
        <f>VLOOKUP(B1685,[1]LifeList!$E$2:$G$2036,2)</f>
        <v>Motmot de Lesson</v>
      </c>
      <c r="F1685" s="3" t="str">
        <f>VLOOKUP(B1685,[1]LifeList!$E$2:$G$2036,3)</f>
        <v>Momotus lessonii</v>
      </c>
      <c r="G1685" s="3" t="str">
        <f>VLOOKUP(B1685,[1]LifeList!$E$2:$I$2036,4)</f>
        <v>Coraciiformes</v>
      </c>
      <c r="H1685" s="3" t="str">
        <f>VLOOKUP(B1685,[1]LifeList!$E$2:$I$2036,5)</f>
        <v>Momotidae (Motmots)</v>
      </c>
    </row>
    <row r="1686" spans="1:8" x14ac:dyDescent="0.15">
      <c r="A1686" s="3" t="s">
        <v>3886</v>
      </c>
      <c r="B1686" s="3" t="s">
        <v>5231</v>
      </c>
      <c r="C1686" s="3">
        <v>17808</v>
      </c>
      <c r="D1686" s="3" t="str">
        <f>VLOOKUP(B1686,[1]LifeList!$E$2:$G$2036,1)</f>
        <v>Lesson's Motmot</v>
      </c>
      <c r="E1686" s="3" t="str">
        <f>VLOOKUP(B1686,[1]LifeList!$E$2:$G$2036,2)</f>
        <v>Motmot de Lesson</v>
      </c>
      <c r="F1686" s="3" t="str">
        <f>VLOOKUP(B1686,[1]LifeList!$E$2:$G$2036,3)</f>
        <v>Momotus lessonii</v>
      </c>
      <c r="G1686" s="3" t="str">
        <f>VLOOKUP(B1686,[1]LifeList!$E$2:$I$2036,4)</f>
        <v>Coraciiformes</v>
      </c>
      <c r="H1686" s="3" t="str">
        <f>VLOOKUP(B1686,[1]LifeList!$E$2:$I$2036,5)</f>
        <v>Momotidae (Motmots)</v>
      </c>
    </row>
    <row r="1687" spans="1:8" x14ac:dyDescent="0.15">
      <c r="A1687" s="3" t="s">
        <v>1602</v>
      </c>
      <c r="B1687" s="3" t="s">
        <v>4518</v>
      </c>
      <c r="C1687" s="3">
        <v>10332</v>
      </c>
      <c r="D1687" s="3" t="str">
        <f>VLOOKUP(B1687,[1]LifeList!$E$2:$G$2036,1)</f>
        <v>Lilac-breasted Roller</v>
      </c>
      <c r="E1687" s="3" t="str">
        <f>VLOOKUP(B1687,[1]LifeList!$E$2:$G$2036,2)</f>
        <v>Rollier à longs brins</v>
      </c>
      <c r="F1687" s="3" t="str">
        <f>VLOOKUP(B1687,[1]LifeList!$E$2:$G$2036,3)</f>
        <v>Coracias caudatus</v>
      </c>
      <c r="G1687" s="3" t="str">
        <f>VLOOKUP(B1687,[1]LifeList!$E$2:$I$2036,4)</f>
        <v>Coraciiformes</v>
      </c>
      <c r="H1687" s="3" t="str">
        <f>VLOOKUP(B1687,[1]LifeList!$E$2:$I$2036,5)</f>
        <v>Coraciidae (Rollers)</v>
      </c>
    </row>
    <row r="1688" spans="1:8" x14ac:dyDescent="0.15">
      <c r="A1688" s="3" t="s">
        <v>1603</v>
      </c>
      <c r="B1688" s="3" t="s">
        <v>4518</v>
      </c>
      <c r="C1688" s="3">
        <v>10332</v>
      </c>
      <c r="D1688" s="3" t="str">
        <f>VLOOKUP(B1688,[1]LifeList!$E$2:$G$2036,1)</f>
        <v>Lilac-breasted Roller</v>
      </c>
      <c r="E1688" s="3" t="str">
        <f>VLOOKUP(B1688,[1]LifeList!$E$2:$G$2036,2)</f>
        <v>Rollier à longs brins</v>
      </c>
      <c r="F1688" s="3" t="str">
        <f>VLOOKUP(B1688,[1]LifeList!$E$2:$G$2036,3)</f>
        <v>Coracias caudatus</v>
      </c>
      <c r="G1688" s="3" t="str">
        <f>VLOOKUP(B1688,[1]LifeList!$E$2:$I$2036,4)</f>
        <v>Coraciiformes</v>
      </c>
      <c r="H1688" s="3" t="str">
        <f>VLOOKUP(B1688,[1]LifeList!$E$2:$I$2036,5)</f>
        <v>Coraciidae (Rollers)</v>
      </c>
    </row>
    <row r="1689" spans="1:8" x14ac:dyDescent="0.15">
      <c r="A1689" s="3" t="s">
        <v>1604</v>
      </c>
      <c r="B1689" s="3" t="s">
        <v>4518</v>
      </c>
      <c r="C1689" s="3">
        <v>10332</v>
      </c>
      <c r="D1689" s="3" t="str">
        <f>VLOOKUP(B1689,[1]LifeList!$E$2:$G$2036,1)</f>
        <v>Lilac-breasted Roller</v>
      </c>
      <c r="E1689" s="3" t="str">
        <f>VLOOKUP(B1689,[1]LifeList!$E$2:$G$2036,2)</f>
        <v>Rollier à longs brins</v>
      </c>
      <c r="F1689" s="3" t="str">
        <f>VLOOKUP(B1689,[1]LifeList!$E$2:$G$2036,3)</f>
        <v>Coracias caudatus</v>
      </c>
      <c r="G1689" s="3" t="str">
        <f>VLOOKUP(B1689,[1]LifeList!$E$2:$I$2036,4)</f>
        <v>Coraciiformes</v>
      </c>
      <c r="H1689" s="3" t="str">
        <f>VLOOKUP(B1689,[1]LifeList!$E$2:$I$2036,5)</f>
        <v>Coraciidae (Rollers)</v>
      </c>
    </row>
    <row r="1690" spans="1:8" x14ac:dyDescent="0.15">
      <c r="A1690" s="3" t="s">
        <v>1605</v>
      </c>
      <c r="B1690" s="3" t="s">
        <v>4518</v>
      </c>
      <c r="C1690" s="3">
        <v>10332</v>
      </c>
      <c r="D1690" s="3" t="str">
        <f>VLOOKUP(B1690,[1]LifeList!$E$2:$G$2036,1)</f>
        <v>Lilac-breasted Roller</v>
      </c>
      <c r="E1690" s="3" t="str">
        <f>VLOOKUP(B1690,[1]LifeList!$E$2:$G$2036,2)</f>
        <v>Rollier à longs brins</v>
      </c>
      <c r="F1690" s="3" t="str">
        <f>VLOOKUP(B1690,[1]LifeList!$E$2:$G$2036,3)</f>
        <v>Coracias caudatus</v>
      </c>
      <c r="G1690" s="3" t="str">
        <f>VLOOKUP(B1690,[1]LifeList!$E$2:$I$2036,4)</f>
        <v>Coraciiformes</v>
      </c>
      <c r="H1690" s="3" t="str">
        <f>VLOOKUP(B1690,[1]LifeList!$E$2:$I$2036,5)</f>
        <v>Coraciidae (Rollers)</v>
      </c>
    </row>
    <row r="1691" spans="1:8" x14ac:dyDescent="0.15">
      <c r="A1691" s="3" t="s">
        <v>1606</v>
      </c>
      <c r="B1691" s="3" t="s">
        <v>4519</v>
      </c>
      <c r="C1691" s="3">
        <v>5671</v>
      </c>
      <c r="D1691" s="3" t="str">
        <f>VLOOKUP(B1691,[1]LifeList!$E$2:$G$2036,1)</f>
        <v>Limpkin</v>
      </c>
      <c r="E1691" s="3" t="str">
        <f>VLOOKUP(B1691,[1]LifeList!$E$2:$G$2036,2)</f>
        <v>Courlan brun</v>
      </c>
      <c r="F1691" s="3" t="str">
        <f>VLOOKUP(B1691,[1]LifeList!$E$2:$G$2036,3)</f>
        <v>Aramus guarauna</v>
      </c>
      <c r="G1691" s="3" t="str">
        <f>VLOOKUP(B1691,[1]LifeList!$E$2:$I$2036,4)</f>
        <v>Gruiformes</v>
      </c>
      <c r="H1691" s="3" t="str">
        <f>VLOOKUP(B1691,[1]LifeList!$E$2:$I$2036,5)</f>
        <v>Aramidae (Limpkin)</v>
      </c>
    </row>
    <row r="1692" spans="1:8" x14ac:dyDescent="0.15">
      <c r="A1692" s="3" t="s">
        <v>1607</v>
      </c>
      <c r="B1692" s="3" t="s">
        <v>4519</v>
      </c>
      <c r="C1692" s="3">
        <v>5671</v>
      </c>
      <c r="D1692" s="3" t="str">
        <f>VLOOKUP(B1692,[1]LifeList!$E$2:$G$2036,1)</f>
        <v>Limpkin</v>
      </c>
      <c r="E1692" s="3" t="str">
        <f>VLOOKUP(B1692,[1]LifeList!$E$2:$G$2036,2)</f>
        <v>Courlan brun</v>
      </c>
      <c r="F1692" s="3" t="str">
        <f>VLOOKUP(B1692,[1]LifeList!$E$2:$G$2036,3)</f>
        <v>Aramus guarauna</v>
      </c>
      <c r="G1692" s="3" t="str">
        <f>VLOOKUP(B1692,[1]LifeList!$E$2:$I$2036,4)</f>
        <v>Gruiformes</v>
      </c>
      <c r="H1692" s="3" t="str">
        <f>VLOOKUP(B1692,[1]LifeList!$E$2:$I$2036,5)</f>
        <v>Aramidae (Limpkin)</v>
      </c>
    </row>
    <row r="1693" spans="1:8" x14ac:dyDescent="0.15">
      <c r="A1693" s="3" t="s">
        <v>1608</v>
      </c>
      <c r="B1693" s="3" t="s">
        <v>4519</v>
      </c>
      <c r="C1693" s="3">
        <v>5671</v>
      </c>
      <c r="D1693" s="3" t="str">
        <f>VLOOKUP(B1693,[1]LifeList!$E$2:$G$2036,1)</f>
        <v>Limpkin</v>
      </c>
      <c r="E1693" s="3" t="str">
        <f>VLOOKUP(B1693,[1]LifeList!$E$2:$G$2036,2)</f>
        <v>Courlan brun</v>
      </c>
      <c r="F1693" s="3" t="str">
        <f>VLOOKUP(B1693,[1]LifeList!$E$2:$G$2036,3)</f>
        <v>Aramus guarauna</v>
      </c>
      <c r="G1693" s="3" t="str">
        <f>VLOOKUP(B1693,[1]LifeList!$E$2:$I$2036,4)</f>
        <v>Gruiformes</v>
      </c>
      <c r="H1693" s="3" t="str">
        <f>VLOOKUP(B1693,[1]LifeList!$E$2:$I$2036,5)</f>
        <v>Aramidae (Limpkin)</v>
      </c>
    </row>
    <row r="1694" spans="1:8" x14ac:dyDescent="0.15">
      <c r="A1694" s="3" t="s">
        <v>1609</v>
      </c>
      <c r="B1694" s="3" t="s">
        <v>4519</v>
      </c>
      <c r="C1694" s="3">
        <v>5671</v>
      </c>
      <c r="D1694" s="3" t="str">
        <f>VLOOKUP(B1694,[1]LifeList!$E$2:$G$2036,1)</f>
        <v>Limpkin</v>
      </c>
      <c r="E1694" s="3" t="str">
        <f>VLOOKUP(B1694,[1]LifeList!$E$2:$G$2036,2)</f>
        <v>Courlan brun</v>
      </c>
      <c r="F1694" s="3" t="str">
        <f>VLOOKUP(B1694,[1]LifeList!$E$2:$G$2036,3)</f>
        <v>Aramus guarauna</v>
      </c>
      <c r="G1694" s="3" t="str">
        <f>VLOOKUP(B1694,[1]LifeList!$E$2:$I$2036,4)</f>
        <v>Gruiformes</v>
      </c>
      <c r="H1694" s="3" t="str">
        <f>VLOOKUP(B1694,[1]LifeList!$E$2:$I$2036,5)</f>
        <v>Aramidae (Limpkin)</v>
      </c>
    </row>
    <row r="1695" spans="1:8" x14ac:dyDescent="0.15">
      <c r="A1695" s="3" t="s">
        <v>1610</v>
      </c>
      <c r="B1695" s="3" t="s">
        <v>4519</v>
      </c>
      <c r="C1695" s="3">
        <v>5671</v>
      </c>
      <c r="D1695" s="3" t="str">
        <f>VLOOKUP(B1695,[1]LifeList!$E$2:$G$2036,1)</f>
        <v>Limpkin</v>
      </c>
      <c r="E1695" s="3" t="str">
        <f>VLOOKUP(B1695,[1]LifeList!$E$2:$G$2036,2)</f>
        <v>Courlan brun</v>
      </c>
      <c r="F1695" s="3" t="str">
        <f>VLOOKUP(B1695,[1]LifeList!$E$2:$G$2036,3)</f>
        <v>Aramus guarauna</v>
      </c>
      <c r="G1695" s="3" t="str">
        <f>VLOOKUP(B1695,[1]LifeList!$E$2:$I$2036,4)</f>
        <v>Gruiformes</v>
      </c>
      <c r="H1695" s="3" t="str">
        <f>VLOOKUP(B1695,[1]LifeList!$E$2:$I$2036,5)</f>
        <v>Aramidae (Limpkin)</v>
      </c>
    </row>
    <row r="1696" spans="1:8" x14ac:dyDescent="0.15">
      <c r="A1696" s="3" t="s">
        <v>1611</v>
      </c>
      <c r="B1696" s="3" t="s">
        <v>4519</v>
      </c>
      <c r="C1696" s="3">
        <v>5671</v>
      </c>
      <c r="D1696" s="3" t="str">
        <f>VLOOKUP(B1696,[1]LifeList!$E$2:$G$2036,1)</f>
        <v>Limpkin</v>
      </c>
      <c r="E1696" s="3" t="str">
        <f>VLOOKUP(B1696,[1]LifeList!$E$2:$G$2036,2)</f>
        <v>Courlan brun</v>
      </c>
      <c r="F1696" s="3" t="str">
        <f>VLOOKUP(B1696,[1]LifeList!$E$2:$G$2036,3)</f>
        <v>Aramus guarauna</v>
      </c>
      <c r="G1696" s="3" t="str">
        <f>VLOOKUP(B1696,[1]LifeList!$E$2:$I$2036,4)</f>
        <v>Gruiformes</v>
      </c>
      <c r="H1696" s="3" t="str">
        <f>VLOOKUP(B1696,[1]LifeList!$E$2:$I$2036,5)</f>
        <v>Aramidae (Limpkin)</v>
      </c>
    </row>
    <row r="1697" spans="1:8" x14ac:dyDescent="0.15">
      <c r="A1697" s="3" t="s">
        <v>1612</v>
      </c>
      <c r="B1697" s="3" t="s">
        <v>4519</v>
      </c>
      <c r="C1697" s="3">
        <v>5671</v>
      </c>
      <c r="D1697" s="3" t="str">
        <f>VLOOKUP(B1697,[1]LifeList!$E$2:$G$2036,1)</f>
        <v>Limpkin</v>
      </c>
      <c r="E1697" s="3" t="str">
        <f>VLOOKUP(B1697,[1]LifeList!$E$2:$G$2036,2)</f>
        <v>Courlan brun</v>
      </c>
      <c r="F1697" s="3" t="str">
        <f>VLOOKUP(B1697,[1]LifeList!$E$2:$G$2036,3)</f>
        <v>Aramus guarauna</v>
      </c>
      <c r="G1697" s="3" t="str">
        <f>VLOOKUP(B1697,[1]LifeList!$E$2:$I$2036,4)</f>
        <v>Gruiformes</v>
      </c>
      <c r="H1697" s="3" t="str">
        <f>VLOOKUP(B1697,[1]LifeList!$E$2:$I$2036,5)</f>
        <v>Aramidae (Limpkin)</v>
      </c>
    </row>
    <row r="1698" spans="1:8" x14ac:dyDescent="0.15">
      <c r="A1698" s="3" t="s">
        <v>1613</v>
      </c>
      <c r="B1698" s="3" t="s">
        <v>4519</v>
      </c>
      <c r="C1698" s="3">
        <v>5671</v>
      </c>
      <c r="D1698" s="3" t="str">
        <f>VLOOKUP(B1698,[1]LifeList!$E$2:$G$2036,1)</f>
        <v>Limpkin</v>
      </c>
      <c r="E1698" s="3" t="str">
        <f>VLOOKUP(B1698,[1]LifeList!$E$2:$G$2036,2)</f>
        <v>Courlan brun</v>
      </c>
      <c r="F1698" s="3" t="str">
        <f>VLOOKUP(B1698,[1]LifeList!$E$2:$G$2036,3)</f>
        <v>Aramus guarauna</v>
      </c>
      <c r="G1698" s="3" t="str">
        <f>VLOOKUP(B1698,[1]LifeList!$E$2:$I$2036,4)</f>
        <v>Gruiformes</v>
      </c>
      <c r="H1698" s="3" t="str">
        <f>VLOOKUP(B1698,[1]LifeList!$E$2:$I$2036,5)</f>
        <v>Aramidae (Limpkin)</v>
      </c>
    </row>
    <row r="1699" spans="1:8" x14ac:dyDescent="0.15">
      <c r="A1699" s="3" t="s">
        <v>1614</v>
      </c>
      <c r="B1699" s="3" t="s">
        <v>4519</v>
      </c>
      <c r="C1699" s="3">
        <v>5671</v>
      </c>
      <c r="D1699" s="3" t="str">
        <f>VLOOKUP(B1699,[1]LifeList!$E$2:$G$2036,1)</f>
        <v>Limpkin</v>
      </c>
      <c r="E1699" s="3" t="str">
        <f>VLOOKUP(B1699,[1]LifeList!$E$2:$G$2036,2)</f>
        <v>Courlan brun</v>
      </c>
      <c r="F1699" s="3" t="str">
        <f>VLOOKUP(B1699,[1]LifeList!$E$2:$G$2036,3)</f>
        <v>Aramus guarauna</v>
      </c>
      <c r="G1699" s="3" t="str">
        <f>VLOOKUP(B1699,[1]LifeList!$E$2:$I$2036,4)</f>
        <v>Gruiformes</v>
      </c>
      <c r="H1699" s="3" t="str">
        <f>VLOOKUP(B1699,[1]LifeList!$E$2:$I$2036,5)</f>
        <v>Aramidae (Limpkin)</v>
      </c>
    </row>
    <row r="1700" spans="1:8" x14ac:dyDescent="0.15">
      <c r="A1700" s="3" t="s">
        <v>1615</v>
      </c>
      <c r="B1700" s="3" t="s">
        <v>4519</v>
      </c>
      <c r="C1700" s="3">
        <v>5671</v>
      </c>
      <c r="D1700" s="3" t="str">
        <f>VLOOKUP(B1700,[1]LifeList!$E$2:$G$2036,1)</f>
        <v>Limpkin</v>
      </c>
      <c r="E1700" s="3" t="str">
        <f>VLOOKUP(B1700,[1]LifeList!$E$2:$G$2036,2)</f>
        <v>Courlan brun</v>
      </c>
      <c r="F1700" s="3" t="str">
        <f>VLOOKUP(B1700,[1]LifeList!$E$2:$G$2036,3)</f>
        <v>Aramus guarauna</v>
      </c>
      <c r="G1700" s="3" t="str">
        <f>VLOOKUP(B1700,[1]LifeList!$E$2:$I$2036,4)</f>
        <v>Gruiformes</v>
      </c>
      <c r="H1700" s="3" t="str">
        <f>VLOOKUP(B1700,[1]LifeList!$E$2:$I$2036,5)</f>
        <v>Aramidae (Limpkin)</v>
      </c>
    </row>
    <row r="1701" spans="1:8" x14ac:dyDescent="0.15">
      <c r="A1701" s="3" t="s">
        <v>1616</v>
      </c>
      <c r="B1701" s="3" t="s">
        <v>4519</v>
      </c>
      <c r="C1701" s="3">
        <v>5671</v>
      </c>
      <c r="D1701" s="3" t="str">
        <f>VLOOKUP(B1701,[1]LifeList!$E$2:$G$2036,1)</f>
        <v>Limpkin</v>
      </c>
      <c r="E1701" s="3" t="str">
        <f>VLOOKUP(B1701,[1]LifeList!$E$2:$G$2036,2)</f>
        <v>Courlan brun</v>
      </c>
      <c r="F1701" s="3" t="str">
        <f>VLOOKUP(B1701,[1]LifeList!$E$2:$G$2036,3)</f>
        <v>Aramus guarauna</v>
      </c>
      <c r="G1701" s="3" t="str">
        <f>VLOOKUP(B1701,[1]LifeList!$E$2:$I$2036,4)</f>
        <v>Gruiformes</v>
      </c>
      <c r="H1701" s="3" t="str">
        <f>VLOOKUP(B1701,[1]LifeList!$E$2:$I$2036,5)</f>
        <v>Aramidae (Limpkin)</v>
      </c>
    </row>
    <row r="1702" spans="1:8" x14ac:dyDescent="0.15">
      <c r="A1702" s="3" t="s">
        <v>1617</v>
      </c>
      <c r="B1702" s="3" t="s">
        <v>4519</v>
      </c>
      <c r="C1702" s="3">
        <v>5671</v>
      </c>
      <c r="D1702" s="3" t="str">
        <f>VLOOKUP(B1702,[1]LifeList!$E$2:$G$2036,1)</f>
        <v>Limpkin</v>
      </c>
      <c r="E1702" s="3" t="str">
        <f>VLOOKUP(B1702,[1]LifeList!$E$2:$G$2036,2)</f>
        <v>Courlan brun</v>
      </c>
      <c r="F1702" s="3" t="str">
        <f>VLOOKUP(B1702,[1]LifeList!$E$2:$G$2036,3)</f>
        <v>Aramus guarauna</v>
      </c>
      <c r="G1702" s="3" t="str">
        <f>VLOOKUP(B1702,[1]LifeList!$E$2:$I$2036,4)</f>
        <v>Gruiformes</v>
      </c>
      <c r="H1702" s="3" t="str">
        <f>VLOOKUP(B1702,[1]LifeList!$E$2:$I$2036,5)</f>
        <v>Aramidae (Limpkin)</v>
      </c>
    </row>
    <row r="1703" spans="1:8" x14ac:dyDescent="0.15">
      <c r="A1703" s="3" t="s">
        <v>1618</v>
      </c>
      <c r="B1703" s="3" t="s">
        <v>4519</v>
      </c>
      <c r="C1703" s="3">
        <v>5671</v>
      </c>
      <c r="D1703" s="3" t="str">
        <f>VLOOKUP(B1703,[1]LifeList!$E$2:$G$2036,1)</f>
        <v>Limpkin</v>
      </c>
      <c r="E1703" s="3" t="str">
        <f>VLOOKUP(B1703,[1]LifeList!$E$2:$G$2036,2)</f>
        <v>Courlan brun</v>
      </c>
      <c r="F1703" s="3" t="str">
        <f>VLOOKUP(B1703,[1]LifeList!$E$2:$G$2036,3)</f>
        <v>Aramus guarauna</v>
      </c>
      <c r="G1703" s="3" t="str">
        <f>VLOOKUP(B1703,[1]LifeList!$E$2:$I$2036,4)</f>
        <v>Gruiformes</v>
      </c>
      <c r="H1703" s="3" t="str">
        <f>VLOOKUP(B1703,[1]LifeList!$E$2:$I$2036,5)</f>
        <v>Aramidae (Limpkin)</v>
      </c>
    </row>
    <row r="1704" spans="1:8" x14ac:dyDescent="0.15">
      <c r="A1704" s="3" t="s">
        <v>3887</v>
      </c>
      <c r="B1704" s="3" t="s">
        <v>5232</v>
      </c>
      <c r="C1704" s="3">
        <v>17808</v>
      </c>
      <c r="D1704" s="3" t="str">
        <f>VLOOKUP(B1704,[1]LifeList!$E$2:$G$2036,1)</f>
        <v>Lincoln's Sparrow</v>
      </c>
      <c r="E1704" s="3" t="str">
        <f>VLOOKUP(B1704,[1]LifeList!$E$2:$G$2036,2)</f>
        <v>Bruant de Lincoln</v>
      </c>
      <c r="F1704" s="3" t="str">
        <f>VLOOKUP(B1704,[1]LifeList!$E$2:$G$2036,3)</f>
        <v>Melospiza lincolnii</v>
      </c>
      <c r="G1704" s="3" t="str">
        <f>VLOOKUP(B1704,[1]LifeList!$E$2:$I$2036,4)</f>
        <v>Passeriformes</v>
      </c>
      <c r="H1704" s="3" t="str">
        <f>VLOOKUP(B1704,[1]LifeList!$E$2:$I$2036,5)</f>
        <v>Passerellidae (New World Sparrows)</v>
      </c>
    </row>
    <row r="1705" spans="1:8" x14ac:dyDescent="0.15">
      <c r="A1705" s="3" t="s">
        <v>3888</v>
      </c>
      <c r="B1705" s="3" t="s">
        <v>5232</v>
      </c>
      <c r="C1705" s="3">
        <v>17808</v>
      </c>
      <c r="D1705" s="3" t="str">
        <f>VLOOKUP(B1705,[1]LifeList!$E$2:$G$2036,1)</f>
        <v>Lincoln's Sparrow</v>
      </c>
      <c r="E1705" s="3" t="str">
        <f>VLOOKUP(B1705,[1]LifeList!$E$2:$G$2036,2)</f>
        <v>Bruant de Lincoln</v>
      </c>
      <c r="F1705" s="3" t="str">
        <f>VLOOKUP(B1705,[1]LifeList!$E$2:$G$2036,3)</f>
        <v>Melospiza lincolnii</v>
      </c>
      <c r="G1705" s="3" t="str">
        <f>VLOOKUP(B1705,[1]LifeList!$E$2:$I$2036,4)</f>
        <v>Passeriformes</v>
      </c>
      <c r="H1705" s="3" t="str">
        <f>VLOOKUP(B1705,[1]LifeList!$E$2:$I$2036,5)</f>
        <v>Passerellidae (New World Sparrows)</v>
      </c>
    </row>
    <row r="1706" spans="1:8" x14ac:dyDescent="0.15">
      <c r="A1706" s="3" t="s">
        <v>3889</v>
      </c>
      <c r="B1706" s="3" t="s">
        <v>5232</v>
      </c>
      <c r="C1706" s="3">
        <v>17808</v>
      </c>
      <c r="D1706" s="3" t="str">
        <f>VLOOKUP(B1706,[1]LifeList!$E$2:$G$2036,1)</f>
        <v>Lincoln's Sparrow</v>
      </c>
      <c r="E1706" s="3" t="str">
        <f>VLOOKUP(B1706,[1]LifeList!$E$2:$G$2036,2)</f>
        <v>Bruant de Lincoln</v>
      </c>
      <c r="F1706" s="3" t="str">
        <f>VLOOKUP(B1706,[1]LifeList!$E$2:$G$2036,3)</f>
        <v>Melospiza lincolnii</v>
      </c>
      <c r="G1706" s="3" t="str">
        <f>VLOOKUP(B1706,[1]LifeList!$E$2:$I$2036,4)</f>
        <v>Passeriformes</v>
      </c>
      <c r="H1706" s="3" t="str">
        <f>VLOOKUP(B1706,[1]LifeList!$E$2:$I$2036,5)</f>
        <v>Passerellidae (New World Sparrows)</v>
      </c>
    </row>
    <row r="1707" spans="1:8" x14ac:dyDescent="0.15">
      <c r="A1707" s="3" t="s">
        <v>3890</v>
      </c>
      <c r="B1707" s="3" t="s">
        <v>5232</v>
      </c>
      <c r="C1707" s="3">
        <v>17808</v>
      </c>
      <c r="D1707" s="3" t="str">
        <f>VLOOKUP(B1707,[1]LifeList!$E$2:$G$2036,1)</f>
        <v>Lincoln's Sparrow</v>
      </c>
      <c r="E1707" s="3" t="str">
        <f>VLOOKUP(B1707,[1]LifeList!$E$2:$G$2036,2)</f>
        <v>Bruant de Lincoln</v>
      </c>
      <c r="F1707" s="3" t="str">
        <f>VLOOKUP(B1707,[1]LifeList!$E$2:$G$2036,3)</f>
        <v>Melospiza lincolnii</v>
      </c>
      <c r="G1707" s="3" t="str">
        <f>VLOOKUP(B1707,[1]LifeList!$E$2:$I$2036,4)</f>
        <v>Passeriformes</v>
      </c>
      <c r="H1707" s="3" t="str">
        <f>VLOOKUP(B1707,[1]LifeList!$E$2:$I$2036,5)</f>
        <v>Passerellidae (New World Sparrows)</v>
      </c>
    </row>
    <row r="1708" spans="1:8" x14ac:dyDescent="0.15">
      <c r="A1708" s="3" t="s">
        <v>3891</v>
      </c>
      <c r="B1708" s="3" t="s">
        <v>5232</v>
      </c>
      <c r="C1708" s="3">
        <v>17808</v>
      </c>
      <c r="D1708" s="3" t="str">
        <f>VLOOKUP(B1708,[1]LifeList!$E$2:$G$2036,1)</f>
        <v>Lincoln's Sparrow</v>
      </c>
      <c r="E1708" s="3" t="str">
        <f>VLOOKUP(B1708,[1]LifeList!$E$2:$G$2036,2)</f>
        <v>Bruant de Lincoln</v>
      </c>
      <c r="F1708" s="3" t="str">
        <f>VLOOKUP(B1708,[1]LifeList!$E$2:$G$2036,3)</f>
        <v>Melospiza lincolnii</v>
      </c>
      <c r="G1708" s="3" t="str">
        <f>VLOOKUP(B1708,[1]LifeList!$E$2:$I$2036,4)</f>
        <v>Passeriformes</v>
      </c>
      <c r="H1708" s="3" t="str">
        <f>VLOOKUP(B1708,[1]LifeList!$E$2:$I$2036,5)</f>
        <v>Passerellidae (New World Sparrows)</v>
      </c>
    </row>
    <row r="1709" spans="1:8" x14ac:dyDescent="0.15">
      <c r="A1709" s="3" t="s">
        <v>1619</v>
      </c>
      <c r="B1709" s="3" t="s">
        <v>4520</v>
      </c>
      <c r="C1709" s="3">
        <v>11754</v>
      </c>
      <c r="D1709" s="3" t="str">
        <f>VLOOKUP(B1709,[1]LifeList!$E$2:$G$2036,1)</f>
        <v>Lineated Woodpecker</v>
      </c>
      <c r="E1709" s="3" t="str">
        <f>VLOOKUP(B1709,[1]LifeList!$E$2:$G$2036,2)</f>
        <v>Pic ouentou</v>
      </c>
      <c r="F1709" s="3" t="str">
        <f>VLOOKUP(B1709,[1]LifeList!$E$2:$G$2036,3)</f>
        <v>Dryocopus lineatus</v>
      </c>
      <c r="G1709" s="3" t="str">
        <f>VLOOKUP(B1709,[1]LifeList!$E$2:$I$2036,4)</f>
        <v>Piciformes</v>
      </c>
      <c r="H1709" s="3" t="str">
        <f>VLOOKUP(B1709,[1]LifeList!$E$2:$I$2036,5)</f>
        <v>Picidae (Woodpeckers)</v>
      </c>
    </row>
    <row r="1710" spans="1:8" x14ac:dyDescent="0.15">
      <c r="A1710" s="3" t="s">
        <v>1620</v>
      </c>
      <c r="B1710" s="3" t="s">
        <v>4520</v>
      </c>
      <c r="C1710" s="3">
        <v>11754</v>
      </c>
      <c r="D1710" s="3" t="str">
        <f>VLOOKUP(B1710,[1]LifeList!$E$2:$G$2036,1)</f>
        <v>Lineated Woodpecker</v>
      </c>
      <c r="E1710" s="3" t="str">
        <f>VLOOKUP(B1710,[1]LifeList!$E$2:$G$2036,2)</f>
        <v>Pic ouentou</v>
      </c>
      <c r="F1710" s="3" t="str">
        <f>VLOOKUP(B1710,[1]LifeList!$E$2:$G$2036,3)</f>
        <v>Dryocopus lineatus</v>
      </c>
      <c r="G1710" s="3" t="str">
        <f>VLOOKUP(B1710,[1]LifeList!$E$2:$I$2036,4)</f>
        <v>Piciformes</v>
      </c>
      <c r="H1710" s="3" t="str">
        <f>VLOOKUP(B1710,[1]LifeList!$E$2:$I$2036,5)</f>
        <v>Picidae (Woodpeckers)</v>
      </c>
    </row>
    <row r="1711" spans="1:8" x14ac:dyDescent="0.15">
      <c r="A1711" s="3" t="s">
        <v>1621</v>
      </c>
      <c r="B1711" s="3" t="s">
        <v>4520</v>
      </c>
      <c r="C1711" s="3">
        <v>11754</v>
      </c>
      <c r="D1711" s="3" t="str">
        <f>VLOOKUP(B1711,[1]LifeList!$E$2:$G$2036,1)</f>
        <v>Lineated Woodpecker</v>
      </c>
      <c r="E1711" s="3" t="str">
        <f>VLOOKUP(B1711,[1]LifeList!$E$2:$G$2036,2)</f>
        <v>Pic ouentou</v>
      </c>
      <c r="F1711" s="3" t="str">
        <f>VLOOKUP(B1711,[1]LifeList!$E$2:$G$2036,3)</f>
        <v>Dryocopus lineatus</v>
      </c>
      <c r="G1711" s="3" t="str">
        <f>VLOOKUP(B1711,[1]LifeList!$E$2:$I$2036,4)</f>
        <v>Piciformes</v>
      </c>
      <c r="H1711" s="3" t="str">
        <f>VLOOKUP(B1711,[1]LifeList!$E$2:$I$2036,5)</f>
        <v>Picidae (Woodpeckers)</v>
      </c>
    </row>
    <row r="1712" spans="1:8" x14ac:dyDescent="0.15">
      <c r="A1712" s="3" t="s">
        <v>1622</v>
      </c>
      <c r="B1712" s="3" t="s">
        <v>4520</v>
      </c>
      <c r="C1712" s="3">
        <v>11754</v>
      </c>
      <c r="D1712" s="3" t="str">
        <f>VLOOKUP(B1712,[1]LifeList!$E$2:$G$2036,1)</f>
        <v>Lineated Woodpecker</v>
      </c>
      <c r="E1712" s="3" t="str">
        <f>VLOOKUP(B1712,[1]LifeList!$E$2:$G$2036,2)</f>
        <v>Pic ouentou</v>
      </c>
      <c r="F1712" s="3" t="str">
        <f>VLOOKUP(B1712,[1]LifeList!$E$2:$G$2036,3)</f>
        <v>Dryocopus lineatus</v>
      </c>
      <c r="G1712" s="3" t="str">
        <f>VLOOKUP(B1712,[1]LifeList!$E$2:$I$2036,4)</f>
        <v>Piciformes</v>
      </c>
      <c r="H1712" s="3" t="str">
        <f>VLOOKUP(B1712,[1]LifeList!$E$2:$I$2036,5)</f>
        <v>Picidae (Woodpeckers)</v>
      </c>
    </row>
    <row r="1713" spans="1:8" x14ac:dyDescent="0.15">
      <c r="A1713" s="3" t="s">
        <v>1623</v>
      </c>
      <c r="B1713" s="3" t="s">
        <v>4521</v>
      </c>
      <c r="C1713" s="3">
        <v>9783</v>
      </c>
      <c r="D1713" s="3" t="str">
        <f>VLOOKUP(B1713,[1]LifeList!$E$2:$G$2036,1)</f>
        <v>Little Bee-eater</v>
      </c>
      <c r="E1713" s="3" t="str">
        <f>VLOOKUP(B1713,[1]LifeList!$E$2:$G$2036,2)</f>
        <v>Guêpier nain</v>
      </c>
      <c r="F1713" s="3" t="str">
        <f>VLOOKUP(B1713,[1]LifeList!$E$2:$G$2036,3)</f>
        <v>Merops pusillus</v>
      </c>
      <c r="G1713" s="3" t="str">
        <f>VLOOKUP(B1713,[1]LifeList!$E$2:$I$2036,4)</f>
        <v>Coraciiformes</v>
      </c>
      <c r="H1713" s="3" t="str">
        <f>VLOOKUP(B1713,[1]LifeList!$E$2:$I$2036,5)</f>
        <v>Meropidae (Bee-eaters)</v>
      </c>
    </row>
    <row r="1714" spans="1:8" x14ac:dyDescent="0.15">
      <c r="A1714" s="3" t="s">
        <v>1625</v>
      </c>
      <c r="B1714" s="3" t="s">
        <v>3773</v>
      </c>
      <c r="C1714" s="3">
        <v>7413</v>
      </c>
      <c r="D1714" s="3" t="str">
        <f>VLOOKUP(B1714,[1]LifeList!$E$2:$G$2036,1)</f>
        <v>Little Black Cormorant</v>
      </c>
      <c r="E1714" s="3" t="str">
        <f>VLOOKUP(B1714,[1]LifeList!$E$2:$G$2036,2)</f>
        <v>Cormoran noir</v>
      </c>
      <c r="F1714" s="3" t="str">
        <f>VLOOKUP(B1714,[1]LifeList!$E$2:$G$2036,3)</f>
        <v>Phalacrocorax sulcirostris</v>
      </c>
      <c r="G1714" s="3" t="str">
        <f>VLOOKUP(B1714,[1]LifeList!$E$2:$I$2036,4)</f>
        <v>Suliformes</v>
      </c>
      <c r="H1714" s="3" t="str">
        <f>VLOOKUP(B1714,[1]LifeList!$E$2:$I$2036,5)</f>
        <v>Phalacrocoracidae (Cormorants and Shags)</v>
      </c>
    </row>
    <row r="1715" spans="1:8" x14ac:dyDescent="0.15">
      <c r="A1715" s="3" t="s">
        <v>1626</v>
      </c>
      <c r="B1715" s="3" t="s">
        <v>3773</v>
      </c>
      <c r="C1715" s="3">
        <v>7413</v>
      </c>
      <c r="D1715" s="3" t="str">
        <f>VLOOKUP(B1715,[1]LifeList!$E$2:$G$2036,1)</f>
        <v>Little Black Cormorant</v>
      </c>
      <c r="E1715" s="3" t="str">
        <f>VLOOKUP(B1715,[1]LifeList!$E$2:$G$2036,2)</f>
        <v>Cormoran noir</v>
      </c>
      <c r="F1715" s="3" t="str">
        <f>VLOOKUP(B1715,[1]LifeList!$E$2:$G$2036,3)</f>
        <v>Phalacrocorax sulcirostris</v>
      </c>
      <c r="G1715" s="3" t="str">
        <f>VLOOKUP(B1715,[1]LifeList!$E$2:$I$2036,4)</f>
        <v>Suliformes</v>
      </c>
      <c r="H1715" s="3" t="str">
        <f>VLOOKUP(B1715,[1]LifeList!$E$2:$I$2036,5)</f>
        <v>Phalacrocoracidae (Cormorants and Shags)</v>
      </c>
    </row>
    <row r="1716" spans="1:8" x14ac:dyDescent="0.15">
      <c r="A1716" s="3" t="s">
        <v>1624</v>
      </c>
      <c r="B1716" s="3" t="s">
        <v>3773</v>
      </c>
      <c r="C1716" s="3">
        <v>7413</v>
      </c>
      <c r="D1716" s="3" t="str">
        <f>VLOOKUP(B1716,[1]LifeList!$E$2:$G$2036,1)</f>
        <v>Little Black Cormorant</v>
      </c>
      <c r="E1716" s="3" t="str">
        <f>VLOOKUP(B1716,[1]LifeList!$E$2:$G$2036,2)</f>
        <v>Cormoran noir</v>
      </c>
      <c r="F1716" s="3" t="str">
        <f>VLOOKUP(B1716,[1]LifeList!$E$2:$G$2036,3)</f>
        <v>Phalacrocorax sulcirostris</v>
      </c>
      <c r="G1716" s="3" t="str">
        <f>VLOOKUP(B1716,[1]LifeList!$E$2:$I$2036,4)</f>
        <v>Suliformes</v>
      </c>
      <c r="H1716" s="3" t="str">
        <f>VLOOKUP(B1716,[1]LifeList!$E$2:$I$2036,5)</f>
        <v>Phalacrocoracidae (Cormorants and Shags)</v>
      </c>
    </row>
    <row r="1717" spans="1:8" x14ac:dyDescent="0.15">
      <c r="A1717" s="3" t="s">
        <v>1627</v>
      </c>
      <c r="B1717" s="3" t="s">
        <v>3774</v>
      </c>
      <c r="C1717" s="3">
        <v>7629</v>
      </c>
      <c r="D1717" s="3" t="str">
        <f>VLOOKUP(B1717,[1]LifeList!$E$2:$G$2036,1)</f>
        <v>Little Blue Heron</v>
      </c>
      <c r="E1717" s="3" t="str">
        <f>VLOOKUP(B1717,[1]LifeList!$E$2:$G$2036,2)</f>
        <v>Aigrette bleue</v>
      </c>
      <c r="F1717" s="3" t="str">
        <f>VLOOKUP(B1717,[1]LifeList!$E$2:$G$2036,3)</f>
        <v>Egretta caerulea</v>
      </c>
      <c r="G1717" s="3" t="str">
        <f>VLOOKUP(B1717,[1]LifeList!$E$2:$I$2036,4)</f>
        <v>Pelecaniformes</v>
      </c>
      <c r="H1717" s="3" t="str">
        <f>VLOOKUP(B1717,[1]LifeList!$E$2:$I$2036,5)</f>
        <v>Ardeidae (Herons, Egrets, and Bitterns)</v>
      </c>
    </row>
    <row r="1718" spans="1:8" x14ac:dyDescent="0.15">
      <c r="A1718" s="3" t="s">
        <v>1628</v>
      </c>
      <c r="B1718" s="3" t="s">
        <v>3774</v>
      </c>
      <c r="C1718" s="3">
        <v>7629</v>
      </c>
      <c r="D1718" s="3" t="str">
        <f>VLOOKUP(B1718,[1]LifeList!$E$2:$G$2036,1)</f>
        <v>Little Blue Heron</v>
      </c>
      <c r="E1718" s="3" t="str">
        <f>VLOOKUP(B1718,[1]LifeList!$E$2:$G$2036,2)</f>
        <v>Aigrette bleue</v>
      </c>
      <c r="F1718" s="3" t="str">
        <f>VLOOKUP(B1718,[1]LifeList!$E$2:$G$2036,3)</f>
        <v>Egretta caerulea</v>
      </c>
      <c r="G1718" s="3" t="str">
        <f>VLOOKUP(B1718,[1]LifeList!$E$2:$I$2036,4)</f>
        <v>Pelecaniformes</v>
      </c>
      <c r="H1718" s="3" t="str">
        <f>VLOOKUP(B1718,[1]LifeList!$E$2:$I$2036,5)</f>
        <v>Ardeidae (Herons, Egrets, and Bitterns)</v>
      </c>
    </row>
    <row r="1719" spans="1:8" x14ac:dyDescent="0.15">
      <c r="A1719" s="3" t="s">
        <v>1629</v>
      </c>
      <c r="B1719" s="3" t="s">
        <v>3774</v>
      </c>
      <c r="C1719" s="3">
        <v>7629</v>
      </c>
      <c r="D1719" s="3" t="str">
        <f>VLOOKUP(B1719,[1]LifeList!$E$2:$G$2036,1)</f>
        <v>Little Blue Heron</v>
      </c>
      <c r="E1719" s="3" t="str">
        <f>VLOOKUP(B1719,[1]LifeList!$E$2:$G$2036,2)</f>
        <v>Aigrette bleue</v>
      </c>
      <c r="F1719" s="3" t="str">
        <f>VLOOKUP(B1719,[1]LifeList!$E$2:$G$2036,3)</f>
        <v>Egretta caerulea</v>
      </c>
      <c r="G1719" s="3" t="str">
        <f>VLOOKUP(B1719,[1]LifeList!$E$2:$I$2036,4)</f>
        <v>Pelecaniformes</v>
      </c>
      <c r="H1719" s="3" t="str">
        <f>VLOOKUP(B1719,[1]LifeList!$E$2:$I$2036,5)</f>
        <v>Ardeidae (Herons, Egrets, and Bitterns)</v>
      </c>
    </row>
    <row r="1720" spans="1:8" x14ac:dyDescent="0.15">
      <c r="A1720" s="3" t="s">
        <v>1630</v>
      </c>
      <c r="B1720" s="3" t="s">
        <v>3774</v>
      </c>
      <c r="C1720" s="3">
        <v>7629</v>
      </c>
      <c r="D1720" s="3" t="str">
        <f>VLOOKUP(B1720,[1]LifeList!$E$2:$G$2036,1)</f>
        <v>Little Blue Heron</v>
      </c>
      <c r="E1720" s="3" t="str">
        <f>VLOOKUP(B1720,[1]LifeList!$E$2:$G$2036,2)</f>
        <v>Aigrette bleue</v>
      </c>
      <c r="F1720" s="3" t="str">
        <f>VLOOKUP(B1720,[1]LifeList!$E$2:$G$2036,3)</f>
        <v>Egretta caerulea</v>
      </c>
      <c r="G1720" s="3" t="str">
        <f>VLOOKUP(B1720,[1]LifeList!$E$2:$I$2036,4)</f>
        <v>Pelecaniformes</v>
      </c>
      <c r="H1720" s="3" t="str">
        <f>VLOOKUP(B1720,[1]LifeList!$E$2:$I$2036,5)</f>
        <v>Ardeidae (Herons, Egrets, and Bitterns)</v>
      </c>
    </row>
    <row r="1721" spans="1:8" x14ac:dyDescent="0.15">
      <c r="A1721" s="3" t="s">
        <v>1631</v>
      </c>
      <c r="B1721" s="3" t="s">
        <v>3774</v>
      </c>
      <c r="C1721" s="3">
        <v>7629</v>
      </c>
      <c r="D1721" s="3" t="str">
        <f>VLOOKUP(B1721,[1]LifeList!$E$2:$G$2036,1)</f>
        <v>Little Blue Heron</v>
      </c>
      <c r="E1721" s="3" t="str">
        <f>VLOOKUP(B1721,[1]LifeList!$E$2:$G$2036,2)</f>
        <v>Aigrette bleue</v>
      </c>
      <c r="F1721" s="3" t="str">
        <f>VLOOKUP(B1721,[1]LifeList!$E$2:$G$2036,3)</f>
        <v>Egretta caerulea</v>
      </c>
      <c r="G1721" s="3" t="str">
        <f>VLOOKUP(B1721,[1]LifeList!$E$2:$I$2036,4)</f>
        <v>Pelecaniformes</v>
      </c>
      <c r="H1721" s="3" t="str">
        <f>VLOOKUP(B1721,[1]LifeList!$E$2:$I$2036,5)</f>
        <v>Ardeidae (Herons, Egrets, and Bitterns)</v>
      </c>
    </row>
    <row r="1722" spans="1:8" x14ac:dyDescent="0.15">
      <c r="A1722" s="3" t="s">
        <v>1632</v>
      </c>
      <c r="B1722" s="3" t="s">
        <v>3774</v>
      </c>
      <c r="C1722" s="3">
        <v>7629</v>
      </c>
      <c r="D1722" s="3" t="str">
        <f>VLOOKUP(B1722,[1]LifeList!$E$2:$G$2036,1)</f>
        <v>Little Blue Heron</v>
      </c>
      <c r="E1722" s="3" t="str">
        <f>VLOOKUP(B1722,[1]LifeList!$E$2:$G$2036,2)</f>
        <v>Aigrette bleue</v>
      </c>
      <c r="F1722" s="3" t="str">
        <f>VLOOKUP(B1722,[1]LifeList!$E$2:$G$2036,3)</f>
        <v>Egretta caerulea</v>
      </c>
      <c r="G1722" s="3" t="str">
        <f>VLOOKUP(B1722,[1]LifeList!$E$2:$I$2036,4)</f>
        <v>Pelecaniformes</v>
      </c>
      <c r="H1722" s="3" t="str">
        <f>VLOOKUP(B1722,[1]LifeList!$E$2:$I$2036,5)</f>
        <v>Ardeidae (Herons, Egrets, and Bitterns)</v>
      </c>
    </row>
    <row r="1723" spans="1:8" x14ac:dyDescent="0.15">
      <c r="A1723" s="3" t="s">
        <v>1633</v>
      </c>
      <c r="B1723" s="3" t="s">
        <v>3774</v>
      </c>
      <c r="C1723" s="3">
        <v>7629</v>
      </c>
      <c r="D1723" s="3" t="str">
        <f>VLOOKUP(B1723,[1]LifeList!$E$2:$G$2036,1)</f>
        <v>Little Blue Heron</v>
      </c>
      <c r="E1723" s="3" t="str">
        <f>VLOOKUP(B1723,[1]LifeList!$E$2:$G$2036,2)</f>
        <v>Aigrette bleue</v>
      </c>
      <c r="F1723" s="3" t="str">
        <f>VLOOKUP(B1723,[1]LifeList!$E$2:$G$2036,3)</f>
        <v>Egretta caerulea</v>
      </c>
      <c r="G1723" s="3" t="str">
        <f>VLOOKUP(B1723,[1]LifeList!$E$2:$I$2036,4)</f>
        <v>Pelecaniformes</v>
      </c>
      <c r="H1723" s="3" t="str">
        <f>VLOOKUP(B1723,[1]LifeList!$E$2:$I$2036,5)</f>
        <v>Ardeidae (Herons, Egrets, and Bitterns)</v>
      </c>
    </row>
    <row r="1724" spans="1:8" x14ac:dyDescent="0.15">
      <c r="A1724" s="3" t="s">
        <v>1634</v>
      </c>
      <c r="B1724" s="3" t="s">
        <v>3774</v>
      </c>
      <c r="C1724" s="3">
        <v>7629</v>
      </c>
      <c r="D1724" s="3" t="str">
        <f>VLOOKUP(B1724,[1]LifeList!$E$2:$G$2036,1)</f>
        <v>Little Blue Heron</v>
      </c>
      <c r="E1724" s="3" t="str">
        <f>VLOOKUP(B1724,[1]LifeList!$E$2:$G$2036,2)</f>
        <v>Aigrette bleue</v>
      </c>
      <c r="F1724" s="3" t="str">
        <f>VLOOKUP(B1724,[1]LifeList!$E$2:$G$2036,3)</f>
        <v>Egretta caerulea</v>
      </c>
      <c r="G1724" s="3" t="str">
        <f>VLOOKUP(B1724,[1]LifeList!$E$2:$I$2036,4)</f>
        <v>Pelecaniformes</v>
      </c>
      <c r="H1724" s="3" t="str">
        <f>VLOOKUP(B1724,[1]LifeList!$E$2:$I$2036,5)</f>
        <v>Ardeidae (Herons, Egrets, and Bitterns)</v>
      </c>
    </row>
    <row r="1725" spans="1:8" x14ac:dyDescent="0.15">
      <c r="A1725" s="3" t="s">
        <v>1635</v>
      </c>
      <c r="B1725" s="3" t="s">
        <v>3774</v>
      </c>
      <c r="C1725" s="3">
        <v>7629</v>
      </c>
      <c r="D1725" s="3" t="str">
        <f>VLOOKUP(B1725,[1]LifeList!$E$2:$G$2036,1)</f>
        <v>Little Blue Heron</v>
      </c>
      <c r="E1725" s="3" t="str">
        <f>VLOOKUP(B1725,[1]LifeList!$E$2:$G$2036,2)</f>
        <v>Aigrette bleue</v>
      </c>
      <c r="F1725" s="3" t="str">
        <f>VLOOKUP(B1725,[1]LifeList!$E$2:$G$2036,3)</f>
        <v>Egretta caerulea</v>
      </c>
      <c r="G1725" s="3" t="str">
        <f>VLOOKUP(B1725,[1]LifeList!$E$2:$I$2036,4)</f>
        <v>Pelecaniformes</v>
      </c>
      <c r="H1725" s="3" t="str">
        <f>VLOOKUP(B1725,[1]LifeList!$E$2:$I$2036,5)</f>
        <v>Ardeidae (Herons, Egrets, and Bitterns)</v>
      </c>
    </row>
    <row r="1726" spans="1:8" x14ac:dyDescent="0.15">
      <c r="A1726" s="3" t="s">
        <v>1636</v>
      </c>
      <c r="B1726" s="3" t="s">
        <v>3774</v>
      </c>
      <c r="C1726" s="3">
        <v>7629</v>
      </c>
      <c r="D1726" s="3" t="str">
        <f>VLOOKUP(B1726,[1]LifeList!$E$2:$G$2036,1)</f>
        <v>Little Blue Heron</v>
      </c>
      <c r="E1726" s="3" t="str">
        <f>VLOOKUP(B1726,[1]LifeList!$E$2:$G$2036,2)</f>
        <v>Aigrette bleue</v>
      </c>
      <c r="F1726" s="3" t="str">
        <f>VLOOKUP(B1726,[1]LifeList!$E$2:$G$2036,3)</f>
        <v>Egretta caerulea</v>
      </c>
      <c r="G1726" s="3" t="str">
        <f>VLOOKUP(B1726,[1]LifeList!$E$2:$I$2036,4)</f>
        <v>Pelecaniformes</v>
      </c>
      <c r="H1726" s="3" t="str">
        <f>VLOOKUP(B1726,[1]LifeList!$E$2:$I$2036,5)</f>
        <v>Ardeidae (Herons, Egrets, and Bitterns)</v>
      </c>
    </row>
    <row r="1727" spans="1:8" x14ac:dyDescent="0.15">
      <c r="A1727" s="3" t="s">
        <v>1637</v>
      </c>
      <c r="B1727" s="3" t="s">
        <v>3774</v>
      </c>
      <c r="C1727" s="3">
        <v>7629</v>
      </c>
      <c r="D1727" s="3" t="str">
        <f>VLOOKUP(B1727,[1]LifeList!$E$2:$G$2036,1)</f>
        <v>Little Blue Heron</v>
      </c>
      <c r="E1727" s="3" t="str">
        <f>VLOOKUP(B1727,[1]LifeList!$E$2:$G$2036,2)</f>
        <v>Aigrette bleue</v>
      </c>
      <c r="F1727" s="3" t="str">
        <f>VLOOKUP(B1727,[1]LifeList!$E$2:$G$2036,3)</f>
        <v>Egretta caerulea</v>
      </c>
      <c r="G1727" s="3" t="str">
        <f>VLOOKUP(B1727,[1]LifeList!$E$2:$I$2036,4)</f>
        <v>Pelecaniformes</v>
      </c>
      <c r="H1727" s="3" t="str">
        <f>VLOOKUP(B1727,[1]LifeList!$E$2:$I$2036,5)</f>
        <v>Ardeidae (Herons, Egrets, and Bitterns)</v>
      </c>
    </row>
    <row r="1728" spans="1:8" x14ac:dyDescent="0.15">
      <c r="A1728" s="3" t="s">
        <v>1638</v>
      </c>
      <c r="B1728" s="3" t="s">
        <v>3774</v>
      </c>
      <c r="C1728" s="3">
        <v>7629</v>
      </c>
      <c r="D1728" s="3" t="str">
        <f>VLOOKUP(B1728,[1]LifeList!$E$2:$G$2036,1)</f>
        <v>Little Blue Heron</v>
      </c>
      <c r="E1728" s="3" t="str">
        <f>VLOOKUP(B1728,[1]LifeList!$E$2:$G$2036,2)</f>
        <v>Aigrette bleue</v>
      </c>
      <c r="F1728" s="3" t="str">
        <f>VLOOKUP(B1728,[1]LifeList!$E$2:$G$2036,3)</f>
        <v>Egretta caerulea</v>
      </c>
      <c r="G1728" s="3" t="str">
        <f>VLOOKUP(B1728,[1]LifeList!$E$2:$I$2036,4)</f>
        <v>Pelecaniformes</v>
      </c>
      <c r="H1728" s="3" t="str">
        <f>VLOOKUP(B1728,[1]LifeList!$E$2:$I$2036,5)</f>
        <v>Ardeidae (Herons, Egrets, and Bitterns)</v>
      </c>
    </row>
    <row r="1729" spans="1:8" x14ac:dyDescent="0.15">
      <c r="A1729" s="3" t="s">
        <v>1639</v>
      </c>
      <c r="B1729" s="3" t="s">
        <v>3774</v>
      </c>
      <c r="C1729" s="3">
        <v>7629</v>
      </c>
      <c r="D1729" s="3" t="str">
        <f>VLOOKUP(B1729,[1]LifeList!$E$2:$G$2036,1)</f>
        <v>Little Blue Heron</v>
      </c>
      <c r="E1729" s="3" t="str">
        <f>VLOOKUP(B1729,[1]LifeList!$E$2:$G$2036,2)</f>
        <v>Aigrette bleue</v>
      </c>
      <c r="F1729" s="3" t="str">
        <f>VLOOKUP(B1729,[1]LifeList!$E$2:$G$2036,3)</f>
        <v>Egretta caerulea</v>
      </c>
      <c r="G1729" s="3" t="str">
        <f>VLOOKUP(B1729,[1]LifeList!$E$2:$I$2036,4)</f>
        <v>Pelecaniformes</v>
      </c>
      <c r="H1729" s="3" t="str">
        <f>VLOOKUP(B1729,[1]LifeList!$E$2:$I$2036,5)</f>
        <v>Ardeidae (Herons, Egrets, and Bitterns)</v>
      </c>
    </row>
    <row r="1730" spans="1:8" x14ac:dyDescent="0.15">
      <c r="A1730" s="3" t="s">
        <v>1640</v>
      </c>
      <c r="B1730" s="3" t="s">
        <v>3774</v>
      </c>
      <c r="C1730" s="3">
        <v>7629</v>
      </c>
      <c r="D1730" s="3" t="str">
        <f>VLOOKUP(B1730,[1]LifeList!$E$2:$G$2036,1)</f>
        <v>Little Blue Heron</v>
      </c>
      <c r="E1730" s="3" t="str">
        <f>VLOOKUP(B1730,[1]LifeList!$E$2:$G$2036,2)</f>
        <v>Aigrette bleue</v>
      </c>
      <c r="F1730" s="3" t="str">
        <f>VLOOKUP(B1730,[1]LifeList!$E$2:$G$2036,3)</f>
        <v>Egretta caerulea</v>
      </c>
      <c r="G1730" s="3" t="str">
        <f>VLOOKUP(B1730,[1]LifeList!$E$2:$I$2036,4)</f>
        <v>Pelecaniformes</v>
      </c>
      <c r="H1730" s="3" t="str">
        <f>VLOOKUP(B1730,[1]LifeList!$E$2:$I$2036,5)</f>
        <v>Ardeidae (Herons, Egrets, and Bitterns)</v>
      </c>
    </row>
    <row r="1731" spans="1:8" x14ac:dyDescent="0.15">
      <c r="A1731" s="3" t="s">
        <v>1641</v>
      </c>
      <c r="B1731" s="3" t="s">
        <v>4522</v>
      </c>
      <c r="C1731" s="3">
        <v>12189</v>
      </c>
      <c r="D1731" s="3" t="str">
        <f>VLOOKUP(B1731,[1]LifeList!$E$2:$G$2036,1)</f>
        <v>Little Corella</v>
      </c>
      <c r="E1731" s="3" t="str">
        <f>VLOOKUP(B1731,[1]LifeList!$E$2:$G$2036,2)</f>
        <v>Cacatoès corella</v>
      </c>
      <c r="F1731" s="3" t="str">
        <f>VLOOKUP(B1731,[1]LifeList!$E$2:$G$2036,3)</f>
        <v>Cacatua sanguinea</v>
      </c>
      <c r="G1731" s="3" t="str">
        <f>VLOOKUP(B1731,[1]LifeList!$E$2:$I$2036,4)</f>
        <v>Psittaciformes</v>
      </c>
      <c r="H1731" s="3" t="str">
        <f>VLOOKUP(B1731,[1]LifeList!$E$2:$I$2036,5)</f>
        <v>Cacatuidae (Cockatoos)</v>
      </c>
    </row>
    <row r="1732" spans="1:8" x14ac:dyDescent="0.15">
      <c r="A1732" s="3" t="s">
        <v>1642</v>
      </c>
      <c r="B1732" s="3" t="s">
        <v>4523</v>
      </c>
      <c r="C1732" s="3">
        <v>7650</v>
      </c>
      <c r="D1732" s="3" t="str">
        <f>VLOOKUP(B1732,[1]LifeList!$E$2:$G$2036,1)</f>
        <v>Little Egret</v>
      </c>
      <c r="E1732" s="3" t="str">
        <f>VLOOKUP(B1732,[1]LifeList!$E$2:$G$2036,2)</f>
        <v>Aigrette garzette</v>
      </c>
      <c r="F1732" s="3" t="str">
        <f>VLOOKUP(B1732,[1]LifeList!$E$2:$G$2036,3)</f>
        <v>Egretta garzetta</v>
      </c>
      <c r="G1732" s="3" t="str">
        <f>VLOOKUP(B1732,[1]LifeList!$E$2:$I$2036,4)</f>
        <v>Pelecaniformes</v>
      </c>
      <c r="H1732" s="3" t="str">
        <f>VLOOKUP(B1732,[1]LifeList!$E$2:$I$2036,5)</f>
        <v>Ardeidae (Herons, Egrets, and Bitterns)</v>
      </c>
    </row>
    <row r="1733" spans="1:8" x14ac:dyDescent="0.15">
      <c r="A1733" s="3" t="s">
        <v>1643</v>
      </c>
      <c r="B1733" s="3" t="s">
        <v>4523</v>
      </c>
      <c r="C1733" s="3">
        <v>7650</v>
      </c>
      <c r="D1733" s="3" t="str">
        <f>VLOOKUP(B1733,[1]LifeList!$E$2:$G$2036,1)</f>
        <v>Little Egret</v>
      </c>
      <c r="E1733" s="3" t="str">
        <f>VLOOKUP(B1733,[1]LifeList!$E$2:$G$2036,2)</f>
        <v>Aigrette garzette</v>
      </c>
      <c r="F1733" s="3" t="str">
        <f>VLOOKUP(B1733,[1]LifeList!$E$2:$G$2036,3)</f>
        <v>Egretta garzetta</v>
      </c>
      <c r="G1733" s="3" t="str">
        <f>VLOOKUP(B1733,[1]LifeList!$E$2:$I$2036,4)</f>
        <v>Pelecaniformes</v>
      </c>
      <c r="H1733" s="3" t="str">
        <f>VLOOKUP(B1733,[1]LifeList!$E$2:$I$2036,5)</f>
        <v>Ardeidae (Herons, Egrets, and Bitterns)</v>
      </c>
    </row>
    <row r="1734" spans="1:8" x14ac:dyDescent="0.15">
      <c r="A1734" s="3" t="s">
        <v>1644</v>
      </c>
      <c r="B1734" s="3" t="s">
        <v>4524</v>
      </c>
      <c r="C1734" s="3">
        <v>6447</v>
      </c>
      <c r="D1734" s="3" t="str">
        <f>VLOOKUP(B1734,[1]LifeList!$E$2:$G$2036,1)</f>
        <v>Little Gull</v>
      </c>
      <c r="E1734" s="3" t="str">
        <f>VLOOKUP(B1734,[1]LifeList!$E$2:$G$2036,2)</f>
        <v>Mouette pygmée</v>
      </c>
      <c r="F1734" s="3" t="str">
        <f>VLOOKUP(B1734,[1]LifeList!$E$2:$G$2036,3)</f>
        <v>Hydrocoloeus minutus</v>
      </c>
      <c r="G1734" s="3" t="str">
        <f>VLOOKUP(B1734,[1]LifeList!$E$2:$I$2036,4)</f>
        <v>Charadriiformes</v>
      </c>
      <c r="H1734" s="3" t="str">
        <f>VLOOKUP(B1734,[1]LifeList!$E$2:$I$2036,5)</f>
        <v>Laridae (Gulls, Terns, and Skimmers)</v>
      </c>
    </row>
    <row r="1735" spans="1:8" x14ac:dyDescent="0.15">
      <c r="A1735" s="3" t="s">
        <v>1645</v>
      </c>
      <c r="B1735" s="3" t="s">
        <v>4524</v>
      </c>
      <c r="C1735" s="3">
        <v>6447</v>
      </c>
      <c r="D1735" s="3" t="str">
        <f>VLOOKUP(B1735,[1]LifeList!$E$2:$G$2036,1)</f>
        <v>Little Gull</v>
      </c>
      <c r="E1735" s="3" t="str">
        <f>VLOOKUP(B1735,[1]LifeList!$E$2:$G$2036,2)</f>
        <v>Mouette pygmée</v>
      </c>
      <c r="F1735" s="3" t="str">
        <f>VLOOKUP(B1735,[1]LifeList!$E$2:$G$2036,3)</f>
        <v>Hydrocoloeus minutus</v>
      </c>
      <c r="G1735" s="3" t="str">
        <f>VLOOKUP(B1735,[1]LifeList!$E$2:$I$2036,4)</f>
        <v>Charadriiformes</v>
      </c>
      <c r="H1735" s="3" t="str">
        <f>VLOOKUP(B1735,[1]LifeList!$E$2:$I$2036,5)</f>
        <v>Laridae (Gulls, Terns, and Skimmers)</v>
      </c>
    </row>
    <row r="1736" spans="1:8" x14ac:dyDescent="0.15">
      <c r="A1736" s="3" t="s">
        <v>1646</v>
      </c>
      <c r="B1736" s="3" t="s">
        <v>4524</v>
      </c>
      <c r="C1736" s="3">
        <v>6447</v>
      </c>
      <c r="D1736" s="3" t="str">
        <f>VLOOKUP(B1736,[1]LifeList!$E$2:$G$2036,1)</f>
        <v>Little Gull</v>
      </c>
      <c r="E1736" s="3" t="str">
        <f>VLOOKUP(B1736,[1]LifeList!$E$2:$G$2036,2)</f>
        <v>Mouette pygmée</v>
      </c>
      <c r="F1736" s="3" t="str">
        <f>VLOOKUP(B1736,[1]LifeList!$E$2:$G$2036,3)</f>
        <v>Hydrocoloeus minutus</v>
      </c>
      <c r="G1736" s="3" t="str">
        <f>VLOOKUP(B1736,[1]LifeList!$E$2:$I$2036,4)</f>
        <v>Charadriiformes</v>
      </c>
      <c r="H1736" s="3" t="str">
        <f>VLOOKUP(B1736,[1]LifeList!$E$2:$I$2036,5)</f>
        <v>Laridae (Gulls, Terns, and Skimmers)</v>
      </c>
    </row>
    <row r="1737" spans="1:8" x14ac:dyDescent="0.15">
      <c r="A1737" s="3" t="s">
        <v>1647</v>
      </c>
      <c r="B1737" s="3" t="s">
        <v>4524</v>
      </c>
      <c r="C1737" s="3">
        <v>6447</v>
      </c>
      <c r="D1737" s="3" t="str">
        <f>VLOOKUP(B1737,[1]LifeList!$E$2:$G$2036,1)</f>
        <v>Little Gull</v>
      </c>
      <c r="E1737" s="3" t="str">
        <f>VLOOKUP(B1737,[1]LifeList!$E$2:$G$2036,2)</f>
        <v>Mouette pygmée</v>
      </c>
      <c r="F1737" s="3" t="str">
        <f>VLOOKUP(B1737,[1]LifeList!$E$2:$G$2036,3)</f>
        <v>Hydrocoloeus minutus</v>
      </c>
      <c r="G1737" s="3" t="str">
        <f>VLOOKUP(B1737,[1]LifeList!$E$2:$I$2036,4)</f>
        <v>Charadriiformes</v>
      </c>
      <c r="H1737" s="3" t="str">
        <f>VLOOKUP(B1737,[1]LifeList!$E$2:$I$2036,5)</f>
        <v>Laridae (Gulls, Terns, and Skimmers)</v>
      </c>
    </row>
    <row r="1738" spans="1:8" x14ac:dyDescent="0.15">
      <c r="A1738" s="3" t="s">
        <v>1648</v>
      </c>
      <c r="B1738" s="3" t="s">
        <v>4525</v>
      </c>
      <c r="C1738" s="3">
        <v>6949</v>
      </c>
      <c r="D1738" s="3" t="str">
        <f>VLOOKUP(B1738,[1]LifeList!$E$2:$G$2036,1)</f>
        <v>Little Penguin</v>
      </c>
      <c r="E1738" s="3" t="str">
        <f>VLOOKUP(B1738,[1]LifeList!$E$2:$G$2036,2)</f>
        <v>Manchot pygmée</v>
      </c>
      <c r="F1738" s="3" t="str">
        <f>VLOOKUP(B1738,[1]LifeList!$E$2:$G$2036,3)</f>
        <v>Eudyptula minor</v>
      </c>
      <c r="G1738" s="3" t="str">
        <f>VLOOKUP(B1738,[1]LifeList!$E$2:$I$2036,4)</f>
        <v>Sphenisciformes</v>
      </c>
      <c r="H1738" s="3" t="str">
        <f>VLOOKUP(B1738,[1]LifeList!$E$2:$I$2036,5)</f>
        <v>Spheniscidae (Penguins)</v>
      </c>
    </row>
    <row r="1739" spans="1:8" x14ac:dyDescent="0.15">
      <c r="A1739" s="3" t="s">
        <v>1649</v>
      </c>
      <c r="B1739" s="3" t="s">
        <v>3775</v>
      </c>
      <c r="C1739" s="3">
        <v>7377</v>
      </c>
      <c r="D1739" s="3" t="str">
        <f>VLOOKUP(B1739,[1]LifeList!$E$2:$G$2036,1)</f>
        <v>Little Pied Cormorant</v>
      </c>
      <c r="E1739" s="3" t="str">
        <f>VLOOKUP(B1739,[1]LifeList!$E$2:$G$2036,2)</f>
        <v>Cormoran pie</v>
      </c>
      <c r="F1739" s="3" t="str">
        <f>VLOOKUP(B1739,[1]LifeList!$E$2:$G$2036,3)</f>
        <v>Microcarbo melanoleucos</v>
      </c>
      <c r="G1739" s="3" t="str">
        <f>VLOOKUP(B1739,[1]LifeList!$E$2:$I$2036,4)</f>
        <v>Suliformes</v>
      </c>
      <c r="H1739" s="3" t="str">
        <f>VLOOKUP(B1739,[1]LifeList!$E$2:$I$2036,5)</f>
        <v>Phalacrocoracidae (Cormorants and Shags)</v>
      </c>
    </row>
    <row r="1740" spans="1:8" x14ac:dyDescent="0.15">
      <c r="A1740" s="3" t="s">
        <v>1650</v>
      </c>
      <c r="B1740" s="3" t="s">
        <v>4526</v>
      </c>
      <c r="C1740" s="3">
        <v>21611</v>
      </c>
      <c r="D1740" s="3" t="str">
        <f>VLOOKUP(B1740,[1]LifeList!$E$2:$G$2036,1)</f>
        <v>Little Raven</v>
      </c>
      <c r="E1740" s="3" t="str">
        <f>VLOOKUP(B1740,[1]LifeList!$E$2:$G$2036,2)</f>
        <v>Petit Corbeau</v>
      </c>
      <c r="F1740" s="3" t="str">
        <f>VLOOKUP(B1740,[1]LifeList!$E$2:$G$2036,3)</f>
        <v>Corvus mellori</v>
      </c>
      <c r="G1740" s="3" t="str">
        <f>VLOOKUP(B1740,[1]LifeList!$E$2:$I$2036,4)</f>
        <v>Passeriformes</v>
      </c>
      <c r="H1740" s="3" t="str">
        <f>VLOOKUP(B1740,[1]LifeList!$E$2:$I$2036,5)</f>
        <v>Corvidae (Crows, Jays, and Magpies)</v>
      </c>
    </row>
    <row r="1741" spans="1:8" x14ac:dyDescent="0.15">
      <c r="A1741" s="3" t="s">
        <v>1657</v>
      </c>
      <c r="B1741" s="3" t="s">
        <v>4527</v>
      </c>
      <c r="C1741" s="3">
        <v>8134</v>
      </c>
      <c r="D1741" s="3" t="str">
        <f>VLOOKUP(B1741,[1]LifeList!$E$2:$G$2036,1)</f>
        <v>Little Sparrowhawk</v>
      </c>
      <c r="E1741" s="3" t="str">
        <f>VLOOKUP(B1741,[1]LifeList!$E$2:$G$2036,2)</f>
        <v>Épervier minule</v>
      </c>
      <c r="F1741" s="3" t="str">
        <f>VLOOKUP(B1741,[1]LifeList!$E$2:$G$2036,3)</f>
        <v>Tachyspiza minulla</v>
      </c>
      <c r="G1741" s="3" t="str">
        <f>VLOOKUP(B1741,[1]LifeList!$E$2:$I$2036,4)</f>
        <v>Accipitriformes</v>
      </c>
      <c r="H1741" s="3" t="str">
        <f>VLOOKUP(B1741,[1]LifeList!$E$2:$I$2036,5)</f>
        <v>Accipitridae (Hawks, Eagles, and Kites)</v>
      </c>
    </row>
    <row r="1742" spans="1:8" x14ac:dyDescent="0.15">
      <c r="A1742" s="3" t="s">
        <v>1651</v>
      </c>
      <c r="B1742" s="3" t="s">
        <v>4528</v>
      </c>
      <c r="C1742" s="3">
        <v>174</v>
      </c>
      <c r="D1742" s="3" t="str">
        <f>VLOOKUP(B1742,[1]LifeList!$E$2:$G$2036,1)</f>
        <v>Little Tinamou</v>
      </c>
      <c r="E1742" s="3" t="str">
        <f>VLOOKUP(B1742,[1]LifeList!$E$2:$G$2036,2)</f>
        <v>Tinamou soui</v>
      </c>
      <c r="F1742" s="3" t="str">
        <f>VLOOKUP(B1742,[1]LifeList!$E$2:$G$2036,3)</f>
        <v>Crypturellus soui</v>
      </c>
      <c r="G1742" s="3" t="str">
        <f>VLOOKUP(B1742,[1]LifeList!$E$2:$I$2036,4)</f>
        <v>Tinamiformes</v>
      </c>
      <c r="H1742" s="3" t="str">
        <f>VLOOKUP(B1742,[1]LifeList!$E$2:$I$2036,5)</f>
        <v>Tinamidae (Tinamous)</v>
      </c>
    </row>
    <row r="1743" spans="1:8" x14ac:dyDescent="0.15">
      <c r="A1743" s="3" t="s">
        <v>1653</v>
      </c>
      <c r="B1743" s="3" t="s">
        <v>4529</v>
      </c>
      <c r="C1743" s="3">
        <v>17859</v>
      </c>
      <c r="D1743" s="3" t="str">
        <f>VLOOKUP(B1743,[1]LifeList!$E$2:$G$2036,1)</f>
        <v>Little Wattlebird</v>
      </c>
      <c r="E1743" s="3" t="str">
        <f>VLOOKUP(B1743,[1]LifeList!$E$2:$G$2036,2)</f>
        <v>Méliphage à gouttelettes</v>
      </c>
      <c r="F1743" s="3" t="str">
        <f>VLOOKUP(B1743,[1]LifeList!$E$2:$G$2036,3)</f>
        <v>Anthochaera chrysoptera</v>
      </c>
      <c r="G1743" s="3" t="str">
        <f>VLOOKUP(B1743,[1]LifeList!$E$2:$I$2036,4)</f>
        <v>Passeriformes</v>
      </c>
      <c r="H1743" s="3" t="str">
        <f>VLOOKUP(B1743,[1]LifeList!$E$2:$I$2036,5)</f>
        <v>Meliphagidae (Honeyeaters)</v>
      </c>
    </row>
    <row r="1744" spans="1:8" x14ac:dyDescent="0.15">
      <c r="A1744" s="3" t="s">
        <v>1654</v>
      </c>
      <c r="B1744" s="3" t="s">
        <v>4529</v>
      </c>
      <c r="C1744" s="3">
        <v>17859</v>
      </c>
      <c r="D1744" s="3" t="str">
        <f>VLOOKUP(B1744,[1]LifeList!$E$2:$G$2036,1)</f>
        <v>Little Wattlebird</v>
      </c>
      <c r="E1744" s="3" t="str">
        <f>VLOOKUP(B1744,[1]LifeList!$E$2:$G$2036,2)</f>
        <v>Méliphage à gouttelettes</v>
      </c>
      <c r="F1744" s="3" t="str">
        <f>VLOOKUP(B1744,[1]LifeList!$E$2:$G$2036,3)</f>
        <v>Anthochaera chrysoptera</v>
      </c>
      <c r="G1744" s="3" t="str">
        <f>VLOOKUP(B1744,[1]LifeList!$E$2:$I$2036,4)</f>
        <v>Passeriformes</v>
      </c>
      <c r="H1744" s="3" t="str">
        <f>VLOOKUP(B1744,[1]LifeList!$E$2:$I$2036,5)</f>
        <v>Meliphagidae (Honeyeaters)</v>
      </c>
    </row>
    <row r="1745" spans="1:8" x14ac:dyDescent="0.15">
      <c r="A1745" s="3" t="s">
        <v>1655</v>
      </c>
      <c r="B1745" s="3" t="s">
        <v>4529</v>
      </c>
      <c r="C1745" s="3">
        <v>17859</v>
      </c>
      <c r="D1745" s="3" t="str">
        <f>VLOOKUP(B1745,[1]LifeList!$E$2:$G$2036,1)</f>
        <v>Little Wattlebird</v>
      </c>
      <c r="E1745" s="3" t="str">
        <f>VLOOKUP(B1745,[1]LifeList!$E$2:$G$2036,2)</f>
        <v>Méliphage à gouttelettes</v>
      </c>
      <c r="F1745" s="3" t="str">
        <f>VLOOKUP(B1745,[1]LifeList!$E$2:$G$2036,3)</f>
        <v>Anthochaera chrysoptera</v>
      </c>
      <c r="G1745" s="3" t="str">
        <f>VLOOKUP(B1745,[1]LifeList!$E$2:$I$2036,4)</f>
        <v>Passeriformes</v>
      </c>
      <c r="H1745" s="3" t="str">
        <f>VLOOKUP(B1745,[1]LifeList!$E$2:$I$2036,5)</f>
        <v>Meliphagidae (Honeyeaters)</v>
      </c>
    </row>
    <row r="1746" spans="1:8" x14ac:dyDescent="0.15">
      <c r="A1746" s="3" t="s">
        <v>1656</v>
      </c>
      <c r="B1746" s="3" t="s">
        <v>4529</v>
      </c>
      <c r="C1746" s="3">
        <v>17859</v>
      </c>
      <c r="D1746" s="3" t="str">
        <f>VLOOKUP(B1746,[1]LifeList!$E$2:$G$2036,1)</f>
        <v>Little Wattlebird</v>
      </c>
      <c r="E1746" s="3" t="str">
        <f>VLOOKUP(B1746,[1]LifeList!$E$2:$G$2036,2)</f>
        <v>Méliphage à gouttelettes</v>
      </c>
      <c r="F1746" s="3" t="str">
        <f>VLOOKUP(B1746,[1]LifeList!$E$2:$G$2036,3)</f>
        <v>Anthochaera chrysoptera</v>
      </c>
      <c r="G1746" s="3" t="str">
        <f>VLOOKUP(B1746,[1]LifeList!$E$2:$I$2036,4)</f>
        <v>Passeriformes</v>
      </c>
      <c r="H1746" s="3" t="str">
        <f>VLOOKUP(B1746,[1]LifeList!$E$2:$I$2036,5)</f>
        <v>Meliphagidae (Honeyeaters)</v>
      </c>
    </row>
    <row r="1747" spans="1:8" x14ac:dyDescent="0.15">
      <c r="A1747" s="3" t="s">
        <v>1652</v>
      </c>
      <c r="B1747" s="3" t="s">
        <v>4529</v>
      </c>
      <c r="C1747" s="3">
        <v>17859</v>
      </c>
      <c r="D1747" s="3" t="str">
        <f>VLOOKUP(B1747,[1]LifeList!$E$2:$G$2036,1)</f>
        <v>Little Wattlebird</v>
      </c>
      <c r="E1747" s="3" t="str">
        <f>VLOOKUP(B1747,[1]LifeList!$E$2:$G$2036,2)</f>
        <v>Méliphage à gouttelettes</v>
      </c>
      <c r="F1747" s="3" t="str">
        <f>VLOOKUP(B1747,[1]LifeList!$E$2:$G$2036,3)</f>
        <v>Anthochaera chrysoptera</v>
      </c>
      <c r="G1747" s="3" t="str">
        <f>VLOOKUP(B1747,[1]LifeList!$E$2:$I$2036,4)</f>
        <v>Passeriformes</v>
      </c>
      <c r="H1747" s="3" t="str">
        <f>VLOOKUP(B1747,[1]LifeList!$E$2:$I$2036,5)</f>
        <v>Meliphagidae (Honeyeaters)</v>
      </c>
    </row>
    <row r="1748" spans="1:8" x14ac:dyDescent="0.15">
      <c r="A1748" s="3" t="s">
        <v>1658</v>
      </c>
      <c r="B1748" s="3" t="s">
        <v>4530</v>
      </c>
      <c r="C1748" s="3">
        <v>29646</v>
      </c>
      <c r="D1748" s="3" t="str">
        <f>VLOOKUP(B1748,[1]LifeList!$E$2:$G$2036,1)</f>
        <v>Littoral Rock-Thrush</v>
      </c>
      <c r="E1748" s="3" t="str">
        <f>VLOOKUP(B1748,[1]LifeList!$E$2:$G$2036,2)</f>
        <v>Monticole du littoral</v>
      </c>
      <c r="F1748" s="3" t="str">
        <f>VLOOKUP(B1748,[1]LifeList!$E$2:$G$2036,3)</f>
        <v>Monticola imerina</v>
      </c>
      <c r="G1748" s="3" t="str">
        <f>VLOOKUP(B1748,[1]LifeList!$E$2:$I$2036,4)</f>
        <v>Passeriformes</v>
      </c>
      <c r="H1748" s="3" t="str">
        <f>VLOOKUP(B1748,[1]LifeList!$E$2:$I$2036,5)</f>
        <v>Muscicapidae (Old World Flycatchers)</v>
      </c>
    </row>
    <row r="1749" spans="1:8" x14ac:dyDescent="0.15">
      <c r="A1749" s="3" t="s">
        <v>1659</v>
      </c>
      <c r="B1749" s="3" t="s">
        <v>4530</v>
      </c>
      <c r="C1749" s="3">
        <v>29646</v>
      </c>
      <c r="D1749" s="3" t="str">
        <f>VLOOKUP(B1749,[1]LifeList!$E$2:$G$2036,1)</f>
        <v>Littoral Rock-Thrush</v>
      </c>
      <c r="E1749" s="3" t="str">
        <f>VLOOKUP(B1749,[1]LifeList!$E$2:$G$2036,2)</f>
        <v>Monticole du littoral</v>
      </c>
      <c r="F1749" s="3" t="str">
        <f>VLOOKUP(B1749,[1]LifeList!$E$2:$G$2036,3)</f>
        <v>Monticola imerina</v>
      </c>
      <c r="G1749" s="3" t="str">
        <f>VLOOKUP(B1749,[1]LifeList!$E$2:$I$2036,4)</f>
        <v>Passeriformes</v>
      </c>
      <c r="H1749" s="3" t="str">
        <f>VLOOKUP(B1749,[1]LifeList!$E$2:$I$2036,5)</f>
        <v>Muscicapidae (Old World Flycatchers)</v>
      </c>
    </row>
    <row r="1750" spans="1:8" x14ac:dyDescent="0.15">
      <c r="A1750" s="3" t="s">
        <v>1660</v>
      </c>
      <c r="B1750" s="3" t="s">
        <v>4530</v>
      </c>
      <c r="C1750" s="3">
        <v>29646</v>
      </c>
      <c r="D1750" s="3" t="str">
        <f>VLOOKUP(B1750,[1]LifeList!$E$2:$G$2036,1)</f>
        <v>Littoral Rock-Thrush</v>
      </c>
      <c r="E1750" s="3" t="str">
        <f>VLOOKUP(B1750,[1]LifeList!$E$2:$G$2036,2)</f>
        <v>Monticole du littoral</v>
      </c>
      <c r="F1750" s="3" t="str">
        <f>VLOOKUP(B1750,[1]LifeList!$E$2:$G$2036,3)</f>
        <v>Monticola imerina</v>
      </c>
      <c r="G1750" s="3" t="str">
        <f>VLOOKUP(B1750,[1]LifeList!$E$2:$I$2036,4)</f>
        <v>Passeriformes</v>
      </c>
      <c r="H1750" s="3" t="str">
        <f>VLOOKUP(B1750,[1]LifeList!$E$2:$I$2036,5)</f>
        <v>Muscicapidae (Old World Flycatchers)</v>
      </c>
    </row>
    <row r="1751" spans="1:8" x14ac:dyDescent="0.15">
      <c r="A1751" s="3" t="s">
        <v>1661</v>
      </c>
      <c r="B1751" s="3" t="s">
        <v>4531</v>
      </c>
      <c r="C1751" s="3">
        <v>21091</v>
      </c>
      <c r="D1751" s="3" t="str">
        <f>VLOOKUP(B1751,[1]LifeList!$E$2:$G$2036,1)</f>
        <v>Loggerhead Shrike</v>
      </c>
      <c r="E1751" s="3" t="str">
        <f>VLOOKUP(B1751,[1]LifeList!$E$2:$G$2036,2)</f>
        <v>Pie-grièche migratrice</v>
      </c>
      <c r="F1751" s="3" t="str">
        <f>VLOOKUP(B1751,[1]LifeList!$E$2:$G$2036,3)</f>
        <v>Lanius ludovicianus</v>
      </c>
      <c r="G1751" s="3" t="str">
        <f>VLOOKUP(B1751,[1]LifeList!$E$2:$I$2036,4)</f>
        <v>Passeriformes</v>
      </c>
      <c r="H1751" s="3" t="str">
        <f>VLOOKUP(B1751,[1]LifeList!$E$2:$I$2036,5)</f>
        <v>Laniidae (Shrikes)</v>
      </c>
    </row>
    <row r="1752" spans="1:8" x14ac:dyDescent="0.15">
      <c r="A1752" s="3" t="s">
        <v>1662</v>
      </c>
      <c r="B1752" s="3" t="s">
        <v>4531</v>
      </c>
      <c r="C1752" s="3">
        <v>21091</v>
      </c>
      <c r="D1752" s="3" t="str">
        <f>VLOOKUP(B1752,[1]LifeList!$E$2:$G$2036,1)</f>
        <v>Loggerhead Shrike</v>
      </c>
      <c r="E1752" s="3" t="str">
        <f>VLOOKUP(B1752,[1]LifeList!$E$2:$G$2036,2)</f>
        <v>Pie-grièche migratrice</v>
      </c>
      <c r="F1752" s="3" t="str">
        <f>VLOOKUP(B1752,[1]LifeList!$E$2:$G$2036,3)</f>
        <v>Lanius ludovicianus</v>
      </c>
      <c r="G1752" s="3" t="str">
        <f>VLOOKUP(B1752,[1]LifeList!$E$2:$I$2036,4)</f>
        <v>Passeriformes</v>
      </c>
      <c r="H1752" s="3" t="str">
        <f>VLOOKUP(B1752,[1]LifeList!$E$2:$I$2036,5)</f>
        <v>Laniidae (Shrikes)</v>
      </c>
    </row>
    <row r="1753" spans="1:8" x14ac:dyDescent="0.15">
      <c r="A1753" s="3" t="s">
        <v>1663</v>
      </c>
      <c r="B1753" s="3" t="s">
        <v>4531</v>
      </c>
      <c r="C1753" s="3">
        <v>21091</v>
      </c>
      <c r="D1753" s="3" t="str">
        <f>VLOOKUP(B1753,[1]LifeList!$E$2:$G$2036,1)</f>
        <v>Loggerhead Shrike</v>
      </c>
      <c r="E1753" s="3" t="str">
        <f>VLOOKUP(B1753,[1]LifeList!$E$2:$G$2036,2)</f>
        <v>Pie-grièche migratrice</v>
      </c>
      <c r="F1753" s="3" t="str">
        <f>VLOOKUP(B1753,[1]LifeList!$E$2:$G$2036,3)</f>
        <v>Lanius ludovicianus</v>
      </c>
      <c r="G1753" s="3" t="str">
        <f>VLOOKUP(B1753,[1]LifeList!$E$2:$I$2036,4)</f>
        <v>Passeriformes</v>
      </c>
      <c r="H1753" s="3" t="str">
        <f>VLOOKUP(B1753,[1]LifeList!$E$2:$I$2036,5)</f>
        <v>Laniidae (Shrikes)</v>
      </c>
    </row>
    <row r="1754" spans="1:8" x14ac:dyDescent="0.15">
      <c r="A1754" s="3" t="s">
        <v>1664</v>
      </c>
      <c r="B1754" s="3" t="s">
        <v>4531</v>
      </c>
      <c r="C1754" s="3">
        <v>21091</v>
      </c>
      <c r="D1754" s="3" t="str">
        <f>VLOOKUP(B1754,[1]LifeList!$E$2:$G$2036,1)</f>
        <v>Loggerhead Shrike</v>
      </c>
      <c r="E1754" s="3" t="str">
        <f>VLOOKUP(B1754,[1]LifeList!$E$2:$G$2036,2)</f>
        <v>Pie-grièche migratrice</v>
      </c>
      <c r="F1754" s="3" t="str">
        <f>VLOOKUP(B1754,[1]LifeList!$E$2:$G$2036,3)</f>
        <v>Lanius ludovicianus</v>
      </c>
      <c r="G1754" s="3" t="str">
        <f>VLOOKUP(B1754,[1]LifeList!$E$2:$I$2036,4)</f>
        <v>Passeriformes</v>
      </c>
      <c r="H1754" s="3" t="str">
        <f>VLOOKUP(B1754,[1]LifeList!$E$2:$I$2036,5)</f>
        <v>Laniidae (Shrikes)</v>
      </c>
    </row>
    <row r="1755" spans="1:8" x14ac:dyDescent="0.15">
      <c r="A1755" s="3" t="s">
        <v>1665</v>
      </c>
      <c r="B1755" s="3" t="s">
        <v>4531</v>
      </c>
      <c r="C1755" s="3">
        <v>21091</v>
      </c>
      <c r="D1755" s="3" t="str">
        <f>VLOOKUP(B1755,[1]LifeList!$E$2:$G$2036,1)</f>
        <v>Loggerhead Shrike</v>
      </c>
      <c r="E1755" s="3" t="str">
        <f>VLOOKUP(B1755,[1]LifeList!$E$2:$G$2036,2)</f>
        <v>Pie-grièche migratrice</v>
      </c>
      <c r="F1755" s="3" t="str">
        <f>VLOOKUP(B1755,[1]LifeList!$E$2:$G$2036,3)</f>
        <v>Lanius ludovicianus</v>
      </c>
      <c r="G1755" s="3" t="str">
        <f>VLOOKUP(B1755,[1]LifeList!$E$2:$I$2036,4)</f>
        <v>Passeriformes</v>
      </c>
      <c r="H1755" s="3" t="str">
        <f>VLOOKUP(B1755,[1]LifeList!$E$2:$I$2036,5)</f>
        <v>Laniidae (Shrikes)</v>
      </c>
    </row>
    <row r="1756" spans="1:8" x14ac:dyDescent="0.15">
      <c r="A1756" s="3" t="s">
        <v>1666</v>
      </c>
      <c r="B1756" s="3" t="s">
        <v>4531</v>
      </c>
      <c r="C1756" s="3">
        <v>21091</v>
      </c>
      <c r="D1756" s="3" t="str">
        <f>VLOOKUP(B1756,[1]LifeList!$E$2:$G$2036,1)</f>
        <v>Loggerhead Shrike</v>
      </c>
      <c r="E1756" s="3" t="str">
        <f>VLOOKUP(B1756,[1]LifeList!$E$2:$G$2036,2)</f>
        <v>Pie-grièche migratrice</v>
      </c>
      <c r="F1756" s="3" t="str">
        <f>VLOOKUP(B1756,[1]LifeList!$E$2:$G$2036,3)</f>
        <v>Lanius ludovicianus</v>
      </c>
      <c r="G1756" s="3" t="str">
        <f>VLOOKUP(B1756,[1]LifeList!$E$2:$I$2036,4)</f>
        <v>Passeriformes</v>
      </c>
      <c r="H1756" s="3" t="str">
        <f>VLOOKUP(B1756,[1]LifeList!$E$2:$I$2036,5)</f>
        <v>Laniidae (Shrikes)</v>
      </c>
    </row>
    <row r="1757" spans="1:8" x14ac:dyDescent="0.15">
      <c r="A1757" s="3" t="s">
        <v>1667</v>
      </c>
      <c r="B1757" s="3" t="s">
        <v>4531</v>
      </c>
      <c r="C1757" s="3">
        <v>21091</v>
      </c>
      <c r="D1757" s="3" t="str">
        <f>VLOOKUP(B1757,[1]LifeList!$E$2:$G$2036,1)</f>
        <v>Loggerhead Shrike</v>
      </c>
      <c r="E1757" s="3" t="str">
        <f>VLOOKUP(B1757,[1]LifeList!$E$2:$G$2036,2)</f>
        <v>Pie-grièche migratrice</v>
      </c>
      <c r="F1757" s="3" t="str">
        <f>VLOOKUP(B1757,[1]LifeList!$E$2:$G$2036,3)</f>
        <v>Lanius ludovicianus</v>
      </c>
      <c r="G1757" s="3" t="str">
        <f>VLOOKUP(B1757,[1]LifeList!$E$2:$I$2036,4)</f>
        <v>Passeriformes</v>
      </c>
      <c r="H1757" s="3" t="str">
        <f>VLOOKUP(B1757,[1]LifeList!$E$2:$I$2036,5)</f>
        <v>Laniidae (Shrikes)</v>
      </c>
    </row>
    <row r="1758" spans="1:8" x14ac:dyDescent="0.15">
      <c r="A1758" s="3" t="s">
        <v>1668</v>
      </c>
      <c r="B1758" s="3" t="s">
        <v>4531</v>
      </c>
      <c r="C1758" s="3">
        <v>21091</v>
      </c>
      <c r="D1758" s="3" t="str">
        <f>VLOOKUP(B1758,[1]LifeList!$E$2:$G$2036,1)</f>
        <v>Loggerhead Shrike</v>
      </c>
      <c r="E1758" s="3" t="str">
        <f>VLOOKUP(B1758,[1]LifeList!$E$2:$G$2036,2)</f>
        <v>Pie-grièche migratrice</v>
      </c>
      <c r="F1758" s="3" t="str">
        <f>VLOOKUP(B1758,[1]LifeList!$E$2:$G$2036,3)</f>
        <v>Lanius ludovicianus</v>
      </c>
      <c r="G1758" s="3" t="str">
        <f>VLOOKUP(B1758,[1]LifeList!$E$2:$I$2036,4)</f>
        <v>Passeriformes</v>
      </c>
      <c r="H1758" s="3" t="str">
        <f>VLOOKUP(B1758,[1]LifeList!$E$2:$I$2036,5)</f>
        <v>Laniidae (Shrikes)</v>
      </c>
    </row>
    <row r="1759" spans="1:8" x14ac:dyDescent="0.15">
      <c r="A1759" s="3" t="s">
        <v>1669</v>
      </c>
      <c r="B1759" s="3" t="s">
        <v>4531</v>
      </c>
      <c r="C1759" s="3">
        <v>21091</v>
      </c>
      <c r="D1759" s="3" t="str">
        <f>VLOOKUP(B1759,[1]LifeList!$E$2:$G$2036,1)</f>
        <v>Loggerhead Shrike</v>
      </c>
      <c r="E1759" s="3" t="str">
        <f>VLOOKUP(B1759,[1]LifeList!$E$2:$G$2036,2)</f>
        <v>Pie-grièche migratrice</v>
      </c>
      <c r="F1759" s="3" t="str">
        <f>VLOOKUP(B1759,[1]LifeList!$E$2:$G$2036,3)</f>
        <v>Lanius ludovicianus</v>
      </c>
      <c r="G1759" s="3" t="str">
        <f>VLOOKUP(B1759,[1]LifeList!$E$2:$I$2036,4)</f>
        <v>Passeriformes</v>
      </c>
      <c r="H1759" s="3" t="str">
        <f>VLOOKUP(B1759,[1]LifeList!$E$2:$I$2036,5)</f>
        <v>Laniidae (Shrikes)</v>
      </c>
    </row>
    <row r="1760" spans="1:8" x14ac:dyDescent="0.15">
      <c r="A1760" s="3" t="s">
        <v>1670</v>
      </c>
      <c r="B1760" s="3" t="s">
        <v>4532</v>
      </c>
      <c r="C1760" s="3">
        <v>12196</v>
      </c>
      <c r="D1760" s="3" t="str">
        <f>VLOOKUP(B1760,[1]LifeList!$E$2:$G$2036,1)</f>
        <v>Long-billed Corella</v>
      </c>
      <c r="E1760" s="3" t="str">
        <f>VLOOKUP(B1760,[1]LifeList!$E$2:$G$2036,2)</f>
        <v>Cacatoès nasique</v>
      </c>
      <c r="F1760" s="3" t="str">
        <f>VLOOKUP(B1760,[1]LifeList!$E$2:$G$2036,3)</f>
        <v>Cacatua tenuirostris</v>
      </c>
      <c r="G1760" s="3" t="str">
        <f>VLOOKUP(B1760,[1]LifeList!$E$2:$I$2036,4)</f>
        <v>Psittaciformes</v>
      </c>
      <c r="H1760" s="3" t="str">
        <f>VLOOKUP(B1760,[1]LifeList!$E$2:$I$2036,5)</f>
        <v>Cacatuidae (Cockatoos)</v>
      </c>
    </row>
    <row r="1761" spans="1:8" x14ac:dyDescent="0.15">
      <c r="A1761" s="3" t="s">
        <v>1671</v>
      </c>
      <c r="B1761" s="3" t="s">
        <v>4533</v>
      </c>
      <c r="C1761" s="3">
        <v>6021</v>
      </c>
      <c r="D1761" s="3" t="str">
        <f>VLOOKUP(B1761,[1]LifeList!$E$2:$G$2036,1)</f>
        <v>Long-billed Curlew</v>
      </c>
      <c r="E1761" s="3" t="str">
        <f>VLOOKUP(B1761,[1]LifeList!$E$2:$G$2036,2)</f>
        <v>Courlis à long bec</v>
      </c>
      <c r="F1761" s="3" t="str">
        <f>VLOOKUP(B1761,[1]LifeList!$E$2:$G$2036,3)</f>
        <v>Numenius americanus</v>
      </c>
      <c r="G1761" s="3" t="str">
        <f>VLOOKUP(B1761,[1]LifeList!$E$2:$I$2036,4)</f>
        <v>Charadriiformes</v>
      </c>
      <c r="H1761" s="3" t="str">
        <f>VLOOKUP(B1761,[1]LifeList!$E$2:$I$2036,5)</f>
        <v>Scolopacidae (Sandpipers and Allies)</v>
      </c>
    </row>
    <row r="1762" spans="1:8" x14ac:dyDescent="0.15">
      <c r="A1762" s="3" t="s">
        <v>1672</v>
      </c>
      <c r="B1762" s="3" t="s">
        <v>4534</v>
      </c>
      <c r="C1762" s="3">
        <v>6061</v>
      </c>
      <c r="D1762" s="3" t="str">
        <f>VLOOKUP(B1762,[1]LifeList!$E$2:$G$2036,1)</f>
        <v>Long-billed Dowitcher</v>
      </c>
      <c r="E1762" s="3" t="str">
        <f>VLOOKUP(B1762,[1]LifeList!$E$2:$G$2036,2)</f>
        <v>Bécassin à long bec</v>
      </c>
      <c r="F1762" s="3" t="str">
        <f>VLOOKUP(B1762,[1]LifeList!$E$2:$G$2036,3)</f>
        <v>Limnodromus scolopaceus</v>
      </c>
      <c r="G1762" s="3" t="str">
        <f>VLOOKUP(B1762,[1]LifeList!$E$2:$I$2036,4)</f>
        <v>Charadriiformes</v>
      </c>
      <c r="H1762" s="3" t="str">
        <f>VLOOKUP(B1762,[1]LifeList!$E$2:$I$2036,5)</f>
        <v>Scolopacidae (Sandpipers and Allies)</v>
      </c>
    </row>
    <row r="1763" spans="1:8" x14ac:dyDescent="0.15">
      <c r="A1763" s="3" t="s">
        <v>1673</v>
      </c>
      <c r="B1763" s="3" t="s">
        <v>4534</v>
      </c>
      <c r="C1763" s="3">
        <v>6061</v>
      </c>
      <c r="D1763" s="3" t="str">
        <f>VLOOKUP(B1763,[1]LifeList!$E$2:$G$2036,1)</f>
        <v>Long-billed Dowitcher</v>
      </c>
      <c r="E1763" s="3" t="str">
        <f>VLOOKUP(B1763,[1]LifeList!$E$2:$G$2036,2)</f>
        <v>Bécassin à long bec</v>
      </c>
      <c r="F1763" s="3" t="str">
        <f>VLOOKUP(B1763,[1]LifeList!$E$2:$G$2036,3)</f>
        <v>Limnodromus scolopaceus</v>
      </c>
      <c r="G1763" s="3" t="str">
        <f>VLOOKUP(B1763,[1]LifeList!$E$2:$I$2036,4)</f>
        <v>Charadriiformes</v>
      </c>
      <c r="H1763" s="3" t="str">
        <f>VLOOKUP(B1763,[1]LifeList!$E$2:$I$2036,5)</f>
        <v>Scolopacidae (Sandpipers and Allies)</v>
      </c>
    </row>
    <row r="1764" spans="1:8" x14ac:dyDescent="0.15">
      <c r="A1764" s="3" t="s">
        <v>1675</v>
      </c>
      <c r="B1764" s="3" t="s">
        <v>4535</v>
      </c>
      <c r="C1764" s="3">
        <v>4273</v>
      </c>
      <c r="D1764" s="3" t="str">
        <f>VLOOKUP(B1764,[1]LifeList!$E$2:$G$2036,1)</f>
        <v>Long-billed Hermit</v>
      </c>
      <c r="E1764" s="3" t="str">
        <f>VLOOKUP(B1764,[1]LifeList!$E$2:$G$2036,2)</f>
        <v>Ermite à longue queue</v>
      </c>
      <c r="F1764" s="3" t="str">
        <f>VLOOKUP(B1764,[1]LifeList!$E$2:$G$2036,3)</f>
        <v>Phaethornis longirostris</v>
      </c>
      <c r="G1764" s="3" t="str">
        <f>VLOOKUP(B1764,[1]LifeList!$E$2:$I$2036,4)</f>
        <v>Apodiformes</v>
      </c>
      <c r="H1764" s="3" t="str">
        <f>VLOOKUP(B1764,[1]LifeList!$E$2:$I$2036,5)</f>
        <v>Trochilidae (Hummingbirds)</v>
      </c>
    </row>
    <row r="1765" spans="1:8" x14ac:dyDescent="0.15">
      <c r="A1765" s="3" t="s">
        <v>1676</v>
      </c>
      <c r="B1765" s="3" t="s">
        <v>4535</v>
      </c>
      <c r="C1765" s="3">
        <v>4273</v>
      </c>
      <c r="D1765" s="3" t="str">
        <f>VLOOKUP(B1765,[1]LifeList!$E$2:$G$2036,1)</f>
        <v>Long-billed Hermit</v>
      </c>
      <c r="E1765" s="3" t="str">
        <f>VLOOKUP(B1765,[1]LifeList!$E$2:$G$2036,2)</f>
        <v>Ermite à longue queue</v>
      </c>
      <c r="F1765" s="3" t="str">
        <f>VLOOKUP(B1765,[1]LifeList!$E$2:$G$2036,3)</f>
        <v>Phaethornis longirostris</v>
      </c>
      <c r="G1765" s="3" t="str">
        <f>VLOOKUP(B1765,[1]LifeList!$E$2:$I$2036,4)</f>
        <v>Apodiformes</v>
      </c>
      <c r="H1765" s="3" t="str">
        <f>VLOOKUP(B1765,[1]LifeList!$E$2:$I$2036,5)</f>
        <v>Trochilidae (Hummingbirds)</v>
      </c>
    </row>
    <row r="1766" spans="1:8" x14ac:dyDescent="0.15">
      <c r="A1766" s="3" t="s">
        <v>1677</v>
      </c>
      <c r="B1766" s="3" t="s">
        <v>4535</v>
      </c>
      <c r="C1766" s="3">
        <v>4273</v>
      </c>
      <c r="D1766" s="3" t="str">
        <f>VLOOKUP(B1766,[1]LifeList!$E$2:$G$2036,1)</f>
        <v>Long-billed Hermit</v>
      </c>
      <c r="E1766" s="3" t="str">
        <f>VLOOKUP(B1766,[1]LifeList!$E$2:$G$2036,2)</f>
        <v>Ermite à longue queue</v>
      </c>
      <c r="F1766" s="3" t="str">
        <f>VLOOKUP(B1766,[1]LifeList!$E$2:$G$2036,3)</f>
        <v>Phaethornis longirostris</v>
      </c>
      <c r="G1766" s="3" t="str">
        <f>VLOOKUP(B1766,[1]LifeList!$E$2:$I$2036,4)</f>
        <v>Apodiformes</v>
      </c>
      <c r="H1766" s="3" t="str">
        <f>VLOOKUP(B1766,[1]LifeList!$E$2:$I$2036,5)</f>
        <v>Trochilidae (Hummingbirds)</v>
      </c>
    </row>
    <row r="1767" spans="1:8" x14ac:dyDescent="0.15">
      <c r="A1767" s="3" t="s">
        <v>1674</v>
      </c>
      <c r="B1767" s="3" t="s">
        <v>4535</v>
      </c>
      <c r="C1767" s="3">
        <v>4273</v>
      </c>
      <c r="D1767" s="3" t="str">
        <f>VLOOKUP(B1767,[1]LifeList!$E$2:$G$2036,1)</f>
        <v>Long-billed Hermit</v>
      </c>
      <c r="E1767" s="3" t="str">
        <f>VLOOKUP(B1767,[1]LifeList!$E$2:$G$2036,2)</f>
        <v>Ermite à longue queue</v>
      </c>
      <c r="F1767" s="3" t="str">
        <f>VLOOKUP(B1767,[1]LifeList!$E$2:$G$2036,3)</f>
        <v>Phaethornis longirostris</v>
      </c>
      <c r="G1767" s="3" t="str">
        <f>VLOOKUP(B1767,[1]LifeList!$E$2:$I$2036,4)</f>
        <v>Apodiformes</v>
      </c>
      <c r="H1767" s="3" t="str">
        <f>VLOOKUP(B1767,[1]LifeList!$E$2:$I$2036,5)</f>
        <v>Trochilidae (Hummingbirds)</v>
      </c>
    </row>
    <row r="1768" spans="1:8" x14ac:dyDescent="0.15">
      <c r="A1768" s="3" t="s">
        <v>1678</v>
      </c>
      <c r="B1768" s="3" t="s">
        <v>4536</v>
      </c>
      <c r="C1768" s="3">
        <v>4725</v>
      </c>
      <c r="D1768" s="3" t="str">
        <f>VLOOKUP(B1768,[1]LifeList!$E$2:$G$2036,1)</f>
        <v>Long-billed Starthroat</v>
      </c>
      <c r="E1768" s="3" t="str">
        <f>VLOOKUP(B1768,[1]LifeList!$E$2:$G$2036,2)</f>
        <v>Colibri corinne</v>
      </c>
      <c r="F1768" s="3" t="str">
        <f>VLOOKUP(B1768,[1]LifeList!$E$2:$G$2036,3)</f>
        <v>Heliomaster longirostris</v>
      </c>
      <c r="G1768" s="3" t="str">
        <f>VLOOKUP(B1768,[1]LifeList!$E$2:$I$2036,4)</f>
        <v>Apodiformes</v>
      </c>
      <c r="H1768" s="3" t="str">
        <f>VLOOKUP(B1768,[1]LifeList!$E$2:$I$2036,5)</f>
        <v>Trochilidae (Hummingbirds)</v>
      </c>
    </row>
    <row r="1769" spans="1:8" x14ac:dyDescent="0.15">
      <c r="A1769" s="3" t="s">
        <v>1679</v>
      </c>
      <c r="B1769" s="3" t="s">
        <v>4536</v>
      </c>
      <c r="C1769" s="3">
        <v>4725</v>
      </c>
      <c r="D1769" s="3" t="str">
        <f>VLOOKUP(B1769,[1]LifeList!$E$2:$G$2036,1)</f>
        <v>Long-billed Starthroat</v>
      </c>
      <c r="E1769" s="3" t="str">
        <f>VLOOKUP(B1769,[1]LifeList!$E$2:$G$2036,2)</f>
        <v>Colibri corinne</v>
      </c>
      <c r="F1769" s="3" t="str">
        <f>VLOOKUP(B1769,[1]LifeList!$E$2:$G$2036,3)</f>
        <v>Heliomaster longirostris</v>
      </c>
      <c r="G1769" s="3" t="str">
        <f>VLOOKUP(B1769,[1]LifeList!$E$2:$I$2036,4)</f>
        <v>Apodiformes</v>
      </c>
      <c r="H1769" s="3" t="str">
        <f>VLOOKUP(B1769,[1]LifeList!$E$2:$I$2036,5)</f>
        <v>Trochilidae (Hummingbirds)</v>
      </c>
    </row>
    <row r="1770" spans="1:8" x14ac:dyDescent="0.15">
      <c r="A1770" s="3" t="s">
        <v>1680</v>
      </c>
      <c r="B1770" s="3" t="s">
        <v>4536</v>
      </c>
      <c r="C1770" s="3">
        <v>4725</v>
      </c>
      <c r="D1770" s="3" t="str">
        <f>VLOOKUP(B1770,[1]LifeList!$E$2:$G$2036,1)</f>
        <v>Long-billed Starthroat</v>
      </c>
      <c r="E1770" s="3" t="str">
        <f>VLOOKUP(B1770,[1]LifeList!$E$2:$G$2036,2)</f>
        <v>Colibri corinne</v>
      </c>
      <c r="F1770" s="3" t="str">
        <f>VLOOKUP(B1770,[1]LifeList!$E$2:$G$2036,3)</f>
        <v>Heliomaster longirostris</v>
      </c>
      <c r="G1770" s="3" t="str">
        <f>VLOOKUP(B1770,[1]LifeList!$E$2:$I$2036,4)</f>
        <v>Apodiformes</v>
      </c>
      <c r="H1770" s="3" t="str">
        <f>VLOOKUP(B1770,[1]LifeList!$E$2:$I$2036,5)</f>
        <v>Trochilidae (Hummingbirds)</v>
      </c>
    </row>
    <row r="1771" spans="1:8" x14ac:dyDescent="0.15">
      <c r="A1771" s="3" t="s">
        <v>1681</v>
      </c>
      <c r="B1771" s="3" t="s">
        <v>4536</v>
      </c>
      <c r="C1771" s="3">
        <v>4725</v>
      </c>
      <c r="D1771" s="3" t="str">
        <f>VLOOKUP(B1771,[1]LifeList!$E$2:$G$2036,1)</f>
        <v>Long-billed Starthroat</v>
      </c>
      <c r="E1771" s="3" t="str">
        <f>VLOOKUP(B1771,[1]LifeList!$E$2:$G$2036,2)</f>
        <v>Colibri corinne</v>
      </c>
      <c r="F1771" s="3" t="str">
        <f>VLOOKUP(B1771,[1]LifeList!$E$2:$G$2036,3)</f>
        <v>Heliomaster longirostris</v>
      </c>
      <c r="G1771" s="3" t="str">
        <f>VLOOKUP(B1771,[1]LifeList!$E$2:$I$2036,4)</f>
        <v>Apodiformes</v>
      </c>
      <c r="H1771" s="3" t="str">
        <f>VLOOKUP(B1771,[1]LifeList!$E$2:$I$2036,5)</f>
        <v>Trochilidae (Hummingbirds)</v>
      </c>
    </row>
    <row r="1772" spans="1:8" x14ac:dyDescent="0.15">
      <c r="A1772" s="3" t="s">
        <v>1682</v>
      </c>
      <c r="B1772" s="3" t="s">
        <v>4537</v>
      </c>
      <c r="C1772" s="3">
        <v>9253</v>
      </c>
      <c r="D1772" s="3" t="str">
        <f>VLOOKUP(B1772,[1]LifeList!$E$2:$G$2036,1)</f>
        <v>Long-eared Owl</v>
      </c>
      <c r="E1772" s="3" t="str">
        <f>VLOOKUP(B1772,[1]LifeList!$E$2:$G$2036,2)</f>
        <v>Hibou moyen-duc</v>
      </c>
      <c r="F1772" s="3" t="str">
        <f>VLOOKUP(B1772,[1]LifeList!$E$2:$G$2036,3)</f>
        <v>Asio otus</v>
      </c>
      <c r="G1772" s="3" t="str">
        <f>VLOOKUP(B1772,[1]LifeList!$E$2:$I$2036,4)</f>
        <v>Strigiformes</v>
      </c>
      <c r="H1772" s="3" t="str">
        <f>VLOOKUP(B1772,[1]LifeList!$E$2:$I$2036,5)</f>
        <v>Strigidae (Owls)</v>
      </c>
    </row>
    <row r="1773" spans="1:8" x14ac:dyDescent="0.15">
      <c r="A1773" s="3" t="s">
        <v>1683</v>
      </c>
      <c r="B1773" s="3" t="s">
        <v>4538</v>
      </c>
      <c r="C1773" s="3">
        <v>741</v>
      </c>
      <c r="D1773" s="3" t="str">
        <f>VLOOKUP(B1773,[1]LifeList!$E$2:$G$2036,1)</f>
        <v>Long-tailed Duck</v>
      </c>
      <c r="E1773" s="3" t="str">
        <f>VLOOKUP(B1773,[1]LifeList!$E$2:$G$2036,2)</f>
        <v>Harelde kakawi</v>
      </c>
      <c r="F1773" s="3" t="str">
        <f>VLOOKUP(B1773,[1]LifeList!$E$2:$G$2036,3)</f>
        <v>Clangula hyemalis</v>
      </c>
      <c r="G1773" s="3" t="str">
        <f>VLOOKUP(B1773,[1]LifeList!$E$2:$I$2036,4)</f>
        <v>Anseriformes</v>
      </c>
      <c r="H1773" s="3" t="str">
        <f>VLOOKUP(B1773,[1]LifeList!$E$2:$I$2036,5)</f>
        <v>Anatidae (Ducks, Geese, and Waterfowl)</v>
      </c>
    </row>
    <row r="1774" spans="1:8" x14ac:dyDescent="0.15">
      <c r="A1774" s="3" t="s">
        <v>1684</v>
      </c>
      <c r="B1774" s="3" t="s">
        <v>4539</v>
      </c>
      <c r="C1774" s="3">
        <v>21138</v>
      </c>
      <c r="D1774" s="3" t="str">
        <f>VLOOKUP(B1774,[1]LifeList!$E$2:$G$2036,1)</f>
        <v>Long-tailed Fiscal</v>
      </c>
      <c r="E1774" s="3" t="str">
        <f>VLOOKUP(B1774,[1]LifeList!$E$2:$G$2036,2)</f>
        <v>Pie-grièche à longue queue</v>
      </c>
      <c r="F1774" s="3" t="str">
        <f>VLOOKUP(B1774,[1]LifeList!$E$2:$G$2036,3)</f>
        <v>Lanius cabanisi</v>
      </c>
      <c r="G1774" s="3" t="str">
        <f>VLOOKUP(B1774,[1]LifeList!$E$2:$I$2036,4)</f>
        <v>Passeriformes</v>
      </c>
      <c r="H1774" s="3" t="str">
        <f>VLOOKUP(B1774,[1]LifeList!$E$2:$I$2036,5)</f>
        <v>Laniidae (Shrikes)</v>
      </c>
    </row>
    <row r="1775" spans="1:8" x14ac:dyDescent="0.15">
      <c r="A1775" s="3" t="s">
        <v>1685</v>
      </c>
      <c r="B1775" s="3" t="s">
        <v>4540</v>
      </c>
      <c r="C1775" s="3">
        <v>10373</v>
      </c>
      <c r="D1775" s="3" t="str">
        <f>VLOOKUP(B1775,[1]LifeList!$E$2:$G$2036,1)</f>
        <v>Long-tailed Ground-Roller</v>
      </c>
      <c r="E1775" s="3" t="str">
        <f>VLOOKUP(B1775,[1]LifeList!$E$2:$G$2036,2)</f>
        <v>Brachyptérolle à longue queue</v>
      </c>
      <c r="F1775" s="3" t="str">
        <f>VLOOKUP(B1775,[1]LifeList!$E$2:$G$2036,3)</f>
        <v>Uratelornis chimaera</v>
      </c>
      <c r="G1775" s="3" t="str">
        <f>VLOOKUP(B1775,[1]LifeList!$E$2:$I$2036,4)</f>
        <v>Coraciiformes</v>
      </c>
      <c r="H1775" s="3" t="str">
        <f>VLOOKUP(B1775,[1]LifeList!$E$2:$I$2036,5)</f>
        <v>Brachypteraciidae (Ground-Rollers)</v>
      </c>
    </row>
    <row r="1776" spans="1:8" x14ac:dyDescent="0.15">
      <c r="A1776" s="3" t="s">
        <v>1686</v>
      </c>
      <c r="B1776" s="3" t="s">
        <v>4540</v>
      </c>
      <c r="C1776" s="3">
        <v>10373</v>
      </c>
      <c r="D1776" s="3" t="str">
        <f>VLOOKUP(B1776,[1]LifeList!$E$2:$G$2036,1)</f>
        <v>Long-tailed Ground-Roller</v>
      </c>
      <c r="E1776" s="3" t="str">
        <f>VLOOKUP(B1776,[1]LifeList!$E$2:$G$2036,2)</f>
        <v>Brachyptérolle à longue queue</v>
      </c>
      <c r="F1776" s="3" t="str">
        <f>VLOOKUP(B1776,[1]LifeList!$E$2:$G$2036,3)</f>
        <v>Uratelornis chimaera</v>
      </c>
      <c r="G1776" s="3" t="str">
        <f>VLOOKUP(B1776,[1]LifeList!$E$2:$I$2036,4)</f>
        <v>Coraciiformes</v>
      </c>
      <c r="H1776" s="3" t="str">
        <f>VLOOKUP(B1776,[1]LifeList!$E$2:$I$2036,5)</f>
        <v>Brachypteraciidae (Ground-Rollers)</v>
      </c>
    </row>
    <row r="1777" spans="1:8" x14ac:dyDescent="0.15">
      <c r="A1777" s="3" t="s">
        <v>1687</v>
      </c>
      <c r="B1777" s="3" t="s">
        <v>4541</v>
      </c>
      <c r="C1777" s="3">
        <v>29908</v>
      </c>
      <c r="D1777" s="3" t="str">
        <f>VLOOKUP(B1777,[1]LifeList!$E$2:$G$2036,1)</f>
        <v>Long-tailed Silky-flycatcher</v>
      </c>
      <c r="E1777" s="3" t="str">
        <f>VLOOKUP(B1777,[1]LifeList!$E$2:$G$2036,2)</f>
        <v>Ptilogon à longue queue</v>
      </c>
      <c r="F1777" s="3" t="str">
        <f>VLOOKUP(B1777,[1]LifeList!$E$2:$G$2036,3)</f>
        <v>Ptiliogonys caudatus</v>
      </c>
      <c r="G1777" s="3" t="str">
        <f>VLOOKUP(B1777,[1]LifeList!$E$2:$I$2036,4)</f>
        <v>Passeriformes</v>
      </c>
      <c r="H1777" s="3" t="str">
        <f>VLOOKUP(B1777,[1]LifeList!$E$2:$I$2036,5)</f>
        <v>Ptiliogonatidae (Silky-flycatchers)</v>
      </c>
    </row>
    <row r="1778" spans="1:8" x14ac:dyDescent="0.15">
      <c r="A1778" s="3" t="s">
        <v>3892</v>
      </c>
      <c r="B1778" s="3" t="s">
        <v>4542</v>
      </c>
      <c r="C1778" s="3">
        <v>4471</v>
      </c>
      <c r="D1778" s="3" t="str">
        <f>VLOOKUP(B1778,[1]LifeList!$E$2:$G$2036,1)</f>
        <v>Long-tailed Sylph</v>
      </c>
      <c r="E1778" s="3" t="str">
        <f>VLOOKUP(B1778,[1]LifeList!$E$2:$G$2036,2)</f>
        <v>Sylphe à queue d'azur</v>
      </c>
      <c r="F1778" s="3" t="str">
        <f>VLOOKUP(B1778,[1]LifeList!$E$2:$G$2036,3)</f>
        <v>Aglaiocercus kingii</v>
      </c>
      <c r="G1778" s="3" t="str">
        <f>VLOOKUP(B1778,[1]LifeList!$E$2:$I$2036,4)</f>
        <v>Apodiformes</v>
      </c>
      <c r="H1778" s="3" t="str">
        <f>VLOOKUP(B1778,[1]LifeList!$E$2:$I$2036,5)</f>
        <v>Trochilidae (Hummingbirds)</v>
      </c>
    </row>
    <row r="1779" spans="1:8" x14ac:dyDescent="0.15">
      <c r="A1779" s="3" t="s">
        <v>1688</v>
      </c>
      <c r="B1779" s="3" t="s">
        <v>4542</v>
      </c>
      <c r="C1779" s="3">
        <v>4471</v>
      </c>
      <c r="D1779" s="3" t="str">
        <f>VLOOKUP(B1779,[1]LifeList!$E$2:$G$2036,1)</f>
        <v>Long-tailed Sylph</v>
      </c>
      <c r="E1779" s="3" t="str">
        <f>VLOOKUP(B1779,[1]LifeList!$E$2:$G$2036,2)</f>
        <v>Sylphe à queue d'azur</v>
      </c>
      <c r="F1779" s="3" t="str">
        <f>VLOOKUP(B1779,[1]LifeList!$E$2:$G$2036,3)</f>
        <v>Aglaiocercus kingii</v>
      </c>
      <c r="G1779" s="3" t="str">
        <f>VLOOKUP(B1779,[1]LifeList!$E$2:$I$2036,4)</f>
        <v>Apodiformes</v>
      </c>
      <c r="H1779" s="3" t="str">
        <f>VLOOKUP(B1779,[1]LifeList!$E$2:$I$2036,5)</f>
        <v>Trochilidae (Hummingbirds)</v>
      </c>
    </row>
    <row r="1780" spans="1:8" x14ac:dyDescent="0.15">
      <c r="A1780" s="3" t="s">
        <v>1689</v>
      </c>
      <c r="B1780" s="3" t="s">
        <v>4543</v>
      </c>
      <c r="C1780" s="3">
        <v>17220</v>
      </c>
      <c r="D1780" s="3" t="str">
        <f>VLOOKUP(B1780,[1]LifeList!$E$2:$G$2036,1)</f>
        <v>Long-tailed Tyrant</v>
      </c>
      <c r="E1780" s="3" t="str">
        <f>VLOOKUP(B1780,[1]LifeList!$E$2:$G$2036,2)</f>
        <v>Moucherolle à longs brins</v>
      </c>
      <c r="F1780" s="3" t="str">
        <f>VLOOKUP(B1780,[1]LifeList!$E$2:$G$2036,3)</f>
        <v>Colonia colonus</v>
      </c>
      <c r="G1780" s="3" t="str">
        <f>VLOOKUP(B1780,[1]LifeList!$E$2:$I$2036,4)</f>
        <v>Passeriformes</v>
      </c>
      <c r="H1780" s="3" t="str">
        <f>VLOOKUP(B1780,[1]LifeList!$E$2:$I$2036,5)</f>
        <v>Tyrannidae (Tyrant Flycatchers)</v>
      </c>
    </row>
    <row r="1781" spans="1:8" x14ac:dyDescent="0.15">
      <c r="A1781" s="3" t="s">
        <v>1690</v>
      </c>
      <c r="B1781" s="3" t="s">
        <v>4543</v>
      </c>
      <c r="C1781" s="3">
        <v>17220</v>
      </c>
      <c r="D1781" s="3" t="str">
        <f>VLOOKUP(B1781,[1]LifeList!$E$2:$G$2036,1)</f>
        <v>Long-tailed Tyrant</v>
      </c>
      <c r="E1781" s="3" t="str">
        <f>VLOOKUP(B1781,[1]LifeList!$E$2:$G$2036,2)</f>
        <v>Moucherolle à longs brins</v>
      </c>
      <c r="F1781" s="3" t="str">
        <f>VLOOKUP(B1781,[1]LifeList!$E$2:$G$2036,3)</f>
        <v>Colonia colonus</v>
      </c>
      <c r="G1781" s="3" t="str">
        <f>VLOOKUP(B1781,[1]LifeList!$E$2:$I$2036,4)</f>
        <v>Passeriformes</v>
      </c>
      <c r="H1781" s="3" t="str">
        <f>VLOOKUP(B1781,[1]LifeList!$E$2:$I$2036,5)</f>
        <v>Tyrannidae (Tyrant Flycatchers)</v>
      </c>
    </row>
    <row r="1782" spans="1:8" x14ac:dyDescent="0.15">
      <c r="A1782" s="3" t="s">
        <v>1691</v>
      </c>
      <c r="B1782" s="3" t="s">
        <v>4544</v>
      </c>
      <c r="C1782" s="3">
        <v>5857</v>
      </c>
      <c r="D1782" s="3" t="str">
        <f>VLOOKUP(B1782,[1]LifeList!$E$2:$G$2036,1)</f>
        <v>Long-toed Lapwing</v>
      </c>
      <c r="E1782" s="3" t="str">
        <f>VLOOKUP(B1782,[1]LifeList!$E$2:$G$2036,2)</f>
        <v>Vanneau à ailes blanches</v>
      </c>
      <c r="F1782" s="3" t="str">
        <f>VLOOKUP(B1782,[1]LifeList!$E$2:$G$2036,3)</f>
        <v>Vanellus crassirostris</v>
      </c>
      <c r="G1782" s="3" t="str">
        <f>VLOOKUP(B1782,[1]LifeList!$E$2:$I$2036,4)</f>
        <v>Charadriiformes</v>
      </c>
      <c r="H1782" s="3" t="str">
        <f>VLOOKUP(B1782,[1]LifeList!$E$2:$I$2036,5)</f>
        <v>Charadriidae (Plovers and Lapwings)</v>
      </c>
    </row>
    <row r="1783" spans="1:8" x14ac:dyDescent="0.15">
      <c r="A1783" s="3" t="s">
        <v>1692</v>
      </c>
      <c r="B1783" s="3" t="s">
        <v>4545</v>
      </c>
      <c r="C1783" s="3">
        <v>8318</v>
      </c>
      <c r="D1783" s="3" t="str">
        <f>VLOOKUP(B1783,[1]LifeList!$E$2:$G$2036,1)</f>
        <v>Long-winged Harrier</v>
      </c>
      <c r="E1783" s="3" t="str">
        <f>VLOOKUP(B1783,[1]LifeList!$E$2:$G$2036,2)</f>
        <v>Busard de Buffon</v>
      </c>
      <c r="F1783" s="3" t="str">
        <f>VLOOKUP(B1783,[1]LifeList!$E$2:$G$2036,3)</f>
        <v>Circus buffoni</v>
      </c>
      <c r="G1783" s="3" t="str">
        <f>VLOOKUP(B1783,[1]LifeList!$E$2:$I$2036,4)</f>
        <v>Accipitriformes</v>
      </c>
      <c r="H1783" s="3" t="str">
        <f>VLOOKUP(B1783,[1]LifeList!$E$2:$I$2036,5)</f>
        <v>Accipitridae (Hawks, Eagles, and Kites)</v>
      </c>
    </row>
    <row r="1784" spans="1:8" x14ac:dyDescent="0.15">
      <c r="A1784" s="3" t="s">
        <v>1693</v>
      </c>
      <c r="B1784" s="3" t="s">
        <v>4546</v>
      </c>
      <c r="C1784" s="3">
        <v>33952</v>
      </c>
      <c r="D1784" s="3" t="str">
        <f>VLOOKUP(B1784,[1]LifeList!$E$2:$G$2036,1)</f>
        <v>Louisiana Waterthrush</v>
      </c>
      <c r="E1784" s="3" t="str">
        <f>VLOOKUP(B1784,[1]LifeList!$E$2:$G$2036,2)</f>
        <v>Paruline hochequeue</v>
      </c>
      <c r="F1784" s="3" t="str">
        <f>VLOOKUP(B1784,[1]LifeList!$E$2:$G$2036,3)</f>
        <v>Parkesia motacilla</v>
      </c>
      <c r="G1784" s="3" t="str">
        <f>VLOOKUP(B1784,[1]LifeList!$E$2:$I$2036,4)</f>
        <v>Passeriformes</v>
      </c>
      <c r="H1784" s="3" t="str">
        <f>VLOOKUP(B1784,[1]LifeList!$E$2:$I$2036,5)</f>
        <v>Parulidae (New World Warblers)</v>
      </c>
    </row>
    <row r="1785" spans="1:8" x14ac:dyDescent="0.15">
      <c r="A1785" s="3" t="s">
        <v>1694</v>
      </c>
      <c r="B1785" s="3" t="s">
        <v>4547</v>
      </c>
      <c r="C1785" s="3">
        <v>23458</v>
      </c>
      <c r="D1785" s="3" t="str">
        <f>VLOOKUP(B1785,[1]LifeList!$E$2:$G$2036,1)</f>
        <v>Luapula Cisticola</v>
      </c>
      <c r="E1785" s="3" t="str">
        <f>VLOOKUP(B1785,[1]LifeList!$E$2:$G$2036,2)</f>
        <v>Cisticole du Luapula</v>
      </c>
      <c r="F1785" s="3" t="str">
        <f>VLOOKUP(B1785,[1]LifeList!$E$2:$G$2036,3)</f>
        <v>Cisticola luapula</v>
      </c>
      <c r="G1785" s="3" t="str">
        <f>VLOOKUP(B1785,[1]LifeList!$E$2:$I$2036,4)</f>
        <v>Passeriformes</v>
      </c>
      <c r="H1785" s="3" t="str">
        <f>VLOOKUP(B1785,[1]LifeList!$E$2:$I$2036,5)</f>
        <v>Cisticolidae (Cisticolas and Allies)</v>
      </c>
    </row>
    <row r="1786" spans="1:8" x14ac:dyDescent="0.15">
      <c r="A1786" s="3" t="s">
        <v>1697</v>
      </c>
      <c r="B1786" s="3" t="s">
        <v>4548</v>
      </c>
      <c r="C1786" s="3">
        <v>19990</v>
      </c>
      <c r="D1786" s="3" t="str">
        <f>VLOOKUP(B1786,[1]LifeList!$E$2:$G$2036,1)</f>
        <v>Madagascar Blue Vanga</v>
      </c>
      <c r="E1786" s="3" t="str">
        <f>VLOOKUP(B1786,[1]LifeList!$E$2:$G$2036,2)</f>
        <v>Artamie azurée</v>
      </c>
      <c r="F1786" s="3" t="str">
        <f>VLOOKUP(B1786,[1]LifeList!$E$2:$G$2036,3)</f>
        <v>Cyanolanius madagascarinus</v>
      </c>
      <c r="G1786" s="3" t="str">
        <f>VLOOKUP(B1786,[1]LifeList!$E$2:$I$2036,4)</f>
        <v>Passeriformes</v>
      </c>
      <c r="H1786" s="3" t="str">
        <f>VLOOKUP(B1786,[1]LifeList!$E$2:$I$2036,5)</f>
        <v>Vangidae (Vangas, Helmetshrikes, and Allies)</v>
      </c>
    </row>
    <row r="1787" spans="1:8" x14ac:dyDescent="0.15">
      <c r="A1787" s="3" t="s">
        <v>1695</v>
      </c>
      <c r="B1787" s="3" t="s">
        <v>4549</v>
      </c>
      <c r="C1787" s="3">
        <v>2620</v>
      </c>
      <c r="D1787" s="3" t="str">
        <f>VLOOKUP(B1787,[1]LifeList!$E$2:$G$2036,1)</f>
        <v>Madagascar Blue-Pigeon</v>
      </c>
      <c r="E1787" s="3" t="str">
        <f>VLOOKUP(B1787,[1]LifeList!$E$2:$G$2036,2)</f>
        <v>Founingo bleu</v>
      </c>
      <c r="F1787" s="3" t="str">
        <f>VLOOKUP(B1787,[1]LifeList!$E$2:$G$2036,3)</f>
        <v>Alectroenas madagascariensis</v>
      </c>
      <c r="G1787" s="3" t="str">
        <f>VLOOKUP(B1787,[1]LifeList!$E$2:$I$2036,4)</f>
        <v>Columbiformes</v>
      </c>
      <c r="H1787" s="3" t="str">
        <f>VLOOKUP(B1787,[1]LifeList!$E$2:$I$2036,5)</f>
        <v>Columbidae (Pigeons and Doves)</v>
      </c>
    </row>
    <row r="1788" spans="1:8" x14ac:dyDescent="0.15">
      <c r="A1788" s="3" t="s">
        <v>1696</v>
      </c>
      <c r="B1788" s="3" t="s">
        <v>4549</v>
      </c>
      <c r="C1788" s="3">
        <v>2620</v>
      </c>
      <c r="D1788" s="3" t="str">
        <f>VLOOKUP(B1788,[1]LifeList!$E$2:$G$2036,1)</f>
        <v>Madagascar Blue-Pigeon</v>
      </c>
      <c r="E1788" s="3" t="str">
        <f>VLOOKUP(B1788,[1]LifeList!$E$2:$G$2036,2)</f>
        <v>Founingo bleu</v>
      </c>
      <c r="F1788" s="3" t="str">
        <f>VLOOKUP(B1788,[1]LifeList!$E$2:$G$2036,3)</f>
        <v>Alectroenas madagascariensis</v>
      </c>
      <c r="G1788" s="3" t="str">
        <f>VLOOKUP(B1788,[1]LifeList!$E$2:$I$2036,4)</f>
        <v>Columbiformes</v>
      </c>
      <c r="H1788" s="3" t="str">
        <f>VLOOKUP(B1788,[1]LifeList!$E$2:$I$2036,5)</f>
        <v>Columbidae (Pigeons and Doves)</v>
      </c>
    </row>
    <row r="1789" spans="1:8" x14ac:dyDescent="0.15">
      <c r="A1789" s="3" t="s">
        <v>1698</v>
      </c>
      <c r="B1789" s="3" t="s">
        <v>4550</v>
      </c>
      <c r="C1789" s="3">
        <v>6302</v>
      </c>
      <c r="D1789" s="3" t="str">
        <f>VLOOKUP(B1789,[1]LifeList!$E$2:$G$2036,1)</f>
        <v>Madagascar Buttonquail</v>
      </c>
      <c r="E1789" s="3" t="str">
        <f>VLOOKUP(B1789,[1]LifeList!$E$2:$G$2036,2)</f>
        <v>Turnix de Madagascar</v>
      </c>
      <c r="F1789" s="3" t="str">
        <f>VLOOKUP(B1789,[1]LifeList!$E$2:$G$2036,3)</f>
        <v>Turnix nigricollis</v>
      </c>
      <c r="G1789" s="3" t="str">
        <f>VLOOKUP(B1789,[1]LifeList!$E$2:$I$2036,4)</f>
        <v>Charadriiformes</v>
      </c>
      <c r="H1789" s="3" t="str">
        <f>VLOOKUP(B1789,[1]LifeList!$E$2:$I$2036,5)</f>
        <v>Turnicidae (Buttonquail)</v>
      </c>
    </row>
    <row r="1790" spans="1:8" x14ac:dyDescent="0.15">
      <c r="A1790" s="3" t="s">
        <v>1699</v>
      </c>
      <c r="B1790" s="3" t="s">
        <v>4550</v>
      </c>
      <c r="C1790" s="3">
        <v>6302</v>
      </c>
      <c r="D1790" s="3" t="str">
        <f>VLOOKUP(B1790,[1]LifeList!$E$2:$G$2036,1)</f>
        <v>Madagascar Buttonquail</v>
      </c>
      <c r="E1790" s="3" t="str">
        <f>VLOOKUP(B1790,[1]LifeList!$E$2:$G$2036,2)</f>
        <v>Turnix de Madagascar</v>
      </c>
      <c r="F1790" s="3" t="str">
        <f>VLOOKUP(B1790,[1]LifeList!$E$2:$G$2036,3)</f>
        <v>Turnix nigricollis</v>
      </c>
      <c r="G1790" s="3" t="str">
        <f>VLOOKUP(B1790,[1]LifeList!$E$2:$I$2036,4)</f>
        <v>Charadriiformes</v>
      </c>
      <c r="H1790" s="3" t="str">
        <f>VLOOKUP(B1790,[1]LifeList!$E$2:$I$2036,5)</f>
        <v>Turnicidae (Buttonquail)</v>
      </c>
    </row>
    <row r="1791" spans="1:8" x14ac:dyDescent="0.15">
      <c r="A1791" s="3" t="s">
        <v>1700</v>
      </c>
      <c r="B1791" s="3" t="s">
        <v>4550</v>
      </c>
      <c r="C1791" s="3">
        <v>6302</v>
      </c>
      <c r="D1791" s="3" t="str">
        <f>VLOOKUP(B1791,[1]LifeList!$E$2:$G$2036,1)</f>
        <v>Madagascar Buttonquail</v>
      </c>
      <c r="E1791" s="3" t="str">
        <f>VLOOKUP(B1791,[1]LifeList!$E$2:$G$2036,2)</f>
        <v>Turnix de Madagascar</v>
      </c>
      <c r="F1791" s="3" t="str">
        <f>VLOOKUP(B1791,[1]LifeList!$E$2:$G$2036,3)</f>
        <v>Turnix nigricollis</v>
      </c>
      <c r="G1791" s="3" t="str">
        <f>VLOOKUP(B1791,[1]LifeList!$E$2:$I$2036,4)</f>
        <v>Charadriiformes</v>
      </c>
      <c r="H1791" s="3" t="str">
        <f>VLOOKUP(B1791,[1]LifeList!$E$2:$I$2036,5)</f>
        <v>Turnicidae (Buttonquail)</v>
      </c>
    </row>
    <row r="1792" spans="1:8" x14ac:dyDescent="0.15">
      <c r="A1792" s="3" t="s">
        <v>1701</v>
      </c>
      <c r="B1792" s="3" t="s">
        <v>4551</v>
      </c>
      <c r="C1792" s="3">
        <v>8554</v>
      </c>
      <c r="D1792" s="3" t="str">
        <f>VLOOKUP(B1792,[1]LifeList!$E$2:$G$2036,1)</f>
        <v>Madagascar Buzzard</v>
      </c>
      <c r="E1792" s="3" t="str">
        <f>VLOOKUP(B1792,[1]LifeList!$E$2:$G$2036,2)</f>
        <v>Buse de Madagascar</v>
      </c>
      <c r="F1792" s="3" t="str">
        <f>VLOOKUP(B1792,[1]LifeList!$E$2:$G$2036,3)</f>
        <v>Buteo brachypterus</v>
      </c>
      <c r="G1792" s="3" t="str">
        <f>VLOOKUP(B1792,[1]LifeList!$E$2:$I$2036,4)</f>
        <v>Accipitriformes</v>
      </c>
      <c r="H1792" s="3" t="str">
        <f>VLOOKUP(B1792,[1]LifeList!$E$2:$I$2036,5)</f>
        <v>Accipitridae (Hawks, Eagles, and Kites)</v>
      </c>
    </row>
    <row r="1793" spans="1:8" x14ac:dyDescent="0.15">
      <c r="A1793" s="3" t="s">
        <v>1702</v>
      </c>
      <c r="B1793" s="3" t="s">
        <v>4552</v>
      </c>
      <c r="C1793" s="3">
        <v>23550</v>
      </c>
      <c r="D1793" s="3" t="str">
        <f>VLOOKUP(B1793,[1]LifeList!$E$2:$G$2036,1)</f>
        <v>Madagascar Cisticola</v>
      </c>
      <c r="E1793" s="3" t="str">
        <f>VLOOKUP(B1793,[1]LifeList!$E$2:$G$2036,2)</f>
        <v>Cisticole malgache</v>
      </c>
      <c r="F1793" s="3" t="str">
        <f>VLOOKUP(B1793,[1]LifeList!$E$2:$G$2036,3)</f>
        <v>Cisticola cherina</v>
      </c>
      <c r="G1793" s="3" t="str">
        <f>VLOOKUP(B1793,[1]LifeList!$E$2:$I$2036,4)</f>
        <v>Passeriformes</v>
      </c>
      <c r="H1793" s="3" t="str">
        <f>VLOOKUP(B1793,[1]LifeList!$E$2:$I$2036,5)</f>
        <v>Cisticolidae (Cisticolas and Allies)</v>
      </c>
    </row>
    <row r="1794" spans="1:8" x14ac:dyDescent="0.15">
      <c r="A1794" s="3" t="s">
        <v>1704</v>
      </c>
      <c r="B1794" s="3" t="s">
        <v>4553</v>
      </c>
      <c r="C1794" s="3">
        <v>3439</v>
      </c>
      <c r="D1794" s="3" t="str">
        <f>VLOOKUP(B1794,[1]LifeList!$E$2:$G$2036,1)</f>
        <v>Madagascar Cuckoo</v>
      </c>
      <c r="E1794" s="3" t="str">
        <f>VLOOKUP(B1794,[1]LifeList!$E$2:$G$2036,2)</f>
        <v>Coucou de Madagascar</v>
      </c>
      <c r="F1794" s="3" t="str">
        <f>VLOOKUP(B1794,[1]LifeList!$E$2:$G$2036,3)</f>
        <v>Cuculus rochii</v>
      </c>
      <c r="G1794" s="3" t="str">
        <f>VLOOKUP(B1794,[1]LifeList!$E$2:$I$2036,4)</f>
        <v>Cuculiformes</v>
      </c>
      <c r="H1794" s="3" t="str">
        <f>VLOOKUP(B1794,[1]LifeList!$E$2:$I$2036,5)</f>
        <v>Cuculidae (Cuckoos)</v>
      </c>
    </row>
    <row r="1795" spans="1:8" x14ac:dyDescent="0.15">
      <c r="A1795" s="3" t="s">
        <v>1705</v>
      </c>
      <c r="B1795" s="3" t="s">
        <v>4553</v>
      </c>
      <c r="C1795" s="3">
        <v>3439</v>
      </c>
      <c r="D1795" s="3" t="str">
        <f>VLOOKUP(B1795,[1]LifeList!$E$2:$G$2036,1)</f>
        <v>Madagascar Cuckoo</v>
      </c>
      <c r="E1795" s="3" t="str">
        <f>VLOOKUP(B1795,[1]LifeList!$E$2:$G$2036,2)</f>
        <v>Coucou de Madagascar</v>
      </c>
      <c r="F1795" s="3" t="str">
        <f>VLOOKUP(B1795,[1]LifeList!$E$2:$G$2036,3)</f>
        <v>Cuculus rochii</v>
      </c>
      <c r="G1795" s="3" t="str">
        <f>VLOOKUP(B1795,[1]LifeList!$E$2:$I$2036,4)</f>
        <v>Cuculiformes</v>
      </c>
      <c r="H1795" s="3" t="str">
        <f>VLOOKUP(B1795,[1]LifeList!$E$2:$I$2036,5)</f>
        <v>Cuculidae (Cuckoos)</v>
      </c>
    </row>
    <row r="1796" spans="1:8" x14ac:dyDescent="0.15">
      <c r="A1796" s="3" t="s">
        <v>1703</v>
      </c>
      <c r="B1796" s="3" t="s">
        <v>4553</v>
      </c>
      <c r="C1796" s="3">
        <v>3439</v>
      </c>
      <c r="D1796" s="3" t="str">
        <f>VLOOKUP(B1796,[1]LifeList!$E$2:$G$2036,1)</f>
        <v>Madagascar Cuckoo</v>
      </c>
      <c r="E1796" s="3" t="str">
        <f>VLOOKUP(B1796,[1]LifeList!$E$2:$G$2036,2)</f>
        <v>Coucou de Madagascar</v>
      </c>
      <c r="F1796" s="3" t="str">
        <f>VLOOKUP(B1796,[1]LifeList!$E$2:$G$2036,3)</f>
        <v>Cuculus rochii</v>
      </c>
      <c r="G1796" s="3" t="str">
        <f>VLOOKUP(B1796,[1]LifeList!$E$2:$I$2036,4)</f>
        <v>Cuculiformes</v>
      </c>
      <c r="H1796" s="3" t="str">
        <f>VLOOKUP(B1796,[1]LifeList!$E$2:$I$2036,5)</f>
        <v>Cuculidae (Cuckoos)</v>
      </c>
    </row>
    <row r="1797" spans="1:8" x14ac:dyDescent="0.15">
      <c r="A1797" s="3" t="s">
        <v>1706</v>
      </c>
      <c r="B1797" s="3" t="s">
        <v>4554</v>
      </c>
      <c r="C1797" s="3">
        <v>7857</v>
      </c>
      <c r="D1797" s="3" t="str">
        <f>VLOOKUP(B1797,[1]LifeList!$E$2:$G$2036,1)</f>
        <v>Madagascar Harrier-Hawk</v>
      </c>
      <c r="E1797" s="3" t="str">
        <f>VLOOKUP(B1797,[1]LifeList!$E$2:$G$2036,2)</f>
        <v>Gymnogène de Madagascar</v>
      </c>
      <c r="F1797" s="3" t="str">
        <f>VLOOKUP(B1797,[1]LifeList!$E$2:$G$2036,3)</f>
        <v>Polyboroides radiatus</v>
      </c>
      <c r="G1797" s="3" t="str">
        <f>VLOOKUP(B1797,[1]LifeList!$E$2:$I$2036,4)</f>
        <v>Accipitriformes</v>
      </c>
      <c r="H1797" s="3" t="str">
        <f>VLOOKUP(B1797,[1]LifeList!$E$2:$I$2036,5)</f>
        <v>Accipitridae (Hawks, Eagles, and Kites)</v>
      </c>
    </row>
    <row r="1798" spans="1:8" x14ac:dyDescent="0.15">
      <c r="A1798" s="3" t="s">
        <v>1707</v>
      </c>
      <c r="B1798" s="3" t="s">
        <v>4554</v>
      </c>
      <c r="C1798" s="3">
        <v>7857</v>
      </c>
      <c r="D1798" s="3" t="str">
        <f>VLOOKUP(B1798,[1]LifeList!$E$2:$G$2036,1)</f>
        <v>Madagascar Harrier-Hawk</v>
      </c>
      <c r="E1798" s="3" t="str">
        <f>VLOOKUP(B1798,[1]LifeList!$E$2:$G$2036,2)</f>
        <v>Gymnogène de Madagascar</v>
      </c>
      <c r="F1798" s="3" t="str">
        <f>VLOOKUP(B1798,[1]LifeList!$E$2:$G$2036,3)</f>
        <v>Polyboroides radiatus</v>
      </c>
      <c r="G1798" s="3" t="str">
        <f>VLOOKUP(B1798,[1]LifeList!$E$2:$I$2036,4)</f>
        <v>Accipitriformes</v>
      </c>
      <c r="H1798" s="3" t="str">
        <f>VLOOKUP(B1798,[1]LifeList!$E$2:$I$2036,5)</f>
        <v>Accipitridae (Hawks, Eagles, and Kites)</v>
      </c>
    </row>
    <row r="1799" spans="1:8" x14ac:dyDescent="0.15">
      <c r="A1799" s="3" t="s">
        <v>1708</v>
      </c>
      <c r="B1799" s="3" t="s">
        <v>4554</v>
      </c>
      <c r="C1799" s="3">
        <v>7857</v>
      </c>
      <c r="D1799" s="3" t="str">
        <f>VLOOKUP(B1799,[1]LifeList!$E$2:$G$2036,1)</f>
        <v>Madagascar Harrier-Hawk</v>
      </c>
      <c r="E1799" s="3" t="str">
        <f>VLOOKUP(B1799,[1]LifeList!$E$2:$G$2036,2)</f>
        <v>Gymnogène de Madagascar</v>
      </c>
      <c r="F1799" s="3" t="str">
        <f>VLOOKUP(B1799,[1]LifeList!$E$2:$G$2036,3)</f>
        <v>Polyboroides radiatus</v>
      </c>
      <c r="G1799" s="3" t="str">
        <f>VLOOKUP(B1799,[1]LifeList!$E$2:$I$2036,4)</f>
        <v>Accipitriformes</v>
      </c>
      <c r="H1799" s="3" t="str">
        <f>VLOOKUP(B1799,[1]LifeList!$E$2:$I$2036,5)</f>
        <v>Accipitridae (Hawks, Eagles, and Kites)</v>
      </c>
    </row>
    <row r="1800" spans="1:8" x14ac:dyDescent="0.15">
      <c r="A1800" s="3" t="s">
        <v>1709</v>
      </c>
      <c r="B1800" s="3" t="s">
        <v>4554</v>
      </c>
      <c r="C1800" s="3">
        <v>7857</v>
      </c>
      <c r="D1800" s="3" t="str">
        <f>VLOOKUP(B1800,[1]LifeList!$E$2:$G$2036,1)</f>
        <v>Madagascar Harrier-Hawk</v>
      </c>
      <c r="E1800" s="3" t="str">
        <f>VLOOKUP(B1800,[1]LifeList!$E$2:$G$2036,2)</f>
        <v>Gymnogène de Madagascar</v>
      </c>
      <c r="F1800" s="3" t="str">
        <f>VLOOKUP(B1800,[1]LifeList!$E$2:$G$2036,3)</f>
        <v>Polyboroides radiatus</v>
      </c>
      <c r="G1800" s="3" t="str">
        <f>VLOOKUP(B1800,[1]LifeList!$E$2:$I$2036,4)</f>
        <v>Accipitriformes</v>
      </c>
      <c r="H1800" s="3" t="str">
        <f>VLOOKUP(B1800,[1]LifeList!$E$2:$I$2036,5)</f>
        <v>Accipitridae (Hawks, Eagles, and Kites)</v>
      </c>
    </row>
    <row r="1801" spans="1:8" x14ac:dyDescent="0.15">
      <c r="A1801" s="3" t="s">
        <v>1710</v>
      </c>
      <c r="B1801" s="3" t="s">
        <v>4555</v>
      </c>
      <c r="C1801" s="3">
        <v>9615</v>
      </c>
      <c r="D1801" s="3" t="str">
        <f>VLOOKUP(B1801,[1]LifeList!$E$2:$G$2036,1)</f>
        <v>Madagascar Hoopoe</v>
      </c>
      <c r="E1801" s="3" t="str">
        <f>VLOOKUP(B1801,[1]LifeList!$E$2:$G$2036,2)</f>
        <v>Huppe de Madagascar</v>
      </c>
      <c r="F1801" s="3" t="str">
        <f>VLOOKUP(B1801,[1]LifeList!$E$2:$G$2036,3)</f>
        <v>Upupa marginata</v>
      </c>
      <c r="G1801" s="3" t="str">
        <f>VLOOKUP(B1801,[1]LifeList!$E$2:$I$2036,4)</f>
        <v>Bucerotiformes</v>
      </c>
      <c r="H1801" s="3" t="str">
        <f>VLOOKUP(B1801,[1]LifeList!$E$2:$I$2036,5)</f>
        <v>Upupidae (Hoopoes)</v>
      </c>
    </row>
    <row r="1802" spans="1:8" x14ac:dyDescent="0.15">
      <c r="A1802" s="3" t="s">
        <v>1711</v>
      </c>
      <c r="B1802" s="3" t="s">
        <v>4555</v>
      </c>
      <c r="C1802" s="3">
        <v>9615</v>
      </c>
      <c r="D1802" s="3" t="str">
        <f>VLOOKUP(B1802,[1]LifeList!$E$2:$G$2036,1)</f>
        <v>Madagascar Hoopoe</v>
      </c>
      <c r="E1802" s="3" t="str">
        <f>VLOOKUP(B1802,[1]LifeList!$E$2:$G$2036,2)</f>
        <v>Huppe de Madagascar</v>
      </c>
      <c r="F1802" s="3" t="str">
        <f>VLOOKUP(B1802,[1]LifeList!$E$2:$G$2036,3)</f>
        <v>Upupa marginata</v>
      </c>
      <c r="G1802" s="3" t="str">
        <f>VLOOKUP(B1802,[1]LifeList!$E$2:$I$2036,4)</f>
        <v>Bucerotiformes</v>
      </c>
      <c r="H1802" s="3" t="str">
        <f>VLOOKUP(B1802,[1]LifeList!$E$2:$I$2036,5)</f>
        <v>Upupidae (Hoopoes)</v>
      </c>
    </row>
    <row r="1803" spans="1:8" x14ac:dyDescent="0.15">
      <c r="A1803" s="3" t="s">
        <v>1712</v>
      </c>
      <c r="B1803" s="3" t="s">
        <v>4555</v>
      </c>
      <c r="C1803" s="3">
        <v>9615</v>
      </c>
      <c r="D1803" s="3" t="str">
        <f>VLOOKUP(B1803,[1]LifeList!$E$2:$G$2036,1)</f>
        <v>Madagascar Hoopoe</v>
      </c>
      <c r="E1803" s="3" t="str">
        <f>VLOOKUP(B1803,[1]LifeList!$E$2:$G$2036,2)</f>
        <v>Huppe de Madagascar</v>
      </c>
      <c r="F1803" s="3" t="str">
        <f>VLOOKUP(B1803,[1]LifeList!$E$2:$G$2036,3)</f>
        <v>Upupa marginata</v>
      </c>
      <c r="G1803" s="3" t="str">
        <f>VLOOKUP(B1803,[1]LifeList!$E$2:$I$2036,4)</f>
        <v>Bucerotiformes</v>
      </c>
      <c r="H1803" s="3" t="str">
        <f>VLOOKUP(B1803,[1]LifeList!$E$2:$I$2036,5)</f>
        <v>Upupidae (Hoopoes)</v>
      </c>
    </row>
    <row r="1804" spans="1:8" x14ac:dyDescent="0.15">
      <c r="A1804" s="3" t="s">
        <v>1713</v>
      </c>
      <c r="B1804" s="3" t="s">
        <v>4556</v>
      </c>
      <c r="C1804" s="3">
        <v>7473</v>
      </c>
      <c r="D1804" s="3" t="str">
        <f>VLOOKUP(B1804,[1]LifeList!$E$2:$G$2036,1)</f>
        <v>Madagascar Ibis</v>
      </c>
      <c r="E1804" s="3" t="str">
        <f>VLOOKUP(B1804,[1]LifeList!$E$2:$G$2036,2)</f>
        <v>Ibis huppé</v>
      </c>
      <c r="F1804" s="3" t="str">
        <f>VLOOKUP(B1804,[1]LifeList!$E$2:$G$2036,3)</f>
        <v>Lophotibis cristata</v>
      </c>
      <c r="G1804" s="3" t="str">
        <f>VLOOKUP(B1804,[1]LifeList!$E$2:$I$2036,4)</f>
        <v>Pelecaniformes</v>
      </c>
      <c r="H1804" s="3" t="str">
        <f>VLOOKUP(B1804,[1]LifeList!$E$2:$I$2036,5)</f>
        <v>Threskiornithidae (Ibises and Spoonbills)</v>
      </c>
    </row>
    <row r="1805" spans="1:8" x14ac:dyDescent="0.15">
      <c r="A1805" s="3" t="s">
        <v>1714</v>
      </c>
      <c r="B1805" s="3" t="s">
        <v>4557</v>
      </c>
      <c r="C1805" s="3">
        <v>22407</v>
      </c>
      <c r="D1805" s="3" t="str">
        <f>VLOOKUP(B1805,[1]LifeList!$E$2:$G$2036,1)</f>
        <v>Madagascar Lark</v>
      </c>
      <c r="E1805" s="3" t="str">
        <f>VLOOKUP(B1805,[1]LifeList!$E$2:$G$2036,2)</f>
        <v>Moinelette malgache</v>
      </c>
      <c r="F1805" s="3" t="str">
        <f>VLOOKUP(B1805,[1]LifeList!$E$2:$G$2036,3)</f>
        <v>Eremopterix hova</v>
      </c>
      <c r="G1805" s="3" t="str">
        <f>VLOOKUP(B1805,[1]LifeList!$E$2:$I$2036,4)</f>
        <v>Passeriformes</v>
      </c>
      <c r="H1805" s="3" t="str">
        <f>VLOOKUP(B1805,[1]LifeList!$E$2:$I$2036,5)</f>
        <v>Alaudidae (Larks)</v>
      </c>
    </row>
    <row r="1806" spans="1:8" x14ac:dyDescent="0.15">
      <c r="A1806" s="3" t="s">
        <v>1715</v>
      </c>
      <c r="B1806" s="3" t="s">
        <v>4557</v>
      </c>
      <c r="C1806" s="3">
        <v>22407</v>
      </c>
      <c r="D1806" s="3" t="str">
        <f>VLOOKUP(B1806,[1]LifeList!$E$2:$G$2036,1)</f>
        <v>Madagascar Lark</v>
      </c>
      <c r="E1806" s="3" t="str">
        <f>VLOOKUP(B1806,[1]LifeList!$E$2:$G$2036,2)</f>
        <v>Moinelette malgache</v>
      </c>
      <c r="F1806" s="3" t="str">
        <f>VLOOKUP(B1806,[1]LifeList!$E$2:$G$2036,3)</f>
        <v>Eremopterix hova</v>
      </c>
      <c r="G1806" s="3" t="str">
        <f>VLOOKUP(B1806,[1]LifeList!$E$2:$I$2036,4)</f>
        <v>Passeriformes</v>
      </c>
      <c r="H1806" s="3" t="str">
        <f>VLOOKUP(B1806,[1]LifeList!$E$2:$I$2036,5)</f>
        <v>Alaudidae (Larks)</v>
      </c>
    </row>
    <row r="1807" spans="1:8" x14ac:dyDescent="0.15">
      <c r="A1807" s="3" t="s">
        <v>1716</v>
      </c>
      <c r="B1807" s="3" t="s">
        <v>4557</v>
      </c>
      <c r="C1807" s="3">
        <v>22407</v>
      </c>
      <c r="D1807" s="3" t="str">
        <f>VLOOKUP(B1807,[1]LifeList!$E$2:$G$2036,1)</f>
        <v>Madagascar Lark</v>
      </c>
      <c r="E1807" s="3" t="str">
        <f>VLOOKUP(B1807,[1]LifeList!$E$2:$G$2036,2)</f>
        <v>Moinelette malgache</v>
      </c>
      <c r="F1807" s="3" t="str">
        <f>VLOOKUP(B1807,[1]LifeList!$E$2:$G$2036,3)</f>
        <v>Eremopterix hova</v>
      </c>
      <c r="G1807" s="3" t="str">
        <f>VLOOKUP(B1807,[1]LifeList!$E$2:$I$2036,4)</f>
        <v>Passeriformes</v>
      </c>
      <c r="H1807" s="3" t="str">
        <f>VLOOKUP(B1807,[1]LifeList!$E$2:$I$2036,5)</f>
        <v>Alaudidae (Larks)</v>
      </c>
    </row>
    <row r="1808" spans="1:8" x14ac:dyDescent="0.15">
      <c r="A1808" s="3" t="s">
        <v>1717</v>
      </c>
      <c r="B1808" s="3" t="s">
        <v>4557</v>
      </c>
      <c r="C1808" s="3">
        <v>22407</v>
      </c>
      <c r="D1808" s="3" t="str">
        <f>VLOOKUP(B1808,[1]LifeList!$E$2:$G$2036,1)</f>
        <v>Madagascar Lark</v>
      </c>
      <c r="E1808" s="3" t="str">
        <f>VLOOKUP(B1808,[1]LifeList!$E$2:$G$2036,2)</f>
        <v>Moinelette malgache</v>
      </c>
      <c r="F1808" s="3" t="str">
        <f>VLOOKUP(B1808,[1]LifeList!$E$2:$G$2036,3)</f>
        <v>Eremopterix hova</v>
      </c>
      <c r="G1808" s="3" t="str">
        <f>VLOOKUP(B1808,[1]LifeList!$E$2:$I$2036,4)</f>
        <v>Passeriformes</v>
      </c>
      <c r="H1808" s="3" t="str">
        <f>VLOOKUP(B1808,[1]LifeList!$E$2:$I$2036,5)</f>
        <v>Alaudidae (Larks)</v>
      </c>
    </row>
    <row r="1809" spans="1:8" x14ac:dyDescent="0.15">
      <c r="A1809" s="3" t="s">
        <v>1718</v>
      </c>
      <c r="B1809" s="3" t="s">
        <v>4557</v>
      </c>
      <c r="C1809" s="3">
        <v>22407</v>
      </c>
      <c r="D1809" s="3" t="str">
        <f>VLOOKUP(B1809,[1]LifeList!$E$2:$G$2036,1)</f>
        <v>Madagascar Lark</v>
      </c>
      <c r="E1809" s="3" t="str">
        <f>VLOOKUP(B1809,[1]LifeList!$E$2:$G$2036,2)</f>
        <v>Moinelette malgache</v>
      </c>
      <c r="F1809" s="3" t="str">
        <f>VLOOKUP(B1809,[1]LifeList!$E$2:$G$2036,3)</f>
        <v>Eremopterix hova</v>
      </c>
      <c r="G1809" s="3" t="str">
        <f>VLOOKUP(B1809,[1]LifeList!$E$2:$I$2036,4)</f>
        <v>Passeriformes</v>
      </c>
      <c r="H1809" s="3" t="str">
        <f>VLOOKUP(B1809,[1]LifeList!$E$2:$I$2036,5)</f>
        <v>Alaudidae (Larks)</v>
      </c>
    </row>
    <row r="1810" spans="1:8" x14ac:dyDescent="0.15">
      <c r="A1810" s="3" t="s">
        <v>1719</v>
      </c>
      <c r="B1810" s="3" t="s">
        <v>4558</v>
      </c>
      <c r="C1810" s="3">
        <v>29008</v>
      </c>
      <c r="D1810" s="3" t="str">
        <f>VLOOKUP(B1810,[1]LifeList!$E$2:$G$2036,1)</f>
        <v>Madagascar Magpie-Robin</v>
      </c>
      <c r="E1810" s="3" t="str">
        <f>VLOOKUP(B1810,[1]LifeList!$E$2:$G$2036,2)</f>
        <v>Shama de Madagascar</v>
      </c>
      <c r="F1810" s="3" t="str">
        <f>VLOOKUP(B1810,[1]LifeList!$E$2:$G$2036,3)</f>
        <v>Copsychus albospecularis</v>
      </c>
      <c r="G1810" s="3" t="str">
        <f>VLOOKUP(B1810,[1]LifeList!$E$2:$I$2036,4)</f>
        <v>Passeriformes</v>
      </c>
      <c r="H1810" s="3" t="str">
        <f>VLOOKUP(B1810,[1]LifeList!$E$2:$I$2036,5)</f>
        <v>Muscicapidae (Old World Flycatchers)</v>
      </c>
    </row>
    <row r="1811" spans="1:8" x14ac:dyDescent="0.15">
      <c r="A1811" s="3" t="s">
        <v>1720</v>
      </c>
      <c r="B1811" s="3" t="s">
        <v>4558</v>
      </c>
      <c r="C1811" s="3">
        <v>29008</v>
      </c>
      <c r="D1811" s="3" t="str">
        <f>VLOOKUP(B1811,[1]LifeList!$E$2:$G$2036,1)</f>
        <v>Madagascar Magpie-Robin</v>
      </c>
      <c r="E1811" s="3" t="str">
        <f>VLOOKUP(B1811,[1]LifeList!$E$2:$G$2036,2)</f>
        <v>Shama de Madagascar</v>
      </c>
      <c r="F1811" s="3" t="str">
        <f>VLOOKUP(B1811,[1]LifeList!$E$2:$G$2036,3)</f>
        <v>Copsychus albospecularis</v>
      </c>
      <c r="G1811" s="3" t="str">
        <f>VLOOKUP(B1811,[1]LifeList!$E$2:$I$2036,4)</f>
        <v>Passeriformes</v>
      </c>
      <c r="H1811" s="3" t="str">
        <f>VLOOKUP(B1811,[1]LifeList!$E$2:$I$2036,5)</f>
        <v>Muscicapidae (Old World Flycatchers)</v>
      </c>
    </row>
    <row r="1812" spans="1:8" x14ac:dyDescent="0.15">
      <c r="A1812" s="3" t="s">
        <v>1721</v>
      </c>
      <c r="B1812" s="3" t="s">
        <v>4558</v>
      </c>
      <c r="C1812" s="3">
        <v>29008</v>
      </c>
      <c r="D1812" s="3" t="str">
        <f>VLOOKUP(B1812,[1]LifeList!$E$2:$G$2036,1)</f>
        <v>Madagascar Magpie-Robin</v>
      </c>
      <c r="E1812" s="3" t="str">
        <f>VLOOKUP(B1812,[1]LifeList!$E$2:$G$2036,2)</f>
        <v>Shama de Madagascar</v>
      </c>
      <c r="F1812" s="3" t="str">
        <f>VLOOKUP(B1812,[1]LifeList!$E$2:$G$2036,3)</f>
        <v>Copsychus albospecularis</v>
      </c>
      <c r="G1812" s="3" t="str">
        <f>VLOOKUP(B1812,[1]LifeList!$E$2:$I$2036,4)</f>
        <v>Passeriformes</v>
      </c>
      <c r="H1812" s="3" t="str">
        <f>VLOOKUP(B1812,[1]LifeList!$E$2:$I$2036,5)</f>
        <v>Muscicapidae (Old World Flycatchers)</v>
      </c>
    </row>
    <row r="1813" spans="1:8" x14ac:dyDescent="0.15">
      <c r="A1813" s="3" t="s">
        <v>1722</v>
      </c>
      <c r="B1813" s="3" t="s">
        <v>4558</v>
      </c>
      <c r="C1813" s="3">
        <v>29008</v>
      </c>
      <c r="D1813" s="3" t="str">
        <f>VLOOKUP(B1813,[1]LifeList!$E$2:$G$2036,1)</f>
        <v>Madagascar Magpie-Robin</v>
      </c>
      <c r="E1813" s="3" t="str">
        <f>VLOOKUP(B1813,[1]LifeList!$E$2:$G$2036,2)</f>
        <v>Shama de Madagascar</v>
      </c>
      <c r="F1813" s="3" t="str">
        <f>VLOOKUP(B1813,[1]LifeList!$E$2:$G$2036,3)</f>
        <v>Copsychus albospecularis</v>
      </c>
      <c r="G1813" s="3" t="str">
        <f>VLOOKUP(B1813,[1]LifeList!$E$2:$I$2036,4)</f>
        <v>Passeriformes</v>
      </c>
      <c r="H1813" s="3" t="str">
        <f>VLOOKUP(B1813,[1]LifeList!$E$2:$I$2036,5)</f>
        <v>Muscicapidae (Old World Flycatchers)</v>
      </c>
    </row>
    <row r="1814" spans="1:8" x14ac:dyDescent="0.15">
      <c r="A1814" s="3" t="s">
        <v>1723</v>
      </c>
      <c r="B1814" s="3" t="s">
        <v>4558</v>
      </c>
      <c r="C1814" s="3">
        <v>29008</v>
      </c>
      <c r="D1814" s="3" t="str">
        <f>VLOOKUP(B1814,[1]LifeList!$E$2:$G$2036,1)</f>
        <v>Madagascar Magpie-Robin</v>
      </c>
      <c r="E1814" s="3" t="str">
        <f>VLOOKUP(B1814,[1]LifeList!$E$2:$G$2036,2)</f>
        <v>Shama de Madagascar</v>
      </c>
      <c r="F1814" s="3" t="str">
        <f>VLOOKUP(B1814,[1]LifeList!$E$2:$G$2036,3)</f>
        <v>Copsychus albospecularis</v>
      </c>
      <c r="G1814" s="3" t="str">
        <f>VLOOKUP(B1814,[1]LifeList!$E$2:$I$2036,4)</f>
        <v>Passeriformes</v>
      </c>
      <c r="H1814" s="3" t="str">
        <f>VLOOKUP(B1814,[1]LifeList!$E$2:$I$2036,5)</f>
        <v>Muscicapidae (Old World Flycatchers)</v>
      </c>
    </row>
    <row r="1815" spans="1:8" x14ac:dyDescent="0.15">
      <c r="A1815" s="3" t="s">
        <v>1724</v>
      </c>
      <c r="B1815" s="3" t="s">
        <v>4559</v>
      </c>
      <c r="C1815" s="3">
        <v>24045</v>
      </c>
      <c r="D1815" s="3" t="str">
        <f>VLOOKUP(B1815,[1]LifeList!$E$2:$G$2036,1)</f>
        <v>Madagascar Martin</v>
      </c>
      <c r="E1815" s="3" t="str">
        <f>VLOOKUP(B1815,[1]LifeList!$E$2:$G$2036,2)</f>
        <v>Hirondelle de Madagascar</v>
      </c>
      <c r="F1815" s="3" t="str">
        <f>VLOOKUP(B1815,[1]LifeList!$E$2:$G$2036,3)</f>
        <v>Riparia cowani</v>
      </c>
      <c r="G1815" s="3" t="str">
        <f>VLOOKUP(B1815,[1]LifeList!$E$2:$I$2036,4)</f>
        <v>Passeriformes</v>
      </c>
      <c r="H1815" s="3" t="str">
        <f>VLOOKUP(B1815,[1]LifeList!$E$2:$I$2036,5)</f>
        <v>Hirundinidae (Swallows)</v>
      </c>
    </row>
    <row r="1816" spans="1:8" x14ac:dyDescent="0.15">
      <c r="A1816" s="3" t="s">
        <v>1725</v>
      </c>
      <c r="B1816" s="3" t="s">
        <v>4560</v>
      </c>
      <c r="C1816" s="3">
        <v>3698</v>
      </c>
      <c r="D1816" s="3" t="str">
        <f>VLOOKUP(B1816,[1]LifeList!$E$2:$G$2036,1)</f>
        <v>Madagascar Nightjar</v>
      </c>
      <c r="E1816" s="3" t="str">
        <f>VLOOKUP(B1816,[1]LifeList!$E$2:$G$2036,2)</f>
        <v>Engoulevent malgache</v>
      </c>
      <c r="F1816" s="3" t="str">
        <f>VLOOKUP(B1816,[1]LifeList!$E$2:$G$2036,3)</f>
        <v>Caprimulgus madagascariensis</v>
      </c>
      <c r="G1816" s="3" t="str">
        <f>VLOOKUP(B1816,[1]LifeList!$E$2:$I$2036,4)</f>
        <v>Caprimulgiformes</v>
      </c>
      <c r="H1816" s="3" t="str">
        <f>VLOOKUP(B1816,[1]LifeList!$E$2:$I$2036,5)</f>
        <v>Caprimulgidae (Nightjars and Allies)</v>
      </c>
    </row>
    <row r="1817" spans="1:8" x14ac:dyDescent="0.15">
      <c r="A1817" s="3" t="s">
        <v>1726</v>
      </c>
      <c r="B1817" s="3" t="s">
        <v>4561</v>
      </c>
      <c r="C1817" s="3">
        <v>9263</v>
      </c>
      <c r="D1817" s="3" t="str">
        <f>VLOOKUP(B1817,[1]LifeList!$E$2:$G$2036,1)</f>
        <v>Madagascar Owl</v>
      </c>
      <c r="E1817" s="3" t="str">
        <f>VLOOKUP(B1817,[1]LifeList!$E$2:$G$2036,2)</f>
        <v>Hibou malgache</v>
      </c>
      <c r="F1817" s="3" t="str">
        <f>VLOOKUP(B1817,[1]LifeList!$E$2:$G$2036,3)</f>
        <v>Asio madagascariensis</v>
      </c>
      <c r="G1817" s="3" t="str">
        <f>VLOOKUP(B1817,[1]LifeList!$E$2:$I$2036,4)</f>
        <v>Strigiformes</v>
      </c>
      <c r="H1817" s="3" t="str">
        <f>VLOOKUP(B1817,[1]LifeList!$E$2:$I$2036,5)</f>
        <v>Strigidae (Owls)</v>
      </c>
    </row>
    <row r="1818" spans="1:8" x14ac:dyDescent="0.15">
      <c r="A1818" s="3" t="s">
        <v>1728</v>
      </c>
      <c r="B1818" s="3" t="s">
        <v>4562</v>
      </c>
      <c r="C1818" s="3">
        <v>6346</v>
      </c>
      <c r="D1818" s="3" t="str">
        <f>VLOOKUP(B1818,[1]LifeList!$E$2:$G$2036,1)</f>
        <v>Madagascar Pratincole</v>
      </c>
      <c r="E1818" s="3" t="str">
        <f>VLOOKUP(B1818,[1]LifeList!$E$2:$G$2036,2)</f>
        <v>Glaréole malgache</v>
      </c>
      <c r="F1818" s="3" t="str">
        <f>VLOOKUP(B1818,[1]LifeList!$E$2:$G$2036,3)</f>
        <v>Glareola ocularis</v>
      </c>
      <c r="G1818" s="3" t="str">
        <f>VLOOKUP(B1818,[1]LifeList!$E$2:$I$2036,4)</f>
        <v>Charadriiformes</v>
      </c>
      <c r="H1818" s="3" t="str">
        <f>VLOOKUP(B1818,[1]LifeList!$E$2:$I$2036,5)</f>
        <v>Glareolidae (Pratincoles and Coursers)</v>
      </c>
    </row>
    <row r="1819" spans="1:8" x14ac:dyDescent="0.15">
      <c r="A1819" s="3" t="s">
        <v>1729</v>
      </c>
      <c r="B1819" s="3" t="s">
        <v>4562</v>
      </c>
      <c r="C1819" s="3">
        <v>6346</v>
      </c>
      <c r="D1819" s="3" t="str">
        <f>VLOOKUP(B1819,[1]LifeList!$E$2:$G$2036,1)</f>
        <v>Madagascar Pratincole</v>
      </c>
      <c r="E1819" s="3" t="str">
        <f>VLOOKUP(B1819,[1]LifeList!$E$2:$G$2036,2)</f>
        <v>Glaréole malgache</v>
      </c>
      <c r="F1819" s="3" t="str">
        <f>VLOOKUP(B1819,[1]LifeList!$E$2:$G$2036,3)</f>
        <v>Glareola ocularis</v>
      </c>
      <c r="G1819" s="3" t="str">
        <f>VLOOKUP(B1819,[1]LifeList!$E$2:$I$2036,4)</f>
        <v>Charadriiformes</v>
      </c>
      <c r="H1819" s="3" t="str">
        <f>VLOOKUP(B1819,[1]LifeList!$E$2:$I$2036,5)</f>
        <v>Glareolidae (Pratincoles and Coursers)</v>
      </c>
    </row>
    <row r="1820" spans="1:8" x14ac:dyDescent="0.15">
      <c r="A1820" s="3" t="s">
        <v>1727</v>
      </c>
      <c r="B1820" s="3" t="s">
        <v>4562</v>
      </c>
      <c r="C1820" s="3">
        <v>6346</v>
      </c>
      <c r="D1820" s="3" t="str">
        <f>VLOOKUP(B1820,[1]LifeList!$E$2:$G$2036,1)</f>
        <v>Madagascar Pratincole</v>
      </c>
      <c r="E1820" s="3" t="str">
        <f>VLOOKUP(B1820,[1]LifeList!$E$2:$G$2036,2)</f>
        <v>Glaréole malgache</v>
      </c>
      <c r="F1820" s="3" t="str">
        <f>VLOOKUP(B1820,[1]LifeList!$E$2:$G$2036,3)</f>
        <v>Glareola ocularis</v>
      </c>
      <c r="G1820" s="3" t="str">
        <f>VLOOKUP(B1820,[1]LifeList!$E$2:$I$2036,4)</f>
        <v>Charadriiformes</v>
      </c>
      <c r="H1820" s="3" t="str">
        <f>VLOOKUP(B1820,[1]LifeList!$E$2:$I$2036,5)</f>
        <v>Glareolidae (Pratincoles and Coursers)</v>
      </c>
    </row>
    <row r="1821" spans="1:8" x14ac:dyDescent="0.15">
      <c r="A1821" s="3" t="s">
        <v>1730</v>
      </c>
      <c r="B1821" s="3" t="s">
        <v>3776</v>
      </c>
      <c r="C1821" s="3">
        <v>10011</v>
      </c>
      <c r="D1821" s="3" t="str">
        <f>VLOOKUP(B1821,[1]LifeList!$E$2:$G$2036,1)</f>
        <v>Madagascar Pygmy Kingfisher</v>
      </c>
      <c r="E1821" s="3" t="str">
        <f>VLOOKUP(B1821,[1]LifeList!$E$2:$G$2036,2)</f>
        <v>Martin-pêcheur malgache</v>
      </c>
      <c r="F1821" s="3" t="str">
        <f>VLOOKUP(B1821,[1]LifeList!$E$2:$G$2036,3)</f>
        <v>Corythornis madagascariensis</v>
      </c>
      <c r="G1821" s="3" t="str">
        <f>VLOOKUP(B1821,[1]LifeList!$E$2:$I$2036,4)</f>
        <v>Coraciiformes</v>
      </c>
      <c r="H1821" s="3" t="str">
        <f>VLOOKUP(B1821,[1]LifeList!$E$2:$I$2036,5)</f>
        <v>Alcedinidae (Kingfishers)</v>
      </c>
    </row>
    <row r="1822" spans="1:8" x14ac:dyDescent="0.15">
      <c r="A1822" s="3" t="s">
        <v>1731</v>
      </c>
      <c r="B1822" s="3" t="s">
        <v>3776</v>
      </c>
      <c r="C1822" s="3">
        <v>10011</v>
      </c>
      <c r="D1822" s="3" t="str">
        <f>VLOOKUP(B1822,[1]LifeList!$E$2:$G$2036,1)</f>
        <v>Madagascar Pygmy Kingfisher</v>
      </c>
      <c r="E1822" s="3" t="str">
        <f>VLOOKUP(B1822,[1]LifeList!$E$2:$G$2036,2)</f>
        <v>Martin-pêcheur malgache</v>
      </c>
      <c r="F1822" s="3" t="str">
        <f>VLOOKUP(B1822,[1]LifeList!$E$2:$G$2036,3)</f>
        <v>Corythornis madagascariensis</v>
      </c>
      <c r="G1822" s="3" t="str">
        <f>VLOOKUP(B1822,[1]LifeList!$E$2:$I$2036,4)</f>
        <v>Coraciiformes</v>
      </c>
      <c r="H1822" s="3" t="str">
        <f>VLOOKUP(B1822,[1]LifeList!$E$2:$I$2036,5)</f>
        <v>Alcedinidae (Kingfishers)</v>
      </c>
    </row>
    <row r="1823" spans="1:8" x14ac:dyDescent="0.15">
      <c r="A1823" s="3" t="s">
        <v>1732</v>
      </c>
      <c r="B1823" s="3" t="s">
        <v>4563</v>
      </c>
      <c r="C1823" s="3">
        <v>8791</v>
      </c>
      <c r="D1823" s="3" t="str">
        <f>VLOOKUP(B1823,[1]LifeList!$E$2:$G$2036,1)</f>
        <v>Madagascar Scops-Owl</v>
      </c>
      <c r="E1823" s="3" t="str">
        <f>VLOOKUP(B1823,[1]LifeList!$E$2:$G$2036,2)</f>
        <v>Petit-duc malgache</v>
      </c>
      <c r="F1823" s="3" t="str">
        <f>VLOOKUP(B1823,[1]LifeList!$E$2:$G$2036,3)</f>
        <v>Otus rutilus</v>
      </c>
      <c r="G1823" s="3" t="str">
        <f>VLOOKUP(B1823,[1]LifeList!$E$2:$I$2036,4)</f>
        <v>Strigiformes</v>
      </c>
      <c r="H1823" s="3" t="str">
        <f>VLOOKUP(B1823,[1]LifeList!$E$2:$I$2036,5)</f>
        <v>Strigidae (Owls)</v>
      </c>
    </row>
    <row r="1824" spans="1:8" x14ac:dyDescent="0.15">
      <c r="A1824" s="3" t="s">
        <v>1733</v>
      </c>
      <c r="B1824" s="3" t="s">
        <v>4564</v>
      </c>
      <c r="C1824" s="3">
        <v>3862</v>
      </c>
      <c r="D1824" s="3" t="str">
        <f>VLOOKUP(B1824,[1]LifeList!$E$2:$G$2036,1)</f>
        <v>Madagascar Spinetail</v>
      </c>
      <c r="E1824" s="3" t="str">
        <f>VLOOKUP(B1824,[1]LifeList!$E$2:$G$2036,2)</f>
        <v>Martinet de Grandidier</v>
      </c>
      <c r="F1824" s="3" t="str">
        <f>VLOOKUP(B1824,[1]LifeList!$E$2:$G$2036,3)</f>
        <v>Zoonavena grandidieri</v>
      </c>
      <c r="G1824" s="3" t="str">
        <f>VLOOKUP(B1824,[1]LifeList!$E$2:$I$2036,4)</f>
        <v>Apodiformes</v>
      </c>
      <c r="H1824" s="3" t="str">
        <f>VLOOKUP(B1824,[1]LifeList!$E$2:$I$2036,5)</f>
        <v>Apodidae (Swifts)</v>
      </c>
    </row>
    <row r="1825" spans="1:8" x14ac:dyDescent="0.15">
      <c r="A1825" s="3" t="s">
        <v>1734</v>
      </c>
      <c r="B1825" s="3" t="s">
        <v>4565</v>
      </c>
      <c r="C1825" s="3">
        <v>27899</v>
      </c>
      <c r="D1825" s="3" t="str">
        <f>VLOOKUP(B1825,[1]LifeList!$E$2:$G$2036,1)</f>
        <v>Madagascar Starling</v>
      </c>
      <c r="E1825" s="3" t="str">
        <f>VLOOKUP(B1825,[1]LifeList!$E$2:$G$2036,2)</f>
        <v>Étourneau malgache</v>
      </c>
      <c r="F1825" s="3" t="str">
        <f>VLOOKUP(B1825,[1]LifeList!$E$2:$G$2036,3)</f>
        <v>Hartlaubius auratus</v>
      </c>
      <c r="G1825" s="3" t="str">
        <f>VLOOKUP(B1825,[1]LifeList!$E$2:$I$2036,4)</f>
        <v>Passeriformes</v>
      </c>
      <c r="H1825" s="3" t="str">
        <f>VLOOKUP(B1825,[1]LifeList!$E$2:$I$2036,5)</f>
        <v>Sturnidae (Starlings)</v>
      </c>
    </row>
    <row r="1826" spans="1:8" x14ac:dyDescent="0.15">
      <c r="A1826" s="3" t="s">
        <v>1735</v>
      </c>
      <c r="B1826" s="3" t="s">
        <v>4565</v>
      </c>
      <c r="C1826" s="3">
        <v>27899</v>
      </c>
      <c r="D1826" s="3" t="str">
        <f>VLOOKUP(B1826,[1]LifeList!$E$2:$G$2036,1)</f>
        <v>Madagascar Starling</v>
      </c>
      <c r="E1826" s="3" t="str">
        <f>VLOOKUP(B1826,[1]LifeList!$E$2:$G$2036,2)</f>
        <v>Étourneau malgache</v>
      </c>
      <c r="F1826" s="3" t="str">
        <f>VLOOKUP(B1826,[1]LifeList!$E$2:$G$2036,3)</f>
        <v>Hartlaubius auratus</v>
      </c>
      <c r="G1826" s="3" t="str">
        <f>VLOOKUP(B1826,[1]LifeList!$E$2:$I$2036,4)</f>
        <v>Passeriformes</v>
      </c>
      <c r="H1826" s="3" t="str">
        <f>VLOOKUP(B1826,[1]LifeList!$E$2:$I$2036,5)</f>
        <v>Sturnidae (Starlings)</v>
      </c>
    </row>
    <row r="1827" spans="1:8" x14ac:dyDescent="0.15">
      <c r="A1827" s="3" t="s">
        <v>1736</v>
      </c>
      <c r="B1827" s="3" t="s">
        <v>4565</v>
      </c>
      <c r="C1827" s="3">
        <v>27899</v>
      </c>
      <c r="D1827" s="3" t="str">
        <f>VLOOKUP(B1827,[1]LifeList!$E$2:$G$2036,1)</f>
        <v>Madagascar Starling</v>
      </c>
      <c r="E1827" s="3" t="str">
        <f>VLOOKUP(B1827,[1]LifeList!$E$2:$G$2036,2)</f>
        <v>Étourneau malgache</v>
      </c>
      <c r="F1827" s="3" t="str">
        <f>VLOOKUP(B1827,[1]LifeList!$E$2:$G$2036,3)</f>
        <v>Hartlaubius auratus</v>
      </c>
      <c r="G1827" s="3" t="str">
        <f>VLOOKUP(B1827,[1]LifeList!$E$2:$I$2036,4)</f>
        <v>Passeriformes</v>
      </c>
      <c r="H1827" s="3" t="str">
        <f>VLOOKUP(B1827,[1]LifeList!$E$2:$I$2036,5)</f>
        <v>Sturnidae (Starlings)</v>
      </c>
    </row>
    <row r="1828" spans="1:8" x14ac:dyDescent="0.15">
      <c r="A1828" s="3" t="s">
        <v>1737</v>
      </c>
      <c r="B1828" s="3" t="s">
        <v>4566</v>
      </c>
      <c r="C1828" s="3">
        <v>23705</v>
      </c>
      <c r="D1828" s="3" t="str">
        <f>VLOOKUP(B1828,[1]LifeList!$E$2:$G$2036,1)</f>
        <v>Madagascar Swamp Warbler</v>
      </c>
      <c r="E1828" s="3" t="str">
        <f>VLOOKUP(B1828,[1]LifeList!$E$2:$G$2036,2)</f>
        <v>Rousserolle de Newton</v>
      </c>
      <c r="F1828" s="3" t="str">
        <f>VLOOKUP(B1828,[1]LifeList!$E$2:$G$2036,3)</f>
        <v>Acrocephalus newtoni</v>
      </c>
      <c r="G1828" s="3" t="str">
        <f>VLOOKUP(B1828,[1]LifeList!$E$2:$I$2036,4)</f>
        <v>Passeriformes</v>
      </c>
      <c r="H1828" s="3" t="str">
        <f>VLOOKUP(B1828,[1]LifeList!$E$2:$I$2036,5)</f>
        <v>Acrocephalidae (Reed Warblers and Allies)</v>
      </c>
    </row>
    <row r="1829" spans="1:8" x14ac:dyDescent="0.15">
      <c r="A1829" s="3" t="s">
        <v>1738</v>
      </c>
      <c r="B1829" s="3" t="s">
        <v>4567</v>
      </c>
      <c r="C1829" s="3">
        <v>31677</v>
      </c>
      <c r="D1829" s="3" t="str">
        <f>VLOOKUP(B1829,[1]LifeList!$E$2:$G$2036,1)</f>
        <v>Madagascar Wagtail</v>
      </c>
      <c r="E1829" s="3" t="str">
        <f>VLOOKUP(B1829,[1]LifeList!$E$2:$G$2036,2)</f>
        <v>Bergeronnette malgache</v>
      </c>
      <c r="F1829" s="3" t="str">
        <f>VLOOKUP(B1829,[1]LifeList!$E$2:$G$2036,3)</f>
        <v>Motacilla flaviventris</v>
      </c>
      <c r="G1829" s="3" t="str">
        <f>VLOOKUP(B1829,[1]LifeList!$E$2:$I$2036,4)</f>
        <v>Passeriformes</v>
      </c>
      <c r="H1829" s="3" t="str">
        <f>VLOOKUP(B1829,[1]LifeList!$E$2:$I$2036,5)</f>
        <v>Motacillidae (Wagtails and Pipits)</v>
      </c>
    </row>
    <row r="1830" spans="1:8" x14ac:dyDescent="0.15">
      <c r="A1830" s="3" t="s">
        <v>1739</v>
      </c>
      <c r="B1830" s="3" t="s">
        <v>4568</v>
      </c>
      <c r="C1830" s="3">
        <v>4794</v>
      </c>
      <c r="D1830" s="3" t="str">
        <f>VLOOKUP(B1830,[1]LifeList!$E$2:$G$2036,1)</f>
        <v>Magenta-throated Woodstar</v>
      </c>
      <c r="E1830" s="3" t="str">
        <f>VLOOKUP(B1830,[1]LifeList!$E$2:$G$2036,2)</f>
        <v>Colibri magenta</v>
      </c>
      <c r="F1830" s="3" t="str">
        <f>VLOOKUP(B1830,[1]LifeList!$E$2:$G$2036,3)</f>
        <v>Philodice bryantae</v>
      </c>
      <c r="G1830" s="3" t="str">
        <f>VLOOKUP(B1830,[1]LifeList!$E$2:$I$2036,4)</f>
        <v>Apodiformes</v>
      </c>
      <c r="H1830" s="3" t="str">
        <f>VLOOKUP(B1830,[1]LifeList!$E$2:$I$2036,5)</f>
        <v>Trochilidae (Hummingbirds)</v>
      </c>
    </row>
    <row r="1831" spans="1:8" x14ac:dyDescent="0.15">
      <c r="A1831" s="3" t="s">
        <v>1740</v>
      </c>
      <c r="B1831" s="3" t="s">
        <v>4568</v>
      </c>
      <c r="C1831" s="3">
        <v>4794</v>
      </c>
      <c r="D1831" s="3" t="str">
        <f>VLOOKUP(B1831,[1]LifeList!$E$2:$G$2036,1)</f>
        <v>Magenta-throated Woodstar</v>
      </c>
      <c r="E1831" s="3" t="str">
        <f>VLOOKUP(B1831,[1]LifeList!$E$2:$G$2036,2)</f>
        <v>Colibri magenta</v>
      </c>
      <c r="F1831" s="3" t="str">
        <f>VLOOKUP(B1831,[1]LifeList!$E$2:$G$2036,3)</f>
        <v>Philodice bryantae</v>
      </c>
      <c r="G1831" s="3" t="str">
        <f>VLOOKUP(B1831,[1]LifeList!$E$2:$I$2036,4)</f>
        <v>Apodiformes</v>
      </c>
      <c r="H1831" s="3" t="str">
        <f>VLOOKUP(B1831,[1]LifeList!$E$2:$I$2036,5)</f>
        <v>Trochilidae (Hummingbirds)</v>
      </c>
    </row>
    <row r="1832" spans="1:8" x14ac:dyDescent="0.15">
      <c r="A1832" s="3" t="s">
        <v>1741</v>
      </c>
      <c r="B1832" s="3" t="s">
        <v>4569</v>
      </c>
      <c r="C1832" s="3">
        <v>7315</v>
      </c>
      <c r="D1832" s="3" t="str">
        <f>VLOOKUP(B1832,[1]LifeList!$E$2:$G$2036,1)</f>
        <v>Magnificent Frigatebird</v>
      </c>
      <c r="E1832" s="3" t="str">
        <f>VLOOKUP(B1832,[1]LifeList!$E$2:$G$2036,2)</f>
        <v>Frégate superbe</v>
      </c>
      <c r="F1832" s="3" t="str">
        <f>VLOOKUP(B1832,[1]LifeList!$E$2:$G$2036,3)</f>
        <v>Fregata magnificens</v>
      </c>
      <c r="G1832" s="3" t="str">
        <f>VLOOKUP(B1832,[1]LifeList!$E$2:$I$2036,4)</f>
        <v>Suliformes</v>
      </c>
      <c r="H1832" s="3" t="str">
        <f>VLOOKUP(B1832,[1]LifeList!$E$2:$I$2036,5)</f>
        <v>Fregatidae (Frigatebirds)</v>
      </c>
    </row>
    <row r="1833" spans="1:8" x14ac:dyDescent="0.15">
      <c r="A1833" s="3" t="s">
        <v>1742</v>
      </c>
      <c r="B1833" s="3" t="s">
        <v>4569</v>
      </c>
      <c r="C1833" s="3">
        <v>7315</v>
      </c>
      <c r="D1833" s="3" t="str">
        <f>VLOOKUP(B1833,[1]LifeList!$E$2:$G$2036,1)</f>
        <v>Magnificent Frigatebird</v>
      </c>
      <c r="E1833" s="3" t="str">
        <f>VLOOKUP(B1833,[1]LifeList!$E$2:$G$2036,2)</f>
        <v>Frégate superbe</v>
      </c>
      <c r="F1833" s="3" t="str">
        <f>VLOOKUP(B1833,[1]LifeList!$E$2:$G$2036,3)</f>
        <v>Fregata magnificens</v>
      </c>
      <c r="G1833" s="3" t="str">
        <f>VLOOKUP(B1833,[1]LifeList!$E$2:$I$2036,4)</f>
        <v>Suliformes</v>
      </c>
      <c r="H1833" s="3" t="str">
        <f>VLOOKUP(B1833,[1]LifeList!$E$2:$I$2036,5)</f>
        <v>Fregatidae (Frigatebirds)</v>
      </c>
    </row>
    <row r="1834" spans="1:8" x14ac:dyDescent="0.15">
      <c r="A1834" s="3" t="s">
        <v>1743</v>
      </c>
      <c r="B1834" s="3" t="s">
        <v>4569</v>
      </c>
      <c r="C1834" s="3">
        <v>7315</v>
      </c>
      <c r="D1834" s="3" t="str">
        <f>VLOOKUP(B1834,[1]LifeList!$E$2:$G$2036,1)</f>
        <v>Magnificent Frigatebird</v>
      </c>
      <c r="E1834" s="3" t="str">
        <f>VLOOKUP(B1834,[1]LifeList!$E$2:$G$2036,2)</f>
        <v>Frégate superbe</v>
      </c>
      <c r="F1834" s="3" t="str">
        <f>VLOOKUP(B1834,[1]LifeList!$E$2:$G$2036,3)</f>
        <v>Fregata magnificens</v>
      </c>
      <c r="G1834" s="3" t="str">
        <f>VLOOKUP(B1834,[1]LifeList!$E$2:$I$2036,4)</f>
        <v>Suliformes</v>
      </c>
      <c r="H1834" s="3" t="str">
        <f>VLOOKUP(B1834,[1]LifeList!$E$2:$I$2036,5)</f>
        <v>Fregatidae (Frigatebirds)</v>
      </c>
    </row>
    <row r="1835" spans="1:8" x14ac:dyDescent="0.15">
      <c r="A1835" s="3" t="s">
        <v>1744</v>
      </c>
      <c r="B1835" s="3" t="s">
        <v>4569</v>
      </c>
      <c r="C1835" s="3">
        <v>7315</v>
      </c>
      <c r="D1835" s="3" t="str">
        <f>VLOOKUP(B1835,[1]LifeList!$E$2:$G$2036,1)</f>
        <v>Magnificent Frigatebird</v>
      </c>
      <c r="E1835" s="3" t="str">
        <f>VLOOKUP(B1835,[1]LifeList!$E$2:$G$2036,2)</f>
        <v>Frégate superbe</v>
      </c>
      <c r="F1835" s="3" t="str">
        <f>VLOOKUP(B1835,[1]LifeList!$E$2:$G$2036,3)</f>
        <v>Fregata magnificens</v>
      </c>
      <c r="G1835" s="3" t="str">
        <f>VLOOKUP(B1835,[1]LifeList!$E$2:$I$2036,4)</f>
        <v>Suliformes</v>
      </c>
      <c r="H1835" s="3" t="str">
        <f>VLOOKUP(B1835,[1]LifeList!$E$2:$I$2036,5)</f>
        <v>Fregatidae (Frigatebirds)</v>
      </c>
    </row>
    <row r="1836" spans="1:8" x14ac:dyDescent="0.15">
      <c r="A1836" s="3" t="s">
        <v>1745</v>
      </c>
      <c r="B1836" s="3" t="s">
        <v>4569</v>
      </c>
      <c r="C1836" s="3">
        <v>7315</v>
      </c>
      <c r="D1836" s="3" t="str">
        <f>VLOOKUP(B1836,[1]LifeList!$E$2:$G$2036,1)</f>
        <v>Magnificent Frigatebird</v>
      </c>
      <c r="E1836" s="3" t="str">
        <f>VLOOKUP(B1836,[1]LifeList!$E$2:$G$2036,2)</f>
        <v>Frégate superbe</v>
      </c>
      <c r="F1836" s="3" t="str">
        <f>VLOOKUP(B1836,[1]LifeList!$E$2:$G$2036,3)</f>
        <v>Fregata magnificens</v>
      </c>
      <c r="G1836" s="3" t="str">
        <f>VLOOKUP(B1836,[1]LifeList!$E$2:$I$2036,4)</f>
        <v>Suliformes</v>
      </c>
      <c r="H1836" s="3" t="str">
        <f>VLOOKUP(B1836,[1]LifeList!$E$2:$I$2036,5)</f>
        <v>Fregatidae (Frigatebirds)</v>
      </c>
    </row>
    <row r="1837" spans="1:8" x14ac:dyDescent="0.15">
      <c r="A1837" s="3" t="s">
        <v>1746</v>
      </c>
      <c r="B1837" s="3" t="s">
        <v>4569</v>
      </c>
      <c r="C1837" s="3">
        <v>7315</v>
      </c>
      <c r="D1837" s="3" t="str">
        <f>VLOOKUP(B1837,[1]LifeList!$E$2:$G$2036,1)</f>
        <v>Magnificent Frigatebird</v>
      </c>
      <c r="E1837" s="3" t="str">
        <f>VLOOKUP(B1837,[1]LifeList!$E$2:$G$2036,2)</f>
        <v>Frégate superbe</v>
      </c>
      <c r="F1837" s="3" t="str">
        <f>VLOOKUP(B1837,[1]LifeList!$E$2:$G$2036,3)</f>
        <v>Fregata magnificens</v>
      </c>
      <c r="G1837" s="3" t="str">
        <f>VLOOKUP(B1837,[1]LifeList!$E$2:$I$2036,4)</f>
        <v>Suliformes</v>
      </c>
      <c r="H1837" s="3" t="str">
        <f>VLOOKUP(B1837,[1]LifeList!$E$2:$I$2036,5)</f>
        <v>Fregatidae (Frigatebirds)</v>
      </c>
    </row>
    <row r="1838" spans="1:8" x14ac:dyDescent="0.15">
      <c r="A1838" s="3" t="s">
        <v>1747</v>
      </c>
      <c r="B1838" s="3" t="s">
        <v>4569</v>
      </c>
      <c r="C1838" s="3">
        <v>7315</v>
      </c>
      <c r="D1838" s="3" t="str">
        <f>VLOOKUP(B1838,[1]LifeList!$E$2:$G$2036,1)</f>
        <v>Magnificent Frigatebird</v>
      </c>
      <c r="E1838" s="3" t="str">
        <f>VLOOKUP(B1838,[1]LifeList!$E$2:$G$2036,2)</f>
        <v>Frégate superbe</v>
      </c>
      <c r="F1838" s="3" t="str">
        <f>VLOOKUP(B1838,[1]LifeList!$E$2:$G$2036,3)</f>
        <v>Fregata magnificens</v>
      </c>
      <c r="G1838" s="3" t="str">
        <f>VLOOKUP(B1838,[1]LifeList!$E$2:$I$2036,4)</f>
        <v>Suliformes</v>
      </c>
      <c r="H1838" s="3" t="str">
        <f>VLOOKUP(B1838,[1]LifeList!$E$2:$I$2036,5)</f>
        <v>Fregatidae (Frigatebirds)</v>
      </c>
    </row>
    <row r="1839" spans="1:8" x14ac:dyDescent="0.15">
      <c r="A1839" s="3" t="s">
        <v>1748</v>
      </c>
      <c r="B1839" s="3" t="s">
        <v>4569</v>
      </c>
      <c r="C1839" s="3">
        <v>7315</v>
      </c>
      <c r="D1839" s="3" t="str">
        <f>VLOOKUP(B1839,[1]LifeList!$E$2:$G$2036,1)</f>
        <v>Magnificent Frigatebird</v>
      </c>
      <c r="E1839" s="3" t="str">
        <f>VLOOKUP(B1839,[1]LifeList!$E$2:$G$2036,2)</f>
        <v>Frégate superbe</v>
      </c>
      <c r="F1839" s="3" t="str">
        <f>VLOOKUP(B1839,[1]LifeList!$E$2:$G$2036,3)</f>
        <v>Fregata magnificens</v>
      </c>
      <c r="G1839" s="3" t="str">
        <f>VLOOKUP(B1839,[1]LifeList!$E$2:$I$2036,4)</f>
        <v>Suliformes</v>
      </c>
      <c r="H1839" s="3" t="str">
        <f>VLOOKUP(B1839,[1]LifeList!$E$2:$I$2036,5)</f>
        <v>Fregatidae (Frigatebirds)</v>
      </c>
    </row>
    <row r="1840" spans="1:8" x14ac:dyDescent="0.15">
      <c r="A1840" s="3" t="s">
        <v>1749</v>
      </c>
      <c r="B1840" s="3" t="s">
        <v>4569</v>
      </c>
      <c r="C1840" s="3">
        <v>7315</v>
      </c>
      <c r="D1840" s="3" t="str">
        <f>VLOOKUP(B1840,[1]LifeList!$E$2:$G$2036,1)</f>
        <v>Magnificent Frigatebird</v>
      </c>
      <c r="E1840" s="3" t="str">
        <f>VLOOKUP(B1840,[1]LifeList!$E$2:$G$2036,2)</f>
        <v>Frégate superbe</v>
      </c>
      <c r="F1840" s="3" t="str">
        <f>VLOOKUP(B1840,[1]LifeList!$E$2:$G$2036,3)</f>
        <v>Fregata magnificens</v>
      </c>
      <c r="G1840" s="3" t="str">
        <f>VLOOKUP(B1840,[1]LifeList!$E$2:$I$2036,4)</f>
        <v>Suliformes</v>
      </c>
      <c r="H1840" s="3" t="str">
        <f>VLOOKUP(B1840,[1]LifeList!$E$2:$I$2036,5)</f>
        <v>Fregatidae (Frigatebirds)</v>
      </c>
    </row>
    <row r="1841" spans="1:8" x14ac:dyDescent="0.15">
      <c r="A1841" s="3" t="s">
        <v>1750</v>
      </c>
      <c r="B1841" s="3" t="s">
        <v>4569</v>
      </c>
      <c r="C1841" s="3">
        <v>7315</v>
      </c>
      <c r="D1841" s="3" t="str">
        <f>VLOOKUP(B1841,[1]LifeList!$E$2:$G$2036,1)</f>
        <v>Magnificent Frigatebird</v>
      </c>
      <c r="E1841" s="3" t="str">
        <f>VLOOKUP(B1841,[1]LifeList!$E$2:$G$2036,2)</f>
        <v>Frégate superbe</v>
      </c>
      <c r="F1841" s="3" t="str">
        <f>VLOOKUP(B1841,[1]LifeList!$E$2:$G$2036,3)</f>
        <v>Fregata magnificens</v>
      </c>
      <c r="G1841" s="3" t="str">
        <f>VLOOKUP(B1841,[1]LifeList!$E$2:$I$2036,4)</f>
        <v>Suliformes</v>
      </c>
      <c r="H1841" s="3" t="str">
        <f>VLOOKUP(B1841,[1]LifeList!$E$2:$I$2036,5)</f>
        <v>Fregatidae (Frigatebirds)</v>
      </c>
    </row>
    <row r="1842" spans="1:8" x14ac:dyDescent="0.15">
      <c r="A1842" s="3" t="s">
        <v>1751</v>
      </c>
      <c r="B1842" s="3" t="s">
        <v>4569</v>
      </c>
      <c r="C1842" s="3">
        <v>7315</v>
      </c>
      <c r="D1842" s="3" t="str">
        <f>VLOOKUP(B1842,[1]LifeList!$E$2:$G$2036,1)</f>
        <v>Magnificent Frigatebird</v>
      </c>
      <c r="E1842" s="3" t="str">
        <f>VLOOKUP(B1842,[1]LifeList!$E$2:$G$2036,2)</f>
        <v>Frégate superbe</v>
      </c>
      <c r="F1842" s="3" t="str">
        <f>VLOOKUP(B1842,[1]LifeList!$E$2:$G$2036,3)</f>
        <v>Fregata magnificens</v>
      </c>
      <c r="G1842" s="3" t="str">
        <f>VLOOKUP(B1842,[1]LifeList!$E$2:$I$2036,4)</f>
        <v>Suliformes</v>
      </c>
      <c r="H1842" s="3" t="str">
        <f>VLOOKUP(B1842,[1]LifeList!$E$2:$I$2036,5)</f>
        <v>Fregatidae (Frigatebirds)</v>
      </c>
    </row>
    <row r="1843" spans="1:8" x14ac:dyDescent="0.15">
      <c r="A1843" s="3" t="s">
        <v>1753</v>
      </c>
      <c r="B1843" s="3" t="s">
        <v>4570</v>
      </c>
      <c r="C1843" s="3">
        <v>34079</v>
      </c>
      <c r="D1843" s="3" t="str">
        <f>VLOOKUP(B1843,[1]LifeList!$E$2:$G$2036,1)</f>
        <v>Magnolia Warbler</v>
      </c>
      <c r="E1843" s="3" t="str">
        <f>VLOOKUP(B1843,[1]LifeList!$E$2:$G$2036,2)</f>
        <v>Paruline à tête cendrée</v>
      </c>
      <c r="F1843" s="3" t="str">
        <f>VLOOKUP(B1843,[1]LifeList!$E$2:$G$2036,3)</f>
        <v>Setophaga magnolia</v>
      </c>
      <c r="G1843" s="3" t="str">
        <f>VLOOKUP(B1843,[1]LifeList!$E$2:$I$2036,4)</f>
        <v>Passeriformes</v>
      </c>
      <c r="H1843" s="3" t="str">
        <f>VLOOKUP(B1843,[1]LifeList!$E$2:$I$2036,5)</f>
        <v>Parulidae (New World Warblers)</v>
      </c>
    </row>
    <row r="1844" spans="1:8" x14ac:dyDescent="0.15">
      <c r="A1844" s="3" t="s">
        <v>1766</v>
      </c>
      <c r="B1844" s="3" t="s">
        <v>4570</v>
      </c>
      <c r="C1844" s="3">
        <v>34079</v>
      </c>
      <c r="D1844" s="3" t="str">
        <f>VLOOKUP(B1844,[1]LifeList!$E$2:$G$2036,1)</f>
        <v>Magnolia Warbler</v>
      </c>
      <c r="E1844" s="3" t="str">
        <f>VLOOKUP(B1844,[1]LifeList!$E$2:$G$2036,2)</f>
        <v>Paruline à tête cendrée</v>
      </c>
      <c r="F1844" s="3" t="str">
        <f>VLOOKUP(B1844,[1]LifeList!$E$2:$G$2036,3)</f>
        <v>Setophaga magnolia</v>
      </c>
      <c r="G1844" s="3" t="str">
        <f>VLOOKUP(B1844,[1]LifeList!$E$2:$I$2036,4)</f>
        <v>Passeriformes</v>
      </c>
      <c r="H1844" s="3" t="str">
        <f>VLOOKUP(B1844,[1]LifeList!$E$2:$I$2036,5)</f>
        <v>Parulidae (New World Warblers)</v>
      </c>
    </row>
    <row r="1845" spans="1:8" x14ac:dyDescent="0.15">
      <c r="A1845" s="3" t="s">
        <v>1767</v>
      </c>
      <c r="B1845" s="3" t="s">
        <v>4570</v>
      </c>
      <c r="C1845" s="3">
        <v>34079</v>
      </c>
      <c r="D1845" s="3" t="str">
        <f>VLOOKUP(B1845,[1]LifeList!$E$2:$G$2036,1)</f>
        <v>Magnolia Warbler</v>
      </c>
      <c r="E1845" s="3" t="str">
        <f>VLOOKUP(B1845,[1]LifeList!$E$2:$G$2036,2)</f>
        <v>Paruline à tête cendrée</v>
      </c>
      <c r="F1845" s="3" t="str">
        <f>VLOOKUP(B1845,[1]LifeList!$E$2:$G$2036,3)</f>
        <v>Setophaga magnolia</v>
      </c>
      <c r="G1845" s="3" t="str">
        <f>VLOOKUP(B1845,[1]LifeList!$E$2:$I$2036,4)</f>
        <v>Passeriformes</v>
      </c>
      <c r="H1845" s="3" t="str">
        <f>VLOOKUP(B1845,[1]LifeList!$E$2:$I$2036,5)</f>
        <v>Parulidae (New World Warblers)</v>
      </c>
    </row>
    <row r="1846" spans="1:8" x14ac:dyDescent="0.15">
      <c r="A1846" s="3" t="s">
        <v>1768</v>
      </c>
      <c r="B1846" s="3" t="s">
        <v>4570</v>
      </c>
      <c r="C1846" s="3">
        <v>34079</v>
      </c>
      <c r="D1846" s="3" t="str">
        <f>VLOOKUP(B1846,[1]LifeList!$E$2:$G$2036,1)</f>
        <v>Magnolia Warbler</v>
      </c>
      <c r="E1846" s="3" t="str">
        <f>VLOOKUP(B1846,[1]LifeList!$E$2:$G$2036,2)</f>
        <v>Paruline à tête cendrée</v>
      </c>
      <c r="F1846" s="3" t="str">
        <f>VLOOKUP(B1846,[1]LifeList!$E$2:$G$2036,3)</f>
        <v>Setophaga magnolia</v>
      </c>
      <c r="G1846" s="3" t="str">
        <f>VLOOKUP(B1846,[1]LifeList!$E$2:$I$2036,4)</f>
        <v>Passeriformes</v>
      </c>
      <c r="H1846" s="3" t="str">
        <f>VLOOKUP(B1846,[1]LifeList!$E$2:$I$2036,5)</f>
        <v>Parulidae (New World Warblers)</v>
      </c>
    </row>
    <row r="1847" spans="1:8" x14ac:dyDescent="0.15">
      <c r="A1847" s="3" t="s">
        <v>1754</v>
      </c>
      <c r="B1847" s="3" t="s">
        <v>4570</v>
      </c>
      <c r="C1847" s="3">
        <v>34079</v>
      </c>
      <c r="D1847" s="3" t="str">
        <f>VLOOKUP(B1847,[1]LifeList!$E$2:$G$2036,1)</f>
        <v>Magnolia Warbler</v>
      </c>
      <c r="E1847" s="3" t="str">
        <f>VLOOKUP(B1847,[1]LifeList!$E$2:$G$2036,2)</f>
        <v>Paruline à tête cendrée</v>
      </c>
      <c r="F1847" s="3" t="str">
        <f>VLOOKUP(B1847,[1]LifeList!$E$2:$G$2036,3)</f>
        <v>Setophaga magnolia</v>
      </c>
      <c r="G1847" s="3" t="str">
        <f>VLOOKUP(B1847,[1]LifeList!$E$2:$I$2036,4)</f>
        <v>Passeriformes</v>
      </c>
      <c r="H1847" s="3" t="str">
        <f>VLOOKUP(B1847,[1]LifeList!$E$2:$I$2036,5)</f>
        <v>Parulidae (New World Warblers)</v>
      </c>
    </row>
    <row r="1848" spans="1:8" x14ac:dyDescent="0.15">
      <c r="A1848" s="3" t="s">
        <v>1755</v>
      </c>
      <c r="B1848" s="3" t="s">
        <v>4570</v>
      </c>
      <c r="C1848" s="3">
        <v>34079</v>
      </c>
      <c r="D1848" s="3" t="str">
        <f>VLOOKUP(B1848,[1]LifeList!$E$2:$G$2036,1)</f>
        <v>Magnolia Warbler</v>
      </c>
      <c r="E1848" s="3" t="str">
        <f>VLOOKUP(B1848,[1]LifeList!$E$2:$G$2036,2)</f>
        <v>Paruline à tête cendrée</v>
      </c>
      <c r="F1848" s="3" t="str">
        <f>VLOOKUP(B1848,[1]LifeList!$E$2:$G$2036,3)</f>
        <v>Setophaga magnolia</v>
      </c>
      <c r="G1848" s="3" t="str">
        <f>VLOOKUP(B1848,[1]LifeList!$E$2:$I$2036,4)</f>
        <v>Passeriformes</v>
      </c>
      <c r="H1848" s="3" t="str">
        <f>VLOOKUP(B1848,[1]LifeList!$E$2:$I$2036,5)</f>
        <v>Parulidae (New World Warblers)</v>
      </c>
    </row>
    <row r="1849" spans="1:8" x14ac:dyDescent="0.15">
      <c r="A1849" s="3" t="s">
        <v>1756</v>
      </c>
      <c r="B1849" s="3" t="s">
        <v>4570</v>
      </c>
      <c r="C1849" s="3">
        <v>34079</v>
      </c>
      <c r="D1849" s="3" t="str">
        <f>VLOOKUP(B1849,[1]LifeList!$E$2:$G$2036,1)</f>
        <v>Magnolia Warbler</v>
      </c>
      <c r="E1849" s="3" t="str">
        <f>VLOOKUP(B1849,[1]LifeList!$E$2:$G$2036,2)</f>
        <v>Paruline à tête cendrée</v>
      </c>
      <c r="F1849" s="3" t="str">
        <f>VLOOKUP(B1849,[1]LifeList!$E$2:$G$2036,3)</f>
        <v>Setophaga magnolia</v>
      </c>
      <c r="G1849" s="3" t="str">
        <f>VLOOKUP(B1849,[1]LifeList!$E$2:$I$2036,4)</f>
        <v>Passeriformes</v>
      </c>
      <c r="H1849" s="3" t="str">
        <f>VLOOKUP(B1849,[1]LifeList!$E$2:$I$2036,5)</f>
        <v>Parulidae (New World Warblers)</v>
      </c>
    </row>
    <row r="1850" spans="1:8" x14ac:dyDescent="0.15">
      <c r="A1850" s="3" t="s">
        <v>1757</v>
      </c>
      <c r="B1850" s="3" t="s">
        <v>4570</v>
      </c>
      <c r="C1850" s="3">
        <v>34079</v>
      </c>
      <c r="D1850" s="3" t="str">
        <f>VLOOKUP(B1850,[1]LifeList!$E$2:$G$2036,1)</f>
        <v>Magnolia Warbler</v>
      </c>
      <c r="E1850" s="3" t="str">
        <f>VLOOKUP(B1850,[1]LifeList!$E$2:$G$2036,2)</f>
        <v>Paruline à tête cendrée</v>
      </c>
      <c r="F1850" s="3" t="str">
        <f>VLOOKUP(B1850,[1]LifeList!$E$2:$G$2036,3)</f>
        <v>Setophaga magnolia</v>
      </c>
      <c r="G1850" s="3" t="str">
        <f>VLOOKUP(B1850,[1]LifeList!$E$2:$I$2036,4)</f>
        <v>Passeriformes</v>
      </c>
      <c r="H1850" s="3" t="str">
        <f>VLOOKUP(B1850,[1]LifeList!$E$2:$I$2036,5)</f>
        <v>Parulidae (New World Warblers)</v>
      </c>
    </row>
    <row r="1851" spans="1:8" x14ac:dyDescent="0.15">
      <c r="A1851" s="3" t="s">
        <v>1758</v>
      </c>
      <c r="B1851" s="3" t="s">
        <v>4570</v>
      </c>
      <c r="C1851" s="3">
        <v>34079</v>
      </c>
      <c r="D1851" s="3" t="str">
        <f>VLOOKUP(B1851,[1]LifeList!$E$2:$G$2036,1)</f>
        <v>Magnolia Warbler</v>
      </c>
      <c r="E1851" s="3" t="str">
        <f>VLOOKUP(B1851,[1]LifeList!$E$2:$G$2036,2)</f>
        <v>Paruline à tête cendrée</v>
      </c>
      <c r="F1851" s="3" t="str">
        <f>VLOOKUP(B1851,[1]LifeList!$E$2:$G$2036,3)</f>
        <v>Setophaga magnolia</v>
      </c>
      <c r="G1851" s="3" t="str">
        <f>VLOOKUP(B1851,[1]LifeList!$E$2:$I$2036,4)</f>
        <v>Passeriformes</v>
      </c>
      <c r="H1851" s="3" t="str">
        <f>VLOOKUP(B1851,[1]LifeList!$E$2:$I$2036,5)</f>
        <v>Parulidae (New World Warblers)</v>
      </c>
    </row>
    <row r="1852" spans="1:8" x14ac:dyDescent="0.15">
      <c r="A1852" s="3" t="s">
        <v>1759</v>
      </c>
      <c r="B1852" s="3" t="s">
        <v>4570</v>
      </c>
      <c r="C1852" s="3">
        <v>34079</v>
      </c>
      <c r="D1852" s="3" t="str">
        <f>VLOOKUP(B1852,[1]LifeList!$E$2:$G$2036,1)</f>
        <v>Magnolia Warbler</v>
      </c>
      <c r="E1852" s="3" t="str">
        <f>VLOOKUP(B1852,[1]LifeList!$E$2:$G$2036,2)</f>
        <v>Paruline à tête cendrée</v>
      </c>
      <c r="F1852" s="3" t="str">
        <f>VLOOKUP(B1852,[1]LifeList!$E$2:$G$2036,3)</f>
        <v>Setophaga magnolia</v>
      </c>
      <c r="G1852" s="3" t="str">
        <f>VLOOKUP(B1852,[1]LifeList!$E$2:$I$2036,4)</f>
        <v>Passeriformes</v>
      </c>
      <c r="H1852" s="3" t="str">
        <f>VLOOKUP(B1852,[1]LifeList!$E$2:$I$2036,5)</f>
        <v>Parulidae (New World Warblers)</v>
      </c>
    </row>
    <row r="1853" spans="1:8" x14ac:dyDescent="0.15">
      <c r="A1853" s="3" t="s">
        <v>1760</v>
      </c>
      <c r="B1853" s="3" t="s">
        <v>4570</v>
      </c>
      <c r="C1853" s="3">
        <v>34079</v>
      </c>
      <c r="D1853" s="3" t="str">
        <f>VLOOKUP(B1853,[1]LifeList!$E$2:$G$2036,1)</f>
        <v>Magnolia Warbler</v>
      </c>
      <c r="E1853" s="3" t="str">
        <f>VLOOKUP(B1853,[1]LifeList!$E$2:$G$2036,2)</f>
        <v>Paruline à tête cendrée</v>
      </c>
      <c r="F1853" s="3" t="str">
        <f>VLOOKUP(B1853,[1]LifeList!$E$2:$G$2036,3)</f>
        <v>Setophaga magnolia</v>
      </c>
      <c r="G1853" s="3" t="str">
        <f>VLOOKUP(B1853,[1]LifeList!$E$2:$I$2036,4)</f>
        <v>Passeriformes</v>
      </c>
      <c r="H1853" s="3" t="str">
        <f>VLOOKUP(B1853,[1]LifeList!$E$2:$I$2036,5)</f>
        <v>Parulidae (New World Warblers)</v>
      </c>
    </row>
    <row r="1854" spans="1:8" x14ac:dyDescent="0.15">
      <c r="A1854" s="3" t="s">
        <v>1769</v>
      </c>
      <c r="B1854" s="3" t="s">
        <v>4570</v>
      </c>
      <c r="C1854" s="3">
        <v>34079</v>
      </c>
      <c r="D1854" s="3" t="str">
        <f>VLOOKUP(B1854,[1]LifeList!$E$2:$G$2036,1)</f>
        <v>Magnolia Warbler</v>
      </c>
      <c r="E1854" s="3" t="str">
        <f>VLOOKUP(B1854,[1]LifeList!$E$2:$G$2036,2)</f>
        <v>Paruline à tête cendrée</v>
      </c>
      <c r="F1854" s="3" t="str">
        <f>VLOOKUP(B1854,[1]LifeList!$E$2:$G$2036,3)</f>
        <v>Setophaga magnolia</v>
      </c>
      <c r="G1854" s="3" t="str">
        <f>VLOOKUP(B1854,[1]LifeList!$E$2:$I$2036,4)</f>
        <v>Passeriformes</v>
      </c>
      <c r="H1854" s="3" t="str">
        <f>VLOOKUP(B1854,[1]LifeList!$E$2:$I$2036,5)</f>
        <v>Parulidae (New World Warblers)</v>
      </c>
    </row>
    <row r="1855" spans="1:8" x14ac:dyDescent="0.15">
      <c r="A1855" s="3" t="s">
        <v>1770</v>
      </c>
      <c r="B1855" s="3" t="s">
        <v>4570</v>
      </c>
      <c r="C1855" s="3">
        <v>34079</v>
      </c>
      <c r="D1855" s="3" t="str">
        <f>VLOOKUP(B1855,[1]LifeList!$E$2:$G$2036,1)</f>
        <v>Magnolia Warbler</v>
      </c>
      <c r="E1855" s="3" t="str">
        <f>VLOOKUP(B1855,[1]LifeList!$E$2:$G$2036,2)</f>
        <v>Paruline à tête cendrée</v>
      </c>
      <c r="F1855" s="3" t="str">
        <f>VLOOKUP(B1855,[1]LifeList!$E$2:$G$2036,3)</f>
        <v>Setophaga magnolia</v>
      </c>
      <c r="G1855" s="3" t="str">
        <f>VLOOKUP(B1855,[1]LifeList!$E$2:$I$2036,4)</f>
        <v>Passeriformes</v>
      </c>
      <c r="H1855" s="3" t="str">
        <f>VLOOKUP(B1855,[1]LifeList!$E$2:$I$2036,5)</f>
        <v>Parulidae (New World Warblers)</v>
      </c>
    </row>
    <row r="1856" spans="1:8" x14ac:dyDescent="0.15">
      <c r="A1856" s="3" t="s">
        <v>1771</v>
      </c>
      <c r="B1856" s="3" t="s">
        <v>4570</v>
      </c>
      <c r="C1856" s="3">
        <v>34079</v>
      </c>
      <c r="D1856" s="3" t="str">
        <f>VLOOKUP(B1856,[1]LifeList!$E$2:$G$2036,1)</f>
        <v>Magnolia Warbler</v>
      </c>
      <c r="E1856" s="3" t="str">
        <f>VLOOKUP(B1856,[1]LifeList!$E$2:$G$2036,2)</f>
        <v>Paruline à tête cendrée</v>
      </c>
      <c r="F1856" s="3" t="str">
        <f>VLOOKUP(B1856,[1]LifeList!$E$2:$G$2036,3)</f>
        <v>Setophaga magnolia</v>
      </c>
      <c r="G1856" s="3" t="str">
        <f>VLOOKUP(B1856,[1]LifeList!$E$2:$I$2036,4)</f>
        <v>Passeriformes</v>
      </c>
      <c r="H1856" s="3" t="str">
        <f>VLOOKUP(B1856,[1]LifeList!$E$2:$I$2036,5)</f>
        <v>Parulidae (New World Warblers)</v>
      </c>
    </row>
    <row r="1857" spans="1:8" x14ac:dyDescent="0.15">
      <c r="A1857" s="3" t="s">
        <v>1761</v>
      </c>
      <c r="B1857" s="3" t="s">
        <v>4570</v>
      </c>
      <c r="C1857" s="3">
        <v>34079</v>
      </c>
      <c r="D1857" s="3" t="str">
        <f>VLOOKUP(B1857,[1]LifeList!$E$2:$G$2036,1)</f>
        <v>Magnolia Warbler</v>
      </c>
      <c r="E1857" s="3" t="str">
        <f>VLOOKUP(B1857,[1]LifeList!$E$2:$G$2036,2)</f>
        <v>Paruline à tête cendrée</v>
      </c>
      <c r="F1857" s="3" t="str">
        <f>VLOOKUP(B1857,[1]LifeList!$E$2:$G$2036,3)</f>
        <v>Setophaga magnolia</v>
      </c>
      <c r="G1857" s="3" t="str">
        <f>VLOOKUP(B1857,[1]LifeList!$E$2:$I$2036,4)</f>
        <v>Passeriformes</v>
      </c>
      <c r="H1857" s="3" t="str">
        <f>VLOOKUP(B1857,[1]LifeList!$E$2:$I$2036,5)</f>
        <v>Parulidae (New World Warblers)</v>
      </c>
    </row>
    <row r="1858" spans="1:8" x14ac:dyDescent="0.15">
      <c r="A1858" s="3" t="s">
        <v>1762</v>
      </c>
      <c r="B1858" s="3" t="s">
        <v>4570</v>
      </c>
      <c r="C1858" s="3">
        <v>34079</v>
      </c>
      <c r="D1858" s="3" t="str">
        <f>VLOOKUP(B1858,[1]LifeList!$E$2:$G$2036,1)</f>
        <v>Magnolia Warbler</v>
      </c>
      <c r="E1858" s="3" t="str">
        <f>VLOOKUP(B1858,[1]LifeList!$E$2:$G$2036,2)</f>
        <v>Paruline à tête cendrée</v>
      </c>
      <c r="F1858" s="3" t="str">
        <f>VLOOKUP(B1858,[1]LifeList!$E$2:$G$2036,3)</f>
        <v>Setophaga magnolia</v>
      </c>
      <c r="G1858" s="3" t="str">
        <f>VLOOKUP(B1858,[1]LifeList!$E$2:$I$2036,4)</f>
        <v>Passeriformes</v>
      </c>
      <c r="H1858" s="3" t="str">
        <f>VLOOKUP(B1858,[1]LifeList!$E$2:$I$2036,5)</f>
        <v>Parulidae (New World Warblers)</v>
      </c>
    </row>
    <row r="1859" spans="1:8" x14ac:dyDescent="0.15">
      <c r="A1859" s="3" t="s">
        <v>1763</v>
      </c>
      <c r="B1859" s="3" t="s">
        <v>4570</v>
      </c>
      <c r="C1859" s="3">
        <v>34079</v>
      </c>
      <c r="D1859" s="3" t="str">
        <f>VLOOKUP(B1859,[1]LifeList!$E$2:$G$2036,1)</f>
        <v>Magnolia Warbler</v>
      </c>
      <c r="E1859" s="3" t="str">
        <f>VLOOKUP(B1859,[1]LifeList!$E$2:$G$2036,2)</f>
        <v>Paruline à tête cendrée</v>
      </c>
      <c r="F1859" s="3" t="str">
        <f>VLOOKUP(B1859,[1]LifeList!$E$2:$G$2036,3)</f>
        <v>Setophaga magnolia</v>
      </c>
      <c r="G1859" s="3" t="str">
        <f>VLOOKUP(B1859,[1]LifeList!$E$2:$I$2036,4)</f>
        <v>Passeriformes</v>
      </c>
      <c r="H1859" s="3" t="str">
        <f>VLOOKUP(B1859,[1]LifeList!$E$2:$I$2036,5)</f>
        <v>Parulidae (New World Warblers)</v>
      </c>
    </row>
    <row r="1860" spans="1:8" x14ac:dyDescent="0.15">
      <c r="A1860" s="3" t="s">
        <v>1764</v>
      </c>
      <c r="B1860" s="3" t="s">
        <v>4570</v>
      </c>
      <c r="C1860" s="3">
        <v>34079</v>
      </c>
      <c r="D1860" s="3" t="str">
        <f>VLOOKUP(B1860,[1]LifeList!$E$2:$G$2036,1)</f>
        <v>Magnolia Warbler</v>
      </c>
      <c r="E1860" s="3" t="str">
        <f>VLOOKUP(B1860,[1]LifeList!$E$2:$G$2036,2)</f>
        <v>Paruline à tête cendrée</v>
      </c>
      <c r="F1860" s="3" t="str">
        <f>VLOOKUP(B1860,[1]LifeList!$E$2:$G$2036,3)</f>
        <v>Setophaga magnolia</v>
      </c>
      <c r="G1860" s="3" t="str">
        <f>VLOOKUP(B1860,[1]LifeList!$E$2:$I$2036,4)</f>
        <v>Passeriformes</v>
      </c>
      <c r="H1860" s="3" t="str">
        <f>VLOOKUP(B1860,[1]LifeList!$E$2:$I$2036,5)</f>
        <v>Parulidae (New World Warblers)</v>
      </c>
    </row>
    <row r="1861" spans="1:8" x14ac:dyDescent="0.15">
      <c r="A1861" s="3" t="s">
        <v>1765</v>
      </c>
      <c r="B1861" s="3" t="s">
        <v>4570</v>
      </c>
      <c r="C1861" s="3">
        <v>34079</v>
      </c>
      <c r="D1861" s="3" t="str">
        <f>VLOOKUP(B1861,[1]LifeList!$E$2:$G$2036,1)</f>
        <v>Magnolia Warbler</v>
      </c>
      <c r="E1861" s="3" t="str">
        <f>VLOOKUP(B1861,[1]LifeList!$E$2:$G$2036,2)</f>
        <v>Paruline à tête cendrée</v>
      </c>
      <c r="F1861" s="3" t="str">
        <f>VLOOKUP(B1861,[1]LifeList!$E$2:$G$2036,3)</f>
        <v>Setophaga magnolia</v>
      </c>
      <c r="G1861" s="3" t="str">
        <f>VLOOKUP(B1861,[1]LifeList!$E$2:$I$2036,4)</f>
        <v>Passeriformes</v>
      </c>
      <c r="H1861" s="3" t="str">
        <f>VLOOKUP(B1861,[1]LifeList!$E$2:$I$2036,5)</f>
        <v>Parulidae (New World Warblers)</v>
      </c>
    </row>
    <row r="1862" spans="1:8" x14ac:dyDescent="0.15">
      <c r="A1862" s="3" t="s">
        <v>1752</v>
      </c>
      <c r="B1862" s="3" t="s">
        <v>4570</v>
      </c>
      <c r="C1862" s="3">
        <v>34079</v>
      </c>
      <c r="D1862" s="3" t="str">
        <f>VLOOKUP(B1862,[1]LifeList!$E$2:$G$2036,1)</f>
        <v>Magnolia Warbler</v>
      </c>
      <c r="E1862" s="3" t="str">
        <f>VLOOKUP(B1862,[1]LifeList!$E$2:$G$2036,2)</f>
        <v>Paruline à tête cendrée</v>
      </c>
      <c r="F1862" s="3" t="str">
        <f>VLOOKUP(B1862,[1]LifeList!$E$2:$G$2036,3)</f>
        <v>Setophaga magnolia</v>
      </c>
      <c r="G1862" s="3" t="str">
        <f>VLOOKUP(B1862,[1]LifeList!$E$2:$I$2036,4)</f>
        <v>Passeriformes</v>
      </c>
      <c r="H1862" s="3" t="str">
        <f>VLOOKUP(B1862,[1]LifeList!$E$2:$I$2036,5)</f>
        <v>Parulidae (New World Warblers)</v>
      </c>
    </row>
    <row r="1863" spans="1:8" x14ac:dyDescent="0.15">
      <c r="A1863" s="3" t="s">
        <v>1773</v>
      </c>
      <c r="B1863" s="3" t="s">
        <v>4571</v>
      </c>
      <c r="C1863" s="3">
        <v>21037</v>
      </c>
      <c r="D1863" s="3" t="str">
        <f>VLOOKUP(B1863,[1]LifeList!$E$2:$G$2036,1)</f>
        <v>Magpie Shrike</v>
      </c>
      <c r="E1863" s="3" t="str">
        <f>VLOOKUP(B1863,[1]LifeList!$E$2:$G$2036,2)</f>
        <v>Corvinelle noir et blanc</v>
      </c>
      <c r="F1863" s="3" t="str">
        <f>VLOOKUP(B1863,[1]LifeList!$E$2:$G$2036,3)</f>
        <v>Urolestes melanoleucus</v>
      </c>
      <c r="G1863" s="3" t="str">
        <f>VLOOKUP(B1863,[1]LifeList!$E$2:$I$2036,4)</f>
        <v>Passeriformes</v>
      </c>
      <c r="H1863" s="3" t="str">
        <f>VLOOKUP(B1863,[1]LifeList!$E$2:$I$2036,5)</f>
        <v>Laniidae (Shrikes)</v>
      </c>
    </row>
    <row r="1864" spans="1:8" x14ac:dyDescent="0.15">
      <c r="A1864" s="3" t="s">
        <v>1774</v>
      </c>
      <c r="B1864" s="3" t="s">
        <v>4571</v>
      </c>
      <c r="C1864" s="3">
        <v>21037</v>
      </c>
      <c r="D1864" s="3" t="str">
        <f>VLOOKUP(B1864,[1]LifeList!$E$2:$G$2036,1)</f>
        <v>Magpie Shrike</v>
      </c>
      <c r="E1864" s="3" t="str">
        <f>VLOOKUP(B1864,[1]LifeList!$E$2:$G$2036,2)</f>
        <v>Corvinelle noir et blanc</v>
      </c>
      <c r="F1864" s="3" t="str">
        <f>VLOOKUP(B1864,[1]LifeList!$E$2:$G$2036,3)</f>
        <v>Urolestes melanoleucus</v>
      </c>
      <c r="G1864" s="3" t="str">
        <f>VLOOKUP(B1864,[1]LifeList!$E$2:$I$2036,4)</f>
        <v>Passeriformes</v>
      </c>
      <c r="H1864" s="3" t="str">
        <f>VLOOKUP(B1864,[1]LifeList!$E$2:$I$2036,5)</f>
        <v>Laniidae (Shrikes)</v>
      </c>
    </row>
    <row r="1865" spans="1:8" x14ac:dyDescent="0.15">
      <c r="A1865" s="3" t="s">
        <v>1772</v>
      </c>
      <c r="B1865" s="3" t="s">
        <v>4572</v>
      </c>
      <c r="C1865" s="3">
        <v>20947</v>
      </c>
      <c r="D1865" s="3" t="str">
        <f>VLOOKUP(B1865,[1]LifeList!$E$2:$G$2036,1)</f>
        <v>Magpie-lark</v>
      </c>
      <c r="E1865" s="3" t="str">
        <f>VLOOKUP(B1865,[1]LifeList!$E$2:$G$2036,2)</f>
        <v>Gralline pie</v>
      </c>
      <c r="F1865" s="3" t="str">
        <f>VLOOKUP(B1865,[1]LifeList!$E$2:$G$2036,3)</f>
        <v>Grallina cyanoleuca</v>
      </c>
      <c r="G1865" s="3" t="str">
        <f>VLOOKUP(B1865,[1]LifeList!$E$2:$I$2036,4)</f>
        <v>Passeriformes</v>
      </c>
      <c r="H1865" s="3" t="str">
        <f>VLOOKUP(B1865,[1]LifeList!$E$2:$I$2036,5)</f>
        <v>Monarchidae (Monarch Flycatchers)</v>
      </c>
    </row>
    <row r="1866" spans="1:8" x14ac:dyDescent="0.15">
      <c r="A1866" s="3" t="s">
        <v>1775</v>
      </c>
      <c r="B1866" s="3" t="s">
        <v>4573</v>
      </c>
      <c r="C1866" s="3">
        <v>9997</v>
      </c>
      <c r="D1866" s="3" t="str">
        <f>VLOOKUP(B1866,[1]LifeList!$E$2:$G$2036,1)</f>
        <v>Malachite Kingfisher</v>
      </c>
      <c r="E1866" s="3" t="str">
        <f>VLOOKUP(B1866,[1]LifeList!$E$2:$G$2036,2)</f>
        <v>Martin-pêcheur huppé</v>
      </c>
      <c r="F1866" s="3" t="str">
        <f>VLOOKUP(B1866,[1]LifeList!$E$2:$G$2036,3)</f>
        <v>Corythornis cristatus</v>
      </c>
      <c r="G1866" s="3" t="str">
        <f>VLOOKUP(B1866,[1]LifeList!$E$2:$I$2036,4)</f>
        <v>Coraciiformes</v>
      </c>
      <c r="H1866" s="3" t="str">
        <f>VLOOKUP(B1866,[1]LifeList!$E$2:$I$2036,5)</f>
        <v>Alcedinidae (Kingfishers)</v>
      </c>
    </row>
    <row r="1867" spans="1:8" x14ac:dyDescent="0.15">
      <c r="A1867" s="3" t="s">
        <v>1776</v>
      </c>
      <c r="B1867" s="3" t="s">
        <v>4574</v>
      </c>
      <c r="C1867" s="3">
        <v>24585</v>
      </c>
      <c r="D1867" s="3" t="str">
        <f>VLOOKUP(B1867,[1]LifeList!$E$2:$G$2036,1)</f>
        <v>Malagasy Bulbul</v>
      </c>
      <c r="E1867" s="3" t="str">
        <f>VLOOKUP(B1867,[1]LifeList!$E$2:$G$2036,2)</f>
        <v>Bulbul de Madagascar</v>
      </c>
      <c r="F1867" s="3" t="str">
        <f>VLOOKUP(B1867,[1]LifeList!$E$2:$G$2036,3)</f>
        <v>Hypsipetes madagascariensis</v>
      </c>
      <c r="G1867" s="3" t="str">
        <f>VLOOKUP(B1867,[1]LifeList!$E$2:$I$2036,4)</f>
        <v>Passeriformes</v>
      </c>
      <c r="H1867" s="3" t="str">
        <f>VLOOKUP(B1867,[1]LifeList!$E$2:$I$2036,5)</f>
        <v>Pycnonotidae (Bulbuls)</v>
      </c>
    </row>
    <row r="1868" spans="1:8" x14ac:dyDescent="0.15">
      <c r="A1868" s="3" t="s">
        <v>1777</v>
      </c>
      <c r="B1868" s="3" t="s">
        <v>4575</v>
      </c>
      <c r="C1868" s="3">
        <v>3130</v>
      </c>
      <c r="D1868" s="3" t="str">
        <f>VLOOKUP(B1868,[1]LifeList!$E$2:$G$2036,1)</f>
        <v>Malagasy Coucal</v>
      </c>
      <c r="E1868" s="3" t="str">
        <f>VLOOKUP(B1868,[1]LifeList!$E$2:$G$2036,2)</f>
        <v>Coucal toulou</v>
      </c>
      <c r="F1868" s="3" t="str">
        <f>VLOOKUP(B1868,[1]LifeList!$E$2:$G$2036,3)</f>
        <v>Centropus toulou</v>
      </c>
      <c r="G1868" s="3" t="str">
        <f>VLOOKUP(B1868,[1]LifeList!$E$2:$I$2036,4)</f>
        <v>Cuculiformes</v>
      </c>
      <c r="H1868" s="3" t="str">
        <f>VLOOKUP(B1868,[1]LifeList!$E$2:$I$2036,5)</f>
        <v>Cuculidae (Cuckoos)</v>
      </c>
    </row>
    <row r="1869" spans="1:8" x14ac:dyDescent="0.15">
      <c r="A1869" s="3" t="s">
        <v>1778</v>
      </c>
      <c r="B1869" s="3" t="s">
        <v>4576</v>
      </c>
      <c r="C1869" s="3">
        <v>12012</v>
      </c>
      <c r="D1869" s="3" t="str">
        <f>VLOOKUP(B1869,[1]LifeList!$E$2:$G$2036,1)</f>
        <v>Malagasy Kestrel</v>
      </c>
      <c r="E1869" s="3" t="str">
        <f>VLOOKUP(B1869,[1]LifeList!$E$2:$G$2036,2)</f>
        <v>Crécerelle malgache</v>
      </c>
      <c r="F1869" s="3" t="str">
        <f>VLOOKUP(B1869,[1]LifeList!$E$2:$G$2036,3)</f>
        <v>Falco newtoni</v>
      </c>
      <c r="G1869" s="3" t="str">
        <f>VLOOKUP(B1869,[1]LifeList!$E$2:$I$2036,4)</f>
        <v>Falconiformes</v>
      </c>
      <c r="H1869" s="3" t="str">
        <f>VLOOKUP(B1869,[1]LifeList!$E$2:$I$2036,5)</f>
        <v>Falconidae (Falcons and Caracaras)</v>
      </c>
    </row>
    <row r="1870" spans="1:8" x14ac:dyDescent="0.15">
      <c r="A1870" s="3" t="s">
        <v>1779</v>
      </c>
      <c r="B1870" s="3" t="s">
        <v>4576</v>
      </c>
      <c r="C1870" s="3">
        <v>12012</v>
      </c>
      <c r="D1870" s="3" t="str">
        <f>VLOOKUP(B1870,[1]LifeList!$E$2:$G$2036,1)</f>
        <v>Malagasy Kestrel</v>
      </c>
      <c r="E1870" s="3" t="str">
        <f>VLOOKUP(B1870,[1]LifeList!$E$2:$G$2036,2)</f>
        <v>Crécerelle malgache</v>
      </c>
      <c r="F1870" s="3" t="str">
        <f>VLOOKUP(B1870,[1]LifeList!$E$2:$G$2036,3)</f>
        <v>Falco newtoni</v>
      </c>
      <c r="G1870" s="3" t="str">
        <f>VLOOKUP(B1870,[1]LifeList!$E$2:$I$2036,4)</f>
        <v>Falconiformes</v>
      </c>
      <c r="H1870" s="3" t="str">
        <f>VLOOKUP(B1870,[1]LifeList!$E$2:$I$2036,5)</f>
        <v>Falconidae (Falcons and Caracaras)</v>
      </c>
    </row>
    <row r="1871" spans="1:8" x14ac:dyDescent="0.15">
      <c r="A1871" s="3" t="s">
        <v>1780</v>
      </c>
      <c r="B1871" s="3" t="s">
        <v>4577</v>
      </c>
      <c r="C1871" s="3">
        <v>10004</v>
      </c>
      <c r="D1871" s="3" t="str">
        <f>VLOOKUP(B1871,[1]LifeList!$E$2:$G$2036,1)</f>
        <v>Malagasy Kingfisher</v>
      </c>
      <c r="E1871" s="3" t="str">
        <f>VLOOKUP(B1871,[1]LifeList!$E$2:$G$2036,2)</f>
        <v>Martin-pêcheur vintsi</v>
      </c>
      <c r="F1871" s="3" t="str">
        <f>VLOOKUP(B1871,[1]LifeList!$E$2:$G$2036,3)</f>
        <v>Corythornis vintsioides</v>
      </c>
      <c r="G1871" s="3" t="str">
        <f>VLOOKUP(B1871,[1]LifeList!$E$2:$I$2036,4)</f>
        <v>Coraciiformes</v>
      </c>
      <c r="H1871" s="3" t="str">
        <f>VLOOKUP(B1871,[1]LifeList!$E$2:$I$2036,5)</f>
        <v>Alcedinidae (Kingfishers)</v>
      </c>
    </row>
    <row r="1872" spans="1:8" x14ac:dyDescent="0.15">
      <c r="A1872" s="3" t="s">
        <v>1781</v>
      </c>
      <c r="B1872" s="3" t="s">
        <v>4577</v>
      </c>
      <c r="C1872" s="3">
        <v>10004</v>
      </c>
      <c r="D1872" s="3" t="str">
        <f>VLOOKUP(B1872,[1]LifeList!$E$2:$G$2036,1)</f>
        <v>Malagasy Kingfisher</v>
      </c>
      <c r="E1872" s="3" t="str">
        <f>VLOOKUP(B1872,[1]LifeList!$E$2:$G$2036,2)</f>
        <v>Martin-pêcheur vintsi</v>
      </c>
      <c r="F1872" s="3" t="str">
        <f>VLOOKUP(B1872,[1]LifeList!$E$2:$G$2036,3)</f>
        <v>Corythornis vintsioides</v>
      </c>
      <c r="G1872" s="3" t="str">
        <f>VLOOKUP(B1872,[1]LifeList!$E$2:$I$2036,4)</f>
        <v>Coraciiformes</v>
      </c>
      <c r="H1872" s="3" t="str">
        <f>VLOOKUP(B1872,[1]LifeList!$E$2:$I$2036,5)</f>
        <v>Alcedinidae (Kingfishers)</v>
      </c>
    </row>
    <row r="1873" spans="1:8" x14ac:dyDescent="0.15">
      <c r="A1873" s="3" t="s">
        <v>1782</v>
      </c>
      <c r="B1873" s="3" t="s">
        <v>4578</v>
      </c>
      <c r="C1873" s="3">
        <v>20753</v>
      </c>
      <c r="D1873" s="3" t="str">
        <f>VLOOKUP(B1873,[1]LifeList!$E$2:$G$2036,1)</f>
        <v>Malagasy Paradise-Flycatcher</v>
      </c>
      <c r="E1873" s="3" t="str">
        <f>VLOOKUP(B1873,[1]LifeList!$E$2:$G$2036,2)</f>
        <v>Tchitrec malgache</v>
      </c>
      <c r="F1873" s="3" t="str">
        <f>VLOOKUP(B1873,[1]LifeList!$E$2:$G$2036,3)</f>
        <v>Terpsiphone mutata</v>
      </c>
      <c r="G1873" s="3" t="str">
        <f>VLOOKUP(B1873,[1]LifeList!$E$2:$I$2036,4)</f>
        <v>Passeriformes</v>
      </c>
      <c r="H1873" s="3" t="str">
        <f>VLOOKUP(B1873,[1]LifeList!$E$2:$I$2036,5)</f>
        <v>Monarchidae (Monarch Flycatchers)</v>
      </c>
    </row>
    <row r="1874" spans="1:8" x14ac:dyDescent="0.15">
      <c r="A1874" s="3" t="s">
        <v>1783</v>
      </c>
      <c r="B1874" s="3" t="s">
        <v>4578</v>
      </c>
      <c r="C1874" s="3">
        <v>20753</v>
      </c>
      <c r="D1874" s="3" t="str">
        <f>VLOOKUP(B1874,[1]LifeList!$E$2:$G$2036,1)</f>
        <v>Malagasy Paradise-Flycatcher</v>
      </c>
      <c r="E1874" s="3" t="str">
        <f>VLOOKUP(B1874,[1]LifeList!$E$2:$G$2036,2)</f>
        <v>Tchitrec malgache</v>
      </c>
      <c r="F1874" s="3" t="str">
        <f>VLOOKUP(B1874,[1]LifeList!$E$2:$G$2036,3)</f>
        <v>Terpsiphone mutata</v>
      </c>
      <c r="G1874" s="3" t="str">
        <f>VLOOKUP(B1874,[1]LifeList!$E$2:$I$2036,4)</f>
        <v>Passeriformes</v>
      </c>
      <c r="H1874" s="3" t="str">
        <f>VLOOKUP(B1874,[1]LifeList!$E$2:$I$2036,5)</f>
        <v>Monarchidae (Monarch Flycatchers)</v>
      </c>
    </row>
    <row r="1875" spans="1:8" x14ac:dyDescent="0.15">
      <c r="A1875" s="3" t="s">
        <v>1788</v>
      </c>
      <c r="B1875" s="3" t="s">
        <v>4579</v>
      </c>
      <c r="C1875" s="3">
        <v>7715</v>
      </c>
      <c r="D1875" s="3" t="str">
        <f>VLOOKUP(B1875,[1]LifeList!$E$2:$G$2036,1)</f>
        <v>Malagasy Pond-Heron</v>
      </c>
      <c r="E1875" s="3" t="str">
        <f>VLOOKUP(B1875,[1]LifeList!$E$2:$G$2036,2)</f>
        <v>Crabier blanc</v>
      </c>
      <c r="F1875" s="3" t="str">
        <f>VLOOKUP(B1875,[1]LifeList!$E$2:$G$2036,3)</f>
        <v>Ardeola idae</v>
      </c>
      <c r="G1875" s="3" t="str">
        <f>VLOOKUP(B1875,[1]LifeList!$E$2:$I$2036,4)</f>
        <v>Pelecaniformes</v>
      </c>
      <c r="H1875" s="3" t="str">
        <f>VLOOKUP(B1875,[1]LifeList!$E$2:$I$2036,5)</f>
        <v>Ardeidae (Herons, Egrets, and Bitterns)</v>
      </c>
    </row>
    <row r="1876" spans="1:8" x14ac:dyDescent="0.15">
      <c r="A1876" s="3" t="s">
        <v>1789</v>
      </c>
      <c r="B1876" s="3" t="s">
        <v>4579</v>
      </c>
      <c r="C1876" s="3">
        <v>7715</v>
      </c>
      <c r="D1876" s="3" t="str">
        <f>VLOOKUP(B1876,[1]LifeList!$E$2:$G$2036,1)</f>
        <v>Malagasy Pond-Heron</v>
      </c>
      <c r="E1876" s="3" t="str">
        <f>VLOOKUP(B1876,[1]LifeList!$E$2:$G$2036,2)</f>
        <v>Crabier blanc</v>
      </c>
      <c r="F1876" s="3" t="str">
        <f>VLOOKUP(B1876,[1]LifeList!$E$2:$G$2036,3)</f>
        <v>Ardeola idae</v>
      </c>
      <c r="G1876" s="3" t="str">
        <f>VLOOKUP(B1876,[1]LifeList!$E$2:$I$2036,4)</f>
        <v>Pelecaniformes</v>
      </c>
      <c r="H1876" s="3" t="str">
        <f>VLOOKUP(B1876,[1]LifeList!$E$2:$I$2036,5)</f>
        <v>Ardeidae (Herons, Egrets, and Bitterns)</v>
      </c>
    </row>
    <row r="1877" spans="1:8" x14ac:dyDescent="0.15">
      <c r="A1877" s="3" t="s">
        <v>1790</v>
      </c>
      <c r="B1877" s="3" t="s">
        <v>4579</v>
      </c>
      <c r="C1877" s="3">
        <v>7715</v>
      </c>
      <c r="D1877" s="3" t="str">
        <f>VLOOKUP(B1877,[1]LifeList!$E$2:$G$2036,1)</f>
        <v>Malagasy Pond-Heron</v>
      </c>
      <c r="E1877" s="3" t="str">
        <f>VLOOKUP(B1877,[1]LifeList!$E$2:$G$2036,2)</f>
        <v>Crabier blanc</v>
      </c>
      <c r="F1877" s="3" t="str">
        <f>VLOOKUP(B1877,[1]LifeList!$E$2:$G$2036,3)</f>
        <v>Ardeola idae</v>
      </c>
      <c r="G1877" s="3" t="str">
        <f>VLOOKUP(B1877,[1]LifeList!$E$2:$I$2036,4)</f>
        <v>Pelecaniformes</v>
      </c>
      <c r="H1877" s="3" t="str">
        <f>VLOOKUP(B1877,[1]LifeList!$E$2:$I$2036,5)</f>
        <v>Ardeidae (Herons, Egrets, and Bitterns)</v>
      </c>
    </row>
    <row r="1878" spans="1:8" x14ac:dyDescent="0.15">
      <c r="A1878" s="3" t="s">
        <v>1784</v>
      </c>
      <c r="B1878" s="3" t="s">
        <v>4579</v>
      </c>
      <c r="C1878" s="3">
        <v>7715</v>
      </c>
      <c r="D1878" s="3" t="str">
        <f>VLOOKUP(B1878,[1]LifeList!$E$2:$G$2036,1)</f>
        <v>Malagasy Pond-Heron</v>
      </c>
      <c r="E1878" s="3" t="str">
        <f>VLOOKUP(B1878,[1]LifeList!$E$2:$G$2036,2)</f>
        <v>Crabier blanc</v>
      </c>
      <c r="F1878" s="3" t="str">
        <f>VLOOKUP(B1878,[1]LifeList!$E$2:$G$2036,3)</f>
        <v>Ardeola idae</v>
      </c>
      <c r="G1878" s="3" t="str">
        <f>VLOOKUP(B1878,[1]LifeList!$E$2:$I$2036,4)</f>
        <v>Pelecaniformes</v>
      </c>
      <c r="H1878" s="3" t="str">
        <f>VLOOKUP(B1878,[1]LifeList!$E$2:$I$2036,5)</f>
        <v>Ardeidae (Herons, Egrets, and Bitterns)</v>
      </c>
    </row>
    <row r="1879" spans="1:8" x14ac:dyDescent="0.15">
      <c r="A1879" s="3" t="s">
        <v>1785</v>
      </c>
      <c r="B1879" s="3" t="s">
        <v>4579</v>
      </c>
      <c r="C1879" s="3">
        <v>7715</v>
      </c>
      <c r="D1879" s="3" t="str">
        <f>VLOOKUP(B1879,[1]LifeList!$E$2:$G$2036,1)</f>
        <v>Malagasy Pond-Heron</v>
      </c>
      <c r="E1879" s="3" t="str">
        <f>VLOOKUP(B1879,[1]LifeList!$E$2:$G$2036,2)</f>
        <v>Crabier blanc</v>
      </c>
      <c r="F1879" s="3" t="str">
        <f>VLOOKUP(B1879,[1]LifeList!$E$2:$G$2036,3)</f>
        <v>Ardeola idae</v>
      </c>
      <c r="G1879" s="3" t="str">
        <f>VLOOKUP(B1879,[1]LifeList!$E$2:$I$2036,4)</f>
        <v>Pelecaniformes</v>
      </c>
      <c r="H1879" s="3" t="str">
        <f>VLOOKUP(B1879,[1]LifeList!$E$2:$I$2036,5)</f>
        <v>Ardeidae (Herons, Egrets, and Bitterns)</v>
      </c>
    </row>
    <row r="1880" spans="1:8" x14ac:dyDescent="0.15">
      <c r="A1880" s="3" t="s">
        <v>1786</v>
      </c>
      <c r="B1880" s="3" t="s">
        <v>4579</v>
      </c>
      <c r="C1880" s="3">
        <v>7715</v>
      </c>
      <c r="D1880" s="3" t="str">
        <f>VLOOKUP(B1880,[1]LifeList!$E$2:$G$2036,1)</f>
        <v>Malagasy Pond-Heron</v>
      </c>
      <c r="E1880" s="3" t="str">
        <f>VLOOKUP(B1880,[1]LifeList!$E$2:$G$2036,2)</f>
        <v>Crabier blanc</v>
      </c>
      <c r="F1880" s="3" t="str">
        <f>VLOOKUP(B1880,[1]LifeList!$E$2:$G$2036,3)</f>
        <v>Ardeola idae</v>
      </c>
      <c r="G1880" s="3" t="str">
        <f>VLOOKUP(B1880,[1]LifeList!$E$2:$I$2036,4)</f>
        <v>Pelecaniformes</v>
      </c>
      <c r="H1880" s="3" t="str">
        <f>VLOOKUP(B1880,[1]LifeList!$E$2:$I$2036,5)</f>
        <v>Ardeidae (Herons, Egrets, and Bitterns)</v>
      </c>
    </row>
    <row r="1881" spans="1:8" x14ac:dyDescent="0.15">
      <c r="A1881" s="3" t="s">
        <v>1791</v>
      </c>
      <c r="B1881" s="3" t="s">
        <v>4579</v>
      </c>
      <c r="C1881" s="3">
        <v>7715</v>
      </c>
      <c r="D1881" s="3" t="str">
        <f>VLOOKUP(B1881,[1]LifeList!$E$2:$G$2036,1)</f>
        <v>Malagasy Pond-Heron</v>
      </c>
      <c r="E1881" s="3" t="str">
        <f>VLOOKUP(B1881,[1]LifeList!$E$2:$G$2036,2)</f>
        <v>Crabier blanc</v>
      </c>
      <c r="F1881" s="3" t="str">
        <f>VLOOKUP(B1881,[1]LifeList!$E$2:$G$2036,3)</f>
        <v>Ardeola idae</v>
      </c>
      <c r="G1881" s="3" t="str">
        <f>VLOOKUP(B1881,[1]LifeList!$E$2:$I$2036,4)</f>
        <v>Pelecaniformes</v>
      </c>
      <c r="H1881" s="3" t="str">
        <f>VLOOKUP(B1881,[1]LifeList!$E$2:$I$2036,5)</f>
        <v>Ardeidae (Herons, Egrets, and Bitterns)</v>
      </c>
    </row>
    <row r="1882" spans="1:8" x14ac:dyDescent="0.15">
      <c r="A1882" s="3" t="s">
        <v>1792</v>
      </c>
      <c r="B1882" s="3" t="s">
        <v>4579</v>
      </c>
      <c r="C1882" s="3">
        <v>7715</v>
      </c>
      <c r="D1882" s="3" t="str">
        <f>VLOOKUP(B1882,[1]LifeList!$E$2:$G$2036,1)</f>
        <v>Malagasy Pond-Heron</v>
      </c>
      <c r="E1882" s="3" t="str">
        <f>VLOOKUP(B1882,[1]LifeList!$E$2:$G$2036,2)</f>
        <v>Crabier blanc</v>
      </c>
      <c r="F1882" s="3" t="str">
        <f>VLOOKUP(B1882,[1]LifeList!$E$2:$G$2036,3)</f>
        <v>Ardeola idae</v>
      </c>
      <c r="G1882" s="3" t="str">
        <f>VLOOKUP(B1882,[1]LifeList!$E$2:$I$2036,4)</f>
        <v>Pelecaniformes</v>
      </c>
      <c r="H1882" s="3" t="str">
        <f>VLOOKUP(B1882,[1]LifeList!$E$2:$I$2036,5)</f>
        <v>Ardeidae (Herons, Egrets, and Bitterns)</v>
      </c>
    </row>
    <row r="1883" spans="1:8" x14ac:dyDescent="0.15">
      <c r="A1883" s="3" t="s">
        <v>1787</v>
      </c>
      <c r="B1883" s="3" t="s">
        <v>4579</v>
      </c>
      <c r="C1883" s="3">
        <v>7715</v>
      </c>
      <c r="D1883" s="3" t="str">
        <f>VLOOKUP(B1883,[1]LifeList!$E$2:$G$2036,1)</f>
        <v>Malagasy Pond-Heron</v>
      </c>
      <c r="E1883" s="3" t="str">
        <f>VLOOKUP(B1883,[1]LifeList!$E$2:$G$2036,2)</f>
        <v>Crabier blanc</v>
      </c>
      <c r="F1883" s="3" t="str">
        <f>VLOOKUP(B1883,[1]LifeList!$E$2:$G$2036,3)</f>
        <v>Ardeola idae</v>
      </c>
      <c r="G1883" s="3" t="str">
        <f>VLOOKUP(B1883,[1]LifeList!$E$2:$I$2036,4)</f>
        <v>Pelecaniformes</v>
      </c>
      <c r="H1883" s="3" t="str">
        <f>VLOOKUP(B1883,[1]LifeList!$E$2:$I$2036,5)</f>
        <v>Ardeidae (Herons, Egrets, and Bitterns)</v>
      </c>
    </row>
    <row r="1884" spans="1:8" x14ac:dyDescent="0.15">
      <c r="A1884" s="3" t="s">
        <v>1793</v>
      </c>
      <c r="B1884" s="3" t="s">
        <v>4580</v>
      </c>
      <c r="C1884" s="3">
        <v>545</v>
      </c>
      <c r="D1884" s="3" t="str">
        <f>VLOOKUP(B1884,[1]LifeList!$E$2:$G$2036,1)</f>
        <v>Mallard</v>
      </c>
      <c r="E1884" s="3" t="str">
        <f>VLOOKUP(B1884,[1]LifeList!$E$2:$G$2036,2)</f>
        <v>Canard colvert</v>
      </c>
      <c r="F1884" s="3" t="str">
        <f>VLOOKUP(B1884,[1]LifeList!$E$2:$G$2036,3)</f>
        <v>Anas platyrhynchos</v>
      </c>
      <c r="G1884" s="3" t="str">
        <f>VLOOKUP(B1884,[1]LifeList!$E$2:$I$2036,4)</f>
        <v>Anseriformes</v>
      </c>
      <c r="H1884" s="3" t="str">
        <f>VLOOKUP(B1884,[1]LifeList!$E$2:$I$2036,5)</f>
        <v>Anatidae (Ducks, Geese, and Waterfowl)</v>
      </c>
    </row>
    <row r="1885" spans="1:8" x14ac:dyDescent="0.15">
      <c r="A1885" s="3" t="s">
        <v>1794</v>
      </c>
      <c r="B1885" s="3" t="s">
        <v>4580</v>
      </c>
      <c r="C1885" s="3">
        <v>545</v>
      </c>
      <c r="D1885" s="3" t="str">
        <f>VLOOKUP(B1885,[1]LifeList!$E$2:$G$2036,1)</f>
        <v>Mallard</v>
      </c>
      <c r="E1885" s="3" t="str">
        <f>VLOOKUP(B1885,[1]LifeList!$E$2:$G$2036,2)</f>
        <v>Canard colvert</v>
      </c>
      <c r="F1885" s="3" t="str">
        <f>VLOOKUP(B1885,[1]LifeList!$E$2:$G$2036,3)</f>
        <v>Anas platyrhynchos</v>
      </c>
      <c r="G1885" s="3" t="str">
        <f>VLOOKUP(B1885,[1]LifeList!$E$2:$I$2036,4)</f>
        <v>Anseriformes</v>
      </c>
      <c r="H1885" s="3" t="str">
        <f>VLOOKUP(B1885,[1]LifeList!$E$2:$I$2036,5)</f>
        <v>Anatidae (Ducks, Geese, and Waterfowl)</v>
      </c>
    </row>
    <row r="1886" spans="1:8" x14ac:dyDescent="0.15">
      <c r="A1886" s="3" t="s">
        <v>1795</v>
      </c>
      <c r="B1886" s="3" t="s">
        <v>4580</v>
      </c>
      <c r="C1886" s="3">
        <v>545</v>
      </c>
      <c r="D1886" s="3" t="str">
        <f>VLOOKUP(B1886,[1]LifeList!$E$2:$G$2036,1)</f>
        <v>Mallard</v>
      </c>
      <c r="E1886" s="3" t="str">
        <f>VLOOKUP(B1886,[1]LifeList!$E$2:$G$2036,2)</f>
        <v>Canard colvert</v>
      </c>
      <c r="F1886" s="3" t="str">
        <f>VLOOKUP(B1886,[1]LifeList!$E$2:$G$2036,3)</f>
        <v>Anas platyrhynchos</v>
      </c>
      <c r="G1886" s="3" t="str">
        <f>VLOOKUP(B1886,[1]LifeList!$E$2:$I$2036,4)</f>
        <v>Anseriformes</v>
      </c>
      <c r="H1886" s="3" t="str">
        <f>VLOOKUP(B1886,[1]LifeList!$E$2:$I$2036,5)</f>
        <v>Anatidae (Ducks, Geese, and Waterfowl)</v>
      </c>
    </row>
    <row r="1887" spans="1:8" x14ac:dyDescent="0.15">
      <c r="A1887" s="3" t="s">
        <v>1796</v>
      </c>
      <c r="B1887" s="3" t="s">
        <v>4580</v>
      </c>
      <c r="C1887" s="3">
        <v>545</v>
      </c>
      <c r="D1887" s="3" t="str">
        <f>VLOOKUP(B1887,[1]LifeList!$E$2:$G$2036,1)</f>
        <v>Mallard</v>
      </c>
      <c r="E1887" s="3" t="str">
        <f>VLOOKUP(B1887,[1]LifeList!$E$2:$G$2036,2)</f>
        <v>Canard colvert</v>
      </c>
      <c r="F1887" s="3" t="str">
        <f>VLOOKUP(B1887,[1]LifeList!$E$2:$G$2036,3)</f>
        <v>Anas platyrhynchos</v>
      </c>
      <c r="G1887" s="3" t="str">
        <f>VLOOKUP(B1887,[1]LifeList!$E$2:$I$2036,4)</f>
        <v>Anseriformes</v>
      </c>
      <c r="H1887" s="3" t="str">
        <f>VLOOKUP(B1887,[1]LifeList!$E$2:$I$2036,5)</f>
        <v>Anatidae (Ducks, Geese, and Waterfowl)</v>
      </c>
    </row>
    <row r="1888" spans="1:8" x14ac:dyDescent="0.15">
      <c r="A1888" s="3" t="s">
        <v>1797</v>
      </c>
      <c r="B1888" s="3" t="s">
        <v>4580</v>
      </c>
      <c r="C1888" s="3">
        <v>545</v>
      </c>
      <c r="D1888" s="3" t="str">
        <f>VLOOKUP(B1888,[1]LifeList!$E$2:$G$2036,1)</f>
        <v>Mallard</v>
      </c>
      <c r="E1888" s="3" t="str">
        <f>VLOOKUP(B1888,[1]LifeList!$E$2:$G$2036,2)</f>
        <v>Canard colvert</v>
      </c>
      <c r="F1888" s="3" t="str">
        <f>VLOOKUP(B1888,[1]LifeList!$E$2:$G$2036,3)</f>
        <v>Anas platyrhynchos</v>
      </c>
      <c r="G1888" s="3" t="str">
        <f>VLOOKUP(B1888,[1]LifeList!$E$2:$I$2036,4)</f>
        <v>Anseriformes</v>
      </c>
      <c r="H1888" s="3" t="str">
        <f>VLOOKUP(B1888,[1]LifeList!$E$2:$I$2036,5)</f>
        <v>Anatidae (Ducks, Geese, and Waterfowl)</v>
      </c>
    </row>
    <row r="1889" spans="1:8" x14ac:dyDescent="0.15">
      <c r="A1889" s="3" t="s">
        <v>1798</v>
      </c>
      <c r="B1889" s="3" t="s">
        <v>4580</v>
      </c>
      <c r="C1889" s="3">
        <v>545</v>
      </c>
      <c r="D1889" s="3" t="str">
        <f>VLOOKUP(B1889,[1]LifeList!$E$2:$G$2036,1)</f>
        <v>Mallard</v>
      </c>
      <c r="E1889" s="3" t="str">
        <f>VLOOKUP(B1889,[1]LifeList!$E$2:$G$2036,2)</f>
        <v>Canard colvert</v>
      </c>
      <c r="F1889" s="3" t="str">
        <f>VLOOKUP(B1889,[1]LifeList!$E$2:$G$2036,3)</f>
        <v>Anas platyrhynchos</v>
      </c>
      <c r="G1889" s="3" t="str">
        <f>VLOOKUP(B1889,[1]LifeList!$E$2:$I$2036,4)</f>
        <v>Anseriformes</v>
      </c>
      <c r="H1889" s="3" t="str">
        <f>VLOOKUP(B1889,[1]LifeList!$E$2:$I$2036,5)</f>
        <v>Anatidae (Ducks, Geese, and Waterfowl)</v>
      </c>
    </row>
    <row r="1890" spans="1:8" x14ac:dyDescent="0.15">
      <c r="A1890" s="3" t="s">
        <v>1800</v>
      </c>
      <c r="B1890" s="3" t="s">
        <v>4581</v>
      </c>
      <c r="C1890" s="3">
        <v>459</v>
      </c>
      <c r="D1890" s="3" t="str">
        <f>VLOOKUP(B1890,[1]LifeList!$E$2:$G$2036,1)</f>
        <v>Maned Duck</v>
      </c>
      <c r="E1890" s="3" t="str">
        <f>VLOOKUP(B1890,[1]LifeList!$E$2:$G$2036,2)</f>
        <v>Canard à crinière</v>
      </c>
      <c r="F1890" s="3" t="str">
        <f>VLOOKUP(B1890,[1]LifeList!$E$2:$G$2036,3)</f>
        <v>Chenonetta jubata</v>
      </c>
      <c r="G1890" s="3" t="str">
        <f>VLOOKUP(B1890,[1]LifeList!$E$2:$I$2036,4)</f>
        <v>Anseriformes</v>
      </c>
      <c r="H1890" s="3" t="str">
        <f>VLOOKUP(B1890,[1]LifeList!$E$2:$I$2036,5)</f>
        <v>Anatidae (Ducks, Geese, and Waterfowl)</v>
      </c>
    </row>
    <row r="1891" spans="1:8" x14ac:dyDescent="0.15">
      <c r="A1891" s="3" t="s">
        <v>1799</v>
      </c>
      <c r="B1891" s="3" t="s">
        <v>4581</v>
      </c>
      <c r="C1891" s="3">
        <v>459</v>
      </c>
      <c r="D1891" s="3" t="str">
        <f>VLOOKUP(B1891,[1]LifeList!$E$2:$G$2036,1)</f>
        <v>Maned Duck</v>
      </c>
      <c r="E1891" s="3" t="str">
        <f>VLOOKUP(B1891,[1]LifeList!$E$2:$G$2036,2)</f>
        <v>Canard à crinière</v>
      </c>
      <c r="F1891" s="3" t="str">
        <f>VLOOKUP(B1891,[1]LifeList!$E$2:$G$2036,3)</f>
        <v>Chenonetta jubata</v>
      </c>
      <c r="G1891" s="3" t="str">
        <f>VLOOKUP(B1891,[1]LifeList!$E$2:$I$2036,4)</f>
        <v>Anseriformes</v>
      </c>
      <c r="H1891" s="3" t="str">
        <f>VLOOKUP(B1891,[1]LifeList!$E$2:$I$2036,5)</f>
        <v>Anatidae (Ducks, Geese, and Waterfowl)</v>
      </c>
    </row>
    <row r="1892" spans="1:8" x14ac:dyDescent="0.15">
      <c r="A1892" s="3" t="s">
        <v>1801</v>
      </c>
      <c r="B1892" s="3" t="s">
        <v>4582</v>
      </c>
      <c r="C1892" s="3">
        <v>3241</v>
      </c>
      <c r="D1892" s="3" t="str">
        <f>VLOOKUP(B1892,[1]LifeList!$E$2:$G$2036,1)</f>
        <v>Mangrove Cuckoo</v>
      </c>
      <c r="E1892" s="3" t="str">
        <f>VLOOKUP(B1892,[1]LifeList!$E$2:$G$2036,2)</f>
        <v>Coulicou manioc</v>
      </c>
      <c r="F1892" s="3" t="str">
        <f>VLOOKUP(B1892,[1]LifeList!$E$2:$G$2036,3)</f>
        <v>Coccyzus minor</v>
      </c>
      <c r="G1892" s="3" t="str">
        <f>VLOOKUP(B1892,[1]LifeList!$E$2:$I$2036,4)</f>
        <v>Cuculiformes</v>
      </c>
      <c r="H1892" s="3" t="str">
        <f>VLOOKUP(B1892,[1]LifeList!$E$2:$I$2036,5)</f>
        <v>Cuculidae (Cuckoos)</v>
      </c>
    </row>
    <row r="1893" spans="1:8" x14ac:dyDescent="0.15">
      <c r="A1893" s="3" t="s">
        <v>1802</v>
      </c>
      <c r="B1893" s="3" t="s">
        <v>4583</v>
      </c>
      <c r="C1893" s="3">
        <v>24070</v>
      </c>
      <c r="D1893" s="3" t="str">
        <f>VLOOKUP(B1893,[1]LifeList!$E$2:$G$2036,1)</f>
        <v>Mangrove Swallow</v>
      </c>
      <c r="E1893" s="3" t="str">
        <f>VLOOKUP(B1893,[1]LifeList!$E$2:$G$2036,2)</f>
        <v>Hirondelle des mangroves</v>
      </c>
      <c r="F1893" s="3" t="str">
        <f>VLOOKUP(B1893,[1]LifeList!$E$2:$G$2036,3)</f>
        <v>Tachycineta albilinea</v>
      </c>
      <c r="G1893" s="3" t="str">
        <f>VLOOKUP(B1893,[1]LifeList!$E$2:$I$2036,4)</f>
        <v>Passeriformes</v>
      </c>
      <c r="H1893" s="3" t="str">
        <f>VLOOKUP(B1893,[1]LifeList!$E$2:$I$2036,5)</f>
        <v>Hirundinidae (Swallows)</v>
      </c>
    </row>
    <row r="1894" spans="1:8" x14ac:dyDescent="0.15">
      <c r="A1894" s="3" t="s">
        <v>1803</v>
      </c>
      <c r="B1894" s="3" t="s">
        <v>4584</v>
      </c>
      <c r="C1894" s="3">
        <v>7303</v>
      </c>
      <c r="D1894" s="3" t="str">
        <f>VLOOKUP(B1894,[1]LifeList!$E$2:$G$2036,1)</f>
        <v>Marabou Stork</v>
      </c>
      <c r="E1894" s="3" t="str">
        <f>VLOOKUP(B1894,[1]LifeList!$E$2:$G$2036,2)</f>
        <v>Marabout d'Afrique</v>
      </c>
      <c r="F1894" s="3" t="str">
        <f>VLOOKUP(B1894,[1]LifeList!$E$2:$G$2036,3)</f>
        <v>Leptoptilos crumenifer</v>
      </c>
      <c r="G1894" s="3" t="str">
        <f>VLOOKUP(B1894,[1]LifeList!$E$2:$I$2036,4)</f>
        <v>Ciconiiformes</v>
      </c>
      <c r="H1894" s="3" t="str">
        <f>VLOOKUP(B1894,[1]LifeList!$E$2:$I$2036,5)</f>
        <v>Ciconiidae (Storks)</v>
      </c>
    </row>
    <row r="1895" spans="1:8" x14ac:dyDescent="0.15">
      <c r="A1895" s="3" t="s">
        <v>1804</v>
      </c>
      <c r="B1895" s="3" t="s">
        <v>4584</v>
      </c>
      <c r="C1895" s="3">
        <v>7303</v>
      </c>
      <c r="D1895" s="3" t="str">
        <f>VLOOKUP(B1895,[1]LifeList!$E$2:$G$2036,1)</f>
        <v>Marabou Stork</v>
      </c>
      <c r="E1895" s="3" t="str">
        <f>VLOOKUP(B1895,[1]LifeList!$E$2:$G$2036,2)</f>
        <v>Marabout d'Afrique</v>
      </c>
      <c r="F1895" s="3" t="str">
        <f>VLOOKUP(B1895,[1]LifeList!$E$2:$G$2036,3)</f>
        <v>Leptoptilos crumenifer</v>
      </c>
      <c r="G1895" s="3" t="str">
        <f>VLOOKUP(B1895,[1]LifeList!$E$2:$I$2036,4)</f>
        <v>Ciconiiformes</v>
      </c>
      <c r="H1895" s="3" t="str">
        <f>VLOOKUP(B1895,[1]LifeList!$E$2:$I$2036,5)</f>
        <v>Ciconiidae (Storks)</v>
      </c>
    </row>
    <row r="1896" spans="1:8" x14ac:dyDescent="0.15">
      <c r="A1896" s="3" t="s">
        <v>1805</v>
      </c>
      <c r="B1896" s="3" t="s">
        <v>4585</v>
      </c>
      <c r="C1896" s="3">
        <v>6051</v>
      </c>
      <c r="D1896" s="3" t="str">
        <f>VLOOKUP(B1896,[1]LifeList!$E$2:$G$2036,1)</f>
        <v>Marbled Godwit</v>
      </c>
      <c r="E1896" s="3" t="str">
        <f>VLOOKUP(B1896,[1]LifeList!$E$2:$G$2036,2)</f>
        <v>Barge marbrée</v>
      </c>
      <c r="F1896" s="3" t="str">
        <f>VLOOKUP(B1896,[1]LifeList!$E$2:$G$2036,3)</f>
        <v>Limosa fedoa</v>
      </c>
      <c r="G1896" s="3" t="str">
        <f>VLOOKUP(B1896,[1]LifeList!$E$2:$I$2036,4)</f>
        <v>Charadriiformes</v>
      </c>
      <c r="H1896" s="3" t="str">
        <f>VLOOKUP(B1896,[1]LifeList!$E$2:$I$2036,5)</f>
        <v>Scolopacidae (Sandpipers and Allies)</v>
      </c>
    </row>
    <row r="1897" spans="1:8" x14ac:dyDescent="0.15">
      <c r="A1897" s="3" t="s">
        <v>1806</v>
      </c>
      <c r="B1897" s="3" t="s">
        <v>4585</v>
      </c>
      <c r="C1897" s="3">
        <v>6051</v>
      </c>
      <c r="D1897" s="3" t="str">
        <f>VLOOKUP(B1897,[1]LifeList!$E$2:$G$2036,1)</f>
        <v>Marbled Godwit</v>
      </c>
      <c r="E1897" s="3" t="str">
        <f>VLOOKUP(B1897,[1]LifeList!$E$2:$G$2036,2)</f>
        <v>Barge marbrée</v>
      </c>
      <c r="F1897" s="3" t="str">
        <f>VLOOKUP(B1897,[1]LifeList!$E$2:$G$2036,3)</f>
        <v>Limosa fedoa</v>
      </c>
      <c r="G1897" s="3" t="str">
        <f>VLOOKUP(B1897,[1]LifeList!$E$2:$I$2036,4)</f>
        <v>Charadriiformes</v>
      </c>
      <c r="H1897" s="3" t="str">
        <f>VLOOKUP(B1897,[1]LifeList!$E$2:$I$2036,5)</f>
        <v>Scolopacidae (Sandpipers and Allies)</v>
      </c>
    </row>
    <row r="1898" spans="1:8" x14ac:dyDescent="0.15">
      <c r="A1898" s="3" t="s">
        <v>1807</v>
      </c>
      <c r="B1898" s="3" t="s">
        <v>4585</v>
      </c>
      <c r="C1898" s="3">
        <v>6051</v>
      </c>
      <c r="D1898" s="3" t="str">
        <f>VLOOKUP(B1898,[1]LifeList!$E$2:$G$2036,1)</f>
        <v>Marbled Godwit</v>
      </c>
      <c r="E1898" s="3" t="str">
        <f>VLOOKUP(B1898,[1]LifeList!$E$2:$G$2036,2)</f>
        <v>Barge marbrée</v>
      </c>
      <c r="F1898" s="3" t="str">
        <f>VLOOKUP(B1898,[1]LifeList!$E$2:$G$2036,3)</f>
        <v>Limosa fedoa</v>
      </c>
      <c r="G1898" s="3" t="str">
        <f>VLOOKUP(B1898,[1]LifeList!$E$2:$I$2036,4)</f>
        <v>Charadriiformes</v>
      </c>
      <c r="H1898" s="3" t="str">
        <f>VLOOKUP(B1898,[1]LifeList!$E$2:$I$2036,5)</f>
        <v>Scolopacidae (Sandpipers and Allies)</v>
      </c>
    </row>
    <row r="1899" spans="1:8" x14ac:dyDescent="0.15">
      <c r="A1899" s="3" t="s">
        <v>1808</v>
      </c>
      <c r="B1899" s="3" t="s">
        <v>4585</v>
      </c>
      <c r="C1899" s="3">
        <v>6051</v>
      </c>
      <c r="D1899" s="3" t="str">
        <f>VLOOKUP(B1899,[1]LifeList!$E$2:$G$2036,1)</f>
        <v>Marbled Godwit</v>
      </c>
      <c r="E1899" s="3" t="str">
        <f>VLOOKUP(B1899,[1]LifeList!$E$2:$G$2036,2)</f>
        <v>Barge marbrée</v>
      </c>
      <c r="F1899" s="3" t="str">
        <f>VLOOKUP(B1899,[1]LifeList!$E$2:$G$2036,3)</f>
        <v>Limosa fedoa</v>
      </c>
      <c r="G1899" s="3" t="str">
        <f>VLOOKUP(B1899,[1]LifeList!$E$2:$I$2036,4)</f>
        <v>Charadriiformes</v>
      </c>
      <c r="H1899" s="3" t="str">
        <f>VLOOKUP(B1899,[1]LifeList!$E$2:$I$2036,5)</f>
        <v>Scolopacidae (Sandpipers and Allies)</v>
      </c>
    </row>
    <row r="1900" spans="1:8" x14ac:dyDescent="0.15">
      <c r="A1900" s="3" t="s">
        <v>1809</v>
      </c>
      <c r="B1900" s="3" t="s">
        <v>4586</v>
      </c>
      <c r="C1900" s="3">
        <v>6136</v>
      </c>
      <c r="D1900" s="3" t="str">
        <f>VLOOKUP(B1900,[1]LifeList!$E$2:$G$2036,1)</f>
        <v>Marsh Sandpiper</v>
      </c>
      <c r="E1900" s="3" t="str">
        <f>VLOOKUP(B1900,[1]LifeList!$E$2:$G$2036,2)</f>
        <v>Chevalier stagnatile</v>
      </c>
      <c r="F1900" s="3" t="str">
        <f>VLOOKUP(B1900,[1]LifeList!$E$2:$G$2036,3)</f>
        <v>Tringa stagnatilis</v>
      </c>
      <c r="G1900" s="3" t="str">
        <f>VLOOKUP(B1900,[1]LifeList!$E$2:$I$2036,4)</f>
        <v>Charadriiformes</v>
      </c>
      <c r="H1900" s="3" t="str">
        <f>VLOOKUP(B1900,[1]LifeList!$E$2:$I$2036,5)</f>
        <v>Scolopacidae (Sandpipers and Allies)</v>
      </c>
    </row>
    <row r="1901" spans="1:8" x14ac:dyDescent="0.15">
      <c r="A1901" s="3" t="s">
        <v>1810</v>
      </c>
      <c r="B1901" s="3" t="s">
        <v>4587</v>
      </c>
      <c r="C1901" s="3">
        <v>27329</v>
      </c>
      <c r="D1901" s="3" t="str">
        <f>VLOOKUP(B1901,[1]LifeList!$E$2:$G$2036,1)</f>
        <v>Marsh Wren</v>
      </c>
      <c r="E1901" s="3" t="str">
        <f>VLOOKUP(B1901,[1]LifeList!$E$2:$G$2036,2)</f>
        <v>Troglodyte des marais</v>
      </c>
      <c r="F1901" s="3" t="str">
        <f>VLOOKUP(B1901,[1]LifeList!$E$2:$G$2036,3)</f>
        <v>Cistothorus palustris</v>
      </c>
      <c r="G1901" s="3" t="str">
        <f>VLOOKUP(B1901,[1]LifeList!$E$2:$I$2036,4)</f>
        <v>Passeriformes</v>
      </c>
      <c r="H1901" s="3" t="str">
        <f>VLOOKUP(B1901,[1]LifeList!$E$2:$I$2036,5)</f>
        <v>Troglodytidae (Wrens)</v>
      </c>
    </row>
    <row r="1902" spans="1:8" x14ac:dyDescent="0.15">
      <c r="A1902" s="3" t="s">
        <v>1811</v>
      </c>
      <c r="B1902" s="3" t="s">
        <v>4587</v>
      </c>
      <c r="C1902" s="3">
        <v>27329</v>
      </c>
      <c r="D1902" s="3" t="str">
        <f>VLOOKUP(B1902,[1]LifeList!$E$2:$G$2036,1)</f>
        <v>Marsh Wren</v>
      </c>
      <c r="E1902" s="3" t="str">
        <f>VLOOKUP(B1902,[1]LifeList!$E$2:$G$2036,2)</f>
        <v>Troglodyte des marais</v>
      </c>
      <c r="F1902" s="3" t="str">
        <f>VLOOKUP(B1902,[1]LifeList!$E$2:$G$2036,3)</f>
        <v>Cistothorus palustris</v>
      </c>
      <c r="G1902" s="3" t="str">
        <f>VLOOKUP(B1902,[1]LifeList!$E$2:$I$2036,4)</f>
        <v>Passeriformes</v>
      </c>
      <c r="H1902" s="3" t="str">
        <f>VLOOKUP(B1902,[1]LifeList!$E$2:$I$2036,5)</f>
        <v>Troglodytidae (Wrens)</v>
      </c>
    </row>
    <row r="1903" spans="1:8" x14ac:dyDescent="0.15">
      <c r="A1903" s="3" t="s">
        <v>1812</v>
      </c>
      <c r="B1903" s="3" t="s">
        <v>4588</v>
      </c>
      <c r="C1903" s="3">
        <v>8033</v>
      </c>
      <c r="D1903" s="3" t="str">
        <f>VLOOKUP(B1903,[1]LifeList!$E$2:$G$2036,1)</f>
        <v>Martial Eagle</v>
      </c>
      <c r="E1903" s="3" t="str">
        <f>VLOOKUP(B1903,[1]LifeList!$E$2:$G$2036,2)</f>
        <v>Aigle martial</v>
      </c>
      <c r="F1903" s="3" t="str">
        <f>VLOOKUP(B1903,[1]LifeList!$E$2:$G$2036,3)</f>
        <v>Polemaetus bellicosus</v>
      </c>
      <c r="G1903" s="3" t="str">
        <f>VLOOKUP(B1903,[1]LifeList!$E$2:$I$2036,4)</f>
        <v>Accipitriformes</v>
      </c>
      <c r="H1903" s="3" t="str">
        <f>VLOOKUP(B1903,[1]LifeList!$E$2:$I$2036,5)</f>
        <v>Accipitridae (Hawks, Eagles, and Kites)</v>
      </c>
    </row>
    <row r="1904" spans="1:8" x14ac:dyDescent="0.15">
      <c r="A1904" s="3" t="s">
        <v>1813</v>
      </c>
      <c r="B1904" s="3" t="s">
        <v>4589</v>
      </c>
      <c r="C1904" s="3">
        <v>34632</v>
      </c>
      <c r="D1904" s="3" t="str">
        <f>VLOOKUP(B1904,[1]LifeList!$E$2:$G$2036,1)</f>
        <v>Masked Cardinal</v>
      </c>
      <c r="E1904" s="3" t="str">
        <f>VLOOKUP(B1904,[1]LifeList!$E$2:$G$2036,2)</f>
        <v>Paroare masqué</v>
      </c>
      <c r="F1904" s="3" t="str">
        <f>VLOOKUP(B1904,[1]LifeList!$E$2:$G$2036,3)</f>
        <v>Paroaria nigrogenis</v>
      </c>
      <c r="G1904" s="3" t="str">
        <f>VLOOKUP(B1904,[1]LifeList!$E$2:$I$2036,4)</f>
        <v>Passeriformes</v>
      </c>
      <c r="H1904" s="3" t="str">
        <f>VLOOKUP(B1904,[1]LifeList!$E$2:$I$2036,5)</f>
        <v>Thraupidae (Tanagers and Allies)</v>
      </c>
    </row>
    <row r="1905" spans="1:8" x14ac:dyDescent="0.15">
      <c r="A1905" s="3" t="s">
        <v>1814</v>
      </c>
      <c r="B1905" s="3" t="s">
        <v>4590</v>
      </c>
      <c r="C1905" s="3">
        <v>35330</v>
      </c>
      <c r="D1905" s="3" t="str">
        <f>VLOOKUP(B1905,[1]LifeList!$E$2:$G$2036,1)</f>
        <v>Masked Flowerpiercer</v>
      </c>
      <c r="E1905" s="3" t="str">
        <f>VLOOKUP(B1905,[1]LifeList!$E$2:$G$2036,2)</f>
        <v>Percefleur masqué</v>
      </c>
      <c r="F1905" s="3" t="str">
        <f>VLOOKUP(B1905,[1]LifeList!$E$2:$G$2036,3)</f>
        <v>Diglossa cyanea</v>
      </c>
      <c r="G1905" s="3" t="str">
        <f>VLOOKUP(B1905,[1]LifeList!$E$2:$I$2036,4)</f>
        <v>Passeriformes</v>
      </c>
      <c r="H1905" s="3" t="str">
        <f>VLOOKUP(B1905,[1]LifeList!$E$2:$I$2036,5)</f>
        <v>Thraupidae (Tanagers and Allies)</v>
      </c>
    </row>
    <row r="1906" spans="1:8" x14ac:dyDescent="0.15">
      <c r="A1906" s="3" t="s">
        <v>1815</v>
      </c>
      <c r="B1906" s="3" t="s">
        <v>4591</v>
      </c>
      <c r="C1906" s="3">
        <v>5891</v>
      </c>
      <c r="D1906" s="3" t="str">
        <f>VLOOKUP(B1906,[1]LifeList!$E$2:$G$2036,1)</f>
        <v>Masked Lapwing</v>
      </c>
      <c r="E1906" s="3" t="str">
        <f>VLOOKUP(B1906,[1]LifeList!$E$2:$G$2036,2)</f>
        <v>Vanneau soldat</v>
      </c>
      <c r="F1906" s="3" t="str">
        <f>VLOOKUP(B1906,[1]LifeList!$E$2:$G$2036,3)</f>
        <v>Vanellus miles</v>
      </c>
      <c r="G1906" s="3" t="str">
        <f>VLOOKUP(B1906,[1]LifeList!$E$2:$I$2036,4)</f>
        <v>Charadriiformes</v>
      </c>
      <c r="H1906" s="3" t="str">
        <f>VLOOKUP(B1906,[1]LifeList!$E$2:$I$2036,5)</f>
        <v>Charadriidae (Plovers and Lapwings)</v>
      </c>
    </row>
    <row r="1907" spans="1:8" x14ac:dyDescent="0.15">
      <c r="A1907" s="3" t="s">
        <v>1816</v>
      </c>
      <c r="B1907" s="3" t="s">
        <v>4592</v>
      </c>
      <c r="C1907" s="3">
        <v>15969</v>
      </c>
      <c r="D1907" s="3" t="str">
        <f>VLOOKUP(B1907,[1]LifeList!$E$2:$G$2036,1)</f>
        <v>Masked Tityra</v>
      </c>
      <c r="E1907" s="3" t="str">
        <f>VLOOKUP(B1907,[1]LifeList!$E$2:$G$2036,2)</f>
        <v>Tityre masqué</v>
      </c>
      <c r="F1907" s="3" t="str">
        <f>VLOOKUP(B1907,[1]LifeList!$E$2:$G$2036,3)</f>
        <v>Tityra semifasciata</v>
      </c>
      <c r="G1907" s="3" t="str">
        <f>VLOOKUP(B1907,[1]LifeList!$E$2:$I$2036,4)</f>
        <v>Passeriformes</v>
      </c>
      <c r="H1907" s="3" t="str">
        <f>VLOOKUP(B1907,[1]LifeList!$E$2:$I$2036,5)</f>
        <v>Tityridae (Tityras and Allies)</v>
      </c>
    </row>
    <row r="1908" spans="1:8" x14ac:dyDescent="0.15">
      <c r="A1908" s="3" t="s">
        <v>1817</v>
      </c>
      <c r="B1908" s="3" t="s">
        <v>4592</v>
      </c>
      <c r="C1908" s="3">
        <v>15969</v>
      </c>
      <c r="D1908" s="3" t="str">
        <f>VLOOKUP(B1908,[1]LifeList!$E$2:$G$2036,1)</f>
        <v>Masked Tityra</v>
      </c>
      <c r="E1908" s="3" t="str">
        <f>VLOOKUP(B1908,[1]LifeList!$E$2:$G$2036,2)</f>
        <v>Tityre masqué</v>
      </c>
      <c r="F1908" s="3" t="str">
        <f>VLOOKUP(B1908,[1]LifeList!$E$2:$G$2036,3)</f>
        <v>Tityra semifasciata</v>
      </c>
      <c r="G1908" s="3" t="str">
        <f>VLOOKUP(B1908,[1]LifeList!$E$2:$I$2036,4)</f>
        <v>Passeriformes</v>
      </c>
      <c r="H1908" s="3" t="str">
        <f>VLOOKUP(B1908,[1]LifeList!$E$2:$I$2036,5)</f>
        <v>Tityridae (Tityras and Allies)</v>
      </c>
    </row>
    <row r="1909" spans="1:8" x14ac:dyDescent="0.15">
      <c r="A1909" s="3" t="s">
        <v>1818</v>
      </c>
      <c r="B1909" s="3" t="s">
        <v>4592</v>
      </c>
      <c r="C1909" s="3">
        <v>15969</v>
      </c>
      <c r="D1909" s="3" t="str">
        <f>VLOOKUP(B1909,[1]LifeList!$E$2:$G$2036,1)</f>
        <v>Masked Tityra</v>
      </c>
      <c r="E1909" s="3" t="str">
        <f>VLOOKUP(B1909,[1]LifeList!$E$2:$G$2036,2)</f>
        <v>Tityre masqué</v>
      </c>
      <c r="F1909" s="3" t="str">
        <f>VLOOKUP(B1909,[1]LifeList!$E$2:$G$2036,3)</f>
        <v>Tityra semifasciata</v>
      </c>
      <c r="G1909" s="3" t="str">
        <f>VLOOKUP(B1909,[1]LifeList!$E$2:$I$2036,4)</f>
        <v>Passeriformes</v>
      </c>
      <c r="H1909" s="3" t="str">
        <f>VLOOKUP(B1909,[1]LifeList!$E$2:$I$2036,5)</f>
        <v>Tityridae (Tityras and Allies)</v>
      </c>
    </row>
    <row r="1910" spans="1:8" x14ac:dyDescent="0.15">
      <c r="A1910" s="3" t="s">
        <v>1819</v>
      </c>
      <c r="B1910" s="3" t="s">
        <v>4592</v>
      </c>
      <c r="C1910" s="3">
        <v>15969</v>
      </c>
      <c r="D1910" s="3" t="str">
        <f>VLOOKUP(B1910,[1]LifeList!$E$2:$G$2036,1)</f>
        <v>Masked Tityra</v>
      </c>
      <c r="E1910" s="3" t="str">
        <f>VLOOKUP(B1910,[1]LifeList!$E$2:$G$2036,2)</f>
        <v>Tityre masqué</v>
      </c>
      <c r="F1910" s="3" t="str">
        <f>VLOOKUP(B1910,[1]LifeList!$E$2:$G$2036,3)</f>
        <v>Tityra semifasciata</v>
      </c>
      <c r="G1910" s="3" t="str">
        <f>VLOOKUP(B1910,[1]LifeList!$E$2:$I$2036,4)</f>
        <v>Passeriformes</v>
      </c>
      <c r="H1910" s="3" t="str">
        <f>VLOOKUP(B1910,[1]LifeList!$E$2:$I$2036,5)</f>
        <v>Tityridae (Tityras and Allies)</v>
      </c>
    </row>
    <row r="1911" spans="1:8" x14ac:dyDescent="0.15">
      <c r="A1911" s="3" t="s">
        <v>1820</v>
      </c>
      <c r="B1911" s="3" t="s">
        <v>4593</v>
      </c>
      <c r="C1911" s="3">
        <v>9592</v>
      </c>
      <c r="D1911" s="3" t="str">
        <f>VLOOKUP(B1911,[1]LifeList!$E$2:$G$2036,1)</f>
        <v>Masked Trogon</v>
      </c>
      <c r="E1911" s="3" t="str">
        <f>VLOOKUP(B1911,[1]LifeList!$E$2:$G$2036,2)</f>
        <v>Trogon masqué</v>
      </c>
      <c r="F1911" s="3" t="str">
        <f>VLOOKUP(B1911,[1]LifeList!$E$2:$G$2036,3)</f>
        <v>Trogon personatus</v>
      </c>
      <c r="G1911" s="3" t="str">
        <f>VLOOKUP(B1911,[1]LifeList!$E$2:$I$2036,4)</f>
        <v>Trogoniformes</v>
      </c>
      <c r="H1911" s="3" t="str">
        <f>VLOOKUP(B1911,[1]LifeList!$E$2:$I$2036,5)</f>
        <v>Trogonidae (Trogons)</v>
      </c>
    </row>
    <row r="1912" spans="1:8" x14ac:dyDescent="0.15">
      <c r="A1912" s="3" t="s">
        <v>1821</v>
      </c>
      <c r="B1912" s="3" t="s">
        <v>4593</v>
      </c>
      <c r="C1912" s="3">
        <v>9592</v>
      </c>
      <c r="D1912" s="3" t="str">
        <f>VLOOKUP(B1912,[1]LifeList!$E$2:$G$2036,1)</f>
        <v>Masked Trogon</v>
      </c>
      <c r="E1912" s="3" t="str">
        <f>VLOOKUP(B1912,[1]LifeList!$E$2:$G$2036,2)</f>
        <v>Trogon masqué</v>
      </c>
      <c r="F1912" s="3" t="str">
        <f>VLOOKUP(B1912,[1]LifeList!$E$2:$G$2036,3)</f>
        <v>Trogon personatus</v>
      </c>
      <c r="G1912" s="3" t="str">
        <f>VLOOKUP(B1912,[1]LifeList!$E$2:$I$2036,4)</f>
        <v>Trogoniformes</v>
      </c>
      <c r="H1912" s="3" t="str">
        <f>VLOOKUP(B1912,[1]LifeList!$E$2:$I$2036,5)</f>
        <v>Trogonidae (Trogons)</v>
      </c>
    </row>
    <row r="1913" spans="1:8" x14ac:dyDescent="0.15">
      <c r="A1913" s="3" t="s">
        <v>1822</v>
      </c>
      <c r="B1913" s="3" t="s">
        <v>4594</v>
      </c>
      <c r="C1913" s="3">
        <v>33999</v>
      </c>
      <c r="D1913" s="3" t="str">
        <f>VLOOKUP(B1913,[1]LifeList!$E$2:$G$2036,1)</f>
        <v>Masked Yellowthroat</v>
      </c>
      <c r="E1913" s="3" t="str">
        <f>VLOOKUP(B1913,[1]LifeList!$E$2:$G$2036,2)</f>
        <v>Paruline équatoriale</v>
      </c>
      <c r="F1913" s="3" t="str">
        <f>VLOOKUP(B1913,[1]LifeList!$E$2:$G$2036,3)</f>
        <v>Geothlypis aequinoctialis</v>
      </c>
      <c r="G1913" s="3" t="str">
        <f>VLOOKUP(B1913,[1]LifeList!$E$2:$I$2036,4)</f>
        <v>Passeriformes</v>
      </c>
      <c r="H1913" s="3" t="str">
        <f>VLOOKUP(B1913,[1]LifeList!$E$2:$I$2036,5)</f>
        <v>Parulidae (New World Warblers)</v>
      </c>
    </row>
    <row r="1914" spans="1:8" x14ac:dyDescent="0.15">
      <c r="A1914" s="3" t="s">
        <v>1823</v>
      </c>
      <c r="B1914" s="3" t="s">
        <v>4595</v>
      </c>
      <c r="C1914" s="3">
        <v>12960</v>
      </c>
      <c r="D1914" s="3" t="str">
        <f>VLOOKUP(B1914,[1]LifeList!$E$2:$G$2036,1)</f>
        <v>Mealy Amazon</v>
      </c>
      <c r="E1914" s="3" t="str">
        <f>VLOOKUP(B1914,[1]LifeList!$E$2:$G$2036,2)</f>
        <v>Amazone poudrée</v>
      </c>
      <c r="F1914" s="3" t="str">
        <f>VLOOKUP(B1914,[1]LifeList!$E$2:$G$2036,3)</f>
        <v>Amazona farinosa</v>
      </c>
      <c r="G1914" s="3" t="str">
        <f>VLOOKUP(B1914,[1]LifeList!$E$2:$I$2036,4)</f>
        <v>Psittaciformes</v>
      </c>
      <c r="H1914" s="3" t="str">
        <f>VLOOKUP(B1914,[1]LifeList!$E$2:$I$2036,5)</f>
        <v>Psittacidae (New World and African Parrots)</v>
      </c>
    </row>
    <row r="1915" spans="1:8" x14ac:dyDescent="0.15">
      <c r="A1915" s="3" t="s">
        <v>1824</v>
      </c>
      <c r="B1915" s="3" t="s">
        <v>4595</v>
      </c>
      <c r="C1915" s="3">
        <v>12960</v>
      </c>
      <c r="D1915" s="3" t="str">
        <f>VLOOKUP(B1915,[1]LifeList!$E$2:$G$2036,1)</f>
        <v>Mealy Amazon</v>
      </c>
      <c r="E1915" s="3" t="str">
        <f>VLOOKUP(B1915,[1]LifeList!$E$2:$G$2036,2)</f>
        <v>Amazone poudrée</v>
      </c>
      <c r="F1915" s="3" t="str">
        <f>VLOOKUP(B1915,[1]LifeList!$E$2:$G$2036,3)</f>
        <v>Amazona farinosa</v>
      </c>
      <c r="G1915" s="3" t="str">
        <f>VLOOKUP(B1915,[1]LifeList!$E$2:$I$2036,4)</f>
        <v>Psittaciformes</v>
      </c>
      <c r="H1915" s="3" t="str">
        <f>VLOOKUP(B1915,[1]LifeList!$E$2:$I$2036,5)</f>
        <v>Psittacidae (New World and African Parrots)</v>
      </c>
    </row>
    <row r="1916" spans="1:8" x14ac:dyDescent="0.15">
      <c r="A1916" s="3" t="s">
        <v>1825</v>
      </c>
      <c r="B1916" s="3" t="s">
        <v>4595</v>
      </c>
      <c r="C1916" s="3">
        <v>12960</v>
      </c>
      <c r="D1916" s="3" t="str">
        <f>VLOOKUP(B1916,[1]LifeList!$E$2:$G$2036,1)</f>
        <v>Mealy Amazon</v>
      </c>
      <c r="E1916" s="3" t="str">
        <f>VLOOKUP(B1916,[1]LifeList!$E$2:$G$2036,2)</f>
        <v>Amazone poudrée</v>
      </c>
      <c r="F1916" s="3" t="str">
        <f>VLOOKUP(B1916,[1]LifeList!$E$2:$G$2036,3)</f>
        <v>Amazona farinosa</v>
      </c>
      <c r="G1916" s="3" t="str">
        <f>VLOOKUP(B1916,[1]LifeList!$E$2:$I$2036,4)</f>
        <v>Psittaciformes</v>
      </c>
      <c r="H1916" s="3" t="str">
        <f>VLOOKUP(B1916,[1]LifeList!$E$2:$I$2036,5)</f>
        <v>Psittacidae (New World and African Parrots)</v>
      </c>
    </row>
    <row r="1917" spans="1:8" x14ac:dyDescent="0.15">
      <c r="A1917" s="3" t="s">
        <v>1826</v>
      </c>
      <c r="B1917" s="3" t="s">
        <v>4596</v>
      </c>
      <c r="C1917" s="3">
        <v>35775</v>
      </c>
      <c r="D1917" s="3" t="str">
        <f>VLOOKUP(B1917,[1]LifeList!$E$2:$G$2036,1)</f>
        <v>Medium Ground-Finch</v>
      </c>
      <c r="E1917" s="3" t="str">
        <f>VLOOKUP(B1917,[1]LifeList!$E$2:$G$2036,2)</f>
        <v>Géospize à bec moyen</v>
      </c>
      <c r="F1917" s="3" t="str">
        <f>VLOOKUP(B1917,[1]LifeList!$E$2:$G$2036,3)</f>
        <v>Geospiza fortis</v>
      </c>
      <c r="G1917" s="3" t="str">
        <f>VLOOKUP(B1917,[1]LifeList!$E$2:$I$2036,4)</f>
        <v>Passeriformes</v>
      </c>
      <c r="H1917" s="3" t="str">
        <f>VLOOKUP(B1917,[1]LifeList!$E$2:$I$2036,5)</f>
        <v>Thraupidae (Tanagers and Allies)</v>
      </c>
    </row>
    <row r="1918" spans="1:8" x14ac:dyDescent="0.15">
      <c r="A1918" s="3" t="s">
        <v>3893</v>
      </c>
      <c r="B1918" s="3" t="s">
        <v>5233</v>
      </c>
      <c r="C1918" s="3">
        <v>17808</v>
      </c>
      <c r="D1918" s="3" t="str">
        <f>VLOOKUP(B1918,[1]LifeList!$E$2:$G$2036,1)</f>
        <v>Meller's Duck</v>
      </c>
      <c r="E1918" s="3" t="str">
        <f>VLOOKUP(B1918,[1]LifeList!$E$2:$G$2036,2)</f>
        <v>Canard de Meller</v>
      </c>
      <c r="F1918" s="3" t="str">
        <f>VLOOKUP(B1918,[1]LifeList!$E$2:$G$2036,3)</f>
        <v>Anas melleri</v>
      </c>
      <c r="G1918" s="3" t="str">
        <f>VLOOKUP(B1918,[1]LifeList!$E$2:$I$2036,4)</f>
        <v>Anseriformes</v>
      </c>
      <c r="H1918" s="3" t="str">
        <f>VLOOKUP(B1918,[1]LifeList!$E$2:$I$2036,5)</f>
        <v>Anatidae (Ducks, Geese, and Waterfowl)</v>
      </c>
    </row>
    <row r="1919" spans="1:8" x14ac:dyDescent="0.15">
      <c r="A1919" s="3" t="s">
        <v>1827</v>
      </c>
      <c r="B1919" s="3" t="s">
        <v>4597</v>
      </c>
      <c r="C1919" s="3">
        <v>33843</v>
      </c>
      <c r="D1919" s="3" t="str">
        <f>VLOOKUP(B1919,[1]LifeList!$E$2:$G$2036,1)</f>
        <v>Melodious Blackbird</v>
      </c>
      <c r="E1919" s="3" t="str">
        <f>VLOOKUP(B1919,[1]LifeList!$E$2:$G$2036,2)</f>
        <v>Quiscale chanteur</v>
      </c>
      <c r="F1919" s="3" t="str">
        <f>VLOOKUP(B1919,[1]LifeList!$E$2:$G$2036,3)</f>
        <v>Dives dives</v>
      </c>
      <c r="G1919" s="3" t="str">
        <f>VLOOKUP(B1919,[1]LifeList!$E$2:$I$2036,4)</f>
        <v>Passeriformes</v>
      </c>
      <c r="H1919" s="3" t="str">
        <f>VLOOKUP(B1919,[1]LifeList!$E$2:$I$2036,5)</f>
        <v>Icteridae (Troupials and Allies)</v>
      </c>
    </row>
    <row r="1920" spans="1:8" x14ac:dyDescent="0.15">
      <c r="A1920" s="3" t="s">
        <v>1829</v>
      </c>
      <c r="B1920" s="3" t="s">
        <v>4597</v>
      </c>
      <c r="C1920" s="3">
        <v>33843</v>
      </c>
      <c r="D1920" s="3" t="str">
        <f>VLOOKUP(B1920,[1]LifeList!$E$2:$G$2036,1)</f>
        <v>Melodious Blackbird</v>
      </c>
      <c r="E1920" s="3" t="str">
        <f>VLOOKUP(B1920,[1]LifeList!$E$2:$G$2036,2)</f>
        <v>Quiscale chanteur</v>
      </c>
      <c r="F1920" s="3" t="str">
        <f>VLOOKUP(B1920,[1]LifeList!$E$2:$G$2036,3)</f>
        <v>Dives dives</v>
      </c>
      <c r="G1920" s="3" t="str">
        <f>VLOOKUP(B1920,[1]LifeList!$E$2:$I$2036,4)</f>
        <v>Passeriformes</v>
      </c>
      <c r="H1920" s="3" t="str">
        <f>VLOOKUP(B1920,[1]LifeList!$E$2:$I$2036,5)</f>
        <v>Icteridae (Troupials and Allies)</v>
      </c>
    </row>
    <row r="1921" spans="1:8" x14ac:dyDescent="0.15">
      <c r="A1921" s="3" t="s">
        <v>1828</v>
      </c>
      <c r="B1921" s="3" t="s">
        <v>4597</v>
      </c>
      <c r="C1921" s="3">
        <v>33843</v>
      </c>
      <c r="D1921" s="3" t="str">
        <f>VLOOKUP(B1921,[1]LifeList!$E$2:$G$2036,1)</f>
        <v>Melodious Blackbird</v>
      </c>
      <c r="E1921" s="3" t="str">
        <f>VLOOKUP(B1921,[1]LifeList!$E$2:$G$2036,2)</f>
        <v>Quiscale chanteur</v>
      </c>
      <c r="F1921" s="3" t="str">
        <f>VLOOKUP(B1921,[1]LifeList!$E$2:$G$2036,3)</f>
        <v>Dives dives</v>
      </c>
      <c r="G1921" s="3" t="str">
        <f>VLOOKUP(B1921,[1]LifeList!$E$2:$I$2036,4)</f>
        <v>Passeriformes</v>
      </c>
      <c r="H1921" s="3" t="str">
        <f>VLOOKUP(B1921,[1]LifeList!$E$2:$I$2036,5)</f>
        <v>Icteridae (Troupials and Allies)</v>
      </c>
    </row>
    <row r="1922" spans="1:8" x14ac:dyDescent="0.15">
      <c r="A1922" s="3" t="s">
        <v>1830</v>
      </c>
      <c r="B1922" s="3" t="s">
        <v>4598</v>
      </c>
      <c r="C1922" s="3">
        <v>12062</v>
      </c>
      <c r="D1922" s="3" t="str">
        <f>VLOOKUP(B1922,[1]LifeList!$E$2:$G$2036,1)</f>
        <v>Merlin</v>
      </c>
      <c r="E1922" s="3" t="str">
        <f>VLOOKUP(B1922,[1]LifeList!$E$2:$G$2036,2)</f>
        <v>Faucon émerillon</v>
      </c>
      <c r="F1922" s="3" t="str">
        <f>VLOOKUP(B1922,[1]LifeList!$E$2:$G$2036,3)</f>
        <v>Falco columbarius</v>
      </c>
      <c r="G1922" s="3" t="str">
        <f>VLOOKUP(B1922,[1]LifeList!$E$2:$I$2036,4)</f>
        <v>Falconiformes</v>
      </c>
      <c r="H1922" s="3" t="str">
        <f>VLOOKUP(B1922,[1]LifeList!$E$2:$I$2036,5)</f>
        <v>Falconidae (Falcons and Caracaras)</v>
      </c>
    </row>
    <row r="1923" spans="1:8" x14ac:dyDescent="0.15">
      <c r="A1923" s="3" t="s">
        <v>1831</v>
      </c>
      <c r="B1923" s="3" t="s">
        <v>4598</v>
      </c>
      <c r="C1923" s="3">
        <v>12062</v>
      </c>
      <c r="D1923" s="3" t="str">
        <f>VLOOKUP(B1923,[1]LifeList!$E$2:$G$2036,1)</f>
        <v>Merlin</v>
      </c>
      <c r="E1923" s="3" t="str">
        <f>VLOOKUP(B1923,[1]LifeList!$E$2:$G$2036,2)</f>
        <v>Faucon émerillon</v>
      </c>
      <c r="F1923" s="3" t="str">
        <f>VLOOKUP(B1923,[1]LifeList!$E$2:$G$2036,3)</f>
        <v>Falco columbarius</v>
      </c>
      <c r="G1923" s="3" t="str">
        <f>VLOOKUP(B1923,[1]LifeList!$E$2:$I$2036,4)</f>
        <v>Falconiformes</v>
      </c>
      <c r="H1923" s="3" t="str">
        <f>VLOOKUP(B1923,[1]LifeList!$E$2:$I$2036,5)</f>
        <v>Falconidae (Falcons and Caracaras)</v>
      </c>
    </row>
    <row r="1924" spans="1:8" x14ac:dyDescent="0.15">
      <c r="A1924" s="3" t="s">
        <v>1832</v>
      </c>
      <c r="B1924" s="3" t="s">
        <v>4598</v>
      </c>
      <c r="C1924" s="3">
        <v>12062</v>
      </c>
      <c r="D1924" s="3" t="str">
        <f>VLOOKUP(B1924,[1]LifeList!$E$2:$G$2036,1)</f>
        <v>Merlin</v>
      </c>
      <c r="E1924" s="3" t="str">
        <f>VLOOKUP(B1924,[1]LifeList!$E$2:$G$2036,2)</f>
        <v>Faucon émerillon</v>
      </c>
      <c r="F1924" s="3" t="str">
        <f>VLOOKUP(B1924,[1]LifeList!$E$2:$G$2036,3)</f>
        <v>Falco columbarius</v>
      </c>
      <c r="G1924" s="3" t="str">
        <f>VLOOKUP(B1924,[1]LifeList!$E$2:$I$2036,4)</f>
        <v>Falconiformes</v>
      </c>
      <c r="H1924" s="3" t="str">
        <f>VLOOKUP(B1924,[1]LifeList!$E$2:$I$2036,5)</f>
        <v>Falconidae (Falcons and Caracaras)</v>
      </c>
    </row>
    <row r="1925" spans="1:8" x14ac:dyDescent="0.15">
      <c r="A1925" s="3" t="s">
        <v>1833</v>
      </c>
      <c r="B1925" s="3" t="s">
        <v>4598</v>
      </c>
      <c r="C1925" s="3">
        <v>12062</v>
      </c>
      <c r="D1925" s="3" t="str">
        <f>VLOOKUP(B1925,[1]LifeList!$E$2:$G$2036,1)</f>
        <v>Merlin</v>
      </c>
      <c r="E1925" s="3" t="str">
        <f>VLOOKUP(B1925,[1]LifeList!$E$2:$G$2036,2)</f>
        <v>Faucon émerillon</v>
      </c>
      <c r="F1925" s="3" t="str">
        <f>VLOOKUP(B1925,[1]LifeList!$E$2:$G$2036,3)</f>
        <v>Falco columbarius</v>
      </c>
      <c r="G1925" s="3" t="str">
        <f>VLOOKUP(B1925,[1]LifeList!$E$2:$I$2036,4)</f>
        <v>Falconiformes</v>
      </c>
      <c r="H1925" s="3" t="str">
        <f>VLOOKUP(B1925,[1]LifeList!$E$2:$I$2036,5)</f>
        <v>Falconidae (Falcons and Caracaras)</v>
      </c>
    </row>
    <row r="1926" spans="1:8" x14ac:dyDescent="0.15">
      <c r="A1926" s="3" t="s">
        <v>1834</v>
      </c>
      <c r="B1926" s="3" t="s">
        <v>4598</v>
      </c>
      <c r="C1926" s="3">
        <v>12062</v>
      </c>
      <c r="D1926" s="3" t="str">
        <f>VLOOKUP(B1926,[1]LifeList!$E$2:$G$2036,1)</f>
        <v>Merlin</v>
      </c>
      <c r="E1926" s="3" t="str">
        <f>VLOOKUP(B1926,[1]LifeList!$E$2:$G$2036,2)</f>
        <v>Faucon émerillon</v>
      </c>
      <c r="F1926" s="3" t="str">
        <f>VLOOKUP(B1926,[1]LifeList!$E$2:$G$2036,3)</f>
        <v>Falco columbarius</v>
      </c>
      <c r="G1926" s="3" t="str">
        <f>VLOOKUP(B1926,[1]LifeList!$E$2:$I$2036,4)</f>
        <v>Falconiformes</v>
      </c>
      <c r="H1926" s="3" t="str">
        <f>VLOOKUP(B1926,[1]LifeList!$E$2:$I$2036,5)</f>
        <v>Falconidae (Falcons and Caracaras)</v>
      </c>
    </row>
    <row r="1927" spans="1:8" x14ac:dyDescent="0.15">
      <c r="A1927" s="3" t="s">
        <v>1835</v>
      </c>
      <c r="B1927" s="3" t="s">
        <v>4598</v>
      </c>
      <c r="C1927" s="3">
        <v>12062</v>
      </c>
      <c r="D1927" s="3" t="str">
        <f>VLOOKUP(B1927,[1]LifeList!$E$2:$G$2036,1)</f>
        <v>Merlin</v>
      </c>
      <c r="E1927" s="3" t="str">
        <f>VLOOKUP(B1927,[1]LifeList!$E$2:$G$2036,2)</f>
        <v>Faucon émerillon</v>
      </c>
      <c r="F1927" s="3" t="str">
        <f>VLOOKUP(B1927,[1]LifeList!$E$2:$G$2036,3)</f>
        <v>Falco columbarius</v>
      </c>
      <c r="G1927" s="3" t="str">
        <f>VLOOKUP(B1927,[1]LifeList!$E$2:$I$2036,4)</f>
        <v>Falconiformes</v>
      </c>
      <c r="H1927" s="3" t="str">
        <f>VLOOKUP(B1927,[1]LifeList!$E$2:$I$2036,5)</f>
        <v>Falconidae (Falcons and Caracaras)</v>
      </c>
    </row>
    <row r="1928" spans="1:8" x14ac:dyDescent="0.15">
      <c r="A1928" s="3" t="s">
        <v>1836</v>
      </c>
      <c r="B1928" s="3" t="s">
        <v>4598</v>
      </c>
      <c r="C1928" s="3">
        <v>12062</v>
      </c>
      <c r="D1928" s="3" t="str">
        <f>VLOOKUP(B1928,[1]LifeList!$E$2:$G$2036,1)</f>
        <v>Merlin</v>
      </c>
      <c r="E1928" s="3" t="str">
        <f>VLOOKUP(B1928,[1]LifeList!$E$2:$G$2036,2)</f>
        <v>Faucon émerillon</v>
      </c>
      <c r="F1928" s="3" t="str">
        <f>VLOOKUP(B1928,[1]LifeList!$E$2:$G$2036,3)</f>
        <v>Falco columbarius</v>
      </c>
      <c r="G1928" s="3" t="str">
        <f>VLOOKUP(B1928,[1]LifeList!$E$2:$I$2036,4)</f>
        <v>Falconiformes</v>
      </c>
      <c r="H1928" s="3" t="str">
        <f>VLOOKUP(B1928,[1]LifeList!$E$2:$I$2036,5)</f>
        <v>Falconidae (Falcons and Caracaras)</v>
      </c>
    </row>
    <row r="1929" spans="1:8" x14ac:dyDescent="0.15">
      <c r="A1929" s="3" t="s">
        <v>1837</v>
      </c>
      <c r="B1929" s="3" t="s">
        <v>4598</v>
      </c>
      <c r="C1929" s="3">
        <v>12062</v>
      </c>
      <c r="D1929" s="3" t="str">
        <f>VLOOKUP(B1929,[1]LifeList!$E$2:$G$2036,1)</f>
        <v>Merlin</v>
      </c>
      <c r="E1929" s="3" t="str">
        <f>VLOOKUP(B1929,[1]LifeList!$E$2:$G$2036,2)</f>
        <v>Faucon émerillon</v>
      </c>
      <c r="F1929" s="3" t="str">
        <f>VLOOKUP(B1929,[1]LifeList!$E$2:$G$2036,3)</f>
        <v>Falco columbarius</v>
      </c>
      <c r="G1929" s="3" t="str">
        <f>VLOOKUP(B1929,[1]LifeList!$E$2:$I$2036,4)</f>
        <v>Falconiformes</v>
      </c>
      <c r="H1929" s="3" t="str">
        <f>VLOOKUP(B1929,[1]LifeList!$E$2:$I$2036,5)</f>
        <v>Falconidae (Falcons and Caracaras)</v>
      </c>
    </row>
    <row r="1930" spans="1:8" x14ac:dyDescent="0.15">
      <c r="A1930" s="3" t="s">
        <v>1838</v>
      </c>
      <c r="B1930" s="3" t="s">
        <v>4598</v>
      </c>
      <c r="C1930" s="3">
        <v>12062</v>
      </c>
      <c r="D1930" s="3" t="str">
        <f>VLOOKUP(B1930,[1]LifeList!$E$2:$G$2036,1)</f>
        <v>Merlin</v>
      </c>
      <c r="E1930" s="3" t="str">
        <f>VLOOKUP(B1930,[1]LifeList!$E$2:$G$2036,2)</f>
        <v>Faucon émerillon</v>
      </c>
      <c r="F1930" s="3" t="str">
        <f>VLOOKUP(B1930,[1]LifeList!$E$2:$G$2036,3)</f>
        <v>Falco columbarius</v>
      </c>
      <c r="G1930" s="3" t="str">
        <f>VLOOKUP(B1930,[1]LifeList!$E$2:$I$2036,4)</f>
        <v>Falconiformes</v>
      </c>
      <c r="H1930" s="3" t="str">
        <f>VLOOKUP(B1930,[1]LifeList!$E$2:$I$2036,5)</f>
        <v>Falconidae (Falcons and Caracaras)</v>
      </c>
    </row>
    <row r="1931" spans="1:8" x14ac:dyDescent="0.15">
      <c r="A1931" s="3" t="s">
        <v>1839</v>
      </c>
      <c r="B1931" s="3" t="s">
        <v>4598</v>
      </c>
      <c r="C1931" s="3">
        <v>12062</v>
      </c>
      <c r="D1931" s="3" t="str">
        <f>VLOOKUP(B1931,[1]LifeList!$E$2:$G$2036,1)</f>
        <v>Merlin</v>
      </c>
      <c r="E1931" s="3" t="str">
        <f>VLOOKUP(B1931,[1]LifeList!$E$2:$G$2036,2)</f>
        <v>Faucon émerillon</v>
      </c>
      <c r="F1931" s="3" t="str">
        <f>VLOOKUP(B1931,[1]LifeList!$E$2:$G$2036,3)</f>
        <v>Falco columbarius</v>
      </c>
      <c r="G1931" s="3" t="str">
        <f>VLOOKUP(B1931,[1]LifeList!$E$2:$I$2036,4)</f>
        <v>Falconiformes</v>
      </c>
      <c r="H1931" s="3" t="str">
        <f>VLOOKUP(B1931,[1]LifeList!$E$2:$I$2036,5)</f>
        <v>Falconidae (Falcons and Caracaras)</v>
      </c>
    </row>
    <row r="1932" spans="1:8" x14ac:dyDescent="0.15">
      <c r="A1932" s="3" t="s">
        <v>1840</v>
      </c>
      <c r="B1932" s="3" t="s">
        <v>4598</v>
      </c>
      <c r="C1932" s="3">
        <v>12062</v>
      </c>
      <c r="D1932" s="3" t="str">
        <f>VLOOKUP(B1932,[1]LifeList!$E$2:$G$2036,1)</f>
        <v>Merlin</v>
      </c>
      <c r="E1932" s="3" t="str">
        <f>VLOOKUP(B1932,[1]LifeList!$E$2:$G$2036,2)</f>
        <v>Faucon émerillon</v>
      </c>
      <c r="F1932" s="3" t="str">
        <f>VLOOKUP(B1932,[1]LifeList!$E$2:$G$2036,3)</f>
        <v>Falco columbarius</v>
      </c>
      <c r="G1932" s="3" t="str">
        <f>VLOOKUP(B1932,[1]LifeList!$E$2:$I$2036,4)</f>
        <v>Falconiformes</v>
      </c>
      <c r="H1932" s="3" t="str">
        <f>VLOOKUP(B1932,[1]LifeList!$E$2:$I$2036,5)</f>
        <v>Falconidae (Falcons and Caracaras)</v>
      </c>
    </row>
    <row r="1933" spans="1:8" x14ac:dyDescent="0.15">
      <c r="A1933" s="3" t="s">
        <v>3894</v>
      </c>
      <c r="B1933" s="3" t="s">
        <v>4598</v>
      </c>
      <c r="C1933" s="3">
        <v>12062</v>
      </c>
      <c r="D1933" s="3" t="str">
        <f>VLOOKUP(B1933,[1]LifeList!$E$2:$G$2036,1)</f>
        <v>Merlin</v>
      </c>
      <c r="E1933" s="3" t="str">
        <f>VLOOKUP(B1933,[1]LifeList!$E$2:$G$2036,2)</f>
        <v>Faucon émerillon</v>
      </c>
      <c r="F1933" s="3" t="str">
        <f>VLOOKUP(B1933,[1]LifeList!$E$2:$G$2036,3)</f>
        <v>Falco columbarius</v>
      </c>
      <c r="G1933" s="3" t="str">
        <f>VLOOKUP(B1933,[1]LifeList!$E$2:$I$2036,4)</f>
        <v>Falconiformes</v>
      </c>
      <c r="H1933" s="3" t="str">
        <f>VLOOKUP(B1933,[1]LifeList!$E$2:$I$2036,5)</f>
        <v>Falconidae (Falcons and Caracaras)</v>
      </c>
    </row>
    <row r="1934" spans="1:8" x14ac:dyDescent="0.15">
      <c r="A1934" s="3" t="s">
        <v>3895</v>
      </c>
      <c r="B1934" s="3" t="s">
        <v>4598</v>
      </c>
      <c r="C1934" s="3">
        <v>12062</v>
      </c>
      <c r="D1934" s="3" t="str">
        <f>VLOOKUP(B1934,[1]LifeList!$E$2:$G$2036,1)</f>
        <v>Merlin</v>
      </c>
      <c r="E1934" s="3" t="str">
        <f>VLOOKUP(B1934,[1]LifeList!$E$2:$G$2036,2)</f>
        <v>Faucon émerillon</v>
      </c>
      <c r="F1934" s="3" t="str">
        <f>VLOOKUP(B1934,[1]LifeList!$E$2:$G$2036,3)</f>
        <v>Falco columbarius</v>
      </c>
      <c r="G1934" s="3" t="str">
        <f>VLOOKUP(B1934,[1]LifeList!$E$2:$I$2036,4)</f>
        <v>Falconiformes</v>
      </c>
      <c r="H1934" s="3" t="str">
        <f>VLOOKUP(B1934,[1]LifeList!$E$2:$I$2036,5)</f>
        <v>Falconidae (Falcons and Caracaras)</v>
      </c>
    </row>
    <row r="1935" spans="1:8" x14ac:dyDescent="0.15">
      <c r="A1935" s="3" t="s">
        <v>1841</v>
      </c>
      <c r="B1935" s="3" t="s">
        <v>4599</v>
      </c>
      <c r="C1935" s="3">
        <v>35048</v>
      </c>
      <c r="D1935" s="3" t="str">
        <f>VLOOKUP(B1935,[1]LifeList!$E$2:$G$2036,1)</f>
        <v>Metallic-green Tanager</v>
      </c>
      <c r="E1935" s="3" t="str">
        <f>VLOOKUP(B1935,[1]LifeList!$E$2:$G$2036,2)</f>
        <v>Calliste vert</v>
      </c>
      <c r="F1935" s="3" t="str">
        <f>VLOOKUP(B1935,[1]LifeList!$E$2:$G$2036,3)</f>
        <v>Tangara labradorides</v>
      </c>
      <c r="G1935" s="3" t="str">
        <f>VLOOKUP(B1935,[1]LifeList!$E$2:$I$2036,4)</f>
        <v>Passeriformes</v>
      </c>
      <c r="H1935" s="3" t="str">
        <f>VLOOKUP(B1935,[1]LifeList!$E$2:$I$2036,5)</f>
        <v>Thraupidae (Tanagers and Allies)</v>
      </c>
    </row>
    <row r="1936" spans="1:8" x14ac:dyDescent="0.15">
      <c r="A1936" s="3" t="s">
        <v>1842</v>
      </c>
      <c r="B1936" s="3" t="s">
        <v>4600</v>
      </c>
      <c r="C1936" s="3">
        <v>8388</v>
      </c>
      <c r="D1936" s="3" t="str">
        <f>VLOOKUP(B1936,[1]LifeList!$E$2:$G$2036,1)</f>
        <v>Mississippi Kite</v>
      </c>
      <c r="E1936" s="3" t="str">
        <f>VLOOKUP(B1936,[1]LifeList!$E$2:$G$2036,2)</f>
        <v>Milan du Mississippi</v>
      </c>
      <c r="F1936" s="3" t="str">
        <f>VLOOKUP(B1936,[1]LifeList!$E$2:$G$2036,3)</f>
        <v>Ictinia mississippiensis</v>
      </c>
      <c r="G1936" s="3" t="str">
        <f>VLOOKUP(B1936,[1]LifeList!$E$2:$I$2036,4)</f>
        <v>Accipitriformes</v>
      </c>
      <c r="H1936" s="3" t="str">
        <f>VLOOKUP(B1936,[1]LifeList!$E$2:$I$2036,5)</f>
        <v>Accipitridae (Hawks, Eagles, and Kites)</v>
      </c>
    </row>
    <row r="1937" spans="1:8" x14ac:dyDescent="0.15">
      <c r="A1937" s="3" t="s">
        <v>1843</v>
      </c>
      <c r="B1937" s="3" t="s">
        <v>4600</v>
      </c>
      <c r="C1937" s="3">
        <v>8388</v>
      </c>
      <c r="D1937" s="3" t="str">
        <f>VLOOKUP(B1937,[1]LifeList!$E$2:$G$2036,1)</f>
        <v>Mississippi Kite</v>
      </c>
      <c r="E1937" s="3" t="str">
        <f>VLOOKUP(B1937,[1]LifeList!$E$2:$G$2036,2)</f>
        <v>Milan du Mississippi</v>
      </c>
      <c r="F1937" s="3" t="str">
        <f>VLOOKUP(B1937,[1]LifeList!$E$2:$G$2036,3)</f>
        <v>Ictinia mississippiensis</v>
      </c>
      <c r="G1937" s="3" t="str">
        <f>VLOOKUP(B1937,[1]LifeList!$E$2:$I$2036,4)</f>
        <v>Accipitriformes</v>
      </c>
      <c r="H1937" s="3" t="str">
        <f>VLOOKUP(B1937,[1]LifeList!$E$2:$I$2036,5)</f>
        <v>Accipitridae (Hawks, Eagles, and Kites)</v>
      </c>
    </row>
    <row r="1938" spans="1:8" x14ac:dyDescent="0.15">
      <c r="A1938" s="3" t="s">
        <v>1844</v>
      </c>
      <c r="B1938" s="3" t="s">
        <v>4600</v>
      </c>
      <c r="C1938" s="3">
        <v>8388</v>
      </c>
      <c r="D1938" s="3" t="str">
        <f>VLOOKUP(B1938,[1]LifeList!$E$2:$G$2036,1)</f>
        <v>Mississippi Kite</v>
      </c>
      <c r="E1938" s="3" t="str">
        <f>VLOOKUP(B1938,[1]LifeList!$E$2:$G$2036,2)</f>
        <v>Milan du Mississippi</v>
      </c>
      <c r="F1938" s="3" t="str">
        <f>VLOOKUP(B1938,[1]LifeList!$E$2:$G$2036,3)</f>
        <v>Ictinia mississippiensis</v>
      </c>
      <c r="G1938" s="3" t="str">
        <f>VLOOKUP(B1938,[1]LifeList!$E$2:$I$2036,4)</f>
        <v>Accipitriformes</v>
      </c>
      <c r="H1938" s="3" t="str">
        <f>VLOOKUP(B1938,[1]LifeList!$E$2:$I$2036,5)</f>
        <v>Accipitridae (Hawks, Eagles, and Kites)</v>
      </c>
    </row>
    <row r="1939" spans="1:8" x14ac:dyDescent="0.15">
      <c r="A1939" s="3" t="s">
        <v>1845</v>
      </c>
      <c r="B1939" s="3" t="s">
        <v>4601</v>
      </c>
      <c r="C1939" s="3">
        <v>13196</v>
      </c>
      <c r="D1939" s="3" t="str">
        <f>VLOOKUP(B1939,[1]LifeList!$E$2:$G$2036,1)</f>
        <v>Mitred Parakeet</v>
      </c>
      <c r="E1939" s="3" t="str">
        <f>VLOOKUP(B1939,[1]LifeList!$E$2:$G$2036,2)</f>
        <v>Conure mitrée</v>
      </c>
      <c r="F1939" s="3" t="str">
        <f>VLOOKUP(B1939,[1]LifeList!$E$2:$G$2036,3)</f>
        <v>Psittacara mitratus</v>
      </c>
      <c r="G1939" s="3" t="str">
        <f>VLOOKUP(B1939,[1]LifeList!$E$2:$I$2036,4)</f>
        <v>Psittaciformes</v>
      </c>
      <c r="H1939" s="3" t="str">
        <f>VLOOKUP(B1939,[1]LifeList!$E$2:$I$2036,5)</f>
        <v>Psittacidae (New World and African Parrots)</v>
      </c>
    </row>
    <row r="1940" spans="1:8" x14ac:dyDescent="0.15">
      <c r="A1940" s="3" t="s">
        <v>1846</v>
      </c>
      <c r="B1940" s="3" t="s">
        <v>4601</v>
      </c>
      <c r="C1940" s="3">
        <v>13196</v>
      </c>
      <c r="D1940" s="3" t="str">
        <f>VLOOKUP(B1940,[1]LifeList!$E$2:$G$2036,1)</f>
        <v>Mitred Parakeet</v>
      </c>
      <c r="E1940" s="3" t="str">
        <f>VLOOKUP(B1940,[1]LifeList!$E$2:$G$2036,2)</f>
        <v>Conure mitrée</v>
      </c>
      <c r="F1940" s="3" t="str">
        <f>VLOOKUP(B1940,[1]LifeList!$E$2:$G$2036,3)</f>
        <v>Psittacara mitratus</v>
      </c>
      <c r="G1940" s="3" t="str">
        <f>VLOOKUP(B1940,[1]LifeList!$E$2:$I$2036,4)</f>
        <v>Psittaciformes</v>
      </c>
      <c r="H1940" s="3" t="str">
        <f>VLOOKUP(B1940,[1]LifeList!$E$2:$I$2036,5)</f>
        <v>Psittacidae (New World and African Parrots)</v>
      </c>
    </row>
    <row r="1941" spans="1:8" x14ac:dyDescent="0.15">
      <c r="A1941" s="3" t="s">
        <v>1847</v>
      </c>
      <c r="B1941" s="3" t="s">
        <v>4602</v>
      </c>
      <c r="C1941" s="3">
        <v>29757</v>
      </c>
      <c r="D1941" s="3" t="str">
        <f>VLOOKUP(B1941,[1]LifeList!$E$2:$G$2036,1)</f>
        <v>Mocking Cliff-Chat</v>
      </c>
      <c r="E1941" s="3" t="str">
        <f>VLOOKUP(B1941,[1]LifeList!$E$2:$G$2036,2)</f>
        <v>Traquet à ventre roux</v>
      </c>
      <c r="F1941" s="3" t="str">
        <f>VLOOKUP(B1941,[1]LifeList!$E$2:$G$2036,3)</f>
        <v>Thamnolaea cinnamomeiventris</v>
      </c>
      <c r="G1941" s="3" t="str">
        <f>VLOOKUP(B1941,[1]LifeList!$E$2:$I$2036,4)</f>
        <v>Passeriformes</v>
      </c>
      <c r="H1941" s="3" t="str">
        <f>VLOOKUP(B1941,[1]LifeList!$E$2:$I$2036,5)</f>
        <v>Muscicapidae (Old World Flycatchers)</v>
      </c>
    </row>
    <row r="1942" spans="1:8" x14ac:dyDescent="0.15">
      <c r="A1942" s="3" t="s">
        <v>1849</v>
      </c>
      <c r="B1942" s="3" t="s">
        <v>4602</v>
      </c>
      <c r="C1942" s="3">
        <v>29757</v>
      </c>
      <c r="D1942" s="3" t="str">
        <f>VLOOKUP(B1942,[1]LifeList!$E$2:$G$2036,1)</f>
        <v>Mocking Cliff-Chat</v>
      </c>
      <c r="E1942" s="3" t="str">
        <f>VLOOKUP(B1942,[1]LifeList!$E$2:$G$2036,2)</f>
        <v>Traquet à ventre roux</v>
      </c>
      <c r="F1942" s="3" t="str">
        <f>VLOOKUP(B1942,[1]LifeList!$E$2:$G$2036,3)</f>
        <v>Thamnolaea cinnamomeiventris</v>
      </c>
      <c r="G1942" s="3" t="str">
        <f>VLOOKUP(B1942,[1]LifeList!$E$2:$I$2036,4)</f>
        <v>Passeriformes</v>
      </c>
      <c r="H1942" s="3" t="str">
        <f>VLOOKUP(B1942,[1]LifeList!$E$2:$I$2036,5)</f>
        <v>Muscicapidae (Old World Flycatchers)</v>
      </c>
    </row>
    <row r="1943" spans="1:8" x14ac:dyDescent="0.15">
      <c r="A1943" s="3" t="s">
        <v>1848</v>
      </c>
      <c r="B1943" s="3" t="s">
        <v>4602</v>
      </c>
      <c r="C1943" s="3">
        <v>29757</v>
      </c>
      <c r="D1943" s="3" t="str">
        <f>VLOOKUP(B1943,[1]LifeList!$E$2:$G$2036,1)</f>
        <v>Mocking Cliff-Chat</v>
      </c>
      <c r="E1943" s="3" t="str">
        <f>VLOOKUP(B1943,[1]LifeList!$E$2:$G$2036,2)</f>
        <v>Traquet à ventre roux</v>
      </c>
      <c r="F1943" s="3" t="str">
        <f>VLOOKUP(B1943,[1]LifeList!$E$2:$G$2036,3)</f>
        <v>Thamnolaea cinnamomeiventris</v>
      </c>
      <c r="G1943" s="3" t="str">
        <f>VLOOKUP(B1943,[1]LifeList!$E$2:$I$2036,4)</f>
        <v>Passeriformes</v>
      </c>
      <c r="H1943" s="3" t="str">
        <f>VLOOKUP(B1943,[1]LifeList!$E$2:$I$2036,5)</f>
        <v>Muscicapidae (Old World Flycatchers)</v>
      </c>
    </row>
    <row r="1944" spans="1:8" x14ac:dyDescent="0.15">
      <c r="A1944" s="3" t="s">
        <v>1850</v>
      </c>
      <c r="B1944" s="3" t="s">
        <v>4603</v>
      </c>
      <c r="C1944" s="3">
        <v>12819</v>
      </c>
      <c r="D1944" s="3" t="str">
        <f>VLOOKUP(B1944,[1]LifeList!$E$2:$G$2036,1)</f>
        <v>Monk Parakeet</v>
      </c>
      <c r="E1944" s="3" t="str">
        <f>VLOOKUP(B1944,[1]LifeList!$E$2:$G$2036,2)</f>
        <v>Conure veuve</v>
      </c>
      <c r="F1944" s="3" t="str">
        <f>VLOOKUP(B1944,[1]LifeList!$E$2:$G$2036,3)</f>
        <v>Myiopsitta monachus</v>
      </c>
      <c r="G1944" s="3" t="str">
        <f>VLOOKUP(B1944,[1]LifeList!$E$2:$I$2036,4)</f>
        <v>Psittaciformes</v>
      </c>
      <c r="H1944" s="3" t="str">
        <f>VLOOKUP(B1944,[1]LifeList!$E$2:$I$2036,5)</f>
        <v>Psittacidae (New World and African Parrots)</v>
      </c>
    </row>
    <row r="1945" spans="1:8" x14ac:dyDescent="0.15">
      <c r="A1945" s="3" t="s">
        <v>1851</v>
      </c>
      <c r="B1945" s="3" t="s">
        <v>4603</v>
      </c>
      <c r="C1945" s="3">
        <v>12819</v>
      </c>
      <c r="D1945" s="3" t="str">
        <f>VLOOKUP(B1945,[1]LifeList!$E$2:$G$2036,1)</f>
        <v>Monk Parakeet</v>
      </c>
      <c r="E1945" s="3" t="str">
        <f>VLOOKUP(B1945,[1]LifeList!$E$2:$G$2036,2)</f>
        <v>Conure veuve</v>
      </c>
      <c r="F1945" s="3" t="str">
        <f>VLOOKUP(B1945,[1]LifeList!$E$2:$G$2036,3)</f>
        <v>Myiopsitta monachus</v>
      </c>
      <c r="G1945" s="3" t="str">
        <f>VLOOKUP(B1945,[1]LifeList!$E$2:$I$2036,4)</f>
        <v>Psittaciformes</v>
      </c>
      <c r="H1945" s="3" t="str">
        <f>VLOOKUP(B1945,[1]LifeList!$E$2:$I$2036,5)</f>
        <v>Psittacidae (New World and African Parrots)</v>
      </c>
    </row>
    <row r="1946" spans="1:8" x14ac:dyDescent="0.15">
      <c r="A1946" s="3" t="s">
        <v>1852</v>
      </c>
      <c r="B1946" s="3" t="s">
        <v>4603</v>
      </c>
      <c r="C1946" s="3">
        <v>12819</v>
      </c>
      <c r="D1946" s="3" t="str">
        <f>VLOOKUP(B1946,[1]LifeList!$E$2:$G$2036,1)</f>
        <v>Monk Parakeet</v>
      </c>
      <c r="E1946" s="3" t="str">
        <f>VLOOKUP(B1946,[1]LifeList!$E$2:$G$2036,2)</f>
        <v>Conure veuve</v>
      </c>
      <c r="F1946" s="3" t="str">
        <f>VLOOKUP(B1946,[1]LifeList!$E$2:$G$2036,3)</f>
        <v>Myiopsitta monachus</v>
      </c>
      <c r="G1946" s="3" t="str">
        <f>VLOOKUP(B1946,[1]LifeList!$E$2:$I$2036,4)</f>
        <v>Psittaciformes</v>
      </c>
      <c r="H1946" s="3" t="str">
        <f>VLOOKUP(B1946,[1]LifeList!$E$2:$I$2036,5)</f>
        <v>Psittacidae (New World and African Parrots)</v>
      </c>
    </row>
    <row r="1947" spans="1:8" x14ac:dyDescent="0.15">
      <c r="A1947" s="3" t="s">
        <v>1853</v>
      </c>
      <c r="B1947" s="3" t="s">
        <v>4603</v>
      </c>
      <c r="C1947" s="3">
        <v>12819</v>
      </c>
      <c r="D1947" s="3" t="str">
        <f>VLOOKUP(B1947,[1]LifeList!$E$2:$G$2036,1)</f>
        <v>Monk Parakeet</v>
      </c>
      <c r="E1947" s="3" t="str">
        <f>VLOOKUP(B1947,[1]LifeList!$E$2:$G$2036,2)</f>
        <v>Conure veuve</v>
      </c>
      <c r="F1947" s="3" t="str">
        <f>VLOOKUP(B1947,[1]LifeList!$E$2:$G$2036,3)</f>
        <v>Myiopsitta monachus</v>
      </c>
      <c r="G1947" s="3" t="str">
        <f>VLOOKUP(B1947,[1]LifeList!$E$2:$I$2036,4)</f>
        <v>Psittaciformes</v>
      </c>
      <c r="H1947" s="3" t="str">
        <f>VLOOKUP(B1947,[1]LifeList!$E$2:$I$2036,5)</f>
        <v>Psittacidae (New World and African Parrots)</v>
      </c>
    </row>
    <row r="1948" spans="1:8" x14ac:dyDescent="0.15">
      <c r="A1948" s="3" t="s">
        <v>1854</v>
      </c>
      <c r="B1948" s="3" t="s">
        <v>4603</v>
      </c>
      <c r="C1948" s="3">
        <v>12819</v>
      </c>
      <c r="D1948" s="3" t="str">
        <f>VLOOKUP(B1948,[1]LifeList!$E$2:$G$2036,1)</f>
        <v>Monk Parakeet</v>
      </c>
      <c r="E1948" s="3" t="str">
        <f>VLOOKUP(B1948,[1]LifeList!$E$2:$G$2036,2)</f>
        <v>Conure veuve</v>
      </c>
      <c r="F1948" s="3" t="str">
        <f>VLOOKUP(B1948,[1]LifeList!$E$2:$G$2036,3)</f>
        <v>Myiopsitta monachus</v>
      </c>
      <c r="G1948" s="3" t="str">
        <f>VLOOKUP(B1948,[1]LifeList!$E$2:$I$2036,4)</f>
        <v>Psittaciformes</v>
      </c>
      <c r="H1948" s="3" t="str">
        <f>VLOOKUP(B1948,[1]LifeList!$E$2:$I$2036,5)</f>
        <v>Psittacidae (New World and African Parrots)</v>
      </c>
    </row>
    <row r="1949" spans="1:8" x14ac:dyDescent="0.15">
      <c r="A1949" s="3" t="s">
        <v>1855</v>
      </c>
      <c r="B1949" s="3" t="s">
        <v>4604</v>
      </c>
      <c r="C1949" s="3">
        <v>14946</v>
      </c>
      <c r="D1949" s="3" t="str">
        <f>VLOOKUP(B1949,[1]LifeList!$E$2:$G$2036,1)</f>
        <v>Montane Woodcreeper</v>
      </c>
      <c r="E1949" s="3" t="str">
        <f>VLOOKUP(B1949,[1]LifeList!$E$2:$G$2036,2)</f>
        <v>Grimpar montagnard</v>
      </c>
      <c r="F1949" s="3" t="str">
        <f>VLOOKUP(B1949,[1]LifeList!$E$2:$G$2036,3)</f>
        <v>Lepidocolaptes lacrymiger</v>
      </c>
      <c r="G1949" s="3" t="str">
        <f>VLOOKUP(B1949,[1]LifeList!$E$2:$I$2036,4)</f>
        <v>Passeriformes</v>
      </c>
      <c r="H1949" s="3" t="str">
        <f>VLOOKUP(B1949,[1]LifeList!$E$2:$I$2036,5)</f>
        <v>Furnariidae (Ovenbirds and Woodcreepers)</v>
      </c>
    </row>
    <row r="1950" spans="1:8" x14ac:dyDescent="0.15">
      <c r="A1950" s="3" t="s">
        <v>1856</v>
      </c>
      <c r="B1950" s="3" t="s">
        <v>4604</v>
      </c>
      <c r="C1950" s="3">
        <v>14946</v>
      </c>
      <c r="D1950" s="3" t="str">
        <f>VLOOKUP(B1950,[1]LifeList!$E$2:$G$2036,1)</f>
        <v>Montane Woodcreeper</v>
      </c>
      <c r="E1950" s="3" t="str">
        <f>VLOOKUP(B1950,[1]LifeList!$E$2:$G$2036,2)</f>
        <v>Grimpar montagnard</v>
      </c>
      <c r="F1950" s="3" t="str">
        <f>VLOOKUP(B1950,[1]LifeList!$E$2:$G$2036,3)</f>
        <v>Lepidocolaptes lacrymiger</v>
      </c>
      <c r="G1950" s="3" t="str">
        <f>VLOOKUP(B1950,[1]LifeList!$E$2:$I$2036,4)</f>
        <v>Passeriformes</v>
      </c>
      <c r="H1950" s="3" t="str">
        <f>VLOOKUP(B1950,[1]LifeList!$E$2:$I$2036,5)</f>
        <v>Furnariidae (Ovenbirds and Woodcreepers)</v>
      </c>
    </row>
    <row r="1951" spans="1:8" x14ac:dyDescent="0.15">
      <c r="A1951" s="3" t="s">
        <v>1857</v>
      </c>
      <c r="B1951" s="3" t="s">
        <v>4604</v>
      </c>
      <c r="C1951" s="3">
        <v>14946</v>
      </c>
      <c r="D1951" s="3" t="str">
        <f>VLOOKUP(B1951,[1]LifeList!$E$2:$G$2036,1)</f>
        <v>Montane Woodcreeper</v>
      </c>
      <c r="E1951" s="3" t="str">
        <f>VLOOKUP(B1951,[1]LifeList!$E$2:$G$2036,2)</f>
        <v>Grimpar montagnard</v>
      </c>
      <c r="F1951" s="3" t="str">
        <f>VLOOKUP(B1951,[1]LifeList!$E$2:$G$2036,3)</f>
        <v>Lepidocolaptes lacrymiger</v>
      </c>
      <c r="G1951" s="3" t="str">
        <f>VLOOKUP(B1951,[1]LifeList!$E$2:$I$2036,4)</f>
        <v>Passeriformes</v>
      </c>
      <c r="H1951" s="3" t="str">
        <f>VLOOKUP(B1951,[1]LifeList!$E$2:$I$2036,5)</f>
        <v>Furnariidae (Ovenbirds and Woodcreepers)</v>
      </c>
    </row>
    <row r="1952" spans="1:8" x14ac:dyDescent="0.15">
      <c r="A1952" s="3" t="s">
        <v>1858</v>
      </c>
      <c r="B1952" s="3" t="s">
        <v>4604</v>
      </c>
      <c r="C1952" s="3">
        <v>14946</v>
      </c>
      <c r="D1952" s="3" t="str">
        <f>VLOOKUP(B1952,[1]LifeList!$E$2:$G$2036,1)</f>
        <v>Montane Woodcreeper</v>
      </c>
      <c r="E1952" s="3" t="str">
        <f>VLOOKUP(B1952,[1]LifeList!$E$2:$G$2036,2)</f>
        <v>Grimpar montagnard</v>
      </c>
      <c r="F1952" s="3" t="str">
        <f>VLOOKUP(B1952,[1]LifeList!$E$2:$G$2036,3)</f>
        <v>Lepidocolaptes lacrymiger</v>
      </c>
      <c r="G1952" s="3" t="str">
        <f>VLOOKUP(B1952,[1]LifeList!$E$2:$I$2036,4)</f>
        <v>Passeriformes</v>
      </c>
      <c r="H1952" s="3" t="str">
        <f>VLOOKUP(B1952,[1]LifeList!$E$2:$I$2036,5)</f>
        <v>Furnariidae (Ovenbirds and Woodcreepers)</v>
      </c>
    </row>
    <row r="1953" spans="1:8" x14ac:dyDescent="0.15">
      <c r="A1953" s="3" t="s">
        <v>1859</v>
      </c>
      <c r="B1953" s="3" t="s">
        <v>4604</v>
      </c>
      <c r="C1953" s="3">
        <v>14946</v>
      </c>
      <c r="D1953" s="3" t="str">
        <f>VLOOKUP(B1953,[1]LifeList!$E$2:$G$2036,1)</f>
        <v>Montane Woodcreeper</v>
      </c>
      <c r="E1953" s="3" t="str">
        <f>VLOOKUP(B1953,[1]LifeList!$E$2:$G$2036,2)</f>
        <v>Grimpar montagnard</v>
      </c>
      <c r="F1953" s="3" t="str">
        <f>VLOOKUP(B1953,[1]LifeList!$E$2:$G$2036,3)</f>
        <v>Lepidocolaptes lacrymiger</v>
      </c>
      <c r="G1953" s="3" t="str">
        <f>VLOOKUP(B1953,[1]LifeList!$E$2:$I$2036,4)</f>
        <v>Passeriformes</v>
      </c>
      <c r="H1953" s="3" t="str">
        <f>VLOOKUP(B1953,[1]LifeList!$E$2:$I$2036,5)</f>
        <v>Furnariidae (Ovenbirds and Woodcreepers)</v>
      </c>
    </row>
    <row r="1954" spans="1:8" x14ac:dyDescent="0.15">
      <c r="A1954" s="3" t="s">
        <v>1860</v>
      </c>
      <c r="B1954" s="3" t="s">
        <v>4605</v>
      </c>
      <c r="C1954" s="3">
        <v>33632</v>
      </c>
      <c r="D1954" s="3" t="str">
        <f>VLOOKUP(B1954,[1]LifeList!$E$2:$G$2036,1)</f>
        <v>Montezuma Oropendola</v>
      </c>
      <c r="E1954" s="3" t="str">
        <f>VLOOKUP(B1954,[1]LifeList!$E$2:$G$2036,2)</f>
        <v>Cassique de Montezuma</v>
      </c>
      <c r="F1954" s="3" t="str">
        <f>VLOOKUP(B1954,[1]LifeList!$E$2:$G$2036,3)</f>
        <v>Psarocolius montezuma</v>
      </c>
      <c r="G1954" s="3" t="str">
        <f>VLOOKUP(B1954,[1]LifeList!$E$2:$I$2036,4)</f>
        <v>Passeriformes</v>
      </c>
      <c r="H1954" s="3" t="str">
        <f>VLOOKUP(B1954,[1]LifeList!$E$2:$I$2036,5)</f>
        <v>Icteridae (Troupials and Allies)</v>
      </c>
    </row>
    <row r="1955" spans="1:8" x14ac:dyDescent="0.15">
      <c r="A1955" s="3" t="s">
        <v>1861</v>
      </c>
      <c r="B1955" s="3" t="s">
        <v>4605</v>
      </c>
      <c r="C1955" s="3">
        <v>33632</v>
      </c>
      <c r="D1955" s="3" t="str">
        <f>VLOOKUP(B1955,[1]LifeList!$E$2:$G$2036,1)</f>
        <v>Montezuma Oropendola</v>
      </c>
      <c r="E1955" s="3" t="str">
        <f>VLOOKUP(B1955,[1]LifeList!$E$2:$G$2036,2)</f>
        <v>Cassique de Montezuma</v>
      </c>
      <c r="F1955" s="3" t="str">
        <f>VLOOKUP(B1955,[1]LifeList!$E$2:$G$2036,3)</f>
        <v>Psarocolius montezuma</v>
      </c>
      <c r="G1955" s="3" t="str">
        <f>VLOOKUP(B1955,[1]LifeList!$E$2:$I$2036,4)</f>
        <v>Passeriformes</v>
      </c>
      <c r="H1955" s="3" t="str">
        <f>VLOOKUP(B1955,[1]LifeList!$E$2:$I$2036,5)</f>
        <v>Icteridae (Troupials and Allies)</v>
      </c>
    </row>
    <row r="1956" spans="1:8" x14ac:dyDescent="0.15">
      <c r="A1956" s="3" t="s">
        <v>3896</v>
      </c>
      <c r="B1956" s="3" t="s">
        <v>5254</v>
      </c>
      <c r="C1956" s="3">
        <v>17808</v>
      </c>
      <c r="D1956" s="3" t="str">
        <f>VLOOKUP(B1956,[1]LifeList!$E$2:$G$2036,1)</f>
        <v>Morelet's Seedeater</v>
      </c>
      <c r="E1956" s="3" t="str">
        <f>VLOOKUP(B1956,[1]LifeList!$E$2:$G$2036,2)</f>
        <v>Sporophile de Morelet</v>
      </c>
      <c r="F1956" s="3" t="str">
        <f>VLOOKUP(B1956,[1]LifeList!$E$2:$G$2036,3)</f>
        <v>Sporophila morelleti</v>
      </c>
      <c r="G1956" s="3" t="str">
        <f>VLOOKUP(B1956,[1]LifeList!$E$2:$I$2036,4)</f>
        <v>Passeriformes</v>
      </c>
      <c r="H1956" s="3" t="str">
        <f>VLOOKUP(B1956,[1]LifeList!$E$2:$I$2036,5)</f>
        <v>Thraupidae (Tanagers and Allies)</v>
      </c>
    </row>
    <row r="1957" spans="1:8" x14ac:dyDescent="0.15">
      <c r="A1957" s="3" t="s">
        <v>1862</v>
      </c>
      <c r="B1957" s="3" t="s">
        <v>4606</v>
      </c>
      <c r="C1957" s="3">
        <v>34835</v>
      </c>
      <c r="D1957" s="3" t="str">
        <f>VLOOKUP(B1957,[1]LifeList!$E$2:$G$2036,1)</f>
        <v>Moss-backed Tanager</v>
      </c>
      <c r="E1957" s="3" t="str">
        <f>VLOOKUP(B1957,[1]LifeList!$E$2:$G$2036,2)</f>
        <v>Tangara d'Edwards</v>
      </c>
      <c r="F1957" s="3" t="str">
        <f>VLOOKUP(B1957,[1]LifeList!$E$2:$G$2036,3)</f>
        <v>Bangsia edwardsi</v>
      </c>
      <c r="G1957" s="3" t="str">
        <f>VLOOKUP(B1957,[1]LifeList!$E$2:$I$2036,4)</f>
        <v>Passeriformes</v>
      </c>
      <c r="H1957" s="3" t="str">
        <f>VLOOKUP(B1957,[1]LifeList!$E$2:$I$2036,5)</f>
        <v>Thraupidae (Tanagers and Allies)</v>
      </c>
    </row>
    <row r="1958" spans="1:8" x14ac:dyDescent="0.15">
      <c r="A1958" s="3" t="s">
        <v>1863</v>
      </c>
      <c r="B1958" s="3" t="s">
        <v>4607</v>
      </c>
      <c r="C1958" s="3">
        <v>575</v>
      </c>
      <c r="D1958" s="3" t="str">
        <f>VLOOKUP(B1958,[1]LifeList!$E$2:$G$2036,1)</f>
        <v>Mottled Duck</v>
      </c>
      <c r="E1958" s="3" t="str">
        <f>VLOOKUP(B1958,[1]LifeList!$E$2:$G$2036,2)</f>
        <v>Canard brun</v>
      </c>
      <c r="F1958" s="3" t="str">
        <f>VLOOKUP(B1958,[1]LifeList!$E$2:$G$2036,3)</f>
        <v>Anas fulvigula</v>
      </c>
      <c r="G1958" s="3" t="str">
        <f>VLOOKUP(B1958,[1]LifeList!$E$2:$I$2036,4)</f>
        <v>Anseriformes</v>
      </c>
      <c r="H1958" s="3" t="str">
        <f>VLOOKUP(B1958,[1]LifeList!$E$2:$I$2036,5)</f>
        <v>Anatidae (Ducks, Geese, and Waterfowl)</v>
      </c>
    </row>
    <row r="1959" spans="1:8" x14ac:dyDescent="0.15">
      <c r="A1959" s="3" t="s">
        <v>1864</v>
      </c>
      <c r="B1959" s="3" t="s">
        <v>4607</v>
      </c>
      <c r="C1959" s="3">
        <v>575</v>
      </c>
      <c r="D1959" s="3" t="str">
        <f>VLOOKUP(B1959,[1]LifeList!$E$2:$G$2036,1)</f>
        <v>Mottled Duck</v>
      </c>
      <c r="E1959" s="3" t="str">
        <f>VLOOKUP(B1959,[1]LifeList!$E$2:$G$2036,2)</f>
        <v>Canard brun</v>
      </c>
      <c r="F1959" s="3" t="str">
        <f>VLOOKUP(B1959,[1]LifeList!$E$2:$G$2036,3)</f>
        <v>Anas fulvigula</v>
      </c>
      <c r="G1959" s="3" t="str">
        <f>VLOOKUP(B1959,[1]LifeList!$E$2:$I$2036,4)</f>
        <v>Anseriformes</v>
      </c>
      <c r="H1959" s="3" t="str">
        <f>VLOOKUP(B1959,[1]LifeList!$E$2:$I$2036,5)</f>
        <v>Anatidae (Ducks, Geese, and Waterfowl)</v>
      </c>
    </row>
    <row r="1960" spans="1:8" x14ac:dyDescent="0.15">
      <c r="A1960" s="3" t="s">
        <v>1865</v>
      </c>
      <c r="B1960" s="3" t="s">
        <v>4607</v>
      </c>
      <c r="C1960" s="3">
        <v>575</v>
      </c>
      <c r="D1960" s="3" t="str">
        <f>VLOOKUP(B1960,[1]LifeList!$E$2:$G$2036,1)</f>
        <v>Mottled Duck</v>
      </c>
      <c r="E1960" s="3" t="str">
        <f>VLOOKUP(B1960,[1]LifeList!$E$2:$G$2036,2)</f>
        <v>Canard brun</v>
      </c>
      <c r="F1960" s="3" t="str">
        <f>VLOOKUP(B1960,[1]LifeList!$E$2:$G$2036,3)</f>
        <v>Anas fulvigula</v>
      </c>
      <c r="G1960" s="3" t="str">
        <f>VLOOKUP(B1960,[1]LifeList!$E$2:$I$2036,4)</f>
        <v>Anseriformes</v>
      </c>
      <c r="H1960" s="3" t="str">
        <f>VLOOKUP(B1960,[1]LifeList!$E$2:$I$2036,5)</f>
        <v>Anatidae (Ducks, Geese, and Waterfowl)</v>
      </c>
    </row>
    <row r="1961" spans="1:8" x14ac:dyDescent="0.15">
      <c r="A1961" s="3" t="s">
        <v>1866</v>
      </c>
      <c r="B1961" s="3" t="s">
        <v>4607</v>
      </c>
      <c r="C1961" s="3">
        <v>575</v>
      </c>
      <c r="D1961" s="3" t="str">
        <f>VLOOKUP(B1961,[1]LifeList!$E$2:$G$2036,1)</f>
        <v>Mottled Duck</v>
      </c>
      <c r="E1961" s="3" t="str">
        <f>VLOOKUP(B1961,[1]LifeList!$E$2:$G$2036,2)</f>
        <v>Canard brun</v>
      </c>
      <c r="F1961" s="3" t="str">
        <f>VLOOKUP(B1961,[1]LifeList!$E$2:$G$2036,3)</f>
        <v>Anas fulvigula</v>
      </c>
      <c r="G1961" s="3" t="str">
        <f>VLOOKUP(B1961,[1]LifeList!$E$2:$I$2036,4)</f>
        <v>Anseriformes</v>
      </c>
      <c r="H1961" s="3" t="str">
        <f>VLOOKUP(B1961,[1]LifeList!$E$2:$I$2036,5)</f>
        <v>Anatidae (Ducks, Geese, and Waterfowl)</v>
      </c>
    </row>
    <row r="1962" spans="1:8" x14ac:dyDescent="0.15">
      <c r="A1962" s="3" t="s">
        <v>1867</v>
      </c>
      <c r="B1962" s="3" t="s">
        <v>4608</v>
      </c>
      <c r="C1962" s="3">
        <v>9157</v>
      </c>
      <c r="D1962" s="3" t="str">
        <f>VLOOKUP(B1962,[1]LifeList!$E$2:$G$2036,1)</f>
        <v>Mottled Owl</v>
      </c>
      <c r="E1962" s="3" t="str">
        <f>VLOOKUP(B1962,[1]LifeList!$E$2:$G$2036,2)</f>
        <v>Chouette mouchetée</v>
      </c>
      <c r="F1962" s="3" t="str">
        <f>VLOOKUP(B1962,[1]LifeList!$E$2:$G$2036,3)</f>
        <v>Strix virgata</v>
      </c>
      <c r="G1962" s="3" t="str">
        <f>VLOOKUP(B1962,[1]LifeList!$E$2:$I$2036,4)</f>
        <v>Strigiformes</v>
      </c>
      <c r="H1962" s="3" t="str">
        <f>VLOOKUP(B1962,[1]LifeList!$E$2:$I$2036,5)</f>
        <v>Strigidae (Owls)</v>
      </c>
    </row>
    <row r="1963" spans="1:8" x14ac:dyDescent="0.15">
      <c r="A1963" s="3" t="s">
        <v>1868</v>
      </c>
      <c r="B1963" s="3" t="s">
        <v>4608</v>
      </c>
      <c r="C1963" s="3">
        <v>9157</v>
      </c>
      <c r="D1963" s="3" t="str">
        <f>VLOOKUP(B1963,[1]LifeList!$E$2:$G$2036,1)</f>
        <v>Mottled Owl</v>
      </c>
      <c r="E1963" s="3" t="str">
        <f>VLOOKUP(B1963,[1]LifeList!$E$2:$G$2036,2)</f>
        <v>Chouette mouchetée</v>
      </c>
      <c r="F1963" s="3" t="str">
        <f>VLOOKUP(B1963,[1]LifeList!$E$2:$G$2036,3)</f>
        <v>Strix virgata</v>
      </c>
      <c r="G1963" s="3" t="str">
        <f>VLOOKUP(B1963,[1]LifeList!$E$2:$I$2036,4)</f>
        <v>Strigiformes</v>
      </c>
      <c r="H1963" s="3" t="str">
        <f>VLOOKUP(B1963,[1]LifeList!$E$2:$I$2036,5)</f>
        <v>Strigidae (Owls)</v>
      </c>
    </row>
    <row r="1964" spans="1:8" x14ac:dyDescent="0.15">
      <c r="A1964" s="3" t="s">
        <v>1869</v>
      </c>
      <c r="B1964" s="3" t="s">
        <v>4609</v>
      </c>
      <c r="C1964" s="3">
        <v>33654</v>
      </c>
      <c r="D1964" s="3" t="str">
        <f>VLOOKUP(B1964,[1]LifeList!$E$2:$G$2036,1)</f>
        <v>Mountain Cacique</v>
      </c>
      <c r="E1964" s="3" t="str">
        <f>VLOOKUP(B1964,[1]LifeList!$E$2:$G$2036,2)</f>
        <v>Cassique montagnard</v>
      </c>
      <c r="F1964" s="3" t="str">
        <f>VLOOKUP(B1964,[1]LifeList!$E$2:$G$2036,3)</f>
        <v>Cacicus chrysonotus</v>
      </c>
      <c r="G1964" s="3" t="str">
        <f>VLOOKUP(B1964,[1]LifeList!$E$2:$I$2036,4)</f>
        <v>Passeriformes</v>
      </c>
      <c r="H1964" s="3" t="str">
        <f>VLOOKUP(B1964,[1]LifeList!$E$2:$I$2036,5)</f>
        <v>Icteridae (Troupials and Allies)</v>
      </c>
    </row>
    <row r="1965" spans="1:8" x14ac:dyDescent="0.15">
      <c r="A1965" s="3" t="s">
        <v>1870</v>
      </c>
      <c r="B1965" s="3" t="s">
        <v>4609</v>
      </c>
      <c r="C1965" s="3">
        <v>33654</v>
      </c>
      <c r="D1965" s="3" t="str">
        <f>VLOOKUP(B1965,[1]LifeList!$E$2:$G$2036,1)</f>
        <v>Mountain Cacique</v>
      </c>
      <c r="E1965" s="3" t="str">
        <f>VLOOKUP(B1965,[1]LifeList!$E$2:$G$2036,2)</f>
        <v>Cassique montagnard</v>
      </c>
      <c r="F1965" s="3" t="str">
        <f>VLOOKUP(B1965,[1]LifeList!$E$2:$G$2036,3)</f>
        <v>Cacicus chrysonotus</v>
      </c>
      <c r="G1965" s="3" t="str">
        <f>VLOOKUP(B1965,[1]LifeList!$E$2:$I$2036,4)</f>
        <v>Passeriformes</v>
      </c>
      <c r="H1965" s="3" t="str">
        <f>VLOOKUP(B1965,[1]LifeList!$E$2:$I$2036,5)</f>
        <v>Icteridae (Troupials and Allies)</v>
      </c>
    </row>
    <row r="1966" spans="1:8" x14ac:dyDescent="0.15">
      <c r="A1966" s="3" t="s">
        <v>1871</v>
      </c>
      <c r="B1966" s="3" t="s">
        <v>4610</v>
      </c>
      <c r="C1966" s="3">
        <v>29773</v>
      </c>
      <c r="D1966" s="3" t="str">
        <f>VLOOKUP(B1966,[1]LifeList!$E$2:$G$2036,1)</f>
        <v>Mountain Chat</v>
      </c>
      <c r="E1966" s="3" t="str">
        <f>VLOOKUP(B1966,[1]LifeList!$E$2:$G$2036,2)</f>
        <v>Traquet montagnard</v>
      </c>
      <c r="F1966" s="3" t="str">
        <f>VLOOKUP(B1966,[1]LifeList!$E$2:$G$2036,3)</f>
        <v>Myrmecocichla monticola</v>
      </c>
      <c r="G1966" s="3" t="str">
        <f>VLOOKUP(B1966,[1]LifeList!$E$2:$I$2036,4)</f>
        <v>Passeriformes</v>
      </c>
      <c r="H1966" s="3" t="str">
        <f>VLOOKUP(B1966,[1]LifeList!$E$2:$I$2036,5)</f>
        <v>Muscicapidae (Old World Flycatchers)</v>
      </c>
    </row>
    <row r="1967" spans="1:8" x14ac:dyDescent="0.15">
      <c r="A1967" s="3" t="s">
        <v>1872</v>
      </c>
      <c r="B1967" s="3" t="s">
        <v>4611</v>
      </c>
      <c r="C1967" s="3">
        <v>16725</v>
      </c>
      <c r="D1967" s="3" t="str">
        <f>VLOOKUP(B1967,[1]LifeList!$E$2:$G$2036,1)</f>
        <v>Mountain Elaenia</v>
      </c>
      <c r="E1967" s="3" t="str">
        <f>VLOOKUP(B1967,[1]LifeList!$E$2:$G$2036,2)</f>
        <v>Élénie montagnarde</v>
      </c>
      <c r="F1967" s="3" t="str">
        <f>VLOOKUP(B1967,[1]LifeList!$E$2:$G$2036,3)</f>
        <v>Elaenia frantzii</v>
      </c>
      <c r="G1967" s="3" t="str">
        <f>VLOOKUP(B1967,[1]LifeList!$E$2:$I$2036,4)</f>
        <v>Passeriformes</v>
      </c>
      <c r="H1967" s="3" t="str">
        <f>VLOOKUP(B1967,[1]LifeList!$E$2:$I$2036,5)</f>
        <v>Tyrannidae (Tyrant Flycatchers)</v>
      </c>
    </row>
    <row r="1968" spans="1:8" x14ac:dyDescent="0.15">
      <c r="A1968" s="3" t="s">
        <v>1873</v>
      </c>
      <c r="B1968" s="3" t="s">
        <v>4611</v>
      </c>
      <c r="C1968" s="3">
        <v>16725</v>
      </c>
      <c r="D1968" s="3" t="str">
        <f>VLOOKUP(B1968,[1]LifeList!$E$2:$G$2036,1)</f>
        <v>Mountain Elaenia</v>
      </c>
      <c r="E1968" s="3" t="str">
        <f>VLOOKUP(B1968,[1]LifeList!$E$2:$G$2036,2)</f>
        <v>Élénie montagnarde</v>
      </c>
      <c r="F1968" s="3" t="str">
        <f>VLOOKUP(B1968,[1]LifeList!$E$2:$G$2036,3)</f>
        <v>Elaenia frantzii</v>
      </c>
      <c r="G1968" s="3" t="str">
        <f>VLOOKUP(B1968,[1]LifeList!$E$2:$I$2036,4)</f>
        <v>Passeriformes</v>
      </c>
      <c r="H1968" s="3" t="str">
        <f>VLOOKUP(B1968,[1]LifeList!$E$2:$I$2036,5)</f>
        <v>Tyrannidae (Tyrant Flycatchers)</v>
      </c>
    </row>
    <row r="1969" spans="1:8" x14ac:dyDescent="0.15">
      <c r="A1969" s="3" t="s">
        <v>1874</v>
      </c>
      <c r="B1969" s="3" t="s">
        <v>4612</v>
      </c>
      <c r="C1969" s="3">
        <v>28646</v>
      </c>
      <c r="D1969" s="3" t="str">
        <f>VLOOKUP(B1969,[1]LifeList!$E$2:$G$2036,1)</f>
        <v>Mountain Thrush</v>
      </c>
      <c r="E1969" s="3" t="str">
        <f>VLOOKUP(B1969,[1]LifeList!$E$2:$G$2036,2)</f>
        <v>Merle de montagne</v>
      </c>
      <c r="F1969" s="3" t="str">
        <f>VLOOKUP(B1969,[1]LifeList!$E$2:$G$2036,3)</f>
        <v>Turdus plebejus</v>
      </c>
      <c r="G1969" s="3" t="str">
        <f>VLOOKUP(B1969,[1]LifeList!$E$2:$I$2036,4)</f>
        <v>Passeriformes</v>
      </c>
      <c r="H1969" s="3" t="str">
        <f>VLOOKUP(B1969,[1]LifeList!$E$2:$I$2036,5)</f>
        <v>Turdidae (Thrushes and Allies)</v>
      </c>
    </row>
    <row r="1970" spans="1:8" x14ac:dyDescent="0.15">
      <c r="A1970" s="3" t="s">
        <v>1875</v>
      </c>
      <c r="B1970" s="3" t="s">
        <v>4613</v>
      </c>
      <c r="C1970" s="3">
        <v>27245</v>
      </c>
      <c r="D1970" s="3" t="str">
        <f>VLOOKUP(B1970,[1]LifeList!$E$2:$G$2036,1)</f>
        <v>Mountain Wren</v>
      </c>
      <c r="E1970" s="3" t="str">
        <f>VLOOKUP(B1970,[1]LifeList!$E$2:$G$2036,2)</f>
        <v>Troglodyte montagnard</v>
      </c>
      <c r="F1970" s="3" t="str">
        <f>VLOOKUP(B1970,[1]LifeList!$E$2:$G$2036,3)</f>
        <v>Troglodytes solstitialis</v>
      </c>
      <c r="G1970" s="3" t="str">
        <f>VLOOKUP(B1970,[1]LifeList!$E$2:$I$2036,4)</f>
        <v>Passeriformes</v>
      </c>
      <c r="H1970" s="3" t="str">
        <f>VLOOKUP(B1970,[1]LifeList!$E$2:$I$2036,5)</f>
        <v>Troglodytidae (Wrens)</v>
      </c>
    </row>
    <row r="1971" spans="1:8" x14ac:dyDescent="0.15">
      <c r="A1971" s="3" t="s">
        <v>1876</v>
      </c>
      <c r="B1971" s="3" t="s">
        <v>4614</v>
      </c>
      <c r="C1971" s="3">
        <v>2412</v>
      </c>
      <c r="D1971" s="3" t="str">
        <f>VLOOKUP(B1971,[1]LifeList!$E$2:$G$2036,1)</f>
        <v>Mourning Dove</v>
      </c>
      <c r="E1971" s="3" t="str">
        <f>VLOOKUP(B1971,[1]LifeList!$E$2:$G$2036,2)</f>
        <v>Tourterelle triste</v>
      </c>
      <c r="F1971" s="3" t="str">
        <f>VLOOKUP(B1971,[1]LifeList!$E$2:$G$2036,3)</f>
        <v>Zenaida macroura</v>
      </c>
      <c r="G1971" s="3" t="str">
        <f>VLOOKUP(B1971,[1]LifeList!$E$2:$I$2036,4)</f>
        <v>Columbiformes</v>
      </c>
      <c r="H1971" s="3" t="str">
        <f>VLOOKUP(B1971,[1]LifeList!$E$2:$I$2036,5)</f>
        <v>Columbidae (Pigeons and Doves)</v>
      </c>
    </row>
    <row r="1972" spans="1:8" x14ac:dyDescent="0.15">
      <c r="A1972" s="3" t="s">
        <v>1877</v>
      </c>
      <c r="B1972" s="3" t="s">
        <v>4614</v>
      </c>
      <c r="C1972" s="3">
        <v>2412</v>
      </c>
      <c r="D1972" s="3" t="str">
        <f>VLOOKUP(B1972,[1]LifeList!$E$2:$G$2036,1)</f>
        <v>Mourning Dove</v>
      </c>
      <c r="E1972" s="3" t="str">
        <f>VLOOKUP(B1972,[1]LifeList!$E$2:$G$2036,2)</f>
        <v>Tourterelle triste</v>
      </c>
      <c r="F1972" s="3" t="str">
        <f>VLOOKUP(B1972,[1]LifeList!$E$2:$G$2036,3)</f>
        <v>Zenaida macroura</v>
      </c>
      <c r="G1972" s="3" t="str">
        <f>VLOOKUP(B1972,[1]LifeList!$E$2:$I$2036,4)</f>
        <v>Columbiformes</v>
      </c>
      <c r="H1972" s="3" t="str">
        <f>VLOOKUP(B1972,[1]LifeList!$E$2:$I$2036,5)</f>
        <v>Columbidae (Pigeons and Doves)</v>
      </c>
    </row>
    <row r="1973" spans="1:8" x14ac:dyDescent="0.15">
      <c r="A1973" s="3" t="s">
        <v>1878</v>
      </c>
      <c r="B1973" s="3" t="s">
        <v>4614</v>
      </c>
      <c r="C1973" s="3">
        <v>2412</v>
      </c>
      <c r="D1973" s="3" t="str">
        <f>VLOOKUP(B1973,[1]LifeList!$E$2:$G$2036,1)</f>
        <v>Mourning Dove</v>
      </c>
      <c r="E1973" s="3" t="str">
        <f>VLOOKUP(B1973,[1]LifeList!$E$2:$G$2036,2)</f>
        <v>Tourterelle triste</v>
      </c>
      <c r="F1973" s="3" t="str">
        <f>VLOOKUP(B1973,[1]LifeList!$E$2:$G$2036,3)</f>
        <v>Zenaida macroura</v>
      </c>
      <c r="G1973" s="3" t="str">
        <f>VLOOKUP(B1973,[1]LifeList!$E$2:$I$2036,4)</f>
        <v>Columbiformes</v>
      </c>
      <c r="H1973" s="3" t="str">
        <f>VLOOKUP(B1973,[1]LifeList!$E$2:$I$2036,5)</f>
        <v>Columbidae (Pigeons and Doves)</v>
      </c>
    </row>
    <row r="1974" spans="1:8" x14ac:dyDescent="0.15">
      <c r="A1974" s="3" t="s">
        <v>1879</v>
      </c>
      <c r="B1974" s="3" t="s">
        <v>4614</v>
      </c>
      <c r="C1974" s="3">
        <v>2412</v>
      </c>
      <c r="D1974" s="3" t="str">
        <f>VLOOKUP(B1974,[1]LifeList!$E$2:$G$2036,1)</f>
        <v>Mourning Dove</v>
      </c>
      <c r="E1974" s="3" t="str">
        <f>VLOOKUP(B1974,[1]LifeList!$E$2:$G$2036,2)</f>
        <v>Tourterelle triste</v>
      </c>
      <c r="F1974" s="3" t="str">
        <f>VLOOKUP(B1974,[1]LifeList!$E$2:$G$2036,3)</f>
        <v>Zenaida macroura</v>
      </c>
      <c r="G1974" s="3" t="str">
        <f>VLOOKUP(B1974,[1]LifeList!$E$2:$I$2036,4)</f>
        <v>Columbiformes</v>
      </c>
      <c r="H1974" s="3" t="str">
        <f>VLOOKUP(B1974,[1]LifeList!$E$2:$I$2036,5)</f>
        <v>Columbidae (Pigeons and Doves)</v>
      </c>
    </row>
    <row r="1975" spans="1:8" x14ac:dyDescent="0.15">
      <c r="A1975" s="3" t="s">
        <v>1880</v>
      </c>
      <c r="B1975" s="3" t="s">
        <v>4614</v>
      </c>
      <c r="C1975" s="3">
        <v>2412</v>
      </c>
      <c r="D1975" s="3" t="str">
        <f>VLOOKUP(B1975,[1]LifeList!$E$2:$G$2036,1)</f>
        <v>Mourning Dove</v>
      </c>
      <c r="E1975" s="3" t="str">
        <f>VLOOKUP(B1975,[1]LifeList!$E$2:$G$2036,2)</f>
        <v>Tourterelle triste</v>
      </c>
      <c r="F1975" s="3" t="str">
        <f>VLOOKUP(B1975,[1]LifeList!$E$2:$G$2036,3)</f>
        <v>Zenaida macroura</v>
      </c>
      <c r="G1975" s="3" t="str">
        <f>VLOOKUP(B1975,[1]LifeList!$E$2:$I$2036,4)</f>
        <v>Columbiformes</v>
      </c>
      <c r="H1975" s="3" t="str">
        <f>VLOOKUP(B1975,[1]LifeList!$E$2:$I$2036,5)</f>
        <v>Columbidae (Pigeons and Doves)</v>
      </c>
    </row>
    <row r="1976" spans="1:8" x14ac:dyDescent="0.15">
      <c r="A1976" s="3" t="s">
        <v>1881</v>
      </c>
      <c r="B1976" s="3" t="s">
        <v>4614</v>
      </c>
      <c r="C1976" s="3">
        <v>2412</v>
      </c>
      <c r="D1976" s="3" t="str">
        <f>VLOOKUP(B1976,[1]LifeList!$E$2:$G$2036,1)</f>
        <v>Mourning Dove</v>
      </c>
      <c r="E1976" s="3" t="str">
        <f>VLOOKUP(B1976,[1]LifeList!$E$2:$G$2036,2)</f>
        <v>Tourterelle triste</v>
      </c>
      <c r="F1976" s="3" t="str">
        <f>VLOOKUP(B1976,[1]LifeList!$E$2:$G$2036,3)</f>
        <v>Zenaida macroura</v>
      </c>
      <c r="G1976" s="3" t="str">
        <f>VLOOKUP(B1976,[1]LifeList!$E$2:$I$2036,4)</f>
        <v>Columbiformes</v>
      </c>
      <c r="H1976" s="3" t="str">
        <f>VLOOKUP(B1976,[1]LifeList!$E$2:$I$2036,5)</f>
        <v>Columbidae (Pigeons and Doves)</v>
      </c>
    </row>
    <row r="1977" spans="1:8" x14ac:dyDescent="0.15">
      <c r="A1977" s="3" t="s">
        <v>1882</v>
      </c>
      <c r="B1977" s="3" t="s">
        <v>4614</v>
      </c>
      <c r="C1977" s="3">
        <v>2412</v>
      </c>
      <c r="D1977" s="3" t="str">
        <f>VLOOKUP(B1977,[1]LifeList!$E$2:$G$2036,1)</f>
        <v>Mourning Dove</v>
      </c>
      <c r="E1977" s="3" t="str">
        <f>VLOOKUP(B1977,[1]LifeList!$E$2:$G$2036,2)</f>
        <v>Tourterelle triste</v>
      </c>
      <c r="F1977" s="3" t="str">
        <f>VLOOKUP(B1977,[1]LifeList!$E$2:$G$2036,3)</f>
        <v>Zenaida macroura</v>
      </c>
      <c r="G1977" s="3" t="str">
        <f>VLOOKUP(B1977,[1]LifeList!$E$2:$I$2036,4)</f>
        <v>Columbiformes</v>
      </c>
      <c r="H1977" s="3" t="str">
        <f>VLOOKUP(B1977,[1]LifeList!$E$2:$I$2036,5)</f>
        <v>Columbidae (Pigeons and Doves)</v>
      </c>
    </row>
    <row r="1978" spans="1:8" x14ac:dyDescent="0.15">
      <c r="A1978" s="3" t="s">
        <v>1883</v>
      </c>
      <c r="B1978" s="3" t="s">
        <v>4615</v>
      </c>
      <c r="C1978" s="3">
        <v>34006</v>
      </c>
      <c r="D1978" s="3" t="str">
        <f>VLOOKUP(B1978,[1]LifeList!$E$2:$G$2036,1)</f>
        <v>Mourning Warbler</v>
      </c>
      <c r="E1978" s="3" t="str">
        <f>VLOOKUP(B1978,[1]LifeList!$E$2:$G$2036,2)</f>
        <v>Paruline triste</v>
      </c>
      <c r="F1978" s="3" t="str">
        <f>VLOOKUP(B1978,[1]LifeList!$E$2:$G$2036,3)</f>
        <v>Geothlypis philadelphia</v>
      </c>
      <c r="G1978" s="3" t="str">
        <f>VLOOKUP(B1978,[1]LifeList!$E$2:$I$2036,4)</f>
        <v>Passeriformes</v>
      </c>
      <c r="H1978" s="3" t="str">
        <f>VLOOKUP(B1978,[1]LifeList!$E$2:$I$2036,5)</f>
        <v>Parulidae (New World Warblers)</v>
      </c>
    </row>
    <row r="1979" spans="1:8" x14ac:dyDescent="0.15">
      <c r="A1979" s="3" t="s">
        <v>1884</v>
      </c>
      <c r="B1979" s="3" t="s">
        <v>4615</v>
      </c>
      <c r="C1979" s="3">
        <v>34006</v>
      </c>
      <c r="D1979" s="3" t="str">
        <f>VLOOKUP(B1979,[1]LifeList!$E$2:$G$2036,1)</f>
        <v>Mourning Warbler</v>
      </c>
      <c r="E1979" s="3" t="str">
        <f>VLOOKUP(B1979,[1]LifeList!$E$2:$G$2036,2)</f>
        <v>Paruline triste</v>
      </c>
      <c r="F1979" s="3" t="str">
        <f>VLOOKUP(B1979,[1]LifeList!$E$2:$G$2036,3)</f>
        <v>Geothlypis philadelphia</v>
      </c>
      <c r="G1979" s="3" t="str">
        <f>VLOOKUP(B1979,[1]LifeList!$E$2:$I$2036,4)</f>
        <v>Passeriformes</v>
      </c>
      <c r="H1979" s="3" t="str">
        <f>VLOOKUP(B1979,[1]LifeList!$E$2:$I$2036,5)</f>
        <v>Parulidae (New World Warblers)</v>
      </c>
    </row>
    <row r="1980" spans="1:8" x14ac:dyDescent="0.15">
      <c r="A1980" s="3" t="s">
        <v>1885</v>
      </c>
      <c r="B1980" s="3" t="s">
        <v>4615</v>
      </c>
      <c r="C1980" s="3">
        <v>34006</v>
      </c>
      <c r="D1980" s="3" t="str">
        <f>VLOOKUP(B1980,[1]LifeList!$E$2:$G$2036,1)</f>
        <v>Mourning Warbler</v>
      </c>
      <c r="E1980" s="3" t="str">
        <f>VLOOKUP(B1980,[1]LifeList!$E$2:$G$2036,2)</f>
        <v>Paruline triste</v>
      </c>
      <c r="F1980" s="3" t="str">
        <f>VLOOKUP(B1980,[1]LifeList!$E$2:$G$2036,3)</f>
        <v>Geothlypis philadelphia</v>
      </c>
      <c r="G1980" s="3" t="str">
        <f>VLOOKUP(B1980,[1]LifeList!$E$2:$I$2036,4)</f>
        <v>Passeriformes</v>
      </c>
      <c r="H1980" s="3" t="str">
        <f>VLOOKUP(B1980,[1]LifeList!$E$2:$I$2036,5)</f>
        <v>Parulidae (New World Warblers)</v>
      </c>
    </row>
    <row r="1981" spans="1:8" x14ac:dyDescent="0.15">
      <c r="A1981" s="3" t="s">
        <v>1886</v>
      </c>
      <c r="B1981" s="3" t="s">
        <v>4615</v>
      </c>
      <c r="C1981" s="3">
        <v>34006</v>
      </c>
      <c r="D1981" s="3" t="str">
        <f>VLOOKUP(B1981,[1]LifeList!$E$2:$G$2036,1)</f>
        <v>Mourning Warbler</v>
      </c>
      <c r="E1981" s="3" t="str">
        <f>VLOOKUP(B1981,[1]LifeList!$E$2:$G$2036,2)</f>
        <v>Paruline triste</v>
      </c>
      <c r="F1981" s="3" t="str">
        <f>VLOOKUP(B1981,[1]LifeList!$E$2:$G$2036,3)</f>
        <v>Geothlypis philadelphia</v>
      </c>
      <c r="G1981" s="3" t="str">
        <f>VLOOKUP(B1981,[1]LifeList!$E$2:$I$2036,4)</f>
        <v>Passeriformes</v>
      </c>
      <c r="H1981" s="3" t="str">
        <f>VLOOKUP(B1981,[1]LifeList!$E$2:$I$2036,5)</f>
        <v>Parulidae (New World Warblers)</v>
      </c>
    </row>
    <row r="1982" spans="1:8" x14ac:dyDescent="0.15">
      <c r="A1982" s="3" t="s">
        <v>1887</v>
      </c>
      <c r="B1982" s="3" t="s">
        <v>4616</v>
      </c>
      <c r="C1982" s="3">
        <v>13716</v>
      </c>
      <c r="D1982" s="3" t="str">
        <f>VLOOKUP(B1982,[1]LifeList!$E$2:$G$2036,1)</f>
        <v>Moustached Antwren</v>
      </c>
      <c r="E1982" s="3" t="str">
        <f>VLOOKUP(B1982,[1]LifeList!$E$2:$G$2036,2)</f>
        <v>Myrmidon de Griscom</v>
      </c>
      <c r="F1982" s="3" t="str">
        <f>VLOOKUP(B1982,[1]LifeList!$E$2:$G$2036,3)</f>
        <v>Myrmotherula ignota</v>
      </c>
      <c r="G1982" s="3" t="str">
        <f>VLOOKUP(B1982,[1]LifeList!$E$2:$I$2036,4)</f>
        <v>Passeriformes</v>
      </c>
      <c r="H1982" s="3" t="str">
        <f>VLOOKUP(B1982,[1]LifeList!$E$2:$I$2036,5)</f>
        <v>Thamnophilidae (Typical Antbirds)</v>
      </c>
    </row>
    <row r="1983" spans="1:8" x14ac:dyDescent="0.15">
      <c r="A1983" s="3" t="s">
        <v>1888</v>
      </c>
      <c r="B1983" s="3" t="s">
        <v>4617</v>
      </c>
      <c r="C1983" s="3">
        <v>33448</v>
      </c>
      <c r="D1983" s="3" t="str">
        <f>VLOOKUP(B1983,[1]LifeList!$E$2:$G$2036,1)</f>
        <v>Moustached Brushfinch</v>
      </c>
      <c r="E1983" s="3" t="str">
        <f>VLOOKUP(B1983,[1]LifeList!$E$2:$G$2036,2)</f>
        <v>Tohi moustachu</v>
      </c>
      <c r="F1983" s="3" t="str">
        <f>VLOOKUP(B1983,[1]LifeList!$E$2:$G$2036,3)</f>
        <v>Atlapetes albofrenatus</v>
      </c>
      <c r="G1983" s="3" t="str">
        <f>VLOOKUP(B1983,[1]LifeList!$E$2:$I$2036,4)</f>
        <v>Passeriformes</v>
      </c>
      <c r="H1983" s="3" t="str">
        <f>VLOOKUP(B1983,[1]LifeList!$E$2:$I$2036,5)</f>
        <v>Passerellidae (New World Sparrows)</v>
      </c>
    </row>
    <row r="1984" spans="1:8" x14ac:dyDescent="0.15">
      <c r="A1984" s="3" t="s">
        <v>1889</v>
      </c>
      <c r="B1984" s="3" t="s">
        <v>4618</v>
      </c>
      <c r="C1984" s="3">
        <v>12645</v>
      </c>
      <c r="D1984" s="3" t="str">
        <f>VLOOKUP(B1984,[1]LifeList!$E$2:$G$2036,1)</f>
        <v>Musk Lorikeet</v>
      </c>
      <c r="E1984" s="3" t="str">
        <f>VLOOKUP(B1984,[1]LifeList!$E$2:$G$2036,2)</f>
        <v>Loriquet à bandeau rouge</v>
      </c>
      <c r="F1984" s="3" t="str">
        <f>VLOOKUP(B1984,[1]LifeList!$E$2:$G$2036,3)</f>
        <v>Trichoglossus concinnus</v>
      </c>
      <c r="G1984" s="3" t="str">
        <f>VLOOKUP(B1984,[1]LifeList!$E$2:$I$2036,4)</f>
        <v>Psittaciformes</v>
      </c>
      <c r="H1984" s="3" t="str">
        <f>VLOOKUP(B1984,[1]LifeList!$E$2:$I$2036,5)</f>
        <v>Psittaculidae (Old World Parrots)</v>
      </c>
    </row>
    <row r="1985" spans="1:8" x14ac:dyDescent="0.15">
      <c r="A1985" s="3" t="s">
        <v>1890</v>
      </c>
      <c r="B1985" s="3" t="s">
        <v>4618</v>
      </c>
      <c r="C1985" s="3">
        <v>12645</v>
      </c>
      <c r="D1985" s="3" t="str">
        <f>VLOOKUP(B1985,[1]LifeList!$E$2:$G$2036,1)</f>
        <v>Musk Lorikeet</v>
      </c>
      <c r="E1985" s="3" t="str">
        <f>VLOOKUP(B1985,[1]LifeList!$E$2:$G$2036,2)</f>
        <v>Loriquet à bandeau rouge</v>
      </c>
      <c r="F1985" s="3" t="str">
        <f>VLOOKUP(B1985,[1]LifeList!$E$2:$G$2036,3)</f>
        <v>Trichoglossus concinnus</v>
      </c>
      <c r="G1985" s="3" t="str">
        <f>VLOOKUP(B1985,[1]LifeList!$E$2:$I$2036,4)</f>
        <v>Psittaciformes</v>
      </c>
      <c r="H1985" s="3" t="str">
        <f>VLOOKUP(B1985,[1]LifeList!$E$2:$I$2036,5)</f>
        <v>Psittaculidae (Old World Parrots)</v>
      </c>
    </row>
    <row r="1986" spans="1:8" x14ac:dyDescent="0.15">
      <c r="A1986" s="3" t="s">
        <v>1891</v>
      </c>
      <c r="B1986" s="3" t="s">
        <v>4619</v>
      </c>
      <c r="C1986" s="3">
        <v>377</v>
      </c>
      <c r="D1986" s="3" t="str">
        <f>VLOOKUP(B1986,[1]LifeList!$E$2:$G$2036,1)</f>
        <v>Mute Swan</v>
      </c>
      <c r="E1986" s="3" t="str">
        <f>VLOOKUP(B1986,[1]LifeList!$E$2:$G$2036,2)</f>
        <v>Cygne tuberculé</v>
      </c>
      <c r="F1986" s="3" t="str">
        <f>VLOOKUP(B1986,[1]LifeList!$E$2:$G$2036,3)</f>
        <v>Cygnus olor</v>
      </c>
      <c r="G1986" s="3" t="str">
        <f>VLOOKUP(B1986,[1]LifeList!$E$2:$I$2036,4)</f>
        <v>Anseriformes</v>
      </c>
      <c r="H1986" s="3" t="str">
        <f>VLOOKUP(B1986,[1]LifeList!$E$2:$I$2036,5)</f>
        <v>Anatidae (Ducks, Geese, and Waterfowl)</v>
      </c>
    </row>
    <row r="1987" spans="1:8" x14ac:dyDescent="0.15">
      <c r="A1987" s="3" t="s">
        <v>1892</v>
      </c>
      <c r="B1987" s="3" t="s">
        <v>4619</v>
      </c>
      <c r="C1987" s="3">
        <v>377</v>
      </c>
      <c r="D1987" s="3" t="str">
        <f>VLOOKUP(B1987,[1]LifeList!$E$2:$G$2036,1)</f>
        <v>Mute Swan</v>
      </c>
      <c r="E1987" s="3" t="str">
        <f>VLOOKUP(B1987,[1]LifeList!$E$2:$G$2036,2)</f>
        <v>Cygne tuberculé</v>
      </c>
      <c r="F1987" s="3" t="str">
        <f>VLOOKUP(B1987,[1]LifeList!$E$2:$G$2036,3)</f>
        <v>Cygnus olor</v>
      </c>
      <c r="G1987" s="3" t="str">
        <f>VLOOKUP(B1987,[1]LifeList!$E$2:$I$2036,4)</f>
        <v>Anseriformes</v>
      </c>
      <c r="H1987" s="3" t="str">
        <f>VLOOKUP(B1987,[1]LifeList!$E$2:$I$2036,5)</f>
        <v>Anatidae (Ducks, Geese, and Waterfowl)</v>
      </c>
    </row>
    <row r="1988" spans="1:8" x14ac:dyDescent="0.15">
      <c r="A1988" s="3" t="s">
        <v>1893</v>
      </c>
      <c r="B1988" s="3" t="s">
        <v>4619</v>
      </c>
      <c r="C1988" s="3">
        <v>377</v>
      </c>
      <c r="D1988" s="3" t="str">
        <f>VLOOKUP(B1988,[1]LifeList!$E$2:$G$2036,1)</f>
        <v>Mute Swan</v>
      </c>
      <c r="E1988" s="3" t="str">
        <f>VLOOKUP(B1988,[1]LifeList!$E$2:$G$2036,2)</f>
        <v>Cygne tuberculé</v>
      </c>
      <c r="F1988" s="3" t="str">
        <f>VLOOKUP(B1988,[1]LifeList!$E$2:$G$2036,3)</f>
        <v>Cygnus olor</v>
      </c>
      <c r="G1988" s="3" t="str">
        <f>VLOOKUP(B1988,[1]LifeList!$E$2:$I$2036,4)</f>
        <v>Anseriformes</v>
      </c>
      <c r="H1988" s="3" t="str">
        <f>VLOOKUP(B1988,[1]LifeList!$E$2:$I$2036,5)</f>
        <v>Anatidae (Ducks, Geese, and Waterfowl)</v>
      </c>
    </row>
    <row r="1989" spans="1:8" x14ac:dyDescent="0.15">
      <c r="A1989" s="3" t="s">
        <v>1894</v>
      </c>
      <c r="B1989" s="3" t="s">
        <v>4619</v>
      </c>
      <c r="C1989" s="3">
        <v>377</v>
      </c>
      <c r="D1989" s="3" t="str">
        <f>VLOOKUP(B1989,[1]LifeList!$E$2:$G$2036,1)</f>
        <v>Mute Swan</v>
      </c>
      <c r="E1989" s="3" t="str">
        <f>VLOOKUP(B1989,[1]LifeList!$E$2:$G$2036,2)</f>
        <v>Cygne tuberculé</v>
      </c>
      <c r="F1989" s="3" t="str">
        <f>VLOOKUP(B1989,[1]LifeList!$E$2:$G$2036,3)</f>
        <v>Cygnus olor</v>
      </c>
      <c r="G1989" s="3" t="str">
        <f>VLOOKUP(B1989,[1]LifeList!$E$2:$I$2036,4)</f>
        <v>Anseriformes</v>
      </c>
      <c r="H1989" s="3" t="str">
        <f>VLOOKUP(B1989,[1]LifeList!$E$2:$I$2036,5)</f>
        <v>Anatidae (Ducks, Geese, and Waterfowl)</v>
      </c>
    </row>
    <row r="1990" spans="1:8" x14ac:dyDescent="0.15">
      <c r="A1990" s="3" t="s">
        <v>1896</v>
      </c>
      <c r="B1990" s="3" t="s">
        <v>4620</v>
      </c>
      <c r="C1990" s="3">
        <v>2159</v>
      </c>
      <c r="D1990" s="3" t="str">
        <f>VLOOKUP(B1990,[1]LifeList!$E$2:$G$2036,1)</f>
        <v>Namaqua Dove</v>
      </c>
      <c r="E1990" s="3" t="str">
        <f>VLOOKUP(B1990,[1]LifeList!$E$2:$G$2036,2)</f>
        <v>Tourtelette masquée</v>
      </c>
      <c r="F1990" s="3" t="str">
        <f>VLOOKUP(B1990,[1]LifeList!$E$2:$G$2036,3)</f>
        <v>Oena capensis</v>
      </c>
      <c r="G1990" s="3" t="str">
        <f>VLOOKUP(B1990,[1]LifeList!$E$2:$I$2036,4)</f>
        <v>Columbiformes</v>
      </c>
      <c r="H1990" s="3" t="str">
        <f>VLOOKUP(B1990,[1]LifeList!$E$2:$I$2036,5)</f>
        <v>Columbidae (Pigeons and Doves)</v>
      </c>
    </row>
    <row r="1991" spans="1:8" x14ac:dyDescent="0.15">
      <c r="A1991" s="3" t="s">
        <v>1895</v>
      </c>
      <c r="B1991" s="3" t="s">
        <v>4620</v>
      </c>
      <c r="C1991" s="3">
        <v>2159</v>
      </c>
      <c r="D1991" s="3" t="str">
        <f>VLOOKUP(B1991,[1]LifeList!$E$2:$G$2036,1)</f>
        <v>Namaqua Dove</v>
      </c>
      <c r="E1991" s="3" t="str">
        <f>VLOOKUP(B1991,[1]LifeList!$E$2:$G$2036,2)</f>
        <v>Tourtelette masquée</v>
      </c>
      <c r="F1991" s="3" t="str">
        <f>VLOOKUP(B1991,[1]LifeList!$E$2:$G$2036,3)</f>
        <v>Oena capensis</v>
      </c>
      <c r="G1991" s="3" t="str">
        <f>VLOOKUP(B1991,[1]LifeList!$E$2:$I$2036,4)</f>
        <v>Columbiformes</v>
      </c>
      <c r="H1991" s="3" t="str">
        <f>VLOOKUP(B1991,[1]LifeList!$E$2:$I$2036,5)</f>
        <v>Columbidae (Pigeons and Doves)</v>
      </c>
    </row>
    <row r="1992" spans="1:8" x14ac:dyDescent="0.15">
      <c r="A1992" s="3" t="s">
        <v>1897</v>
      </c>
      <c r="B1992" s="3" t="s">
        <v>4620</v>
      </c>
      <c r="C1992" s="3">
        <v>2159</v>
      </c>
      <c r="D1992" s="3" t="str">
        <f>VLOOKUP(B1992,[1]LifeList!$E$2:$G$2036,1)</f>
        <v>Namaqua Dove</v>
      </c>
      <c r="E1992" s="3" t="str">
        <f>VLOOKUP(B1992,[1]LifeList!$E$2:$G$2036,2)</f>
        <v>Tourtelette masquée</v>
      </c>
      <c r="F1992" s="3" t="str">
        <f>VLOOKUP(B1992,[1]LifeList!$E$2:$G$2036,3)</f>
        <v>Oena capensis</v>
      </c>
      <c r="G1992" s="3" t="str">
        <f>VLOOKUP(B1992,[1]LifeList!$E$2:$I$2036,4)</f>
        <v>Columbiformes</v>
      </c>
      <c r="H1992" s="3" t="str">
        <f>VLOOKUP(B1992,[1]LifeList!$E$2:$I$2036,5)</f>
        <v>Columbidae (Pigeons and Doves)</v>
      </c>
    </row>
    <row r="1993" spans="1:8" x14ac:dyDescent="0.15">
      <c r="A1993" s="3" t="s">
        <v>1898</v>
      </c>
      <c r="B1993" s="3" t="s">
        <v>4621</v>
      </c>
      <c r="C1993" s="3">
        <v>13128</v>
      </c>
      <c r="D1993" s="3" t="str">
        <f>VLOOKUP(B1993,[1]LifeList!$E$2:$G$2036,1)</f>
        <v>Nanday Parakeet</v>
      </c>
      <c r="E1993" s="3" t="str">
        <f>VLOOKUP(B1993,[1]LifeList!$E$2:$G$2036,2)</f>
        <v>Conure nanday</v>
      </c>
      <c r="F1993" s="3" t="str">
        <f>VLOOKUP(B1993,[1]LifeList!$E$2:$G$2036,3)</f>
        <v>Aratinga nenday</v>
      </c>
      <c r="G1993" s="3" t="str">
        <f>VLOOKUP(B1993,[1]LifeList!$E$2:$I$2036,4)</f>
        <v>Psittaciformes</v>
      </c>
      <c r="H1993" s="3" t="str">
        <f>VLOOKUP(B1993,[1]LifeList!$E$2:$I$2036,5)</f>
        <v>Psittacidae (New World and African Parrots)</v>
      </c>
    </row>
    <row r="1994" spans="1:8" x14ac:dyDescent="0.15">
      <c r="A1994" s="3" t="s">
        <v>1899</v>
      </c>
      <c r="B1994" s="3" t="s">
        <v>4621</v>
      </c>
      <c r="C1994" s="3">
        <v>13128</v>
      </c>
      <c r="D1994" s="3" t="str">
        <f>VLOOKUP(B1994,[1]LifeList!$E$2:$G$2036,1)</f>
        <v>Nanday Parakeet</v>
      </c>
      <c r="E1994" s="3" t="str">
        <f>VLOOKUP(B1994,[1]LifeList!$E$2:$G$2036,2)</f>
        <v>Conure nanday</v>
      </c>
      <c r="F1994" s="3" t="str">
        <f>VLOOKUP(B1994,[1]LifeList!$E$2:$G$2036,3)</f>
        <v>Aratinga nenday</v>
      </c>
      <c r="G1994" s="3" t="str">
        <f>VLOOKUP(B1994,[1]LifeList!$E$2:$I$2036,4)</f>
        <v>Psittaciformes</v>
      </c>
      <c r="H1994" s="3" t="str">
        <f>VLOOKUP(B1994,[1]LifeList!$E$2:$I$2036,5)</f>
        <v>Psittacidae (New World and African Parrots)</v>
      </c>
    </row>
    <row r="1995" spans="1:8" x14ac:dyDescent="0.15">
      <c r="A1995" s="3" t="s">
        <v>1900</v>
      </c>
      <c r="B1995" s="3" t="s">
        <v>4621</v>
      </c>
      <c r="C1995" s="3">
        <v>13128</v>
      </c>
      <c r="D1995" s="3" t="str">
        <f>VLOOKUP(B1995,[1]LifeList!$E$2:$G$2036,1)</f>
        <v>Nanday Parakeet</v>
      </c>
      <c r="E1995" s="3" t="str">
        <f>VLOOKUP(B1995,[1]LifeList!$E$2:$G$2036,2)</f>
        <v>Conure nanday</v>
      </c>
      <c r="F1995" s="3" t="str">
        <f>VLOOKUP(B1995,[1]LifeList!$E$2:$G$2036,3)</f>
        <v>Aratinga nenday</v>
      </c>
      <c r="G1995" s="3" t="str">
        <f>VLOOKUP(B1995,[1]LifeList!$E$2:$I$2036,4)</f>
        <v>Psittaciformes</v>
      </c>
      <c r="H1995" s="3" t="str">
        <f>VLOOKUP(B1995,[1]LifeList!$E$2:$I$2036,5)</f>
        <v>Psittacidae (New World and African Parrots)</v>
      </c>
    </row>
    <row r="1996" spans="1:8" x14ac:dyDescent="0.15">
      <c r="A1996" s="3" t="s">
        <v>1901</v>
      </c>
      <c r="B1996" s="3" t="s">
        <v>4621</v>
      </c>
      <c r="C1996" s="3">
        <v>13128</v>
      </c>
      <c r="D1996" s="3" t="str">
        <f>VLOOKUP(B1996,[1]LifeList!$E$2:$G$2036,1)</f>
        <v>Nanday Parakeet</v>
      </c>
      <c r="E1996" s="3" t="str">
        <f>VLOOKUP(B1996,[1]LifeList!$E$2:$G$2036,2)</f>
        <v>Conure nanday</v>
      </c>
      <c r="F1996" s="3" t="str">
        <f>VLOOKUP(B1996,[1]LifeList!$E$2:$G$2036,3)</f>
        <v>Aratinga nenday</v>
      </c>
      <c r="G1996" s="3" t="str">
        <f>VLOOKUP(B1996,[1]LifeList!$E$2:$I$2036,4)</f>
        <v>Psittaciformes</v>
      </c>
      <c r="H1996" s="3" t="str">
        <f>VLOOKUP(B1996,[1]LifeList!$E$2:$I$2036,5)</f>
        <v>Psittacidae (New World and African Parrots)</v>
      </c>
    </row>
    <row r="1997" spans="1:8" x14ac:dyDescent="0.15">
      <c r="A1997" s="3" t="s">
        <v>1902</v>
      </c>
      <c r="B1997" s="3" t="s">
        <v>4621</v>
      </c>
      <c r="C1997" s="3">
        <v>13128</v>
      </c>
      <c r="D1997" s="3" t="str">
        <f>VLOOKUP(B1997,[1]LifeList!$E$2:$G$2036,1)</f>
        <v>Nanday Parakeet</v>
      </c>
      <c r="E1997" s="3" t="str">
        <f>VLOOKUP(B1997,[1]LifeList!$E$2:$G$2036,2)</f>
        <v>Conure nanday</v>
      </c>
      <c r="F1997" s="3" t="str">
        <f>VLOOKUP(B1997,[1]LifeList!$E$2:$G$2036,3)</f>
        <v>Aratinga nenday</v>
      </c>
      <c r="G1997" s="3" t="str">
        <f>VLOOKUP(B1997,[1]LifeList!$E$2:$I$2036,4)</f>
        <v>Psittaciformes</v>
      </c>
      <c r="H1997" s="3" t="str">
        <f>VLOOKUP(B1997,[1]LifeList!$E$2:$I$2036,5)</f>
        <v>Psittacidae (New World and African Parrots)</v>
      </c>
    </row>
    <row r="1998" spans="1:8" x14ac:dyDescent="0.15">
      <c r="A1998" s="3" t="s">
        <v>1903</v>
      </c>
      <c r="B1998" s="3" t="s">
        <v>4622</v>
      </c>
      <c r="C1998" s="3">
        <v>12021</v>
      </c>
      <c r="D1998" s="3" t="str">
        <f>VLOOKUP(B1998,[1]LifeList!$E$2:$G$2036,1)</f>
        <v>Nankeen Kestrel</v>
      </c>
      <c r="E1998" s="3" t="str">
        <f>VLOOKUP(B1998,[1]LifeList!$E$2:$G$2036,2)</f>
        <v>Crécerelle d'Australie</v>
      </c>
      <c r="F1998" s="3" t="str">
        <f>VLOOKUP(B1998,[1]LifeList!$E$2:$G$2036,3)</f>
        <v>Falco cenchroides</v>
      </c>
      <c r="G1998" s="3" t="str">
        <f>VLOOKUP(B1998,[1]LifeList!$E$2:$I$2036,4)</f>
        <v>Falconiformes</v>
      </c>
      <c r="H1998" s="3" t="str">
        <f>VLOOKUP(B1998,[1]LifeList!$E$2:$I$2036,5)</f>
        <v>Falconidae (Falcons and Caracaras)</v>
      </c>
    </row>
    <row r="1999" spans="1:8" x14ac:dyDescent="0.15">
      <c r="A1999" s="3" t="s">
        <v>1904</v>
      </c>
      <c r="B1999" s="3" t="s">
        <v>4622</v>
      </c>
      <c r="C1999" s="3">
        <v>12021</v>
      </c>
      <c r="D1999" s="3" t="str">
        <f>VLOOKUP(B1999,[1]LifeList!$E$2:$G$2036,1)</f>
        <v>Nankeen Kestrel</v>
      </c>
      <c r="E1999" s="3" t="str">
        <f>VLOOKUP(B1999,[1]LifeList!$E$2:$G$2036,2)</f>
        <v>Crécerelle d'Australie</v>
      </c>
      <c r="F1999" s="3" t="str">
        <f>VLOOKUP(B1999,[1]LifeList!$E$2:$G$2036,3)</f>
        <v>Falco cenchroides</v>
      </c>
      <c r="G1999" s="3" t="str">
        <f>VLOOKUP(B1999,[1]LifeList!$E$2:$I$2036,4)</f>
        <v>Falconiformes</v>
      </c>
      <c r="H1999" s="3" t="str">
        <f>VLOOKUP(B1999,[1]LifeList!$E$2:$I$2036,5)</f>
        <v>Falconidae (Falcons and Caracaras)</v>
      </c>
    </row>
    <row r="2000" spans="1:8" x14ac:dyDescent="0.15">
      <c r="A2000" s="3" t="s">
        <v>1905</v>
      </c>
      <c r="B2000" s="3" t="s">
        <v>4623</v>
      </c>
      <c r="C2000" s="3">
        <v>33981</v>
      </c>
      <c r="D2000" s="3" t="str">
        <f>VLOOKUP(B2000,[1]LifeList!$E$2:$G$2036,1)</f>
        <v>Nashville Warbler</v>
      </c>
      <c r="E2000" s="3" t="str">
        <f>VLOOKUP(B2000,[1]LifeList!$E$2:$G$2036,2)</f>
        <v>Paruline à joues grises</v>
      </c>
      <c r="F2000" s="3" t="str">
        <f>VLOOKUP(B2000,[1]LifeList!$E$2:$G$2036,3)</f>
        <v>Leiothlypis ruficapilla</v>
      </c>
      <c r="G2000" s="3" t="str">
        <f>VLOOKUP(B2000,[1]LifeList!$E$2:$I$2036,4)</f>
        <v>Passeriformes</v>
      </c>
      <c r="H2000" s="3" t="str">
        <f>VLOOKUP(B2000,[1]LifeList!$E$2:$I$2036,5)</f>
        <v>Parulidae (New World Warblers)</v>
      </c>
    </row>
    <row r="2001" spans="1:8" x14ac:dyDescent="0.15">
      <c r="A2001" s="3" t="s">
        <v>1906</v>
      </c>
      <c r="B2001" s="3" t="s">
        <v>4623</v>
      </c>
      <c r="C2001" s="3">
        <v>33981</v>
      </c>
      <c r="D2001" s="3" t="str">
        <f>VLOOKUP(B2001,[1]LifeList!$E$2:$G$2036,1)</f>
        <v>Nashville Warbler</v>
      </c>
      <c r="E2001" s="3" t="str">
        <f>VLOOKUP(B2001,[1]LifeList!$E$2:$G$2036,2)</f>
        <v>Paruline à joues grises</v>
      </c>
      <c r="F2001" s="3" t="str">
        <f>VLOOKUP(B2001,[1]LifeList!$E$2:$G$2036,3)</f>
        <v>Leiothlypis ruficapilla</v>
      </c>
      <c r="G2001" s="3" t="str">
        <f>VLOOKUP(B2001,[1]LifeList!$E$2:$I$2036,4)</f>
        <v>Passeriformes</v>
      </c>
      <c r="H2001" s="3" t="str">
        <f>VLOOKUP(B2001,[1]LifeList!$E$2:$I$2036,5)</f>
        <v>Parulidae (New World Warblers)</v>
      </c>
    </row>
    <row r="2002" spans="1:8" x14ac:dyDescent="0.15">
      <c r="A2002" s="3" t="s">
        <v>1907</v>
      </c>
      <c r="B2002" s="3" t="s">
        <v>4623</v>
      </c>
      <c r="C2002" s="3">
        <v>33981</v>
      </c>
      <c r="D2002" s="3" t="str">
        <f>VLOOKUP(B2002,[1]LifeList!$E$2:$G$2036,1)</f>
        <v>Nashville Warbler</v>
      </c>
      <c r="E2002" s="3" t="str">
        <f>VLOOKUP(B2002,[1]LifeList!$E$2:$G$2036,2)</f>
        <v>Paruline à joues grises</v>
      </c>
      <c r="F2002" s="3" t="str">
        <f>VLOOKUP(B2002,[1]LifeList!$E$2:$G$2036,3)</f>
        <v>Leiothlypis ruficapilla</v>
      </c>
      <c r="G2002" s="3" t="str">
        <f>VLOOKUP(B2002,[1]LifeList!$E$2:$I$2036,4)</f>
        <v>Passeriformes</v>
      </c>
      <c r="H2002" s="3" t="str">
        <f>VLOOKUP(B2002,[1]LifeList!$E$2:$I$2036,5)</f>
        <v>Parulidae (New World Warblers)</v>
      </c>
    </row>
    <row r="2003" spans="1:8" x14ac:dyDescent="0.15">
      <c r="A2003" s="3" t="s">
        <v>1908</v>
      </c>
      <c r="B2003" s="3" t="s">
        <v>4623</v>
      </c>
      <c r="C2003" s="3">
        <v>33981</v>
      </c>
      <c r="D2003" s="3" t="str">
        <f>VLOOKUP(B2003,[1]LifeList!$E$2:$G$2036,1)</f>
        <v>Nashville Warbler</v>
      </c>
      <c r="E2003" s="3" t="str">
        <f>VLOOKUP(B2003,[1]LifeList!$E$2:$G$2036,2)</f>
        <v>Paruline à joues grises</v>
      </c>
      <c r="F2003" s="3" t="str">
        <f>VLOOKUP(B2003,[1]LifeList!$E$2:$G$2036,3)</f>
        <v>Leiothlypis ruficapilla</v>
      </c>
      <c r="G2003" s="3" t="str">
        <f>VLOOKUP(B2003,[1]LifeList!$E$2:$I$2036,4)</f>
        <v>Passeriformes</v>
      </c>
      <c r="H2003" s="3" t="str">
        <f>VLOOKUP(B2003,[1]LifeList!$E$2:$I$2036,5)</f>
        <v>Parulidae (New World Warblers)</v>
      </c>
    </row>
    <row r="2004" spans="1:8" x14ac:dyDescent="0.15">
      <c r="A2004" s="3" t="s">
        <v>1909</v>
      </c>
      <c r="B2004" s="3" t="s">
        <v>4623</v>
      </c>
      <c r="C2004" s="3">
        <v>33981</v>
      </c>
      <c r="D2004" s="3" t="str">
        <f>VLOOKUP(B2004,[1]LifeList!$E$2:$G$2036,1)</f>
        <v>Nashville Warbler</v>
      </c>
      <c r="E2004" s="3" t="str">
        <f>VLOOKUP(B2004,[1]LifeList!$E$2:$G$2036,2)</f>
        <v>Paruline à joues grises</v>
      </c>
      <c r="F2004" s="3" t="str">
        <f>VLOOKUP(B2004,[1]LifeList!$E$2:$G$2036,3)</f>
        <v>Leiothlypis ruficapilla</v>
      </c>
      <c r="G2004" s="3" t="str">
        <f>VLOOKUP(B2004,[1]LifeList!$E$2:$I$2036,4)</f>
        <v>Passeriformes</v>
      </c>
      <c r="H2004" s="3" t="str">
        <f>VLOOKUP(B2004,[1]LifeList!$E$2:$I$2036,5)</f>
        <v>Parulidae (New World Warblers)</v>
      </c>
    </row>
    <row r="2005" spans="1:8" x14ac:dyDescent="0.15">
      <c r="A2005" s="3" t="s">
        <v>1910</v>
      </c>
      <c r="B2005" s="3" t="s">
        <v>4623</v>
      </c>
      <c r="C2005" s="3">
        <v>33981</v>
      </c>
      <c r="D2005" s="3" t="str">
        <f>VLOOKUP(B2005,[1]LifeList!$E$2:$G$2036,1)</f>
        <v>Nashville Warbler</v>
      </c>
      <c r="E2005" s="3" t="str">
        <f>VLOOKUP(B2005,[1]LifeList!$E$2:$G$2036,2)</f>
        <v>Paruline à joues grises</v>
      </c>
      <c r="F2005" s="3" t="str">
        <f>VLOOKUP(B2005,[1]LifeList!$E$2:$G$2036,3)</f>
        <v>Leiothlypis ruficapilla</v>
      </c>
      <c r="G2005" s="3" t="str">
        <f>VLOOKUP(B2005,[1]LifeList!$E$2:$I$2036,4)</f>
        <v>Passeriformes</v>
      </c>
      <c r="H2005" s="3" t="str">
        <f>VLOOKUP(B2005,[1]LifeList!$E$2:$I$2036,5)</f>
        <v>Parulidae (New World Warblers)</v>
      </c>
    </row>
    <row r="2006" spans="1:8" x14ac:dyDescent="0.15">
      <c r="A2006" s="3" t="s">
        <v>1911</v>
      </c>
      <c r="B2006" s="3" t="s">
        <v>4623</v>
      </c>
      <c r="C2006" s="3">
        <v>33981</v>
      </c>
      <c r="D2006" s="3" t="str">
        <f>VLOOKUP(B2006,[1]LifeList!$E$2:$G$2036,1)</f>
        <v>Nashville Warbler</v>
      </c>
      <c r="E2006" s="3" t="str">
        <f>VLOOKUP(B2006,[1]LifeList!$E$2:$G$2036,2)</f>
        <v>Paruline à joues grises</v>
      </c>
      <c r="F2006" s="3" t="str">
        <f>VLOOKUP(B2006,[1]LifeList!$E$2:$G$2036,3)</f>
        <v>Leiothlypis ruficapilla</v>
      </c>
      <c r="G2006" s="3" t="str">
        <f>VLOOKUP(B2006,[1]LifeList!$E$2:$I$2036,4)</f>
        <v>Passeriformes</v>
      </c>
      <c r="H2006" s="3" t="str">
        <f>VLOOKUP(B2006,[1]LifeList!$E$2:$I$2036,5)</f>
        <v>Parulidae (New World Warblers)</v>
      </c>
    </row>
    <row r="2007" spans="1:8" x14ac:dyDescent="0.15">
      <c r="A2007" s="3" t="s">
        <v>1912</v>
      </c>
      <c r="B2007" s="3" t="s">
        <v>4623</v>
      </c>
      <c r="C2007" s="3">
        <v>33981</v>
      </c>
      <c r="D2007" s="3" t="str">
        <f>VLOOKUP(B2007,[1]LifeList!$E$2:$G$2036,1)</f>
        <v>Nashville Warbler</v>
      </c>
      <c r="E2007" s="3" t="str">
        <f>VLOOKUP(B2007,[1]LifeList!$E$2:$G$2036,2)</f>
        <v>Paruline à joues grises</v>
      </c>
      <c r="F2007" s="3" t="str">
        <f>VLOOKUP(B2007,[1]LifeList!$E$2:$G$2036,3)</f>
        <v>Leiothlypis ruficapilla</v>
      </c>
      <c r="G2007" s="3" t="str">
        <f>VLOOKUP(B2007,[1]LifeList!$E$2:$I$2036,4)</f>
        <v>Passeriformes</v>
      </c>
      <c r="H2007" s="3" t="str">
        <f>VLOOKUP(B2007,[1]LifeList!$E$2:$I$2036,5)</f>
        <v>Parulidae (New World Warblers)</v>
      </c>
    </row>
    <row r="2008" spans="1:8" x14ac:dyDescent="0.15">
      <c r="A2008" s="3" t="s">
        <v>1913</v>
      </c>
      <c r="B2008" s="3" t="s">
        <v>4623</v>
      </c>
      <c r="C2008" s="3">
        <v>33981</v>
      </c>
      <c r="D2008" s="3" t="str">
        <f>VLOOKUP(B2008,[1]LifeList!$E$2:$G$2036,1)</f>
        <v>Nashville Warbler</v>
      </c>
      <c r="E2008" s="3" t="str">
        <f>VLOOKUP(B2008,[1]LifeList!$E$2:$G$2036,2)</f>
        <v>Paruline à joues grises</v>
      </c>
      <c r="F2008" s="3" t="str">
        <f>VLOOKUP(B2008,[1]LifeList!$E$2:$G$2036,3)</f>
        <v>Leiothlypis ruficapilla</v>
      </c>
      <c r="G2008" s="3" t="str">
        <f>VLOOKUP(B2008,[1]LifeList!$E$2:$I$2036,4)</f>
        <v>Passeriformes</v>
      </c>
      <c r="H2008" s="3" t="str">
        <f>VLOOKUP(B2008,[1]LifeList!$E$2:$I$2036,5)</f>
        <v>Parulidae (New World Warblers)</v>
      </c>
    </row>
    <row r="2009" spans="1:8" x14ac:dyDescent="0.15">
      <c r="A2009" s="3" t="s">
        <v>1914</v>
      </c>
      <c r="B2009" s="3" t="s">
        <v>4623</v>
      </c>
      <c r="C2009" s="3">
        <v>33981</v>
      </c>
      <c r="D2009" s="3" t="str">
        <f>VLOOKUP(B2009,[1]LifeList!$E$2:$G$2036,1)</f>
        <v>Nashville Warbler</v>
      </c>
      <c r="E2009" s="3" t="str">
        <f>VLOOKUP(B2009,[1]LifeList!$E$2:$G$2036,2)</f>
        <v>Paruline à joues grises</v>
      </c>
      <c r="F2009" s="3" t="str">
        <f>VLOOKUP(B2009,[1]LifeList!$E$2:$G$2036,3)</f>
        <v>Leiothlypis ruficapilla</v>
      </c>
      <c r="G2009" s="3" t="str">
        <f>VLOOKUP(B2009,[1]LifeList!$E$2:$I$2036,4)</f>
        <v>Passeriformes</v>
      </c>
      <c r="H2009" s="3" t="str">
        <f>VLOOKUP(B2009,[1]LifeList!$E$2:$I$2036,5)</f>
        <v>Parulidae (New World Warblers)</v>
      </c>
    </row>
    <row r="2010" spans="1:8" x14ac:dyDescent="0.15">
      <c r="A2010" s="3" t="s">
        <v>1915</v>
      </c>
      <c r="B2010" s="3" t="s">
        <v>4623</v>
      </c>
      <c r="C2010" s="3">
        <v>33981</v>
      </c>
      <c r="D2010" s="3" t="str">
        <f>VLOOKUP(B2010,[1]LifeList!$E$2:$G$2036,1)</f>
        <v>Nashville Warbler</v>
      </c>
      <c r="E2010" s="3" t="str">
        <f>VLOOKUP(B2010,[1]LifeList!$E$2:$G$2036,2)</f>
        <v>Paruline à joues grises</v>
      </c>
      <c r="F2010" s="3" t="str">
        <f>VLOOKUP(B2010,[1]LifeList!$E$2:$G$2036,3)</f>
        <v>Leiothlypis ruficapilla</v>
      </c>
      <c r="G2010" s="3" t="str">
        <f>VLOOKUP(B2010,[1]LifeList!$E$2:$I$2036,4)</f>
        <v>Passeriformes</v>
      </c>
      <c r="H2010" s="3" t="str">
        <f>VLOOKUP(B2010,[1]LifeList!$E$2:$I$2036,5)</f>
        <v>Parulidae (New World Warblers)</v>
      </c>
    </row>
    <row r="2011" spans="1:8" x14ac:dyDescent="0.15">
      <c r="A2011" s="3" t="s">
        <v>1916</v>
      </c>
      <c r="B2011" s="3" t="s">
        <v>4623</v>
      </c>
      <c r="C2011" s="3">
        <v>33981</v>
      </c>
      <c r="D2011" s="3" t="str">
        <f>VLOOKUP(B2011,[1]LifeList!$E$2:$G$2036,1)</f>
        <v>Nashville Warbler</v>
      </c>
      <c r="E2011" s="3" t="str">
        <f>VLOOKUP(B2011,[1]LifeList!$E$2:$G$2036,2)</f>
        <v>Paruline à joues grises</v>
      </c>
      <c r="F2011" s="3" t="str">
        <f>VLOOKUP(B2011,[1]LifeList!$E$2:$G$2036,3)</f>
        <v>Leiothlypis ruficapilla</v>
      </c>
      <c r="G2011" s="3" t="str">
        <f>VLOOKUP(B2011,[1]LifeList!$E$2:$I$2036,4)</f>
        <v>Passeriformes</v>
      </c>
      <c r="H2011" s="3" t="str">
        <f>VLOOKUP(B2011,[1]LifeList!$E$2:$I$2036,5)</f>
        <v>Parulidae (New World Warblers)</v>
      </c>
    </row>
    <row r="2012" spans="1:8" x14ac:dyDescent="0.15">
      <c r="A2012" s="3" t="s">
        <v>1917</v>
      </c>
      <c r="B2012" s="3" t="s">
        <v>4623</v>
      </c>
      <c r="C2012" s="3">
        <v>33981</v>
      </c>
      <c r="D2012" s="3" t="str">
        <f>VLOOKUP(B2012,[1]LifeList!$E$2:$G$2036,1)</f>
        <v>Nashville Warbler</v>
      </c>
      <c r="E2012" s="3" t="str">
        <f>VLOOKUP(B2012,[1]LifeList!$E$2:$G$2036,2)</f>
        <v>Paruline à joues grises</v>
      </c>
      <c r="F2012" s="3" t="str">
        <f>VLOOKUP(B2012,[1]LifeList!$E$2:$G$2036,3)</f>
        <v>Leiothlypis ruficapilla</v>
      </c>
      <c r="G2012" s="3" t="str">
        <f>VLOOKUP(B2012,[1]LifeList!$E$2:$I$2036,4)</f>
        <v>Passeriformes</v>
      </c>
      <c r="H2012" s="3" t="str">
        <f>VLOOKUP(B2012,[1]LifeList!$E$2:$I$2036,5)</f>
        <v>Parulidae (New World Warblers)</v>
      </c>
    </row>
    <row r="2013" spans="1:8" x14ac:dyDescent="0.15">
      <c r="A2013" s="3" t="s">
        <v>1918</v>
      </c>
      <c r="B2013" s="3" t="s">
        <v>4623</v>
      </c>
      <c r="C2013" s="3">
        <v>33981</v>
      </c>
      <c r="D2013" s="3" t="str">
        <f>VLOOKUP(B2013,[1]LifeList!$E$2:$G$2036,1)</f>
        <v>Nashville Warbler</v>
      </c>
      <c r="E2013" s="3" t="str">
        <f>VLOOKUP(B2013,[1]LifeList!$E$2:$G$2036,2)</f>
        <v>Paruline à joues grises</v>
      </c>
      <c r="F2013" s="3" t="str">
        <f>VLOOKUP(B2013,[1]LifeList!$E$2:$G$2036,3)</f>
        <v>Leiothlypis ruficapilla</v>
      </c>
      <c r="G2013" s="3" t="str">
        <f>VLOOKUP(B2013,[1]LifeList!$E$2:$I$2036,4)</f>
        <v>Passeriformes</v>
      </c>
      <c r="H2013" s="3" t="str">
        <f>VLOOKUP(B2013,[1]LifeList!$E$2:$I$2036,5)</f>
        <v>Parulidae (New World Warblers)</v>
      </c>
    </row>
    <row r="2014" spans="1:8" x14ac:dyDescent="0.15">
      <c r="A2014" s="3" t="s">
        <v>1919</v>
      </c>
      <c r="B2014" s="3" t="s">
        <v>4623</v>
      </c>
      <c r="C2014" s="3">
        <v>33981</v>
      </c>
      <c r="D2014" s="3" t="str">
        <f>VLOOKUP(B2014,[1]LifeList!$E$2:$G$2036,1)</f>
        <v>Nashville Warbler</v>
      </c>
      <c r="E2014" s="3" t="str">
        <f>VLOOKUP(B2014,[1]LifeList!$E$2:$G$2036,2)</f>
        <v>Paruline à joues grises</v>
      </c>
      <c r="F2014" s="3" t="str">
        <f>VLOOKUP(B2014,[1]LifeList!$E$2:$G$2036,3)</f>
        <v>Leiothlypis ruficapilla</v>
      </c>
      <c r="G2014" s="3" t="str">
        <f>VLOOKUP(B2014,[1]LifeList!$E$2:$I$2036,4)</f>
        <v>Passeriformes</v>
      </c>
      <c r="H2014" s="3" t="str">
        <f>VLOOKUP(B2014,[1]LifeList!$E$2:$I$2036,5)</f>
        <v>Parulidae (New World Warblers)</v>
      </c>
    </row>
    <row r="2015" spans="1:8" x14ac:dyDescent="0.15">
      <c r="A2015" s="3" t="s">
        <v>1920</v>
      </c>
      <c r="B2015" s="3" t="s">
        <v>4624</v>
      </c>
      <c r="C2015" s="3">
        <v>7355</v>
      </c>
      <c r="D2015" s="3" t="str">
        <f>VLOOKUP(B2015,[1]LifeList!$E$2:$G$2036,1)</f>
        <v>Nazca Booby</v>
      </c>
      <c r="E2015" s="3" t="str">
        <f>VLOOKUP(B2015,[1]LifeList!$E$2:$G$2036,2)</f>
        <v>Fou de Grant</v>
      </c>
      <c r="F2015" s="3" t="str">
        <f>VLOOKUP(B2015,[1]LifeList!$E$2:$G$2036,3)</f>
        <v>Sula granti</v>
      </c>
      <c r="G2015" s="3" t="str">
        <f>VLOOKUP(B2015,[1]LifeList!$E$2:$I$2036,4)</f>
        <v>Suliformes</v>
      </c>
      <c r="H2015" s="3" t="str">
        <f>VLOOKUP(B2015,[1]LifeList!$E$2:$I$2036,5)</f>
        <v>Sulidae (Boobies and Gannets)</v>
      </c>
    </row>
    <row r="2016" spans="1:8" x14ac:dyDescent="0.15">
      <c r="A2016" s="3" t="s">
        <v>1921</v>
      </c>
      <c r="B2016" s="3" t="s">
        <v>4625</v>
      </c>
      <c r="C2016" s="3">
        <v>7431</v>
      </c>
      <c r="D2016" s="3" t="str">
        <f>VLOOKUP(B2016,[1]LifeList!$E$2:$G$2036,1)</f>
        <v>Neotropic Cormorant</v>
      </c>
      <c r="E2016" s="3" t="str">
        <f>VLOOKUP(B2016,[1]LifeList!$E$2:$G$2036,2)</f>
        <v>Cormoran vigua</v>
      </c>
      <c r="F2016" s="3" t="str">
        <f>VLOOKUP(B2016,[1]LifeList!$E$2:$G$2036,3)</f>
        <v>Nannopterum brasilianum</v>
      </c>
      <c r="G2016" s="3" t="str">
        <f>VLOOKUP(B2016,[1]LifeList!$E$2:$I$2036,4)</f>
        <v>Suliformes</v>
      </c>
      <c r="H2016" s="3" t="str">
        <f>VLOOKUP(B2016,[1]LifeList!$E$2:$I$2036,5)</f>
        <v>Phalacrocoracidae (Cormorants and Shags)</v>
      </c>
    </row>
    <row r="2017" spans="1:8" x14ac:dyDescent="0.15">
      <c r="A2017" s="3" t="s">
        <v>1922</v>
      </c>
      <c r="B2017" s="3" t="s">
        <v>4625</v>
      </c>
      <c r="C2017" s="3">
        <v>7431</v>
      </c>
      <c r="D2017" s="3" t="str">
        <f>VLOOKUP(B2017,[1]LifeList!$E$2:$G$2036,1)</f>
        <v>Neotropic Cormorant</v>
      </c>
      <c r="E2017" s="3" t="str">
        <f>VLOOKUP(B2017,[1]LifeList!$E$2:$G$2036,2)</f>
        <v>Cormoran vigua</v>
      </c>
      <c r="F2017" s="3" t="str">
        <f>VLOOKUP(B2017,[1]LifeList!$E$2:$G$2036,3)</f>
        <v>Nannopterum brasilianum</v>
      </c>
      <c r="G2017" s="3" t="str">
        <f>VLOOKUP(B2017,[1]LifeList!$E$2:$I$2036,4)</f>
        <v>Suliformes</v>
      </c>
      <c r="H2017" s="3" t="str">
        <f>VLOOKUP(B2017,[1]LifeList!$E$2:$I$2036,5)</f>
        <v>Phalacrocoracidae (Cormorants and Shags)</v>
      </c>
    </row>
    <row r="2018" spans="1:8" x14ac:dyDescent="0.15">
      <c r="A2018" s="3" t="s">
        <v>1923</v>
      </c>
      <c r="B2018" s="3" t="s">
        <v>4625</v>
      </c>
      <c r="C2018" s="3">
        <v>7431</v>
      </c>
      <c r="D2018" s="3" t="str">
        <f>VLOOKUP(B2018,[1]LifeList!$E$2:$G$2036,1)</f>
        <v>Neotropic Cormorant</v>
      </c>
      <c r="E2018" s="3" t="str">
        <f>VLOOKUP(B2018,[1]LifeList!$E$2:$G$2036,2)</f>
        <v>Cormoran vigua</v>
      </c>
      <c r="F2018" s="3" t="str">
        <f>VLOOKUP(B2018,[1]LifeList!$E$2:$G$2036,3)</f>
        <v>Nannopterum brasilianum</v>
      </c>
      <c r="G2018" s="3" t="str">
        <f>VLOOKUP(B2018,[1]LifeList!$E$2:$I$2036,4)</f>
        <v>Suliformes</v>
      </c>
      <c r="H2018" s="3" t="str">
        <f>VLOOKUP(B2018,[1]LifeList!$E$2:$I$2036,5)</f>
        <v>Phalacrocoracidae (Cormorants and Shags)</v>
      </c>
    </row>
    <row r="2019" spans="1:8" x14ac:dyDescent="0.15">
      <c r="A2019" s="3" t="s">
        <v>1924</v>
      </c>
      <c r="B2019" s="3" t="s">
        <v>3777</v>
      </c>
      <c r="C2019" s="3">
        <v>18102</v>
      </c>
      <c r="D2019" s="3" t="str">
        <f>VLOOKUP(B2019,[1]LifeList!$E$2:$G$2036,1)</f>
        <v>New Holland Honeyeater</v>
      </c>
      <c r="E2019" s="3" t="str">
        <f>VLOOKUP(B2019,[1]LifeList!$E$2:$G$2036,2)</f>
        <v>Méliphage de Nouvelle-Hollande</v>
      </c>
      <c r="F2019" s="3" t="str">
        <f>VLOOKUP(B2019,[1]LifeList!$E$2:$G$2036,3)</f>
        <v>Phylidonyris novaehollandiae</v>
      </c>
      <c r="G2019" s="3" t="str">
        <f>VLOOKUP(B2019,[1]LifeList!$E$2:$I$2036,4)</f>
        <v>Passeriformes</v>
      </c>
      <c r="H2019" s="3" t="str">
        <f>VLOOKUP(B2019,[1]LifeList!$E$2:$I$2036,5)</f>
        <v>Meliphagidae (Honeyeaters)</v>
      </c>
    </row>
    <row r="2020" spans="1:8" x14ac:dyDescent="0.15">
      <c r="A2020" s="3" t="s">
        <v>1925</v>
      </c>
      <c r="B2020" s="3" t="s">
        <v>3777</v>
      </c>
      <c r="C2020" s="3">
        <v>18102</v>
      </c>
      <c r="D2020" s="3" t="str">
        <f>VLOOKUP(B2020,[1]LifeList!$E$2:$G$2036,1)</f>
        <v>New Holland Honeyeater</v>
      </c>
      <c r="E2020" s="3" t="str">
        <f>VLOOKUP(B2020,[1]LifeList!$E$2:$G$2036,2)</f>
        <v>Méliphage de Nouvelle-Hollande</v>
      </c>
      <c r="F2020" s="3" t="str">
        <f>VLOOKUP(B2020,[1]LifeList!$E$2:$G$2036,3)</f>
        <v>Phylidonyris novaehollandiae</v>
      </c>
      <c r="G2020" s="3" t="str">
        <f>VLOOKUP(B2020,[1]LifeList!$E$2:$I$2036,4)</f>
        <v>Passeriformes</v>
      </c>
      <c r="H2020" s="3" t="str">
        <f>VLOOKUP(B2020,[1]LifeList!$E$2:$I$2036,5)</f>
        <v>Meliphagidae (Honeyeaters)</v>
      </c>
    </row>
    <row r="2021" spans="1:8" x14ac:dyDescent="0.15">
      <c r="A2021" s="3" t="s">
        <v>1926</v>
      </c>
      <c r="B2021" s="3" t="s">
        <v>3777</v>
      </c>
      <c r="C2021" s="3">
        <v>18102</v>
      </c>
      <c r="D2021" s="3" t="str">
        <f>VLOOKUP(B2021,[1]LifeList!$E$2:$G$2036,1)</f>
        <v>New Holland Honeyeater</v>
      </c>
      <c r="E2021" s="3" t="str">
        <f>VLOOKUP(B2021,[1]LifeList!$E$2:$G$2036,2)</f>
        <v>Méliphage de Nouvelle-Hollande</v>
      </c>
      <c r="F2021" s="3" t="str">
        <f>VLOOKUP(B2021,[1]LifeList!$E$2:$G$2036,3)</f>
        <v>Phylidonyris novaehollandiae</v>
      </c>
      <c r="G2021" s="3" t="str">
        <f>VLOOKUP(B2021,[1]LifeList!$E$2:$I$2036,4)</f>
        <v>Passeriformes</v>
      </c>
      <c r="H2021" s="3" t="str">
        <f>VLOOKUP(B2021,[1]LifeList!$E$2:$I$2036,5)</f>
        <v>Meliphagidae (Honeyeaters)</v>
      </c>
    </row>
    <row r="2022" spans="1:8" x14ac:dyDescent="0.15">
      <c r="A2022" s="3" t="s">
        <v>1927</v>
      </c>
      <c r="B2022" s="3" t="s">
        <v>3777</v>
      </c>
      <c r="C2022" s="3">
        <v>18102</v>
      </c>
      <c r="D2022" s="3" t="str">
        <f>VLOOKUP(B2022,[1]LifeList!$E$2:$G$2036,1)</f>
        <v>New Holland Honeyeater</v>
      </c>
      <c r="E2022" s="3" t="str">
        <f>VLOOKUP(B2022,[1]LifeList!$E$2:$G$2036,2)</f>
        <v>Méliphage de Nouvelle-Hollande</v>
      </c>
      <c r="F2022" s="3" t="str">
        <f>VLOOKUP(B2022,[1]LifeList!$E$2:$G$2036,3)</f>
        <v>Phylidonyris novaehollandiae</v>
      </c>
      <c r="G2022" s="3" t="str">
        <f>VLOOKUP(B2022,[1]LifeList!$E$2:$I$2036,4)</f>
        <v>Passeriformes</v>
      </c>
      <c r="H2022" s="3" t="str">
        <f>VLOOKUP(B2022,[1]LifeList!$E$2:$I$2036,5)</f>
        <v>Meliphagidae (Honeyeaters)</v>
      </c>
    </row>
    <row r="2023" spans="1:8" x14ac:dyDescent="0.15">
      <c r="A2023" s="3" t="s">
        <v>1928</v>
      </c>
      <c r="B2023" s="3" t="s">
        <v>3777</v>
      </c>
      <c r="C2023" s="3">
        <v>18102</v>
      </c>
      <c r="D2023" s="3" t="str">
        <f>VLOOKUP(B2023,[1]LifeList!$E$2:$G$2036,1)</f>
        <v>New Holland Honeyeater</v>
      </c>
      <c r="E2023" s="3" t="str">
        <f>VLOOKUP(B2023,[1]LifeList!$E$2:$G$2036,2)</f>
        <v>Méliphage de Nouvelle-Hollande</v>
      </c>
      <c r="F2023" s="3" t="str">
        <f>VLOOKUP(B2023,[1]LifeList!$E$2:$G$2036,3)</f>
        <v>Phylidonyris novaehollandiae</v>
      </c>
      <c r="G2023" s="3" t="str">
        <f>VLOOKUP(B2023,[1]LifeList!$E$2:$I$2036,4)</f>
        <v>Passeriformes</v>
      </c>
      <c r="H2023" s="3" t="str">
        <f>VLOOKUP(B2023,[1]LifeList!$E$2:$I$2036,5)</f>
        <v>Meliphagidae (Honeyeaters)</v>
      </c>
    </row>
    <row r="2024" spans="1:8" x14ac:dyDescent="0.15">
      <c r="A2024" s="3" t="s">
        <v>1929</v>
      </c>
      <c r="B2024" s="3" t="s">
        <v>3777</v>
      </c>
      <c r="C2024" s="3">
        <v>18102</v>
      </c>
      <c r="D2024" s="3" t="str">
        <f>VLOOKUP(B2024,[1]LifeList!$E$2:$G$2036,1)</f>
        <v>New Holland Honeyeater</v>
      </c>
      <c r="E2024" s="3" t="str">
        <f>VLOOKUP(B2024,[1]LifeList!$E$2:$G$2036,2)</f>
        <v>Méliphage de Nouvelle-Hollande</v>
      </c>
      <c r="F2024" s="3" t="str">
        <f>VLOOKUP(B2024,[1]LifeList!$E$2:$G$2036,3)</f>
        <v>Phylidonyris novaehollandiae</v>
      </c>
      <c r="G2024" s="3" t="str">
        <f>VLOOKUP(B2024,[1]LifeList!$E$2:$I$2036,4)</f>
        <v>Passeriformes</v>
      </c>
      <c r="H2024" s="3" t="str">
        <f>VLOOKUP(B2024,[1]LifeList!$E$2:$I$2036,5)</f>
        <v>Meliphagidae (Honeyeaters)</v>
      </c>
    </row>
    <row r="2025" spans="1:8" x14ac:dyDescent="0.15">
      <c r="A2025" s="3" t="s">
        <v>1930</v>
      </c>
      <c r="B2025" s="3" t="s">
        <v>4626</v>
      </c>
      <c r="C2025" s="3">
        <v>33880</v>
      </c>
      <c r="D2025" s="3" t="str">
        <f>VLOOKUP(B2025,[1]LifeList!$E$2:$G$2036,1)</f>
        <v>Nicaraguan Grackle</v>
      </c>
      <c r="E2025" s="3" t="str">
        <f>VLOOKUP(B2025,[1]LifeList!$E$2:$G$2036,2)</f>
        <v>Quiscale du Nicaragua</v>
      </c>
      <c r="F2025" s="3" t="str">
        <f>VLOOKUP(B2025,[1]LifeList!$E$2:$G$2036,3)</f>
        <v>Quiscalus nicaraguensis</v>
      </c>
      <c r="G2025" s="3" t="str">
        <f>VLOOKUP(B2025,[1]LifeList!$E$2:$I$2036,4)</f>
        <v>Passeriformes</v>
      </c>
      <c r="H2025" s="3" t="str">
        <f>VLOOKUP(B2025,[1]LifeList!$E$2:$I$2036,5)</f>
        <v>Icteridae (Troupials and Allies)</v>
      </c>
    </row>
    <row r="2026" spans="1:8" x14ac:dyDescent="0.15">
      <c r="A2026" s="3" t="s">
        <v>3897</v>
      </c>
      <c r="B2026" s="3" t="s">
        <v>5255</v>
      </c>
      <c r="C2026" s="3">
        <v>17808</v>
      </c>
      <c r="D2026" s="3" t="str">
        <f>VLOOKUP(B2026,[1]LifeList!$E$2:$G$2036,1)</f>
        <v>Niceforo's Wren</v>
      </c>
      <c r="E2026" s="3" t="str">
        <f>VLOOKUP(B2026,[1]LifeList!$E$2:$G$2036,2)</f>
        <v>Troglodyte de Niceforo</v>
      </c>
      <c r="F2026" s="3" t="str">
        <f>VLOOKUP(B2026,[1]LifeList!$E$2:$G$2036,3)</f>
        <v>Thryophilus nicefori</v>
      </c>
      <c r="G2026" s="3" t="str">
        <f>VLOOKUP(B2026,[1]LifeList!$E$2:$I$2036,4)</f>
        <v>Passeriformes</v>
      </c>
      <c r="H2026" s="3" t="str">
        <f>VLOOKUP(B2026,[1]LifeList!$E$2:$I$2036,5)</f>
        <v>Troglodytidae (Wrens)</v>
      </c>
    </row>
    <row r="2027" spans="1:8" x14ac:dyDescent="0.15">
      <c r="A2027" s="3" t="s">
        <v>1931</v>
      </c>
      <c r="B2027" s="3" t="s">
        <v>4627</v>
      </c>
      <c r="C2027" s="3">
        <v>18210</v>
      </c>
      <c r="D2027" s="3" t="str">
        <f>VLOOKUP(B2027,[1]LifeList!$E$2:$G$2036,1)</f>
        <v>Noisy Friarbird</v>
      </c>
      <c r="E2027" s="3" t="str">
        <f>VLOOKUP(B2027,[1]LifeList!$E$2:$G$2036,2)</f>
        <v>Polochion criard</v>
      </c>
      <c r="F2027" s="3" t="str">
        <f>VLOOKUP(B2027,[1]LifeList!$E$2:$G$2036,3)</f>
        <v>Philemon corniculatus</v>
      </c>
      <c r="G2027" s="3" t="str">
        <f>VLOOKUP(B2027,[1]LifeList!$E$2:$I$2036,4)</f>
        <v>Passeriformes</v>
      </c>
      <c r="H2027" s="3" t="str">
        <f>VLOOKUP(B2027,[1]LifeList!$E$2:$I$2036,5)</f>
        <v>Meliphagidae (Honeyeaters)</v>
      </c>
    </row>
    <row r="2028" spans="1:8" x14ac:dyDescent="0.15">
      <c r="A2028" s="3" t="s">
        <v>1932</v>
      </c>
      <c r="B2028" s="3" t="s">
        <v>4627</v>
      </c>
      <c r="C2028" s="3">
        <v>18210</v>
      </c>
      <c r="D2028" s="3" t="str">
        <f>VLOOKUP(B2028,[1]LifeList!$E$2:$G$2036,1)</f>
        <v>Noisy Friarbird</v>
      </c>
      <c r="E2028" s="3" t="str">
        <f>VLOOKUP(B2028,[1]LifeList!$E$2:$G$2036,2)</f>
        <v>Polochion criard</v>
      </c>
      <c r="F2028" s="3" t="str">
        <f>VLOOKUP(B2028,[1]LifeList!$E$2:$G$2036,3)</f>
        <v>Philemon corniculatus</v>
      </c>
      <c r="G2028" s="3" t="str">
        <f>VLOOKUP(B2028,[1]LifeList!$E$2:$I$2036,4)</f>
        <v>Passeriformes</v>
      </c>
      <c r="H2028" s="3" t="str">
        <f>VLOOKUP(B2028,[1]LifeList!$E$2:$I$2036,5)</f>
        <v>Meliphagidae (Honeyeaters)</v>
      </c>
    </row>
    <row r="2029" spans="1:8" x14ac:dyDescent="0.15">
      <c r="A2029" s="3" t="s">
        <v>1934</v>
      </c>
      <c r="B2029" s="3" t="s">
        <v>4628</v>
      </c>
      <c r="C2029" s="3">
        <v>17808</v>
      </c>
      <c r="D2029" s="3" t="str">
        <f>VLOOKUP(B2029,[1]LifeList!$E$2:$G$2036,1)</f>
        <v>Noisy Miner</v>
      </c>
      <c r="E2029" s="3" t="str">
        <f>VLOOKUP(B2029,[1]LifeList!$E$2:$G$2036,2)</f>
        <v>Méliphage bruyant</v>
      </c>
      <c r="F2029" s="3" t="str">
        <f>VLOOKUP(B2029,[1]LifeList!$E$2:$G$2036,3)</f>
        <v>Manorina melanocephala</v>
      </c>
      <c r="G2029" s="3" t="str">
        <f>VLOOKUP(B2029,[1]LifeList!$E$2:$I$2036,4)</f>
        <v>Passeriformes</v>
      </c>
      <c r="H2029" s="3" t="str">
        <f>VLOOKUP(B2029,[1]LifeList!$E$2:$I$2036,5)</f>
        <v>Meliphagidae (Honeyeaters)</v>
      </c>
    </row>
    <row r="2030" spans="1:8" x14ac:dyDescent="0.15">
      <c r="A2030" s="3" t="s">
        <v>1933</v>
      </c>
      <c r="B2030" s="3" t="s">
        <v>4628</v>
      </c>
      <c r="C2030" s="3">
        <v>17808</v>
      </c>
      <c r="D2030" s="3" t="str">
        <f>VLOOKUP(B2030,[1]LifeList!$E$2:$G$2036,1)</f>
        <v>Noisy Miner</v>
      </c>
      <c r="E2030" s="3" t="str">
        <f>VLOOKUP(B2030,[1]LifeList!$E$2:$G$2036,2)</f>
        <v>Méliphage bruyant</v>
      </c>
      <c r="F2030" s="3" t="str">
        <f>VLOOKUP(B2030,[1]LifeList!$E$2:$G$2036,3)</f>
        <v>Manorina melanocephala</v>
      </c>
      <c r="G2030" s="3" t="str">
        <f>VLOOKUP(B2030,[1]LifeList!$E$2:$I$2036,4)</f>
        <v>Passeriformes</v>
      </c>
      <c r="H2030" s="3" t="str">
        <f>VLOOKUP(B2030,[1]LifeList!$E$2:$I$2036,5)</f>
        <v>Meliphagidae (Honeyeaters)</v>
      </c>
    </row>
    <row r="2031" spans="1:8" x14ac:dyDescent="0.15">
      <c r="A2031" s="3" t="s">
        <v>1935</v>
      </c>
      <c r="B2031" s="3" t="s">
        <v>4629</v>
      </c>
      <c r="C2031" s="3">
        <v>14707</v>
      </c>
      <c r="D2031" s="3" t="str">
        <f>VLOOKUP(B2031,[1]LifeList!$E$2:$G$2036,1)</f>
        <v>Northern Barred-Woodcreeper</v>
      </c>
      <c r="E2031" s="3" t="str">
        <f>VLOOKUP(B2031,[1]LifeList!$E$2:$G$2036,2)</f>
        <v>Grimpar vermiculé</v>
      </c>
      <c r="F2031" s="3" t="str">
        <f>VLOOKUP(B2031,[1]LifeList!$E$2:$G$2036,3)</f>
        <v>Dendrocolaptes sanctithomae</v>
      </c>
      <c r="G2031" s="3" t="str">
        <f>VLOOKUP(B2031,[1]LifeList!$E$2:$I$2036,4)</f>
        <v>Passeriformes</v>
      </c>
      <c r="H2031" s="3" t="str">
        <f>VLOOKUP(B2031,[1]LifeList!$E$2:$I$2036,5)</f>
        <v>Furnariidae (Ovenbirds and Woodcreepers)</v>
      </c>
    </row>
    <row r="2032" spans="1:8" x14ac:dyDescent="0.15">
      <c r="A2032" s="3" t="s">
        <v>1936</v>
      </c>
      <c r="B2032" s="3" t="s">
        <v>4630</v>
      </c>
      <c r="C2032" s="3">
        <v>34515</v>
      </c>
      <c r="D2032" s="3" t="str">
        <f>VLOOKUP(B2032,[1]LifeList!$E$2:$G$2036,1)</f>
        <v>Northern Cardinal</v>
      </c>
      <c r="E2032" s="3" t="str">
        <f>VLOOKUP(B2032,[1]LifeList!$E$2:$G$2036,2)</f>
        <v>Cardinal rouge</v>
      </c>
      <c r="F2032" s="3" t="str">
        <f>VLOOKUP(B2032,[1]LifeList!$E$2:$G$2036,3)</f>
        <v>Cardinalis cardinalis</v>
      </c>
      <c r="G2032" s="3" t="str">
        <f>VLOOKUP(B2032,[1]LifeList!$E$2:$I$2036,4)</f>
        <v>Passeriformes</v>
      </c>
      <c r="H2032" s="3" t="str">
        <f>VLOOKUP(B2032,[1]LifeList!$E$2:$I$2036,5)</f>
        <v>Cardinalidae (Cardinals and Allies)</v>
      </c>
    </row>
    <row r="2033" spans="1:8" x14ac:dyDescent="0.15">
      <c r="A2033" s="3" t="s">
        <v>1937</v>
      </c>
      <c r="B2033" s="3" t="s">
        <v>4630</v>
      </c>
      <c r="C2033" s="3">
        <v>34515</v>
      </c>
      <c r="D2033" s="3" t="str">
        <f>VLOOKUP(B2033,[1]LifeList!$E$2:$G$2036,1)</f>
        <v>Northern Cardinal</v>
      </c>
      <c r="E2033" s="3" t="str">
        <f>VLOOKUP(B2033,[1]LifeList!$E$2:$G$2036,2)</f>
        <v>Cardinal rouge</v>
      </c>
      <c r="F2033" s="3" t="str">
        <f>VLOOKUP(B2033,[1]LifeList!$E$2:$G$2036,3)</f>
        <v>Cardinalis cardinalis</v>
      </c>
      <c r="G2033" s="3" t="str">
        <f>VLOOKUP(B2033,[1]LifeList!$E$2:$I$2036,4)</f>
        <v>Passeriformes</v>
      </c>
      <c r="H2033" s="3" t="str">
        <f>VLOOKUP(B2033,[1]LifeList!$E$2:$I$2036,5)</f>
        <v>Cardinalidae (Cardinals and Allies)</v>
      </c>
    </row>
    <row r="2034" spans="1:8" x14ac:dyDescent="0.15">
      <c r="A2034" s="3" t="s">
        <v>1938</v>
      </c>
      <c r="B2034" s="3" t="s">
        <v>4630</v>
      </c>
      <c r="C2034" s="3">
        <v>34515</v>
      </c>
      <c r="D2034" s="3" t="str">
        <f>VLOOKUP(B2034,[1]LifeList!$E$2:$G$2036,1)</f>
        <v>Northern Cardinal</v>
      </c>
      <c r="E2034" s="3" t="str">
        <f>VLOOKUP(B2034,[1]LifeList!$E$2:$G$2036,2)</f>
        <v>Cardinal rouge</v>
      </c>
      <c r="F2034" s="3" t="str">
        <f>VLOOKUP(B2034,[1]LifeList!$E$2:$G$2036,3)</f>
        <v>Cardinalis cardinalis</v>
      </c>
      <c r="G2034" s="3" t="str">
        <f>VLOOKUP(B2034,[1]LifeList!$E$2:$I$2036,4)</f>
        <v>Passeriformes</v>
      </c>
      <c r="H2034" s="3" t="str">
        <f>VLOOKUP(B2034,[1]LifeList!$E$2:$I$2036,5)</f>
        <v>Cardinalidae (Cardinals and Allies)</v>
      </c>
    </row>
    <row r="2035" spans="1:8" x14ac:dyDescent="0.15">
      <c r="A2035" s="3" t="s">
        <v>1939</v>
      </c>
      <c r="B2035" s="3" t="s">
        <v>4630</v>
      </c>
      <c r="C2035" s="3">
        <v>34515</v>
      </c>
      <c r="D2035" s="3" t="str">
        <f>VLOOKUP(B2035,[1]LifeList!$E$2:$G$2036,1)</f>
        <v>Northern Cardinal</v>
      </c>
      <c r="E2035" s="3" t="str">
        <f>VLOOKUP(B2035,[1]LifeList!$E$2:$G$2036,2)</f>
        <v>Cardinal rouge</v>
      </c>
      <c r="F2035" s="3" t="str">
        <f>VLOOKUP(B2035,[1]LifeList!$E$2:$G$2036,3)</f>
        <v>Cardinalis cardinalis</v>
      </c>
      <c r="G2035" s="3" t="str">
        <f>VLOOKUP(B2035,[1]LifeList!$E$2:$I$2036,4)</f>
        <v>Passeriformes</v>
      </c>
      <c r="H2035" s="3" t="str">
        <f>VLOOKUP(B2035,[1]LifeList!$E$2:$I$2036,5)</f>
        <v>Cardinalidae (Cardinals and Allies)</v>
      </c>
    </row>
    <row r="2036" spans="1:8" x14ac:dyDescent="0.15">
      <c r="A2036" s="3" t="s">
        <v>1940</v>
      </c>
      <c r="B2036" s="3" t="s">
        <v>4630</v>
      </c>
      <c r="C2036" s="3">
        <v>34515</v>
      </c>
      <c r="D2036" s="3" t="str">
        <f>VLOOKUP(B2036,[1]LifeList!$E$2:$G$2036,1)</f>
        <v>Northern Cardinal</v>
      </c>
      <c r="E2036" s="3" t="str">
        <f>VLOOKUP(B2036,[1]LifeList!$E$2:$G$2036,2)</f>
        <v>Cardinal rouge</v>
      </c>
      <c r="F2036" s="3" t="str">
        <f>VLOOKUP(B2036,[1]LifeList!$E$2:$G$2036,3)</f>
        <v>Cardinalis cardinalis</v>
      </c>
      <c r="G2036" s="3" t="str">
        <f>VLOOKUP(B2036,[1]LifeList!$E$2:$I$2036,4)</f>
        <v>Passeriformes</v>
      </c>
      <c r="H2036" s="3" t="str">
        <f>VLOOKUP(B2036,[1]LifeList!$E$2:$I$2036,5)</f>
        <v>Cardinalidae (Cardinals and Allies)</v>
      </c>
    </row>
    <row r="2037" spans="1:8" x14ac:dyDescent="0.15">
      <c r="A2037" s="3" t="s">
        <v>1941</v>
      </c>
      <c r="B2037" s="3" t="s">
        <v>4630</v>
      </c>
      <c r="C2037" s="3">
        <v>34515</v>
      </c>
      <c r="D2037" s="3" t="str">
        <f>VLOOKUP(B2037,[1]LifeList!$E$2:$G$2036,1)</f>
        <v>Northern Cardinal</v>
      </c>
      <c r="E2037" s="3" t="str">
        <f>VLOOKUP(B2037,[1]LifeList!$E$2:$G$2036,2)</f>
        <v>Cardinal rouge</v>
      </c>
      <c r="F2037" s="3" t="str">
        <f>VLOOKUP(B2037,[1]LifeList!$E$2:$G$2036,3)</f>
        <v>Cardinalis cardinalis</v>
      </c>
      <c r="G2037" s="3" t="str">
        <f>VLOOKUP(B2037,[1]LifeList!$E$2:$I$2036,4)</f>
        <v>Passeriformes</v>
      </c>
      <c r="H2037" s="3" t="str">
        <f>VLOOKUP(B2037,[1]LifeList!$E$2:$I$2036,5)</f>
        <v>Cardinalidae (Cardinals and Allies)</v>
      </c>
    </row>
    <row r="2038" spans="1:8" x14ac:dyDescent="0.15">
      <c r="A2038" s="3" t="s">
        <v>3898</v>
      </c>
      <c r="B2038" s="3" t="s">
        <v>4631</v>
      </c>
      <c r="C2038" s="3">
        <v>10836</v>
      </c>
      <c r="D2038" s="3" t="str">
        <f>VLOOKUP(B2038,[1]LifeList!$E$2:$G$2036,1)</f>
        <v>Northern Emerald-Toucanet</v>
      </c>
      <c r="E2038" s="3" t="str">
        <f>VLOOKUP(B2038,[1]LifeList!$E$2:$G$2036,2)</f>
        <v>Toucanet émeraude</v>
      </c>
      <c r="F2038" s="3" t="str">
        <f>VLOOKUP(B2038,[1]LifeList!$E$2:$G$2036,3)</f>
        <v>Aulacorhynchus prasinus</v>
      </c>
      <c r="G2038" s="3" t="str">
        <f>VLOOKUP(B2038,[1]LifeList!$E$2:$I$2036,4)</f>
        <v>Piciformes</v>
      </c>
      <c r="H2038" s="3" t="str">
        <f>VLOOKUP(B2038,[1]LifeList!$E$2:$I$2036,5)</f>
        <v>Ramphastidae (Toucans)</v>
      </c>
    </row>
    <row r="2039" spans="1:8" x14ac:dyDescent="0.15">
      <c r="A2039" s="3" t="s">
        <v>1943</v>
      </c>
      <c r="B2039" s="3" t="s">
        <v>4631</v>
      </c>
      <c r="C2039" s="3">
        <v>10836</v>
      </c>
      <c r="D2039" s="3" t="str">
        <f>VLOOKUP(B2039,[1]LifeList!$E$2:$G$2036,1)</f>
        <v>Northern Emerald-Toucanet</v>
      </c>
      <c r="E2039" s="3" t="str">
        <f>VLOOKUP(B2039,[1]LifeList!$E$2:$G$2036,2)</f>
        <v>Toucanet émeraude</v>
      </c>
      <c r="F2039" s="3" t="str">
        <f>VLOOKUP(B2039,[1]LifeList!$E$2:$G$2036,3)</f>
        <v>Aulacorhynchus prasinus</v>
      </c>
      <c r="G2039" s="3" t="str">
        <f>VLOOKUP(B2039,[1]LifeList!$E$2:$I$2036,4)</f>
        <v>Piciformes</v>
      </c>
      <c r="H2039" s="3" t="str">
        <f>VLOOKUP(B2039,[1]LifeList!$E$2:$I$2036,5)</f>
        <v>Ramphastidae (Toucans)</v>
      </c>
    </row>
    <row r="2040" spans="1:8" x14ac:dyDescent="0.15">
      <c r="A2040" s="3" t="s">
        <v>1942</v>
      </c>
      <c r="B2040" s="3" t="s">
        <v>4631</v>
      </c>
      <c r="C2040" s="3">
        <v>10836</v>
      </c>
      <c r="D2040" s="3" t="str">
        <f>VLOOKUP(B2040,[1]LifeList!$E$2:$G$2036,1)</f>
        <v>Northern Emerald-Toucanet</v>
      </c>
      <c r="E2040" s="3" t="str">
        <f>VLOOKUP(B2040,[1]LifeList!$E$2:$G$2036,2)</f>
        <v>Toucanet émeraude</v>
      </c>
      <c r="F2040" s="3" t="str">
        <f>VLOOKUP(B2040,[1]LifeList!$E$2:$G$2036,3)</f>
        <v>Aulacorhynchus prasinus</v>
      </c>
      <c r="G2040" s="3" t="str">
        <f>VLOOKUP(B2040,[1]LifeList!$E$2:$I$2036,4)</f>
        <v>Piciformes</v>
      </c>
      <c r="H2040" s="3" t="str">
        <f>VLOOKUP(B2040,[1]LifeList!$E$2:$I$2036,5)</f>
        <v>Ramphastidae (Toucans)</v>
      </c>
    </row>
    <row r="2041" spans="1:8" x14ac:dyDescent="0.15">
      <c r="A2041" s="3" t="s">
        <v>1944</v>
      </c>
      <c r="B2041" s="3" t="s">
        <v>4631</v>
      </c>
      <c r="C2041" s="3">
        <v>10836</v>
      </c>
      <c r="D2041" s="3" t="str">
        <f>VLOOKUP(B2041,[1]LifeList!$E$2:$G$2036,1)</f>
        <v>Northern Emerald-Toucanet</v>
      </c>
      <c r="E2041" s="3" t="str">
        <f>VLOOKUP(B2041,[1]LifeList!$E$2:$G$2036,2)</f>
        <v>Toucanet émeraude</v>
      </c>
      <c r="F2041" s="3" t="str">
        <f>VLOOKUP(B2041,[1]LifeList!$E$2:$G$2036,3)</f>
        <v>Aulacorhynchus prasinus</v>
      </c>
      <c r="G2041" s="3" t="str">
        <f>VLOOKUP(B2041,[1]LifeList!$E$2:$I$2036,4)</f>
        <v>Piciformes</v>
      </c>
      <c r="H2041" s="3" t="str">
        <f>VLOOKUP(B2041,[1]LifeList!$E$2:$I$2036,5)</f>
        <v>Ramphastidae (Toucans)</v>
      </c>
    </row>
    <row r="2042" spans="1:8" x14ac:dyDescent="0.15">
      <c r="A2042" s="3" t="s">
        <v>1945</v>
      </c>
      <c r="B2042" s="3" t="s">
        <v>4632</v>
      </c>
      <c r="C2042" s="3">
        <v>11900</v>
      </c>
      <c r="D2042" s="3" t="str">
        <f>VLOOKUP(B2042,[1]LifeList!$E$2:$G$2036,1)</f>
        <v>Northern Flicker</v>
      </c>
      <c r="E2042" s="3" t="str">
        <f>VLOOKUP(B2042,[1]LifeList!$E$2:$G$2036,2)</f>
        <v>Pic flamboyant</v>
      </c>
      <c r="F2042" s="3" t="str">
        <f>VLOOKUP(B2042,[1]LifeList!$E$2:$G$2036,3)</f>
        <v>Colaptes auratus</v>
      </c>
      <c r="G2042" s="3" t="str">
        <f>VLOOKUP(B2042,[1]LifeList!$E$2:$I$2036,4)</f>
        <v>Piciformes</v>
      </c>
      <c r="H2042" s="3" t="str">
        <f>VLOOKUP(B2042,[1]LifeList!$E$2:$I$2036,5)</f>
        <v>Picidae (Woodpeckers)</v>
      </c>
    </row>
    <row r="2043" spans="1:8" x14ac:dyDescent="0.15">
      <c r="A2043" s="3" t="s">
        <v>1946</v>
      </c>
      <c r="B2043" s="3" t="s">
        <v>4632</v>
      </c>
      <c r="C2043" s="3">
        <v>11900</v>
      </c>
      <c r="D2043" s="3" t="str">
        <f>VLOOKUP(B2043,[1]LifeList!$E$2:$G$2036,1)</f>
        <v>Northern Flicker</v>
      </c>
      <c r="E2043" s="3" t="str">
        <f>VLOOKUP(B2043,[1]LifeList!$E$2:$G$2036,2)</f>
        <v>Pic flamboyant</v>
      </c>
      <c r="F2043" s="3" t="str">
        <f>VLOOKUP(B2043,[1]LifeList!$E$2:$G$2036,3)</f>
        <v>Colaptes auratus</v>
      </c>
      <c r="G2043" s="3" t="str">
        <f>VLOOKUP(B2043,[1]LifeList!$E$2:$I$2036,4)</f>
        <v>Piciformes</v>
      </c>
      <c r="H2043" s="3" t="str">
        <f>VLOOKUP(B2043,[1]LifeList!$E$2:$I$2036,5)</f>
        <v>Picidae (Woodpeckers)</v>
      </c>
    </row>
    <row r="2044" spans="1:8" x14ac:dyDescent="0.15">
      <c r="A2044" s="3" t="s">
        <v>1947</v>
      </c>
      <c r="B2044" s="3" t="s">
        <v>4632</v>
      </c>
      <c r="C2044" s="3">
        <v>11900</v>
      </c>
      <c r="D2044" s="3" t="str">
        <f>VLOOKUP(B2044,[1]LifeList!$E$2:$G$2036,1)</f>
        <v>Northern Flicker</v>
      </c>
      <c r="E2044" s="3" t="str">
        <f>VLOOKUP(B2044,[1]LifeList!$E$2:$G$2036,2)</f>
        <v>Pic flamboyant</v>
      </c>
      <c r="F2044" s="3" t="str">
        <f>VLOOKUP(B2044,[1]LifeList!$E$2:$G$2036,3)</f>
        <v>Colaptes auratus</v>
      </c>
      <c r="G2044" s="3" t="str">
        <f>VLOOKUP(B2044,[1]LifeList!$E$2:$I$2036,4)</f>
        <v>Piciformes</v>
      </c>
      <c r="H2044" s="3" t="str">
        <f>VLOOKUP(B2044,[1]LifeList!$E$2:$I$2036,5)</f>
        <v>Picidae (Woodpeckers)</v>
      </c>
    </row>
    <row r="2045" spans="1:8" x14ac:dyDescent="0.15">
      <c r="A2045" s="3" t="s">
        <v>1948</v>
      </c>
      <c r="B2045" s="3" t="s">
        <v>4632</v>
      </c>
      <c r="C2045" s="3">
        <v>11900</v>
      </c>
      <c r="D2045" s="3" t="str">
        <f>VLOOKUP(B2045,[1]LifeList!$E$2:$G$2036,1)</f>
        <v>Northern Flicker</v>
      </c>
      <c r="E2045" s="3" t="str">
        <f>VLOOKUP(B2045,[1]LifeList!$E$2:$G$2036,2)</f>
        <v>Pic flamboyant</v>
      </c>
      <c r="F2045" s="3" t="str">
        <f>VLOOKUP(B2045,[1]LifeList!$E$2:$G$2036,3)</f>
        <v>Colaptes auratus</v>
      </c>
      <c r="G2045" s="3" t="str">
        <f>VLOOKUP(B2045,[1]LifeList!$E$2:$I$2036,4)</f>
        <v>Piciformes</v>
      </c>
      <c r="H2045" s="3" t="str">
        <f>VLOOKUP(B2045,[1]LifeList!$E$2:$I$2036,5)</f>
        <v>Picidae (Woodpeckers)</v>
      </c>
    </row>
    <row r="2046" spans="1:8" x14ac:dyDescent="0.15">
      <c r="A2046" s="3" t="s">
        <v>1949</v>
      </c>
      <c r="B2046" s="3" t="s">
        <v>4632</v>
      </c>
      <c r="C2046" s="3">
        <v>11900</v>
      </c>
      <c r="D2046" s="3" t="str">
        <f>VLOOKUP(B2046,[1]LifeList!$E$2:$G$2036,1)</f>
        <v>Northern Flicker</v>
      </c>
      <c r="E2046" s="3" t="str">
        <f>VLOOKUP(B2046,[1]LifeList!$E$2:$G$2036,2)</f>
        <v>Pic flamboyant</v>
      </c>
      <c r="F2046" s="3" t="str">
        <f>VLOOKUP(B2046,[1]LifeList!$E$2:$G$2036,3)</f>
        <v>Colaptes auratus</v>
      </c>
      <c r="G2046" s="3" t="str">
        <f>VLOOKUP(B2046,[1]LifeList!$E$2:$I$2036,4)</f>
        <v>Piciformes</v>
      </c>
      <c r="H2046" s="3" t="str">
        <f>VLOOKUP(B2046,[1]LifeList!$E$2:$I$2036,5)</f>
        <v>Picidae (Woodpeckers)</v>
      </c>
    </row>
    <row r="2047" spans="1:8" x14ac:dyDescent="0.15">
      <c r="A2047" s="3" t="s">
        <v>1950</v>
      </c>
      <c r="B2047" s="3" t="s">
        <v>4632</v>
      </c>
      <c r="C2047" s="3">
        <v>11900</v>
      </c>
      <c r="D2047" s="3" t="str">
        <f>VLOOKUP(B2047,[1]LifeList!$E$2:$G$2036,1)</f>
        <v>Northern Flicker</v>
      </c>
      <c r="E2047" s="3" t="str">
        <f>VLOOKUP(B2047,[1]LifeList!$E$2:$G$2036,2)</f>
        <v>Pic flamboyant</v>
      </c>
      <c r="F2047" s="3" t="str">
        <f>VLOOKUP(B2047,[1]LifeList!$E$2:$G$2036,3)</f>
        <v>Colaptes auratus</v>
      </c>
      <c r="G2047" s="3" t="str">
        <f>VLOOKUP(B2047,[1]LifeList!$E$2:$I$2036,4)</f>
        <v>Piciformes</v>
      </c>
      <c r="H2047" s="3" t="str">
        <f>VLOOKUP(B2047,[1]LifeList!$E$2:$I$2036,5)</f>
        <v>Picidae (Woodpeckers)</v>
      </c>
    </row>
    <row r="2048" spans="1:8" x14ac:dyDescent="0.15">
      <c r="A2048" s="3" t="s">
        <v>1951</v>
      </c>
      <c r="B2048" s="3" t="s">
        <v>4632</v>
      </c>
      <c r="C2048" s="3">
        <v>11900</v>
      </c>
      <c r="D2048" s="3" t="str">
        <f>VLOOKUP(B2048,[1]LifeList!$E$2:$G$2036,1)</f>
        <v>Northern Flicker</v>
      </c>
      <c r="E2048" s="3" t="str">
        <f>VLOOKUP(B2048,[1]LifeList!$E$2:$G$2036,2)</f>
        <v>Pic flamboyant</v>
      </c>
      <c r="F2048" s="3" t="str">
        <f>VLOOKUP(B2048,[1]LifeList!$E$2:$G$2036,3)</f>
        <v>Colaptes auratus</v>
      </c>
      <c r="G2048" s="3" t="str">
        <f>VLOOKUP(B2048,[1]LifeList!$E$2:$I$2036,4)</f>
        <v>Piciformes</v>
      </c>
      <c r="H2048" s="3" t="str">
        <f>VLOOKUP(B2048,[1]LifeList!$E$2:$I$2036,5)</f>
        <v>Picidae (Woodpeckers)</v>
      </c>
    </row>
    <row r="2049" spans="1:8" x14ac:dyDescent="0.15">
      <c r="A2049" s="3" t="s">
        <v>3899</v>
      </c>
      <c r="B2049" s="3" t="s">
        <v>4632</v>
      </c>
      <c r="C2049" s="3">
        <v>11900</v>
      </c>
      <c r="D2049" s="3" t="str">
        <f>VLOOKUP(B2049,[1]LifeList!$E$2:$G$2036,1)</f>
        <v>Northern Flicker</v>
      </c>
      <c r="E2049" s="3" t="str">
        <f>VLOOKUP(B2049,[1]LifeList!$E$2:$G$2036,2)</f>
        <v>Pic flamboyant</v>
      </c>
      <c r="F2049" s="3" t="str">
        <f>VLOOKUP(B2049,[1]LifeList!$E$2:$G$2036,3)</f>
        <v>Colaptes auratus</v>
      </c>
      <c r="G2049" s="3" t="str">
        <f>VLOOKUP(B2049,[1]LifeList!$E$2:$I$2036,4)</f>
        <v>Piciformes</v>
      </c>
      <c r="H2049" s="3" t="str">
        <f>VLOOKUP(B2049,[1]LifeList!$E$2:$I$2036,5)</f>
        <v>Picidae (Woodpeckers)</v>
      </c>
    </row>
    <row r="2050" spans="1:8" x14ac:dyDescent="0.15">
      <c r="A2050" s="3" t="s">
        <v>2054</v>
      </c>
      <c r="B2050" s="3" t="s">
        <v>4633</v>
      </c>
      <c r="C2050" s="3">
        <v>7333</v>
      </c>
      <c r="D2050" s="3" t="str">
        <f>VLOOKUP(B2050,[1]LifeList!$E$2:$G$2036,1)</f>
        <v>Northern Gannet</v>
      </c>
      <c r="E2050" s="3" t="str">
        <f>VLOOKUP(B2050,[1]LifeList!$E$2:$G$2036,2)</f>
        <v>Fou de Bassan</v>
      </c>
      <c r="F2050" s="3" t="str">
        <f>VLOOKUP(B2050,[1]LifeList!$E$2:$G$2036,3)</f>
        <v>Morus bassanus</v>
      </c>
      <c r="G2050" s="3" t="str">
        <f>VLOOKUP(B2050,[1]LifeList!$E$2:$I$2036,4)</f>
        <v>Suliformes</v>
      </c>
      <c r="H2050" s="3" t="str">
        <f>VLOOKUP(B2050,[1]LifeList!$E$2:$I$2036,5)</f>
        <v>Sulidae (Boobies and Gannets)</v>
      </c>
    </row>
    <row r="2051" spans="1:8" x14ac:dyDescent="0.15">
      <c r="A2051" s="3" t="s">
        <v>1952</v>
      </c>
      <c r="B2051" s="3" t="s">
        <v>4634</v>
      </c>
      <c r="C2051" s="3">
        <v>8324</v>
      </c>
      <c r="D2051" s="3" t="str">
        <f>VLOOKUP(B2051,[1]LifeList!$E$2:$G$2036,1)</f>
        <v>Northern Harrier</v>
      </c>
      <c r="E2051" s="3" t="str">
        <f>VLOOKUP(B2051,[1]LifeList!$E$2:$G$2036,2)</f>
        <v>Busard des marais</v>
      </c>
      <c r="F2051" s="3" t="str">
        <f>VLOOKUP(B2051,[1]LifeList!$E$2:$G$2036,3)</f>
        <v>Circus hudsonius</v>
      </c>
      <c r="G2051" s="3" t="str">
        <f>VLOOKUP(B2051,[1]LifeList!$E$2:$I$2036,4)</f>
        <v>Accipitriformes</v>
      </c>
      <c r="H2051" s="3" t="str">
        <f>VLOOKUP(B2051,[1]LifeList!$E$2:$I$2036,5)</f>
        <v>Accipitridae (Hawks, Eagles, and Kites)</v>
      </c>
    </row>
    <row r="2052" spans="1:8" x14ac:dyDescent="0.15">
      <c r="A2052" s="3" t="s">
        <v>1953</v>
      </c>
      <c r="B2052" s="3" t="s">
        <v>4634</v>
      </c>
      <c r="C2052" s="3">
        <v>8324</v>
      </c>
      <c r="D2052" s="3" t="str">
        <f>VLOOKUP(B2052,[1]LifeList!$E$2:$G$2036,1)</f>
        <v>Northern Harrier</v>
      </c>
      <c r="E2052" s="3" t="str">
        <f>VLOOKUP(B2052,[1]LifeList!$E$2:$G$2036,2)</f>
        <v>Busard des marais</v>
      </c>
      <c r="F2052" s="3" t="str">
        <f>VLOOKUP(B2052,[1]LifeList!$E$2:$G$2036,3)</f>
        <v>Circus hudsonius</v>
      </c>
      <c r="G2052" s="3" t="str">
        <f>VLOOKUP(B2052,[1]LifeList!$E$2:$I$2036,4)</f>
        <v>Accipitriformes</v>
      </c>
      <c r="H2052" s="3" t="str">
        <f>VLOOKUP(B2052,[1]LifeList!$E$2:$I$2036,5)</f>
        <v>Accipitridae (Hawks, Eagles, and Kites)</v>
      </c>
    </row>
    <row r="2053" spans="1:8" x14ac:dyDescent="0.15">
      <c r="A2053" s="3" t="s">
        <v>1954</v>
      </c>
      <c r="B2053" s="3" t="s">
        <v>4634</v>
      </c>
      <c r="C2053" s="3">
        <v>8324</v>
      </c>
      <c r="D2053" s="3" t="str">
        <f>VLOOKUP(B2053,[1]LifeList!$E$2:$G$2036,1)</f>
        <v>Northern Harrier</v>
      </c>
      <c r="E2053" s="3" t="str">
        <f>VLOOKUP(B2053,[1]LifeList!$E$2:$G$2036,2)</f>
        <v>Busard des marais</v>
      </c>
      <c r="F2053" s="3" t="str">
        <f>VLOOKUP(B2053,[1]LifeList!$E$2:$G$2036,3)</f>
        <v>Circus hudsonius</v>
      </c>
      <c r="G2053" s="3" t="str">
        <f>VLOOKUP(B2053,[1]LifeList!$E$2:$I$2036,4)</f>
        <v>Accipitriformes</v>
      </c>
      <c r="H2053" s="3" t="str">
        <f>VLOOKUP(B2053,[1]LifeList!$E$2:$I$2036,5)</f>
        <v>Accipitridae (Hawks, Eagles, and Kites)</v>
      </c>
    </row>
    <row r="2054" spans="1:8" x14ac:dyDescent="0.15">
      <c r="A2054" s="3" t="s">
        <v>1955</v>
      </c>
      <c r="B2054" s="3" t="s">
        <v>4634</v>
      </c>
      <c r="C2054" s="3">
        <v>8324</v>
      </c>
      <c r="D2054" s="3" t="str">
        <f>VLOOKUP(B2054,[1]LifeList!$E$2:$G$2036,1)</f>
        <v>Northern Harrier</v>
      </c>
      <c r="E2054" s="3" t="str">
        <f>VLOOKUP(B2054,[1]LifeList!$E$2:$G$2036,2)</f>
        <v>Busard des marais</v>
      </c>
      <c r="F2054" s="3" t="str">
        <f>VLOOKUP(B2054,[1]LifeList!$E$2:$G$2036,3)</f>
        <v>Circus hudsonius</v>
      </c>
      <c r="G2054" s="3" t="str">
        <f>VLOOKUP(B2054,[1]LifeList!$E$2:$I$2036,4)</f>
        <v>Accipitriformes</v>
      </c>
      <c r="H2054" s="3" t="str">
        <f>VLOOKUP(B2054,[1]LifeList!$E$2:$I$2036,5)</f>
        <v>Accipitridae (Hawks, Eagles, and Kites)</v>
      </c>
    </row>
    <row r="2055" spans="1:8" x14ac:dyDescent="0.15">
      <c r="A2055" s="3" t="s">
        <v>1956</v>
      </c>
      <c r="B2055" s="3" t="s">
        <v>4634</v>
      </c>
      <c r="C2055" s="3">
        <v>8324</v>
      </c>
      <c r="D2055" s="3" t="str">
        <f>VLOOKUP(B2055,[1]LifeList!$E$2:$G$2036,1)</f>
        <v>Northern Harrier</v>
      </c>
      <c r="E2055" s="3" t="str">
        <f>VLOOKUP(B2055,[1]LifeList!$E$2:$G$2036,2)</f>
        <v>Busard des marais</v>
      </c>
      <c r="F2055" s="3" t="str">
        <f>VLOOKUP(B2055,[1]LifeList!$E$2:$G$2036,3)</f>
        <v>Circus hudsonius</v>
      </c>
      <c r="G2055" s="3" t="str">
        <f>VLOOKUP(B2055,[1]LifeList!$E$2:$I$2036,4)</f>
        <v>Accipitriformes</v>
      </c>
      <c r="H2055" s="3" t="str">
        <f>VLOOKUP(B2055,[1]LifeList!$E$2:$I$2036,5)</f>
        <v>Accipitridae (Hawks, Eagles, and Kites)</v>
      </c>
    </row>
    <row r="2056" spans="1:8" x14ac:dyDescent="0.15">
      <c r="A2056" s="3" t="s">
        <v>1957</v>
      </c>
      <c r="B2056" s="3" t="s">
        <v>3778</v>
      </c>
      <c r="C2056" s="3">
        <v>8999</v>
      </c>
      <c r="D2056" s="3" t="str">
        <f>VLOOKUP(B2056,[1]LifeList!$E$2:$G$2036,1)</f>
        <v>Northern Hawk Owl</v>
      </c>
      <c r="E2056" s="3" t="str">
        <f>VLOOKUP(B2056,[1]LifeList!$E$2:$G$2036,2)</f>
        <v>Chouette épervière</v>
      </c>
      <c r="F2056" s="3" t="str">
        <f>VLOOKUP(B2056,[1]LifeList!$E$2:$G$2036,3)</f>
        <v>Surnia ulula</v>
      </c>
      <c r="G2056" s="3" t="str">
        <f>VLOOKUP(B2056,[1]LifeList!$E$2:$I$2036,4)</f>
        <v>Strigiformes</v>
      </c>
      <c r="H2056" s="3" t="str">
        <f>VLOOKUP(B2056,[1]LifeList!$E$2:$I$2036,5)</f>
        <v>Strigidae (Owls)</v>
      </c>
    </row>
    <row r="2057" spans="1:8" x14ac:dyDescent="0.15">
      <c r="A2057" s="3" t="s">
        <v>1958</v>
      </c>
      <c r="B2057" s="3" t="s">
        <v>3779</v>
      </c>
      <c r="C2057" s="3">
        <v>27191</v>
      </c>
      <c r="D2057" s="3" t="str">
        <f>VLOOKUP(B2057,[1]LifeList!$E$2:$G$2036,1)</f>
        <v>Northern House Wren</v>
      </c>
      <c r="E2057" s="3" t="str">
        <f>VLOOKUP(B2057,[1]LifeList!$E$2:$G$2036,2)</f>
        <v>Troglodyte familier</v>
      </c>
      <c r="F2057" s="3" t="str">
        <f>VLOOKUP(B2057,[1]LifeList!$E$2:$G$2036,3)</f>
        <v>Troglodytes aedon</v>
      </c>
      <c r="G2057" s="3" t="str">
        <f>VLOOKUP(B2057,[1]LifeList!$E$2:$I$2036,4)</f>
        <v>Passeriformes</v>
      </c>
      <c r="H2057" s="3" t="str">
        <f>VLOOKUP(B2057,[1]LifeList!$E$2:$I$2036,5)</f>
        <v>Troglodytidae (Wrens)</v>
      </c>
    </row>
    <row r="2058" spans="1:8" x14ac:dyDescent="0.15">
      <c r="A2058" s="3" t="s">
        <v>1959</v>
      </c>
      <c r="B2058" s="3" t="s">
        <v>3779</v>
      </c>
      <c r="C2058" s="3">
        <v>27191</v>
      </c>
      <c r="D2058" s="3" t="str">
        <f>VLOOKUP(B2058,[1]LifeList!$E$2:$G$2036,1)</f>
        <v>Northern House Wren</v>
      </c>
      <c r="E2058" s="3" t="str">
        <f>VLOOKUP(B2058,[1]LifeList!$E$2:$G$2036,2)</f>
        <v>Troglodyte familier</v>
      </c>
      <c r="F2058" s="3" t="str">
        <f>VLOOKUP(B2058,[1]LifeList!$E$2:$G$2036,3)</f>
        <v>Troglodytes aedon</v>
      </c>
      <c r="G2058" s="3" t="str">
        <f>VLOOKUP(B2058,[1]LifeList!$E$2:$I$2036,4)</f>
        <v>Passeriformes</v>
      </c>
      <c r="H2058" s="3" t="str">
        <f>VLOOKUP(B2058,[1]LifeList!$E$2:$I$2036,5)</f>
        <v>Troglodytidae (Wrens)</v>
      </c>
    </row>
    <row r="2059" spans="1:8" x14ac:dyDescent="0.15">
      <c r="A2059" s="3" t="s">
        <v>1960</v>
      </c>
      <c r="B2059" s="3" t="s">
        <v>3779</v>
      </c>
      <c r="C2059" s="3">
        <v>27191</v>
      </c>
      <c r="D2059" s="3" t="str">
        <f>VLOOKUP(B2059,[1]LifeList!$E$2:$G$2036,1)</f>
        <v>Northern House Wren</v>
      </c>
      <c r="E2059" s="3" t="str">
        <f>VLOOKUP(B2059,[1]LifeList!$E$2:$G$2036,2)</f>
        <v>Troglodyte familier</v>
      </c>
      <c r="F2059" s="3" t="str">
        <f>VLOOKUP(B2059,[1]LifeList!$E$2:$G$2036,3)</f>
        <v>Troglodytes aedon</v>
      </c>
      <c r="G2059" s="3" t="str">
        <f>VLOOKUP(B2059,[1]LifeList!$E$2:$I$2036,4)</f>
        <v>Passeriformes</v>
      </c>
      <c r="H2059" s="3" t="str">
        <f>VLOOKUP(B2059,[1]LifeList!$E$2:$I$2036,5)</f>
        <v>Troglodytidae (Wrens)</v>
      </c>
    </row>
    <row r="2060" spans="1:8" x14ac:dyDescent="0.15">
      <c r="A2060" s="3" t="s">
        <v>1961</v>
      </c>
      <c r="B2060" s="3" t="s">
        <v>3779</v>
      </c>
      <c r="C2060" s="3">
        <v>27191</v>
      </c>
      <c r="D2060" s="3" t="str">
        <f>VLOOKUP(B2060,[1]LifeList!$E$2:$G$2036,1)</f>
        <v>Northern House Wren</v>
      </c>
      <c r="E2060" s="3" t="str">
        <f>VLOOKUP(B2060,[1]LifeList!$E$2:$G$2036,2)</f>
        <v>Troglodyte familier</v>
      </c>
      <c r="F2060" s="3" t="str">
        <f>VLOOKUP(B2060,[1]LifeList!$E$2:$G$2036,3)</f>
        <v>Troglodytes aedon</v>
      </c>
      <c r="G2060" s="3" t="str">
        <f>VLOOKUP(B2060,[1]LifeList!$E$2:$I$2036,4)</f>
        <v>Passeriformes</v>
      </c>
      <c r="H2060" s="3" t="str">
        <f>VLOOKUP(B2060,[1]LifeList!$E$2:$I$2036,5)</f>
        <v>Troglodytidae (Wrens)</v>
      </c>
    </row>
    <row r="2061" spans="1:8" x14ac:dyDescent="0.15">
      <c r="A2061" s="3" t="s">
        <v>1962</v>
      </c>
      <c r="B2061" s="3" t="s">
        <v>3779</v>
      </c>
      <c r="C2061" s="3">
        <v>27191</v>
      </c>
      <c r="D2061" s="3" t="str">
        <f>VLOOKUP(B2061,[1]LifeList!$E$2:$G$2036,1)</f>
        <v>Northern House Wren</v>
      </c>
      <c r="E2061" s="3" t="str">
        <f>VLOOKUP(B2061,[1]LifeList!$E$2:$G$2036,2)</f>
        <v>Troglodyte familier</v>
      </c>
      <c r="F2061" s="3" t="str">
        <f>VLOOKUP(B2061,[1]LifeList!$E$2:$G$2036,3)</f>
        <v>Troglodytes aedon</v>
      </c>
      <c r="G2061" s="3" t="str">
        <f>VLOOKUP(B2061,[1]LifeList!$E$2:$I$2036,4)</f>
        <v>Passeriformes</v>
      </c>
      <c r="H2061" s="3" t="str">
        <f>VLOOKUP(B2061,[1]LifeList!$E$2:$I$2036,5)</f>
        <v>Troglodytidae (Wrens)</v>
      </c>
    </row>
    <row r="2062" spans="1:8" x14ac:dyDescent="0.15">
      <c r="A2062" s="3" t="s">
        <v>1963</v>
      </c>
      <c r="B2062" s="3" t="s">
        <v>4635</v>
      </c>
      <c r="C2062" s="3">
        <v>5988</v>
      </c>
      <c r="D2062" s="3" t="str">
        <f>VLOOKUP(B2062,[1]LifeList!$E$2:$G$2036,1)</f>
        <v>Northern Jacana</v>
      </c>
      <c r="E2062" s="3" t="str">
        <f>VLOOKUP(B2062,[1]LifeList!$E$2:$G$2036,2)</f>
        <v>Jacana du Mexique</v>
      </c>
      <c r="F2062" s="3" t="str">
        <f>VLOOKUP(B2062,[1]LifeList!$E$2:$G$2036,3)</f>
        <v>Jacana spinosa</v>
      </c>
      <c r="G2062" s="3" t="str">
        <f>VLOOKUP(B2062,[1]LifeList!$E$2:$I$2036,4)</f>
        <v>Charadriiformes</v>
      </c>
      <c r="H2062" s="3" t="str">
        <f>VLOOKUP(B2062,[1]LifeList!$E$2:$I$2036,5)</f>
        <v>Jacanidae (Jacanas)</v>
      </c>
    </row>
    <row r="2063" spans="1:8" x14ac:dyDescent="0.15">
      <c r="A2063" s="3" t="s">
        <v>1964</v>
      </c>
      <c r="B2063" s="3" t="s">
        <v>4635</v>
      </c>
      <c r="C2063" s="3">
        <v>5988</v>
      </c>
      <c r="D2063" s="3" t="str">
        <f>VLOOKUP(B2063,[1]LifeList!$E$2:$G$2036,1)</f>
        <v>Northern Jacana</v>
      </c>
      <c r="E2063" s="3" t="str">
        <f>VLOOKUP(B2063,[1]LifeList!$E$2:$G$2036,2)</f>
        <v>Jacana du Mexique</v>
      </c>
      <c r="F2063" s="3" t="str">
        <f>VLOOKUP(B2063,[1]LifeList!$E$2:$G$2036,3)</f>
        <v>Jacana spinosa</v>
      </c>
      <c r="G2063" s="3" t="str">
        <f>VLOOKUP(B2063,[1]LifeList!$E$2:$I$2036,4)</f>
        <v>Charadriiformes</v>
      </c>
      <c r="H2063" s="3" t="str">
        <f>VLOOKUP(B2063,[1]LifeList!$E$2:$I$2036,5)</f>
        <v>Jacanidae (Jacanas)</v>
      </c>
    </row>
    <row r="2064" spans="1:8" x14ac:dyDescent="0.15">
      <c r="A2064" s="3" t="s">
        <v>1965</v>
      </c>
      <c r="B2064" s="3" t="s">
        <v>4636</v>
      </c>
      <c r="C2064" s="3">
        <v>28114</v>
      </c>
      <c r="D2064" s="3" t="str">
        <f>VLOOKUP(B2064,[1]LifeList!$E$2:$G$2036,1)</f>
        <v>Northern Mockingbird</v>
      </c>
      <c r="E2064" s="3" t="str">
        <f>VLOOKUP(B2064,[1]LifeList!$E$2:$G$2036,2)</f>
        <v>Moqueur polyglotte</v>
      </c>
      <c r="F2064" s="3" t="str">
        <f>VLOOKUP(B2064,[1]LifeList!$E$2:$G$2036,3)</f>
        <v>Mimus polyglottos</v>
      </c>
      <c r="G2064" s="3" t="str">
        <f>VLOOKUP(B2064,[1]LifeList!$E$2:$I$2036,4)</f>
        <v>Passeriformes</v>
      </c>
      <c r="H2064" s="3" t="str">
        <f>VLOOKUP(B2064,[1]LifeList!$E$2:$I$2036,5)</f>
        <v>Mimidae (Mockingbirds and Thrashers)</v>
      </c>
    </row>
    <row r="2065" spans="1:8" x14ac:dyDescent="0.15">
      <c r="A2065" s="3" t="s">
        <v>1966</v>
      </c>
      <c r="B2065" s="3" t="s">
        <v>4636</v>
      </c>
      <c r="C2065" s="3">
        <v>28114</v>
      </c>
      <c r="D2065" s="3" t="str">
        <f>VLOOKUP(B2065,[1]LifeList!$E$2:$G$2036,1)</f>
        <v>Northern Mockingbird</v>
      </c>
      <c r="E2065" s="3" t="str">
        <f>VLOOKUP(B2065,[1]LifeList!$E$2:$G$2036,2)</f>
        <v>Moqueur polyglotte</v>
      </c>
      <c r="F2065" s="3" t="str">
        <f>VLOOKUP(B2065,[1]LifeList!$E$2:$G$2036,3)</f>
        <v>Mimus polyglottos</v>
      </c>
      <c r="G2065" s="3" t="str">
        <f>VLOOKUP(B2065,[1]LifeList!$E$2:$I$2036,4)</f>
        <v>Passeriformes</v>
      </c>
      <c r="H2065" s="3" t="str">
        <f>VLOOKUP(B2065,[1]LifeList!$E$2:$I$2036,5)</f>
        <v>Mimidae (Mockingbirds and Thrashers)</v>
      </c>
    </row>
    <row r="2066" spans="1:8" x14ac:dyDescent="0.15">
      <c r="A2066" s="3" t="s">
        <v>1967</v>
      </c>
      <c r="B2066" s="3" t="s">
        <v>4636</v>
      </c>
      <c r="C2066" s="3">
        <v>28114</v>
      </c>
      <c r="D2066" s="3" t="str">
        <f>VLOOKUP(B2066,[1]LifeList!$E$2:$G$2036,1)</f>
        <v>Northern Mockingbird</v>
      </c>
      <c r="E2066" s="3" t="str">
        <f>VLOOKUP(B2066,[1]LifeList!$E$2:$G$2036,2)</f>
        <v>Moqueur polyglotte</v>
      </c>
      <c r="F2066" s="3" t="str">
        <f>VLOOKUP(B2066,[1]LifeList!$E$2:$G$2036,3)</f>
        <v>Mimus polyglottos</v>
      </c>
      <c r="G2066" s="3" t="str">
        <f>VLOOKUP(B2066,[1]LifeList!$E$2:$I$2036,4)</f>
        <v>Passeriformes</v>
      </c>
      <c r="H2066" s="3" t="str">
        <f>VLOOKUP(B2066,[1]LifeList!$E$2:$I$2036,5)</f>
        <v>Mimidae (Mockingbirds and Thrashers)</v>
      </c>
    </row>
    <row r="2067" spans="1:8" x14ac:dyDescent="0.15">
      <c r="A2067" s="3" t="s">
        <v>1969</v>
      </c>
      <c r="B2067" s="3" t="s">
        <v>4637</v>
      </c>
      <c r="C2067" s="3">
        <v>34063</v>
      </c>
      <c r="D2067" s="3" t="str">
        <f>VLOOKUP(B2067,[1]LifeList!$E$2:$G$2036,1)</f>
        <v>Northern Parula</v>
      </c>
      <c r="E2067" s="3" t="str">
        <f>VLOOKUP(B2067,[1]LifeList!$E$2:$G$2036,2)</f>
        <v>Paruline à collier</v>
      </c>
      <c r="F2067" s="3" t="str">
        <f>VLOOKUP(B2067,[1]LifeList!$E$2:$G$2036,3)</f>
        <v>Setophaga americana</v>
      </c>
      <c r="G2067" s="3" t="str">
        <f>VLOOKUP(B2067,[1]LifeList!$E$2:$I$2036,4)</f>
        <v>Passeriformes</v>
      </c>
      <c r="H2067" s="3" t="str">
        <f>VLOOKUP(B2067,[1]LifeList!$E$2:$I$2036,5)</f>
        <v>Parulidae (New World Warblers)</v>
      </c>
    </row>
    <row r="2068" spans="1:8" x14ac:dyDescent="0.15">
      <c r="A2068" s="3" t="s">
        <v>1970</v>
      </c>
      <c r="B2068" s="3" t="s">
        <v>4637</v>
      </c>
      <c r="C2068" s="3">
        <v>34063</v>
      </c>
      <c r="D2068" s="3" t="str">
        <f>VLOOKUP(B2068,[1]LifeList!$E$2:$G$2036,1)</f>
        <v>Northern Parula</v>
      </c>
      <c r="E2068" s="3" t="str">
        <f>VLOOKUP(B2068,[1]LifeList!$E$2:$G$2036,2)</f>
        <v>Paruline à collier</v>
      </c>
      <c r="F2068" s="3" t="str">
        <f>VLOOKUP(B2068,[1]LifeList!$E$2:$G$2036,3)</f>
        <v>Setophaga americana</v>
      </c>
      <c r="G2068" s="3" t="str">
        <f>VLOOKUP(B2068,[1]LifeList!$E$2:$I$2036,4)</f>
        <v>Passeriformes</v>
      </c>
      <c r="H2068" s="3" t="str">
        <f>VLOOKUP(B2068,[1]LifeList!$E$2:$I$2036,5)</f>
        <v>Parulidae (New World Warblers)</v>
      </c>
    </row>
    <row r="2069" spans="1:8" x14ac:dyDescent="0.15">
      <c r="A2069" s="3" t="s">
        <v>1971</v>
      </c>
      <c r="B2069" s="3" t="s">
        <v>4637</v>
      </c>
      <c r="C2069" s="3">
        <v>34063</v>
      </c>
      <c r="D2069" s="3" t="str">
        <f>VLOOKUP(B2069,[1]LifeList!$E$2:$G$2036,1)</f>
        <v>Northern Parula</v>
      </c>
      <c r="E2069" s="3" t="str">
        <f>VLOOKUP(B2069,[1]LifeList!$E$2:$G$2036,2)</f>
        <v>Paruline à collier</v>
      </c>
      <c r="F2069" s="3" t="str">
        <f>VLOOKUP(B2069,[1]LifeList!$E$2:$G$2036,3)</f>
        <v>Setophaga americana</v>
      </c>
      <c r="G2069" s="3" t="str">
        <f>VLOOKUP(B2069,[1]LifeList!$E$2:$I$2036,4)</f>
        <v>Passeriformes</v>
      </c>
      <c r="H2069" s="3" t="str">
        <f>VLOOKUP(B2069,[1]LifeList!$E$2:$I$2036,5)</f>
        <v>Parulidae (New World Warblers)</v>
      </c>
    </row>
    <row r="2070" spans="1:8" x14ac:dyDescent="0.15">
      <c r="A2070" s="3" t="s">
        <v>1972</v>
      </c>
      <c r="B2070" s="3" t="s">
        <v>4637</v>
      </c>
      <c r="C2070" s="3">
        <v>34063</v>
      </c>
      <c r="D2070" s="3" t="str">
        <f>VLOOKUP(B2070,[1]LifeList!$E$2:$G$2036,1)</f>
        <v>Northern Parula</v>
      </c>
      <c r="E2070" s="3" t="str">
        <f>VLOOKUP(B2070,[1]LifeList!$E$2:$G$2036,2)</f>
        <v>Paruline à collier</v>
      </c>
      <c r="F2070" s="3" t="str">
        <f>VLOOKUP(B2070,[1]LifeList!$E$2:$G$2036,3)</f>
        <v>Setophaga americana</v>
      </c>
      <c r="G2070" s="3" t="str">
        <f>VLOOKUP(B2070,[1]LifeList!$E$2:$I$2036,4)</f>
        <v>Passeriformes</v>
      </c>
      <c r="H2070" s="3" t="str">
        <f>VLOOKUP(B2070,[1]LifeList!$E$2:$I$2036,5)</f>
        <v>Parulidae (New World Warblers)</v>
      </c>
    </row>
    <row r="2071" spans="1:8" x14ac:dyDescent="0.15">
      <c r="A2071" s="3" t="s">
        <v>1973</v>
      </c>
      <c r="B2071" s="3" t="s">
        <v>4637</v>
      </c>
      <c r="C2071" s="3">
        <v>34063</v>
      </c>
      <c r="D2071" s="3" t="str">
        <f>VLOOKUP(B2071,[1]LifeList!$E$2:$G$2036,1)</f>
        <v>Northern Parula</v>
      </c>
      <c r="E2071" s="3" t="str">
        <f>VLOOKUP(B2071,[1]LifeList!$E$2:$G$2036,2)</f>
        <v>Paruline à collier</v>
      </c>
      <c r="F2071" s="3" t="str">
        <f>VLOOKUP(B2071,[1]LifeList!$E$2:$G$2036,3)</f>
        <v>Setophaga americana</v>
      </c>
      <c r="G2071" s="3" t="str">
        <f>VLOOKUP(B2071,[1]LifeList!$E$2:$I$2036,4)</f>
        <v>Passeriformes</v>
      </c>
      <c r="H2071" s="3" t="str">
        <f>VLOOKUP(B2071,[1]LifeList!$E$2:$I$2036,5)</f>
        <v>Parulidae (New World Warblers)</v>
      </c>
    </row>
    <row r="2072" spans="1:8" x14ac:dyDescent="0.15">
      <c r="A2072" s="3" t="s">
        <v>1974</v>
      </c>
      <c r="B2072" s="3" t="s">
        <v>4637</v>
      </c>
      <c r="C2072" s="3">
        <v>34063</v>
      </c>
      <c r="D2072" s="3" t="str">
        <f>VLOOKUP(B2072,[1]LifeList!$E$2:$G$2036,1)</f>
        <v>Northern Parula</v>
      </c>
      <c r="E2072" s="3" t="str">
        <f>VLOOKUP(B2072,[1]LifeList!$E$2:$G$2036,2)</f>
        <v>Paruline à collier</v>
      </c>
      <c r="F2072" s="3" t="str">
        <f>VLOOKUP(B2072,[1]LifeList!$E$2:$G$2036,3)</f>
        <v>Setophaga americana</v>
      </c>
      <c r="G2072" s="3" t="str">
        <f>VLOOKUP(B2072,[1]LifeList!$E$2:$I$2036,4)</f>
        <v>Passeriformes</v>
      </c>
      <c r="H2072" s="3" t="str">
        <f>VLOOKUP(B2072,[1]LifeList!$E$2:$I$2036,5)</f>
        <v>Parulidae (New World Warblers)</v>
      </c>
    </row>
    <row r="2073" spans="1:8" x14ac:dyDescent="0.15">
      <c r="A2073" s="3" t="s">
        <v>1975</v>
      </c>
      <c r="B2073" s="3" t="s">
        <v>4637</v>
      </c>
      <c r="C2073" s="3">
        <v>34063</v>
      </c>
      <c r="D2073" s="3" t="str">
        <f>VLOOKUP(B2073,[1]LifeList!$E$2:$G$2036,1)</f>
        <v>Northern Parula</v>
      </c>
      <c r="E2073" s="3" t="str">
        <f>VLOOKUP(B2073,[1]LifeList!$E$2:$G$2036,2)</f>
        <v>Paruline à collier</v>
      </c>
      <c r="F2073" s="3" t="str">
        <f>VLOOKUP(B2073,[1]LifeList!$E$2:$G$2036,3)</f>
        <v>Setophaga americana</v>
      </c>
      <c r="G2073" s="3" t="str">
        <f>VLOOKUP(B2073,[1]LifeList!$E$2:$I$2036,4)</f>
        <v>Passeriformes</v>
      </c>
      <c r="H2073" s="3" t="str">
        <f>VLOOKUP(B2073,[1]LifeList!$E$2:$I$2036,5)</f>
        <v>Parulidae (New World Warblers)</v>
      </c>
    </row>
    <row r="2074" spans="1:8" x14ac:dyDescent="0.15">
      <c r="A2074" s="3" t="s">
        <v>1976</v>
      </c>
      <c r="B2074" s="3" t="s">
        <v>4637</v>
      </c>
      <c r="C2074" s="3">
        <v>34063</v>
      </c>
      <c r="D2074" s="3" t="str">
        <f>VLOOKUP(B2074,[1]LifeList!$E$2:$G$2036,1)</f>
        <v>Northern Parula</v>
      </c>
      <c r="E2074" s="3" t="str">
        <f>VLOOKUP(B2074,[1]LifeList!$E$2:$G$2036,2)</f>
        <v>Paruline à collier</v>
      </c>
      <c r="F2074" s="3" t="str">
        <f>VLOOKUP(B2074,[1]LifeList!$E$2:$G$2036,3)</f>
        <v>Setophaga americana</v>
      </c>
      <c r="G2074" s="3" t="str">
        <f>VLOOKUP(B2074,[1]LifeList!$E$2:$I$2036,4)</f>
        <v>Passeriformes</v>
      </c>
      <c r="H2074" s="3" t="str">
        <f>VLOOKUP(B2074,[1]LifeList!$E$2:$I$2036,5)</f>
        <v>Parulidae (New World Warblers)</v>
      </c>
    </row>
    <row r="2075" spans="1:8" x14ac:dyDescent="0.15">
      <c r="A2075" s="3" t="s">
        <v>1977</v>
      </c>
      <c r="B2075" s="3" t="s">
        <v>4637</v>
      </c>
      <c r="C2075" s="3">
        <v>34063</v>
      </c>
      <c r="D2075" s="3" t="str">
        <f>VLOOKUP(B2075,[1]LifeList!$E$2:$G$2036,1)</f>
        <v>Northern Parula</v>
      </c>
      <c r="E2075" s="3" t="str">
        <f>VLOOKUP(B2075,[1]LifeList!$E$2:$G$2036,2)</f>
        <v>Paruline à collier</v>
      </c>
      <c r="F2075" s="3" t="str">
        <f>VLOOKUP(B2075,[1]LifeList!$E$2:$G$2036,3)</f>
        <v>Setophaga americana</v>
      </c>
      <c r="G2075" s="3" t="str">
        <f>VLOOKUP(B2075,[1]LifeList!$E$2:$I$2036,4)</f>
        <v>Passeriformes</v>
      </c>
      <c r="H2075" s="3" t="str">
        <f>VLOOKUP(B2075,[1]LifeList!$E$2:$I$2036,5)</f>
        <v>Parulidae (New World Warblers)</v>
      </c>
    </row>
    <row r="2076" spans="1:8" x14ac:dyDescent="0.15">
      <c r="A2076" s="3" t="s">
        <v>1978</v>
      </c>
      <c r="B2076" s="3" t="s">
        <v>4637</v>
      </c>
      <c r="C2076" s="3">
        <v>34063</v>
      </c>
      <c r="D2076" s="3" t="str">
        <f>VLOOKUP(B2076,[1]LifeList!$E$2:$G$2036,1)</f>
        <v>Northern Parula</v>
      </c>
      <c r="E2076" s="3" t="str">
        <f>VLOOKUP(B2076,[1]LifeList!$E$2:$G$2036,2)</f>
        <v>Paruline à collier</v>
      </c>
      <c r="F2076" s="3" t="str">
        <f>VLOOKUP(B2076,[1]LifeList!$E$2:$G$2036,3)</f>
        <v>Setophaga americana</v>
      </c>
      <c r="G2076" s="3" t="str">
        <f>VLOOKUP(B2076,[1]LifeList!$E$2:$I$2036,4)</f>
        <v>Passeriformes</v>
      </c>
      <c r="H2076" s="3" t="str">
        <f>VLOOKUP(B2076,[1]LifeList!$E$2:$I$2036,5)</f>
        <v>Parulidae (New World Warblers)</v>
      </c>
    </row>
    <row r="2077" spans="1:8" x14ac:dyDescent="0.15">
      <c r="A2077" s="3" t="s">
        <v>1979</v>
      </c>
      <c r="B2077" s="3" t="s">
        <v>4637</v>
      </c>
      <c r="C2077" s="3">
        <v>34063</v>
      </c>
      <c r="D2077" s="3" t="str">
        <f>VLOOKUP(B2077,[1]LifeList!$E$2:$G$2036,1)</f>
        <v>Northern Parula</v>
      </c>
      <c r="E2077" s="3" t="str">
        <f>VLOOKUP(B2077,[1]LifeList!$E$2:$G$2036,2)</f>
        <v>Paruline à collier</v>
      </c>
      <c r="F2077" s="3" t="str">
        <f>VLOOKUP(B2077,[1]LifeList!$E$2:$G$2036,3)</f>
        <v>Setophaga americana</v>
      </c>
      <c r="G2077" s="3" t="str">
        <f>VLOOKUP(B2077,[1]LifeList!$E$2:$I$2036,4)</f>
        <v>Passeriformes</v>
      </c>
      <c r="H2077" s="3" t="str">
        <f>VLOOKUP(B2077,[1]LifeList!$E$2:$I$2036,5)</f>
        <v>Parulidae (New World Warblers)</v>
      </c>
    </row>
    <row r="2078" spans="1:8" x14ac:dyDescent="0.15">
      <c r="A2078" s="3" t="s">
        <v>1980</v>
      </c>
      <c r="B2078" s="3" t="s">
        <v>4637</v>
      </c>
      <c r="C2078" s="3">
        <v>34063</v>
      </c>
      <c r="D2078" s="3" t="str">
        <f>VLOOKUP(B2078,[1]LifeList!$E$2:$G$2036,1)</f>
        <v>Northern Parula</v>
      </c>
      <c r="E2078" s="3" t="str">
        <f>VLOOKUP(B2078,[1]LifeList!$E$2:$G$2036,2)</f>
        <v>Paruline à collier</v>
      </c>
      <c r="F2078" s="3" t="str">
        <f>VLOOKUP(B2078,[1]LifeList!$E$2:$G$2036,3)</f>
        <v>Setophaga americana</v>
      </c>
      <c r="G2078" s="3" t="str">
        <f>VLOOKUP(B2078,[1]LifeList!$E$2:$I$2036,4)</f>
        <v>Passeriformes</v>
      </c>
      <c r="H2078" s="3" t="str">
        <f>VLOOKUP(B2078,[1]LifeList!$E$2:$I$2036,5)</f>
        <v>Parulidae (New World Warblers)</v>
      </c>
    </row>
    <row r="2079" spans="1:8" x14ac:dyDescent="0.15">
      <c r="A2079" s="3" t="s">
        <v>1981</v>
      </c>
      <c r="B2079" s="3" t="s">
        <v>4637</v>
      </c>
      <c r="C2079" s="3">
        <v>34063</v>
      </c>
      <c r="D2079" s="3" t="str">
        <f>VLOOKUP(B2079,[1]LifeList!$E$2:$G$2036,1)</f>
        <v>Northern Parula</v>
      </c>
      <c r="E2079" s="3" t="str">
        <f>VLOOKUP(B2079,[1]LifeList!$E$2:$G$2036,2)</f>
        <v>Paruline à collier</v>
      </c>
      <c r="F2079" s="3" t="str">
        <f>VLOOKUP(B2079,[1]LifeList!$E$2:$G$2036,3)</f>
        <v>Setophaga americana</v>
      </c>
      <c r="G2079" s="3" t="str">
        <f>VLOOKUP(B2079,[1]LifeList!$E$2:$I$2036,4)</f>
        <v>Passeriformes</v>
      </c>
      <c r="H2079" s="3" t="str">
        <f>VLOOKUP(B2079,[1]LifeList!$E$2:$I$2036,5)</f>
        <v>Parulidae (New World Warblers)</v>
      </c>
    </row>
    <row r="2080" spans="1:8" x14ac:dyDescent="0.15">
      <c r="A2080" s="3" t="s">
        <v>1982</v>
      </c>
      <c r="B2080" s="3" t="s">
        <v>4637</v>
      </c>
      <c r="C2080" s="3">
        <v>34063</v>
      </c>
      <c r="D2080" s="3" t="str">
        <f>VLOOKUP(B2080,[1]LifeList!$E$2:$G$2036,1)</f>
        <v>Northern Parula</v>
      </c>
      <c r="E2080" s="3" t="str">
        <f>VLOOKUP(B2080,[1]LifeList!$E$2:$G$2036,2)</f>
        <v>Paruline à collier</v>
      </c>
      <c r="F2080" s="3" t="str">
        <f>VLOOKUP(B2080,[1]LifeList!$E$2:$G$2036,3)</f>
        <v>Setophaga americana</v>
      </c>
      <c r="G2080" s="3" t="str">
        <f>VLOOKUP(B2080,[1]LifeList!$E$2:$I$2036,4)</f>
        <v>Passeriformes</v>
      </c>
      <c r="H2080" s="3" t="str">
        <f>VLOOKUP(B2080,[1]LifeList!$E$2:$I$2036,5)</f>
        <v>Parulidae (New World Warblers)</v>
      </c>
    </row>
    <row r="2081" spans="1:8" x14ac:dyDescent="0.15">
      <c r="A2081" s="3" t="s">
        <v>1983</v>
      </c>
      <c r="B2081" s="3" t="s">
        <v>4637</v>
      </c>
      <c r="C2081" s="3">
        <v>34063</v>
      </c>
      <c r="D2081" s="3" t="str">
        <f>VLOOKUP(B2081,[1]LifeList!$E$2:$G$2036,1)</f>
        <v>Northern Parula</v>
      </c>
      <c r="E2081" s="3" t="str">
        <f>VLOOKUP(B2081,[1]LifeList!$E$2:$G$2036,2)</f>
        <v>Paruline à collier</v>
      </c>
      <c r="F2081" s="3" t="str">
        <f>VLOOKUP(B2081,[1]LifeList!$E$2:$G$2036,3)</f>
        <v>Setophaga americana</v>
      </c>
      <c r="G2081" s="3" t="str">
        <f>VLOOKUP(B2081,[1]LifeList!$E$2:$I$2036,4)</f>
        <v>Passeriformes</v>
      </c>
      <c r="H2081" s="3" t="str">
        <f>VLOOKUP(B2081,[1]LifeList!$E$2:$I$2036,5)</f>
        <v>Parulidae (New World Warblers)</v>
      </c>
    </row>
    <row r="2082" spans="1:8" x14ac:dyDescent="0.15">
      <c r="A2082" s="3" t="s">
        <v>1984</v>
      </c>
      <c r="B2082" s="3" t="s">
        <v>4637</v>
      </c>
      <c r="C2082" s="3">
        <v>34063</v>
      </c>
      <c r="D2082" s="3" t="str">
        <f>VLOOKUP(B2082,[1]LifeList!$E$2:$G$2036,1)</f>
        <v>Northern Parula</v>
      </c>
      <c r="E2082" s="3" t="str">
        <f>VLOOKUP(B2082,[1]LifeList!$E$2:$G$2036,2)</f>
        <v>Paruline à collier</v>
      </c>
      <c r="F2082" s="3" t="str">
        <f>VLOOKUP(B2082,[1]LifeList!$E$2:$G$2036,3)</f>
        <v>Setophaga americana</v>
      </c>
      <c r="G2082" s="3" t="str">
        <f>VLOOKUP(B2082,[1]LifeList!$E$2:$I$2036,4)</f>
        <v>Passeriformes</v>
      </c>
      <c r="H2082" s="3" t="str">
        <f>VLOOKUP(B2082,[1]LifeList!$E$2:$I$2036,5)</f>
        <v>Parulidae (New World Warblers)</v>
      </c>
    </row>
    <row r="2083" spans="1:8" x14ac:dyDescent="0.15">
      <c r="A2083" s="3" t="s">
        <v>1985</v>
      </c>
      <c r="B2083" s="3" t="s">
        <v>4637</v>
      </c>
      <c r="C2083" s="3">
        <v>34063</v>
      </c>
      <c r="D2083" s="3" t="str">
        <f>VLOOKUP(B2083,[1]LifeList!$E$2:$G$2036,1)</f>
        <v>Northern Parula</v>
      </c>
      <c r="E2083" s="3" t="str">
        <f>VLOOKUP(B2083,[1]LifeList!$E$2:$G$2036,2)</f>
        <v>Paruline à collier</v>
      </c>
      <c r="F2083" s="3" t="str">
        <f>VLOOKUP(B2083,[1]LifeList!$E$2:$G$2036,3)</f>
        <v>Setophaga americana</v>
      </c>
      <c r="G2083" s="3" t="str">
        <f>VLOOKUP(B2083,[1]LifeList!$E$2:$I$2036,4)</f>
        <v>Passeriformes</v>
      </c>
      <c r="H2083" s="3" t="str">
        <f>VLOOKUP(B2083,[1]LifeList!$E$2:$I$2036,5)</f>
        <v>Parulidae (New World Warblers)</v>
      </c>
    </row>
    <row r="2084" spans="1:8" x14ac:dyDescent="0.15">
      <c r="A2084" s="3" t="s">
        <v>1986</v>
      </c>
      <c r="B2084" s="3" t="s">
        <v>4637</v>
      </c>
      <c r="C2084" s="3">
        <v>34063</v>
      </c>
      <c r="D2084" s="3" t="str">
        <f>VLOOKUP(B2084,[1]LifeList!$E$2:$G$2036,1)</f>
        <v>Northern Parula</v>
      </c>
      <c r="E2084" s="3" t="str">
        <f>VLOOKUP(B2084,[1]LifeList!$E$2:$G$2036,2)</f>
        <v>Paruline à collier</v>
      </c>
      <c r="F2084" s="3" t="str">
        <f>VLOOKUP(B2084,[1]LifeList!$E$2:$G$2036,3)</f>
        <v>Setophaga americana</v>
      </c>
      <c r="G2084" s="3" t="str">
        <f>VLOOKUP(B2084,[1]LifeList!$E$2:$I$2036,4)</f>
        <v>Passeriformes</v>
      </c>
      <c r="H2084" s="3" t="str">
        <f>VLOOKUP(B2084,[1]LifeList!$E$2:$I$2036,5)</f>
        <v>Parulidae (New World Warblers)</v>
      </c>
    </row>
    <row r="2085" spans="1:8" x14ac:dyDescent="0.15">
      <c r="A2085" s="3" t="s">
        <v>1987</v>
      </c>
      <c r="B2085" s="3" t="s">
        <v>4637</v>
      </c>
      <c r="C2085" s="3">
        <v>34063</v>
      </c>
      <c r="D2085" s="3" t="str">
        <f>VLOOKUP(B2085,[1]LifeList!$E$2:$G$2036,1)</f>
        <v>Northern Parula</v>
      </c>
      <c r="E2085" s="3" t="str">
        <f>VLOOKUP(B2085,[1]LifeList!$E$2:$G$2036,2)</f>
        <v>Paruline à collier</v>
      </c>
      <c r="F2085" s="3" t="str">
        <f>VLOOKUP(B2085,[1]LifeList!$E$2:$G$2036,3)</f>
        <v>Setophaga americana</v>
      </c>
      <c r="G2085" s="3" t="str">
        <f>VLOOKUP(B2085,[1]LifeList!$E$2:$I$2036,4)</f>
        <v>Passeriformes</v>
      </c>
      <c r="H2085" s="3" t="str">
        <f>VLOOKUP(B2085,[1]LifeList!$E$2:$I$2036,5)</f>
        <v>Parulidae (New World Warblers)</v>
      </c>
    </row>
    <row r="2086" spans="1:8" x14ac:dyDescent="0.15">
      <c r="A2086" s="3" t="s">
        <v>1988</v>
      </c>
      <c r="B2086" s="3" t="s">
        <v>4637</v>
      </c>
      <c r="C2086" s="3">
        <v>34063</v>
      </c>
      <c r="D2086" s="3" t="str">
        <f>VLOOKUP(B2086,[1]LifeList!$E$2:$G$2036,1)</f>
        <v>Northern Parula</v>
      </c>
      <c r="E2086" s="3" t="str">
        <f>VLOOKUP(B2086,[1]LifeList!$E$2:$G$2036,2)</f>
        <v>Paruline à collier</v>
      </c>
      <c r="F2086" s="3" t="str">
        <f>VLOOKUP(B2086,[1]LifeList!$E$2:$G$2036,3)</f>
        <v>Setophaga americana</v>
      </c>
      <c r="G2086" s="3" t="str">
        <f>VLOOKUP(B2086,[1]LifeList!$E$2:$I$2036,4)</f>
        <v>Passeriformes</v>
      </c>
      <c r="H2086" s="3" t="str">
        <f>VLOOKUP(B2086,[1]LifeList!$E$2:$I$2036,5)</f>
        <v>Parulidae (New World Warblers)</v>
      </c>
    </row>
    <row r="2087" spans="1:8" x14ac:dyDescent="0.15">
      <c r="A2087" s="3" t="s">
        <v>1989</v>
      </c>
      <c r="B2087" s="3" t="s">
        <v>4637</v>
      </c>
      <c r="C2087" s="3">
        <v>34063</v>
      </c>
      <c r="D2087" s="3" t="str">
        <f>VLOOKUP(B2087,[1]LifeList!$E$2:$G$2036,1)</f>
        <v>Northern Parula</v>
      </c>
      <c r="E2087" s="3" t="str">
        <f>VLOOKUP(B2087,[1]LifeList!$E$2:$G$2036,2)</f>
        <v>Paruline à collier</v>
      </c>
      <c r="F2087" s="3" t="str">
        <f>VLOOKUP(B2087,[1]LifeList!$E$2:$G$2036,3)</f>
        <v>Setophaga americana</v>
      </c>
      <c r="G2087" s="3" t="str">
        <f>VLOOKUP(B2087,[1]LifeList!$E$2:$I$2036,4)</f>
        <v>Passeriformes</v>
      </c>
      <c r="H2087" s="3" t="str">
        <f>VLOOKUP(B2087,[1]LifeList!$E$2:$I$2036,5)</f>
        <v>Parulidae (New World Warblers)</v>
      </c>
    </row>
    <row r="2088" spans="1:8" x14ac:dyDescent="0.15">
      <c r="A2088" s="3" t="s">
        <v>1990</v>
      </c>
      <c r="B2088" s="3" t="s">
        <v>4637</v>
      </c>
      <c r="C2088" s="3">
        <v>34063</v>
      </c>
      <c r="D2088" s="3" t="str">
        <f>VLOOKUP(B2088,[1]LifeList!$E$2:$G$2036,1)</f>
        <v>Northern Parula</v>
      </c>
      <c r="E2088" s="3" t="str">
        <f>VLOOKUP(B2088,[1]LifeList!$E$2:$G$2036,2)</f>
        <v>Paruline à collier</v>
      </c>
      <c r="F2088" s="3" t="str">
        <f>VLOOKUP(B2088,[1]LifeList!$E$2:$G$2036,3)</f>
        <v>Setophaga americana</v>
      </c>
      <c r="G2088" s="3" t="str">
        <f>VLOOKUP(B2088,[1]LifeList!$E$2:$I$2036,4)</f>
        <v>Passeriformes</v>
      </c>
      <c r="H2088" s="3" t="str">
        <f>VLOOKUP(B2088,[1]LifeList!$E$2:$I$2036,5)</f>
        <v>Parulidae (New World Warblers)</v>
      </c>
    </row>
    <row r="2089" spans="1:8" x14ac:dyDescent="0.15">
      <c r="A2089" s="3" t="s">
        <v>1991</v>
      </c>
      <c r="B2089" s="3" t="s">
        <v>4637</v>
      </c>
      <c r="C2089" s="3">
        <v>34063</v>
      </c>
      <c r="D2089" s="3" t="str">
        <f>VLOOKUP(B2089,[1]LifeList!$E$2:$G$2036,1)</f>
        <v>Northern Parula</v>
      </c>
      <c r="E2089" s="3" t="str">
        <f>VLOOKUP(B2089,[1]LifeList!$E$2:$G$2036,2)</f>
        <v>Paruline à collier</v>
      </c>
      <c r="F2089" s="3" t="str">
        <f>VLOOKUP(B2089,[1]LifeList!$E$2:$G$2036,3)</f>
        <v>Setophaga americana</v>
      </c>
      <c r="G2089" s="3" t="str">
        <f>VLOOKUP(B2089,[1]LifeList!$E$2:$I$2036,4)</f>
        <v>Passeriformes</v>
      </c>
      <c r="H2089" s="3" t="str">
        <f>VLOOKUP(B2089,[1]LifeList!$E$2:$I$2036,5)</f>
        <v>Parulidae (New World Warblers)</v>
      </c>
    </row>
    <row r="2090" spans="1:8" x14ac:dyDescent="0.15">
      <c r="A2090" s="3" t="s">
        <v>1968</v>
      </c>
      <c r="B2090" s="3" t="s">
        <v>4637</v>
      </c>
      <c r="C2090" s="3">
        <v>34063</v>
      </c>
      <c r="D2090" s="3" t="str">
        <f>VLOOKUP(B2090,[1]LifeList!$E$2:$G$2036,1)</f>
        <v>Northern Parula</v>
      </c>
      <c r="E2090" s="3" t="str">
        <f>VLOOKUP(B2090,[1]LifeList!$E$2:$G$2036,2)</f>
        <v>Paruline à collier</v>
      </c>
      <c r="F2090" s="3" t="str">
        <f>VLOOKUP(B2090,[1]LifeList!$E$2:$G$2036,3)</f>
        <v>Setophaga americana</v>
      </c>
      <c r="G2090" s="3" t="str">
        <f>VLOOKUP(B2090,[1]LifeList!$E$2:$I$2036,4)</f>
        <v>Passeriformes</v>
      </c>
      <c r="H2090" s="3" t="str">
        <f>VLOOKUP(B2090,[1]LifeList!$E$2:$I$2036,5)</f>
        <v>Parulidae (New World Warblers)</v>
      </c>
    </row>
    <row r="2091" spans="1:8" x14ac:dyDescent="0.15">
      <c r="A2091" s="3" t="s">
        <v>1993</v>
      </c>
      <c r="B2091" s="3" t="s">
        <v>4638</v>
      </c>
      <c r="C2091" s="3">
        <v>594</v>
      </c>
      <c r="D2091" s="3" t="str">
        <f>VLOOKUP(B2091,[1]LifeList!$E$2:$G$2036,1)</f>
        <v>Northern Pintail</v>
      </c>
      <c r="E2091" s="3" t="str">
        <f>VLOOKUP(B2091,[1]LifeList!$E$2:$G$2036,2)</f>
        <v>Canard pilet</v>
      </c>
      <c r="F2091" s="3" t="str">
        <f>VLOOKUP(B2091,[1]LifeList!$E$2:$G$2036,3)</f>
        <v>Anas acuta</v>
      </c>
      <c r="G2091" s="3" t="str">
        <f>VLOOKUP(B2091,[1]LifeList!$E$2:$I$2036,4)</f>
        <v>Anseriformes</v>
      </c>
      <c r="H2091" s="3" t="str">
        <f>VLOOKUP(B2091,[1]LifeList!$E$2:$I$2036,5)</f>
        <v>Anatidae (Ducks, Geese, and Waterfowl)</v>
      </c>
    </row>
    <row r="2092" spans="1:8" x14ac:dyDescent="0.15">
      <c r="A2092" s="3" t="s">
        <v>2055</v>
      </c>
      <c r="B2092" s="3" t="s">
        <v>4638</v>
      </c>
      <c r="C2092" s="3">
        <v>594</v>
      </c>
      <c r="D2092" s="3" t="str">
        <f>VLOOKUP(B2092,[1]LifeList!$E$2:$G$2036,1)</f>
        <v>Northern Pintail</v>
      </c>
      <c r="E2092" s="3" t="str">
        <f>VLOOKUP(B2092,[1]LifeList!$E$2:$G$2036,2)</f>
        <v>Canard pilet</v>
      </c>
      <c r="F2092" s="3" t="str">
        <f>VLOOKUP(B2092,[1]LifeList!$E$2:$G$2036,3)</f>
        <v>Anas acuta</v>
      </c>
      <c r="G2092" s="3" t="str">
        <f>VLOOKUP(B2092,[1]LifeList!$E$2:$I$2036,4)</f>
        <v>Anseriformes</v>
      </c>
      <c r="H2092" s="3" t="str">
        <f>VLOOKUP(B2092,[1]LifeList!$E$2:$I$2036,5)</f>
        <v>Anatidae (Ducks, Geese, and Waterfowl)</v>
      </c>
    </row>
    <row r="2093" spans="1:8" x14ac:dyDescent="0.15">
      <c r="A2093" s="3" t="s">
        <v>2056</v>
      </c>
      <c r="B2093" s="3" t="s">
        <v>4638</v>
      </c>
      <c r="C2093" s="3">
        <v>594</v>
      </c>
      <c r="D2093" s="3" t="str">
        <f>VLOOKUP(B2093,[1]LifeList!$E$2:$G$2036,1)</f>
        <v>Northern Pintail</v>
      </c>
      <c r="E2093" s="3" t="str">
        <f>VLOOKUP(B2093,[1]LifeList!$E$2:$G$2036,2)</f>
        <v>Canard pilet</v>
      </c>
      <c r="F2093" s="3" t="str">
        <f>VLOOKUP(B2093,[1]LifeList!$E$2:$G$2036,3)</f>
        <v>Anas acuta</v>
      </c>
      <c r="G2093" s="3" t="str">
        <f>VLOOKUP(B2093,[1]LifeList!$E$2:$I$2036,4)</f>
        <v>Anseriformes</v>
      </c>
      <c r="H2093" s="3" t="str">
        <f>VLOOKUP(B2093,[1]LifeList!$E$2:$I$2036,5)</f>
        <v>Anatidae (Ducks, Geese, and Waterfowl)</v>
      </c>
    </row>
    <row r="2094" spans="1:8" x14ac:dyDescent="0.15">
      <c r="A2094" s="3" t="s">
        <v>1994</v>
      </c>
      <c r="B2094" s="3" t="s">
        <v>4638</v>
      </c>
      <c r="C2094" s="3">
        <v>594</v>
      </c>
      <c r="D2094" s="3" t="str">
        <f>VLOOKUP(B2094,[1]LifeList!$E$2:$G$2036,1)</f>
        <v>Northern Pintail</v>
      </c>
      <c r="E2094" s="3" t="str">
        <f>VLOOKUP(B2094,[1]LifeList!$E$2:$G$2036,2)</f>
        <v>Canard pilet</v>
      </c>
      <c r="F2094" s="3" t="str">
        <f>VLOOKUP(B2094,[1]LifeList!$E$2:$G$2036,3)</f>
        <v>Anas acuta</v>
      </c>
      <c r="G2094" s="3" t="str">
        <f>VLOOKUP(B2094,[1]LifeList!$E$2:$I$2036,4)</f>
        <v>Anseriformes</v>
      </c>
      <c r="H2094" s="3" t="str">
        <f>VLOOKUP(B2094,[1]LifeList!$E$2:$I$2036,5)</f>
        <v>Anatidae (Ducks, Geese, and Waterfowl)</v>
      </c>
    </row>
    <row r="2095" spans="1:8" x14ac:dyDescent="0.15">
      <c r="A2095" s="3" t="s">
        <v>2057</v>
      </c>
      <c r="B2095" s="3" t="s">
        <v>4638</v>
      </c>
      <c r="C2095" s="3">
        <v>594</v>
      </c>
      <c r="D2095" s="3" t="str">
        <f>VLOOKUP(B2095,[1]LifeList!$E$2:$G$2036,1)</f>
        <v>Northern Pintail</v>
      </c>
      <c r="E2095" s="3" t="str">
        <f>VLOOKUP(B2095,[1]LifeList!$E$2:$G$2036,2)</f>
        <v>Canard pilet</v>
      </c>
      <c r="F2095" s="3" t="str">
        <f>VLOOKUP(B2095,[1]LifeList!$E$2:$G$2036,3)</f>
        <v>Anas acuta</v>
      </c>
      <c r="G2095" s="3" t="str">
        <f>VLOOKUP(B2095,[1]LifeList!$E$2:$I$2036,4)</f>
        <v>Anseriformes</v>
      </c>
      <c r="H2095" s="3" t="str">
        <f>VLOOKUP(B2095,[1]LifeList!$E$2:$I$2036,5)</f>
        <v>Anatidae (Ducks, Geese, and Waterfowl)</v>
      </c>
    </row>
    <row r="2096" spans="1:8" x14ac:dyDescent="0.15">
      <c r="A2096" s="3" t="s">
        <v>1992</v>
      </c>
      <c r="B2096" s="3" t="s">
        <v>4638</v>
      </c>
      <c r="C2096" s="3">
        <v>594</v>
      </c>
      <c r="D2096" s="3" t="str">
        <f>VLOOKUP(B2096,[1]LifeList!$E$2:$G$2036,1)</f>
        <v>Northern Pintail</v>
      </c>
      <c r="E2096" s="3" t="str">
        <f>VLOOKUP(B2096,[1]LifeList!$E$2:$G$2036,2)</f>
        <v>Canard pilet</v>
      </c>
      <c r="F2096" s="3" t="str">
        <f>VLOOKUP(B2096,[1]LifeList!$E$2:$G$2036,3)</f>
        <v>Anas acuta</v>
      </c>
      <c r="G2096" s="3" t="str">
        <f>VLOOKUP(B2096,[1]LifeList!$E$2:$I$2036,4)</f>
        <v>Anseriformes</v>
      </c>
      <c r="H2096" s="3" t="str">
        <f>VLOOKUP(B2096,[1]LifeList!$E$2:$I$2036,5)</f>
        <v>Anatidae (Ducks, Geese, and Waterfowl)</v>
      </c>
    </row>
    <row r="2097" spans="1:8" x14ac:dyDescent="0.15">
      <c r="A2097" s="3" t="s">
        <v>1995</v>
      </c>
      <c r="B2097" s="3" t="s">
        <v>4639</v>
      </c>
      <c r="C2097" s="3">
        <v>14973</v>
      </c>
      <c r="D2097" s="3" t="str">
        <f>VLOOKUP(B2097,[1]LifeList!$E$2:$G$2036,1)</f>
        <v>Northern Plain-Xenops</v>
      </c>
      <c r="E2097" s="3" t="str">
        <f>VLOOKUP(B2097,[1]LifeList!$E$2:$G$2036,2)</f>
        <v>Sittine du Mexique</v>
      </c>
      <c r="F2097" s="3" t="str">
        <f>VLOOKUP(B2097,[1]LifeList!$E$2:$G$2036,3)</f>
        <v>Xenops mexicanus</v>
      </c>
      <c r="G2097" s="3" t="str">
        <f>VLOOKUP(B2097,[1]LifeList!$E$2:$I$2036,4)</f>
        <v>Passeriformes</v>
      </c>
      <c r="H2097" s="3" t="str">
        <f>VLOOKUP(B2097,[1]LifeList!$E$2:$I$2036,5)</f>
        <v>Furnariidae (Ovenbirds and Woodcreepers)</v>
      </c>
    </row>
    <row r="2098" spans="1:8" x14ac:dyDescent="0.15">
      <c r="A2098" s="3" t="s">
        <v>1996</v>
      </c>
      <c r="B2098" s="3" t="s">
        <v>4639</v>
      </c>
      <c r="C2098" s="3">
        <v>14973</v>
      </c>
      <c r="D2098" s="3" t="str">
        <f>VLOOKUP(B2098,[1]LifeList!$E$2:$G$2036,1)</f>
        <v>Northern Plain-Xenops</v>
      </c>
      <c r="E2098" s="3" t="str">
        <f>VLOOKUP(B2098,[1]LifeList!$E$2:$G$2036,2)</f>
        <v>Sittine du Mexique</v>
      </c>
      <c r="F2098" s="3" t="str">
        <f>VLOOKUP(B2098,[1]LifeList!$E$2:$G$2036,3)</f>
        <v>Xenops mexicanus</v>
      </c>
      <c r="G2098" s="3" t="str">
        <f>VLOOKUP(B2098,[1]LifeList!$E$2:$I$2036,4)</f>
        <v>Passeriformes</v>
      </c>
      <c r="H2098" s="3" t="str">
        <f>VLOOKUP(B2098,[1]LifeList!$E$2:$I$2036,5)</f>
        <v>Furnariidae (Ovenbirds and Woodcreepers)</v>
      </c>
    </row>
    <row r="2099" spans="1:8" x14ac:dyDescent="0.15">
      <c r="A2099" s="3" t="s">
        <v>1997</v>
      </c>
      <c r="B2099" s="3" t="s">
        <v>3780</v>
      </c>
      <c r="C2099" s="3">
        <v>24106</v>
      </c>
      <c r="D2099" s="3" t="str">
        <f>VLOOKUP(B2099,[1]LifeList!$E$2:$G$2036,1)</f>
        <v>Northern Rough-winged Swallow</v>
      </c>
      <c r="E2099" s="3" t="str">
        <f>VLOOKUP(B2099,[1]LifeList!$E$2:$G$2036,2)</f>
        <v>Hirondelle à ailes hérissées</v>
      </c>
      <c r="F2099" s="3" t="str">
        <f>VLOOKUP(B2099,[1]LifeList!$E$2:$G$2036,3)</f>
        <v>Stelgidopteryx serripennis</v>
      </c>
      <c r="G2099" s="3" t="str">
        <f>VLOOKUP(B2099,[1]LifeList!$E$2:$I$2036,4)</f>
        <v>Passeriformes</v>
      </c>
      <c r="H2099" s="3" t="str">
        <f>VLOOKUP(B2099,[1]LifeList!$E$2:$I$2036,5)</f>
        <v>Hirundinidae (Swallows)</v>
      </c>
    </row>
    <row r="2100" spans="1:8" x14ac:dyDescent="0.15">
      <c r="A2100" s="3" t="s">
        <v>1998</v>
      </c>
      <c r="B2100" s="3" t="s">
        <v>4640</v>
      </c>
      <c r="C2100" s="3">
        <v>234</v>
      </c>
      <c r="D2100" s="3" t="str">
        <f>VLOOKUP(B2100,[1]LifeList!$E$2:$G$2036,1)</f>
        <v>Northern Screamer</v>
      </c>
      <c r="E2100" s="3" t="str">
        <f>VLOOKUP(B2100,[1]LifeList!$E$2:$G$2036,2)</f>
        <v>Kamichi chavaria</v>
      </c>
      <c r="F2100" s="3" t="str">
        <f>VLOOKUP(B2100,[1]LifeList!$E$2:$G$2036,3)</f>
        <v>Chauna chavaria</v>
      </c>
      <c r="G2100" s="3" t="str">
        <f>VLOOKUP(B2100,[1]LifeList!$E$2:$I$2036,4)</f>
        <v>Anseriformes</v>
      </c>
      <c r="H2100" s="3" t="str">
        <f>VLOOKUP(B2100,[1]LifeList!$E$2:$I$2036,5)</f>
        <v>Anhimidae (Screamers)</v>
      </c>
    </row>
    <row r="2101" spans="1:8" x14ac:dyDescent="0.15">
      <c r="A2101" s="3" t="s">
        <v>1999</v>
      </c>
      <c r="B2101" s="3" t="s">
        <v>4640</v>
      </c>
      <c r="C2101" s="3">
        <v>234</v>
      </c>
      <c r="D2101" s="3" t="str">
        <f>VLOOKUP(B2101,[1]LifeList!$E$2:$G$2036,1)</f>
        <v>Northern Screamer</v>
      </c>
      <c r="E2101" s="3" t="str">
        <f>VLOOKUP(B2101,[1]LifeList!$E$2:$G$2036,2)</f>
        <v>Kamichi chavaria</v>
      </c>
      <c r="F2101" s="3" t="str">
        <f>VLOOKUP(B2101,[1]LifeList!$E$2:$G$2036,3)</f>
        <v>Chauna chavaria</v>
      </c>
      <c r="G2101" s="3" t="str">
        <f>VLOOKUP(B2101,[1]LifeList!$E$2:$I$2036,4)</f>
        <v>Anseriformes</v>
      </c>
      <c r="H2101" s="3" t="str">
        <f>VLOOKUP(B2101,[1]LifeList!$E$2:$I$2036,5)</f>
        <v>Anhimidae (Screamers)</v>
      </c>
    </row>
    <row r="2102" spans="1:8" x14ac:dyDescent="0.15">
      <c r="A2102" s="3" t="s">
        <v>2000</v>
      </c>
      <c r="B2102" s="3" t="s">
        <v>4640</v>
      </c>
      <c r="C2102" s="3">
        <v>234</v>
      </c>
      <c r="D2102" s="3" t="str">
        <f>VLOOKUP(B2102,[1]LifeList!$E$2:$G$2036,1)</f>
        <v>Northern Screamer</v>
      </c>
      <c r="E2102" s="3" t="str">
        <f>VLOOKUP(B2102,[1]LifeList!$E$2:$G$2036,2)</f>
        <v>Kamichi chavaria</v>
      </c>
      <c r="F2102" s="3" t="str">
        <f>VLOOKUP(B2102,[1]LifeList!$E$2:$G$2036,3)</f>
        <v>Chauna chavaria</v>
      </c>
      <c r="G2102" s="3" t="str">
        <f>VLOOKUP(B2102,[1]LifeList!$E$2:$I$2036,4)</f>
        <v>Anseriformes</v>
      </c>
      <c r="H2102" s="3" t="str">
        <f>VLOOKUP(B2102,[1]LifeList!$E$2:$I$2036,5)</f>
        <v>Anhimidae (Screamers)</v>
      </c>
    </row>
    <row r="2103" spans="1:8" x14ac:dyDescent="0.15">
      <c r="A2103" s="3" t="s">
        <v>2002</v>
      </c>
      <c r="B2103" s="3" t="s">
        <v>4641</v>
      </c>
      <c r="C2103" s="3">
        <v>17017</v>
      </c>
      <c r="D2103" s="3" t="str">
        <f>VLOOKUP(B2103,[1]LifeList!$E$2:$G$2036,1)</f>
        <v>Northern Scrub-Flycatcher</v>
      </c>
      <c r="E2103" s="3" t="str">
        <f>VLOOKUP(B2103,[1]LifeList!$E$2:$G$2036,2)</f>
        <v>Moucherolle des palétuviers</v>
      </c>
      <c r="F2103" s="3" t="str">
        <f>VLOOKUP(B2103,[1]LifeList!$E$2:$G$2036,3)</f>
        <v>Sublegatus arenarum</v>
      </c>
      <c r="G2103" s="3" t="str">
        <f>VLOOKUP(B2103,[1]LifeList!$E$2:$I$2036,4)</f>
        <v>Passeriformes</v>
      </c>
      <c r="H2103" s="3" t="str">
        <f>VLOOKUP(B2103,[1]LifeList!$E$2:$I$2036,5)</f>
        <v>Tyrannidae (Tyrant Flycatchers)</v>
      </c>
    </row>
    <row r="2104" spans="1:8" x14ac:dyDescent="0.15">
      <c r="A2104" s="3" t="s">
        <v>2003</v>
      </c>
      <c r="B2104" s="3" t="s">
        <v>4641</v>
      </c>
      <c r="C2104" s="3">
        <v>17017</v>
      </c>
      <c r="D2104" s="3" t="str">
        <f>VLOOKUP(B2104,[1]LifeList!$E$2:$G$2036,1)</f>
        <v>Northern Scrub-Flycatcher</v>
      </c>
      <c r="E2104" s="3" t="str">
        <f>VLOOKUP(B2104,[1]LifeList!$E$2:$G$2036,2)</f>
        <v>Moucherolle des palétuviers</v>
      </c>
      <c r="F2104" s="3" t="str">
        <f>VLOOKUP(B2104,[1]LifeList!$E$2:$G$2036,3)</f>
        <v>Sublegatus arenarum</v>
      </c>
      <c r="G2104" s="3" t="str">
        <f>VLOOKUP(B2104,[1]LifeList!$E$2:$I$2036,4)</f>
        <v>Passeriformes</v>
      </c>
      <c r="H2104" s="3" t="str">
        <f>VLOOKUP(B2104,[1]LifeList!$E$2:$I$2036,5)</f>
        <v>Tyrannidae (Tyrant Flycatchers)</v>
      </c>
    </row>
    <row r="2105" spans="1:8" x14ac:dyDescent="0.15">
      <c r="A2105" s="3" t="s">
        <v>2001</v>
      </c>
      <c r="B2105" s="3" t="s">
        <v>4641</v>
      </c>
      <c r="C2105" s="3">
        <v>17017</v>
      </c>
      <c r="D2105" s="3" t="str">
        <f>VLOOKUP(B2105,[1]LifeList!$E$2:$G$2036,1)</f>
        <v>Northern Scrub-Flycatcher</v>
      </c>
      <c r="E2105" s="3" t="str">
        <f>VLOOKUP(B2105,[1]LifeList!$E$2:$G$2036,2)</f>
        <v>Moucherolle des palétuviers</v>
      </c>
      <c r="F2105" s="3" t="str">
        <f>VLOOKUP(B2105,[1]LifeList!$E$2:$G$2036,3)</f>
        <v>Sublegatus arenarum</v>
      </c>
      <c r="G2105" s="3" t="str">
        <f>VLOOKUP(B2105,[1]LifeList!$E$2:$I$2036,4)</f>
        <v>Passeriformes</v>
      </c>
      <c r="H2105" s="3" t="str">
        <f>VLOOKUP(B2105,[1]LifeList!$E$2:$I$2036,5)</f>
        <v>Tyrannidae (Tyrant Flycatchers)</v>
      </c>
    </row>
    <row r="2106" spans="1:8" x14ac:dyDescent="0.15">
      <c r="A2106" s="3" t="s">
        <v>2005</v>
      </c>
      <c r="B2106" s="3" t="s">
        <v>4642</v>
      </c>
      <c r="C2106" s="3">
        <v>501</v>
      </c>
      <c r="D2106" s="3" t="str">
        <f>VLOOKUP(B2106,[1]LifeList!$E$2:$G$2036,1)</f>
        <v>Northern Shoveler</v>
      </c>
      <c r="E2106" s="3" t="str">
        <f>VLOOKUP(B2106,[1]LifeList!$E$2:$G$2036,2)</f>
        <v>Canard souchet</v>
      </c>
      <c r="F2106" s="3" t="str">
        <f>VLOOKUP(B2106,[1]LifeList!$E$2:$G$2036,3)</f>
        <v>Spatula clypeata</v>
      </c>
      <c r="G2106" s="3" t="str">
        <f>VLOOKUP(B2106,[1]LifeList!$E$2:$I$2036,4)</f>
        <v>Anseriformes</v>
      </c>
      <c r="H2106" s="3" t="str">
        <f>VLOOKUP(B2106,[1]LifeList!$E$2:$I$2036,5)</f>
        <v>Anatidae (Ducks, Geese, and Waterfowl)</v>
      </c>
    </row>
    <row r="2107" spans="1:8" x14ac:dyDescent="0.15">
      <c r="A2107" s="3" t="s">
        <v>2006</v>
      </c>
      <c r="B2107" s="3" t="s">
        <v>4642</v>
      </c>
      <c r="C2107" s="3">
        <v>501</v>
      </c>
      <c r="D2107" s="3" t="str">
        <f>VLOOKUP(B2107,[1]LifeList!$E$2:$G$2036,1)</f>
        <v>Northern Shoveler</v>
      </c>
      <c r="E2107" s="3" t="str">
        <f>VLOOKUP(B2107,[1]LifeList!$E$2:$G$2036,2)</f>
        <v>Canard souchet</v>
      </c>
      <c r="F2107" s="3" t="str">
        <f>VLOOKUP(B2107,[1]LifeList!$E$2:$G$2036,3)</f>
        <v>Spatula clypeata</v>
      </c>
      <c r="G2107" s="3" t="str">
        <f>VLOOKUP(B2107,[1]LifeList!$E$2:$I$2036,4)</f>
        <v>Anseriformes</v>
      </c>
      <c r="H2107" s="3" t="str">
        <f>VLOOKUP(B2107,[1]LifeList!$E$2:$I$2036,5)</f>
        <v>Anatidae (Ducks, Geese, and Waterfowl)</v>
      </c>
    </row>
    <row r="2108" spans="1:8" x14ac:dyDescent="0.15">
      <c r="A2108" s="3" t="s">
        <v>2007</v>
      </c>
      <c r="B2108" s="3" t="s">
        <v>4642</v>
      </c>
      <c r="C2108" s="3">
        <v>501</v>
      </c>
      <c r="D2108" s="3" t="str">
        <f>VLOOKUP(B2108,[1]LifeList!$E$2:$G$2036,1)</f>
        <v>Northern Shoveler</v>
      </c>
      <c r="E2108" s="3" t="str">
        <f>VLOOKUP(B2108,[1]LifeList!$E$2:$G$2036,2)</f>
        <v>Canard souchet</v>
      </c>
      <c r="F2108" s="3" t="str">
        <f>VLOOKUP(B2108,[1]LifeList!$E$2:$G$2036,3)</f>
        <v>Spatula clypeata</v>
      </c>
      <c r="G2108" s="3" t="str">
        <f>VLOOKUP(B2108,[1]LifeList!$E$2:$I$2036,4)</f>
        <v>Anseriformes</v>
      </c>
      <c r="H2108" s="3" t="str">
        <f>VLOOKUP(B2108,[1]LifeList!$E$2:$I$2036,5)</f>
        <v>Anatidae (Ducks, Geese, and Waterfowl)</v>
      </c>
    </row>
    <row r="2109" spans="1:8" x14ac:dyDescent="0.15">
      <c r="A2109" s="3" t="s">
        <v>2008</v>
      </c>
      <c r="B2109" s="3" t="s">
        <v>4642</v>
      </c>
      <c r="C2109" s="3">
        <v>501</v>
      </c>
      <c r="D2109" s="3" t="str">
        <f>VLOOKUP(B2109,[1]LifeList!$E$2:$G$2036,1)</f>
        <v>Northern Shoveler</v>
      </c>
      <c r="E2109" s="3" t="str">
        <f>VLOOKUP(B2109,[1]LifeList!$E$2:$G$2036,2)</f>
        <v>Canard souchet</v>
      </c>
      <c r="F2109" s="3" t="str">
        <f>VLOOKUP(B2109,[1]LifeList!$E$2:$G$2036,3)</f>
        <v>Spatula clypeata</v>
      </c>
      <c r="G2109" s="3" t="str">
        <f>VLOOKUP(B2109,[1]LifeList!$E$2:$I$2036,4)</f>
        <v>Anseriformes</v>
      </c>
      <c r="H2109" s="3" t="str">
        <f>VLOOKUP(B2109,[1]LifeList!$E$2:$I$2036,5)</f>
        <v>Anatidae (Ducks, Geese, and Waterfowl)</v>
      </c>
    </row>
    <row r="2110" spans="1:8" x14ac:dyDescent="0.15">
      <c r="A2110" s="3" t="s">
        <v>2009</v>
      </c>
      <c r="B2110" s="3" t="s">
        <v>4642</v>
      </c>
      <c r="C2110" s="3">
        <v>501</v>
      </c>
      <c r="D2110" s="3" t="str">
        <f>VLOOKUP(B2110,[1]LifeList!$E$2:$G$2036,1)</f>
        <v>Northern Shoveler</v>
      </c>
      <c r="E2110" s="3" t="str">
        <f>VLOOKUP(B2110,[1]LifeList!$E$2:$G$2036,2)</f>
        <v>Canard souchet</v>
      </c>
      <c r="F2110" s="3" t="str">
        <f>VLOOKUP(B2110,[1]LifeList!$E$2:$G$2036,3)</f>
        <v>Spatula clypeata</v>
      </c>
      <c r="G2110" s="3" t="str">
        <f>VLOOKUP(B2110,[1]LifeList!$E$2:$I$2036,4)</f>
        <v>Anseriformes</v>
      </c>
      <c r="H2110" s="3" t="str">
        <f>VLOOKUP(B2110,[1]LifeList!$E$2:$I$2036,5)</f>
        <v>Anatidae (Ducks, Geese, and Waterfowl)</v>
      </c>
    </row>
    <row r="2111" spans="1:8" x14ac:dyDescent="0.15">
      <c r="A2111" s="3" t="s">
        <v>2010</v>
      </c>
      <c r="B2111" s="3" t="s">
        <v>4642</v>
      </c>
      <c r="C2111" s="3">
        <v>501</v>
      </c>
      <c r="D2111" s="3" t="str">
        <f>VLOOKUP(B2111,[1]LifeList!$E$2:$G$2036,1)</f>
        <v>Northern Shoveler</v>
      </c>
      <c r="E2111" s="3" t="str">
        <f>VLOOKUP(B2111,[1]LifeList!$E$2:$G$2036,2)</f>
        <v>Canard souchet</v>
      </c>
      <c r="F2111" s="3" t="str">
        <f>VLOOKUP(B2111,[1]LifeList!$E$2:$G$2036,3)</f>
        <v>Spatula clypeata</v>
      </c>
      <c r="G2111" s="3" t="str">
        <f>VLOOKUP(B2111,[1]LifeList!$E$2:$I$2036,4)</f>
        <v>Anseriformes</v>
      </c>
      <c r="H2111" s="3" t="str">
        <f>VLOOKUP(B2111,[1]LifeList!$E$2:$I$2036,5)</f>
        <v>Anatidae (Ducks, Geese, and Waterfowl)</v>
      </c>
    </row>
    <row r="2112" spans="1:8" x14ac:dyDescent="0.15">
      <c r="A2112" s="3" t="s">
        <v>2011</v>
      </c>
      <c r="B2112" s="3" t="s">
        <v>4642</v>
      </c>
      <c r="C2112" s="3">
        <v>501</v>
      </c>
      <c r="D2112" s="3" t="str">
        <f>VLOOKUP(B2112,[1]LifeList!$E$2:$G$2036,1)</f>
        <v>Northern Shoveler</v>
      </c>
      <c r="E2112" s="3" t="str">
        <f>VLOOKUP(B2112,[1]LifeList!$E$2:$G$2036,2)</f>
        <v>Canard souchet</v>
      </c>
      <c r="F2112" s="3" t="str">
        <f>VLOOKUP(B2112,[1]LifeList!$E$2:$G$2036,3)</f>
        <v>Spatula clypeata</v>
      </c>
      <c r="G2112" s="3" t="str">
        <f>VLOOKUP(B2112,[1]LifeList!$E$2:$I$2036,4)</f>
        <v>Anseriformes</v>
      </c>
      <c r="H2112" s="3" t="str">
        <f>VLOOKUP(B2112,[1]LifeList!$E$2:$I$2036,5)</f>
        <v>Anatidae (Ducks, Geese, and Waterfowl)</v>
      </c>
    </row>
    <row r="2113" spans="1:8" x14ac:dyDescent="0.15">
      <c r="A2113" s="3" t="s">
        <v>2012</v>
      </c>
      <c r="B2113" s="3" t="s">
        <v>4642</v>
      </c>
      <c r="C2113" s="3">
        <v>501</v>
      </c>
      <c r="D2113" s="3" t="str">
        <f>VLOOKUP(B2113,[1]LifeList!$E$2:$G$2036,1)</f>
        <v>Northern Shoveler</v>
      </c>
      <c r="E2113" s="3" t="str">
        <f>VLOOKUP(B2113,[1]LifeList!$E$2:$G$2036,2)</f>
        <v>Canard souchet</v>
      </c>
      <c r="F2113" s="3" t="str">
        <f>VLOOKUP(B2113,[1]LifeList!$E$2:$G$2036,3)</f>
        <v>Spatula clypeata</v>
      </c>
      <c r="G2113" s="3" t="str">
        <f>VLOOKUP(B2113,[1]LifeList!$E$2:$I$2036,4)</f>
        <v>Anseriformes</v>
      </c>
      <c r="H2113" s="3" t="str">
        <f>VLOOKUP(B2113,[1]LifeList!$E$2:$I$2036,5)</f>
        <v>Anatidae (Ducks, Geese, and Waterfowl)</v>
      </c>
    </row>
    <row r="2114" spans="1:8" x14ac:dyDescent="0.15">
      <c r="A2114" s="3" t="s">
        <v>2013</v>
      </c>
      <c r="B2114" s="3" t="s">
        <v>4642</v>
      </c>
      <c r="C2114" s="3">
        <v>501</v>
      </c>
      <c r="D2114" s="3" t="str">
        <f>VLOOKUP(B2114,[1]LifeList!$E$2:$G$2036,1)</f>
        <v>Northern Shoveler</v>
      </c>
      <c r="E2114" s="3" t="str">
        <f>VLOOKUP(B2114,[1]LifeList!$E$2:$G$2036,2)</f>
        <v>Canard souchet</v>
      </c>
      <c r="F2114" s="3" t="str">
        <f>VLOOKUP(B2114,[1]LifeList!$E$2:$G$2036,3)</f>
        <v>Spatula clypeata</v>
      </c>
      <c r="G2114" s="3" t="str">
        <f>VLOOKUP(B2114,[1]LifeList!$E$2:$I$2036,4)</f>
        <v>Anseriformes</v>
      </c>
      <c r="H2114" s="3" t="str">
        <f>VLOOKUP(B2114,[1]LifeList!$E$2:$I$2036,5)</f>
        <v>Anatidae (Ducks, Geese, and Waterfowl)</v>
      </c>
    </row>
    <row r="2115" spans="1:8" x14ac:dyDescent="0.15">
      <c r="A2115" s="3" t="s">
        <v>2014</v>
      </c>
      <c r="B2115" s="3" t="s">
        <v>4642</v>
      </c>
      <c r="C2115" s="3">
        <v>501</v>
      </c>
      <c r="D2115" s="3" t="str">
        <f>VLOOKUP(B2115,[1]LifeList!$E$2:$G$2036,1)</f>
        <v>Northern Shoveler</v>
      </c>
      <c r="E2115" s="3" t="str">
        <f>VLOOKUP(B2115,[1]LifeList!$E$2:$G$2036,2)</f>
        <v>Canard souchet</v>
      </c>
      <c r="F2115" s="3" t="str">
        <f>VLOOKUP(B2115,[1]LifeList!$E$2:$G$2036,3)</f>
        <v>Spatula clypeata</v>
      </c>
      <c r="G2115" s="3" t="str">
        <f>VLOOKUP(B2115,[1]LifeList!$E$2:$I$2036,4)</f>
        <v>Anseriformes</v>
      </c>
      <c r="H2115" s="3" t="str">
        <f>VLOOKUP(B2115,[1]LifeList!$E$2:$I$2036,5)</f>
        <v>Anatidae (Ducks, Geese, and Waterfowl)</v>
      </c>
    </row>
    <row r="2116" spans="1:8" x14ac:dyDescent="0.15">
      <c r="A2116" s="3" t="s">
        <v>2015</v>
      </c>
      <c r="B2116" s="3" t="s">
        <v>4642</v>
      </c>
      <c r="C2116" s="3">
        <v>501</v>
      </c>
      <c r="D2116" s="3" t="str">
        <f>VLOOKUP(B2116,[1]LifeList!$E$2:$G$2036,1)</f>
        <v>Northern Shoveler</v>
      </c>
      <c r="E2116" s="3" t="str">
        <f>VLOOKUP(B2116,[1]LifeList!$E$2:$G$2036,2)</f>
        <v>Canard souchet</v>
      </c>
      <c r="F2116" s="3" t="str">
        <f>VLOOKUP(B2116,[1]LifeList!$E$2:$G$2036,3)</f>
        <v>Spatula clypeata</v>
      </c>
      <c r="G2116" s="3" t="str">
        <f>VLOOKUP(B2116,[1]LifeList!$E$2:$I$2036,4)</f>
        <v>Anseriformes</v>
      </c>
      <c r="H2116" s="3" t="str">
        <f>VLOOKUP(B2116,[1]LifeList!$E$2:$I$2036,5)</f>
        <v>Anatidae (Ducks, Geese, and Waterfowl)</v>
      </c>
    </row>
    <row r="2117" spans="1:8" x14ac:dyDescent="0.15">
      <c r="A2117" s="3" t="s">
        <v>2004</v>
      </c>
      <c r="B2117" s="3" t="s">
        <v>4642</v>
      </c>
      <c r="C2117" s="3">
        <v>501</v>
      </c>
      <c r="D2117" s="3" t="str">
        <f>VLOOKUP(B2117,[1]LifeList!$E$2:$G$2036,1)</f>
        <v>Northern Shoveler</v>
      </c>
      <c r="E2117" s="3" t="str">
        <f>VLOOKUP(B2117,[1]LifeList!$E$2:$G$2036,2)</f>
        <v>Canard souchet</v>
      </c>
      <c r="F2117" s="3" t="str">
        <f>VLOOKUP(B2117,[1]LifeList!$E$2:$G$2036,3)</f>
        <v>Spatula clypeata</v>
      </c>
      <c r="G2117" s="3" t="str">
        <f>VLOOKUP(B2117,[1]LifeList!$E$2:$I$2036,4)</f>
        <v>Anseriformes</v>
      </c>
      <c r="H2117" s="3" t="str">
        <f>VLOOKUP(B2117,[1]LifeList!$E$2:$I$2036,5)</f>
        <v>Anatidae (Ducks, Geese, and Waterfowl)</v>
      </c>
    </row>
    <row r="2118" spans="1:8" x14ac:dyDescent="0.15">
      <c r="A2118" s="3" t="s">
        <v>3900</v>
      </c>
      <c r="B2118" s="3" t="s">
        <v>4643</v>
      </c>
      <c r="C2118" s="3">
        <v>21103</v>
      </c>
      <c r="D2118" s="3" t="str">
        <f>VLOOKUP(B2118,[1]LifeList!$E$2:$G$2036,1)</f>
        <v>Northern Shrike</v>
      </c>
      <c r="E2118" s="3" t="str">
        <f>VLOOKUP(B2118,[1]LifeList!$E$2:$G$2036,2)</f>
        <v>Pie-grièche boréale</v>
      </c>
      <c r="F2118" s="3" t="str">
        <f>VLOOKUP(B2118,[1]LifeList!$E$2:$G$2036,3)</f>
        <v>Lanius borealis</v>
      </c>
      <c r="G2118" s="3" t="str">
        <f>VLOOKUP(B2118,[1]LifeList!$E$2:$I$2036,4)</f>
        <v>Passeriformes</v>
      </c>
      <c r="H2118" s="3" t="str">
        <f>VLOOKUP(B2118,[1]LifeList!$E$2:$I$2036,5)</f>
        <v>Laniidae (Shrikes)</v>
      </c>
    </row>
    <row r="2119" spans="1:8" x14ac:dyDescent="0.15">
      <c r="A2119" s="3" t="s">
        <v>2016</v>
      </c>
      <c r="B2119" s="3" t="s">
        <v>3781</v>
      </c>
      <c r="C2119" s="3">
        <v>16917</v>
      </c>
      <c r="D2119" s="3" t="str">
        <f>VLOOKUP(B2119,[1]LifeList!$E$2:$G$2036,1)</f>
        <v>Northern Tropical Pewee</v>
      </c>
      <c r="E2119" s="3" t="str">
        <f>VLOOKUP(B2119,[1]LifeList!$E$2:$G$2036,2)</f>
        <v>Moucherolle de Bonaparte</v>
      </c>
      <c r="F2119" s="3" t="str">
        <f>VLOOKUP(B2119,[1]LifeList!$E$2:$G$2036,3)</f>
        <v>Contopus bogotensis</v>
      </c>
      <c r="G2119" s="3" t="str">
        <f>VLOOKUP(B2119,[1]LifeList!$E$2:$I$2036,4)</f>
        <v>Passeriformes</v>
      </c>
      <c r="H2119" s="3" t="str">
        <f>VLOOKUP(B2119,[1]LifeList!$E$2:$I$2036,5)</f>
        <v>Tyrannidae (Tyrant Flycatchers)</v>
      </c>
    </row>
    <row r="2120" spans="1:8" x14ac:dyDescent="0.15">
      <c r="A2120" s="3" t="s">
        <v>2017</v>
      </c>
      <c r="B2120" s="3" t="s">
        <v>3781</v>
      </c>
      <c r="C2120" s="3">
        <v>16917</v>
      </c>
      <c r="D2120" s="3" t="str">
        <f>VLOOKUP(B2120,[1]LifeList!$E$2:$G$2036,1)</f>
        <v>Northern Tropical Pewee</v>
      </c>
      <c r="E2120" s="3" t="str">
        <f>VLOOKUP(B2120,[1]LifeList!$E$2:$G$2036,2)</f>
        <v>Moucherolle de Bonaparte</v>
      </c>
      <c r="F2120" s="3" t="str">
        <f>VLOOKUP(B2120,[1]LifeList!$E$2:$G$2036,3)</f>
        <v>Contopus bogotensis</v>
      </c>
      <c r="G2120" s="3" t="str">
        <f>VLOOKUP(B2120,[1]LifeList!$E$2:$I$2036,4)</f>
        <v>Passeriformes</v>
      </c>
      <c r="H2120" s="3" t="str">
        <f>VLOOKUP(B2120,[1]LifeList!$E$2:$I$2036,5)</f>
        <v>Tyrannidae (Tyrant Flycatchers)</v>
      </c>
    </row>
    <row r="2121" spans="1:8" x14ac:dyDescent="0.15">
      <c r="A2121" s="3" t="s">
        <v>2018</v>
      </c>
      <c r="B2121" s="3" t="s">
        <v>3781</v>
      </c>
      <c r="C2121" s="3">
        <v>16917</v>
      </c>
      <c r="D2121" s="3" t="str">
        <f>VLOOKUP(B2121,[1]LifeList!$E$2:$G$2036,1)</f>
        <v>Northern Tropical Pewee</v>
      </c>
      <c r="E2121" s="3" t="str">
        <f>VLOOKUP(B2121,[1]LifeList!$E$2:$G$2036,2)</f>
        <v>Moucherolle de Bonaparte</v>
      </c>
      <c r="F2121" s="3" t="str">
        <f>VLOOKUP(B2121,[1]LifeList!$E$2:$G$2036,3)</f>
        <v>Contopus bogotensis</v>
      </c>
      <c r="G2121" s="3" t="str">
        <f>VLOOKUP(B2121,[1]LifeList!$E$2:$I$2036,4)</f>
        <v>Passeriformes</v>
      </c>
      <c r="H2121" s="3" t="str">
        <f>VLOOKUP(B2121,[1]LifeList!$E$2:$I$2036,5)</f>
        <v>Tyrannidae (Tyrant Flycatchers)</v>
      </c>
    </row>
    <row r="2122" spans="1:8" x14ac:dyDescent="0.15">
      <c r="A2122" s="3" t="s">
        <v>2020</v>
      </c>
      <c r="B2122" s="3" t="s">
        <v>4644</v>
      </c>
      <c r="C2122" s="3">
        <v>33953</v>
      </c>
      <c r="D2122" s="3" t="str">
        <f>VLOOKUP(B2122,[1]LifeList!$E$2:$G$2036,1)</f>
        <v>Northern Waterthrush</v>
      </c>
      <c r="E2122" s="3" t="str">
        <f>VLOOKUP(B2122,[1]LifeList!$E$2:$G$2036,2)</f>
        <v>Paruline des ruisseaux</v>
      </c>
      <c r="F2122" s="3" t="str">
        <f>VLOOKUP(B2122,[1]LifeList!$E$2:$G$2036,3)</f>
        <v>Parkesia noveboracensis</v>
      </c>
      <c r="G2122" s="3" t="str">
        <f>VLOOKUP(B2122,[1]LifeList!$E$2:$I$2036,4)</f>
        <v>Passeriformes</v>
      </c>
      <c r="H2122" s="3" t="str">
        <f>VLOOKUP(B2122,[1]LifeList!$E$2:$I$2036,5)</f>
        <v>Parulidae (New World Warblers)</v>
      </c>
    </row>
    <row r="2123" spans="1:8" x14ac:dyDescent="0.15">
      <c r="A2123" s="3" t="s">
        <v>2021</v>
      </c>
      <c r="B2123" s="3" t="s">
        <v>4644</v>
      </c>
      <c r="C2123" s="3">
        <v>33953</v>
      </c>
      <c r="D2123" s="3" t="str">
        <f>VLOOKUP(B2123,[1]LifeList!$E$2:$G$2036,1)</f>
        <v>Northern Waterthrush</v>
      </c>
      <c r="E2123" s="3" t="str">
        <f>VLOOKUP(B2123,[1]LifeList!$E$2:$G$2036,2)</f>
        <v>Paruline des ruisseaux</v>
      </c>
      <c r="F2123" s="3" t="str">
        <f>VLOOKUP(B2123,[1]LifeList!$E$2:$G$2036,3)</f>
        <v>Parkesia noveboracensis</v>
      </c>
      <c r="G2123" s="3" t="str">
        <f>VLOOKUP(B2123,[1]LifeList!$E$2:$I$2036,4)</f>
        <v>Passeriformes</v>
      </c>
      <c r="H2123" s="3" t="str">
        <f>VLOOKUP(B2123,[1]LifeList!$E$2:$I$2036,5)</f>
        <v>Parulidae (New World Warblers)</v>
      </c>
    </row>
    <row r="2124" spans="1:8" x14ac:dyDescent="0.15">
      <c r="A2124" s="3" t="s">
        <v>2022</v>
      </c>
      <c r="B2124" s="3" t="s">
        <v>4644</v>
      </c>
      <c r="C2124" s="3">
        <v>33953</v>
      </c>
      <c r="D2124" s="3" t="str">
        <f>VLOOKUP(B2124,[1]LifeList!$E$2:$G$2036,1)</f>
        <v>Northern Waterthrush</v>
      </c>
      <c r="E2124" s="3" t="str">
        <f>VLOOKUP(B2124,[1]LifeList!$E$2:$G$2036,2)</f>
        <v>Paruline des ruisseaux</v>
      </c>
      <c r="F2124" s="3" t="str">
        <f>VLOOKUP(B2124,[1]LifeList!$E$2:$G$2036,3)</f>
        <v>Parkesia noveboracensis</v>
      </c>
      <c r="G2124" s="3" t="str">
        <f>VLOOKUP(B2124,[1]LifeList!$E$2:$I$2036,4)</f>
        <v>Passeriformes</v>
      </c>
      <c r="H2124" s="3" t="str">
        <f>VLOOKUP(B2124,[1]LifeList!$E$2:$I$2036,5)</f>
        <v>Parulidae (New World Warblers)</v>
      </c>
    </row>
    <row r="2125" spans="1:8" x14ac:dyDescent="0.15">
      <c r="A2125" s="3" t="s">
        <v>2023</v>
      </c>
      <c r="B2125" s="3" t="s">
        <v>4644</v>
      </c>
      <c r="C2125" s="3">
        <v>33953</v>
      </c>
      <c r="D2125" s="3" t="str">
        <f>VLOOKUP(B2125,[1]LifeList!$E$2:$G$2036,1)</f>
        <v>Northern Waterthrush</v>
      </c>
      <c r="E2125" s="3" t="str">
        <f>VLOOKUP(B2125,[1]LifeList!$E$2:$G$2036,2)</f>
        <v>Paruline des ruisseaux</v>
      </c>
      <c r="F2125" s="3" t="str">
        <f>VLOOKUP(B2125,[1]LifeList!$E$2:$G$2036,3)</f>
        <v>Parkesia noveboracensis</v>
      </c>
      <c r="G2125" s="3" t="str">
        <f>VLOOKUP(B2125,[1]LifeList!$E$2:$I$2036,4)</f>
        <v>Passeriformes</v>
      </c>
      <c r="H2125" s="3" t="str">
        <f>VLOOKUP(B2125,[1]LifeList!$E$2:$I$2036,5)</f>
        <v>Parulidae (New World Warblers)</v>
      </c>
    </row>
    <row r="2126" spans="1:8" x14ac:dyDescent="0.15">
      <c r="A2126" s="3" t="s">
        <v>2024</v>
      </c>
      <c r="B2126" s="3" t="s">
        <v>4644</v>
      </c>
      <c r="C2126" s="3">
        <v>33953</v>
      </c>
      <c r="D2126" s="3" t="str">
        <f>VLOOKUP(B2126,[1]LifeList!$E$2:$G$2036,1)</f>
        <v>Northern Waterthrush</v>
      </c>
      <c r="E2126" s="3" t="str">
        <f>VLOOKUP(B2126,[1]LifeList!$E$2:$G$2036,2)</f>
        <v>Paruline des ruisseaux</v>
      </c>
      <c r="F2126" s="3" t="str">
        <f>VLOOKUP(B2126,[1]LifeList!$E$2:$G$2036,3)</f>
        <v>Parkesia noveboracensis</v>
      </c>
      <c r="G2126" s="3" t="str">
        <f>VLOOKUP(B2126,[1]LifeList!$E$2:$I$2036,4)</f>
        <v>Passeriformes</v>
      </c>
      <c r="H2126" s="3" t="str">
        <f>VLOOKUP(B2126,[1]LifeList!$E$2:$I$2036,5)</f>
        <v>Parulidae (New World Warblers)</v>
      </c>
    </row>
    <row r="2127" spans="1:8" x14ac:dyDescent="0.15">
      <c r="A2127" s="3" t="s">
        <v>2025</v>
      </c>
      <c r="B2127" s="3" t="s">
        <v>4644</v>
      </c>
      <c r="C2127" s="3">
        <v>33953</v>
      </c>
      <c r="D2127" s="3" t="str">
        <f>VLOOKUP(B2127,[1]LifeList!$E$2:$G$2036,1)</f>
        <v>Northern Waterthrush</v>
      </c>
      <c r="E2127" s="3" t="str">
        <f>VLOOKUP(B2127,[1]LifeList!$E$2:$G$2036,2)</f>
        <v>Paruline des ruisseaux</v>
      </c>
      <c r="F2127" s="3" t="str">
        <f>VLOOKUP(B2127,[1]LifeList!$E$2:$G$2036,3)</f>
        <v>Parkesia noveboracensis</v>
      </c>
      <c r="G2127" s="3" t="str">
        <f>VLOOKUP(B2127,[1]LifeList!$E$2:$I$2036,4)</f>
        <v>Passeriformes</v>
      </c>
      <c r="H2127" s="3" t="str">
        <f>VLOOKUP(B2127,[1]LifeList!$E$2:$I$2036,5)</f>
        <v>Parulidae (New World Warblers)</v>
      </c>
    </row>
    <row r="2128" spans="1:8" x14ac:dyDescent="0.15">
      <c r="A2128" s="3" t="s">
        <v>2026</v>
      </c>
      <c r="B2128" s="3" t="s">
        <v>4644</v>
      </c>
      <c r="C2128" s="3">
        <v>33953</v>
      </c>
      <c r="D2128" s="3" t="str">
        <f>VLOOKUP(B2128,[1]LifeList!$E$2:$G$2036,1)</f>
        <v>Northern Waterthrush</v>
      </c>
      <c r="E2128" s="3" t="str">
        <f>VLOOKUP(B2128,[1]LifeList!$E$2:$G$2036,2)</f>
        <v>Paruline des ruisseaux</v>
      </c>
      <c r="F2128" s="3" t="str">
        <f>VLOOKUP(B2128,[1]LifeList!$E$2:$G$2036,3)</f>
        <v>Parkesia noveboracensis</v>
      </c>
      <c r="G2128" s="3" t="str">
        <f>VLOOKUP(B2128,[1]LifeList!$E$2:$I$2036,4)</f>
        <v>Passeriformes</v>
      </c>
      <c r="H2128" s="3" t="str">
        <f>VLOOKUP(B2128,[1]LifeList!$E$2:$I$2036,5)</f>
        <v>Parulidae (New World Warblers)</v>
      </c>
    </row>
    <row r="2129" spans="1:8" x14ac:dyDescent="0.15">
      <c r="A2129" s="3" t="s">
        <v>2027</v>
      </c>
      <c r="B2129" s="3" t="s">
        <v>4644</v>
      </c>
      <c r="C2129" s="3">
        <v>33953</v>
      </c>
      <c r="D2129" s="3" t="str">
        <f>VLOOKUP(B2129,[1]LifeList!$E$2:$G$2036,1)</f>
        <v>Northern Waterthrush</v>
      </c>
      <c r="E2129" s="3" t="str">
        <f>VLOOKUP(B2129,[1]LifeList!$E$2:$G$2036,2)</f>
        <v>Paruline des ruisseaux</v>
      </c>
      <c r="F2129" s="3" t="str">
        <f>VLOOKUP(B2129,[1]LifeList!$E$2:$G$2036,3)</f>
        <v>Parkesia noveboracensis</v>
      </c>
      <c r="G2129" s="3" t="str">
        <f>VLOOKUP(B2129,[1]LifeList!$E$2:$I$2036,4)</f>
        <v>Passeriformes</v>
      </c>
      <c r="H2129" s="3" t="str">
        <f>VLOOKUP(B2129,[1]LifeList!$E$2:$I$2036,5)</f>
        <v>Parulidae (New World Warblers)</v>
      </c>
    </row>
    <row r="2130" spans="1:8" x14ac:dyDescent="0.15">
      <c r="A2130" s="3" t="s">
        <v>2019</v>
      </c>
      <c r="B2130" s="3" t="s">
        <v>4644</v>
      </c>
      <c r="C2130" s="3">
        <v>33953</v>
      </c>
      <c r="D2130" s="3" t="str">
        <f>VLOOKUP(B2130,[1]LifeList!$E$2:$G$2036,1)</f>
        <v>Northern Waterthrush</v>
      </c>
      <c r="E2130" s="3" t="str">
        <f>VLOOKUP(B2130,[1]LifeList!$E$2:$G$2036,2)</f>
        <v>Paruline des ruisseaux</v>
      </c>
      <c r="F2130" s="3" t="str">
        <f>VLOOKUP(B2130,[1]LifeList!$E$2:$G$2036,3)</f>
        <v>Parkesia noveboracensis</v>
      </c>
      <c r="G2130" s="3" t="str">
        <f>VLOOKUP(B2130,[1]LifeList!$E$2:$I$2036,4)</f>
        <v>Passeriformes</v>
      </c>
      <c r="H2130" s="3" t="str">
        <f>VLOOKUP(B2130,[1]LifeList!$E$2:$I$2036,5)</f>
        <v>Parulidae (New World Warblers)</v>
      </c>
    </row>
    <row r="2131" spans="1:8" x14ac:dyDescent="0.15">
      <c r="A2131" s="3" t="s">
        <v>2029</v>
      </c>
      <c r="B2131" s="3" t="s">
        <v>3782</v>
      </c>
      <c r="C2131" s="3">
        <v>34087</v>
      </c>
      <c r="D2131" s="3" t="str">
        <f>VLOOKUP(B2131,[1]LifeList!$E$2:$G$2036,1)</f>
        <v>Northern Yellow Warbler</v>
      </c>
      <c r="E2131" s="3" t="str">
        <f>VLOOKUP(B2131,[1]LifeList!$E$2:$G$2036,2)</f>
        <v>Paruline jaune</v>
      </c>
      <c r="F2131" s="3" t="str">
        <f>VLOOKUP(B2131,[1]LifeList!$E$2:$G$2036,3)</f>
        <v>Setophaga aestiva</v>
      </c>
      <c r="G2131" s="3" t="str">
        <f>VLOOKUP(B2131,[1]LifeList!$E$2:$I$2036,4)</f>
        <v>Passeriformes</v>
      </c>
      <c r="H2131" s="3" t="str">
        <f>VLOOKUP(B2131,[1]LifeList!$E$2:$I$2036,5)</f>
        <v>Parulidae (New World Warblers)</v>
      </c>
    </row>
    <row r="2132" spans="1:8" x14ac:dyDescent="0.15">
      <c r="A2132" s="3" t="s">
        <v>2030</v>
      </c>
      <c r="B2132" s="3" t="s">
        <v>3782</v>
      </c>
      <c r="C2132" s="3">
        <v>34087</v>
      </c>
      <c r="D2132" s="3" t="str">
        <f>VLOOKUP(B2132,[1]LifeList!$E$2:$G$2036,1)</f>
        <v>Northern Yellow Warbler</v>
      </c>
      <c r="E2132" s="3" t="str">
        <f>VLOOKUP(B2132,[1]LifeList!$E$2:$G$2036,2)</f>
        <v>Paruline jaune</v>
      </c>
      <c r="F2132" s="3" t="str">
        <f>VLOOKUP(B2132,[1]LifeList!$E$2:$G$2036,3)</f>
        <v>Setophaga aestiva</v>
      </c>
      <c r="G2132" s="3" t="str">
        <f>VLOOKUP(B2132,[1]LifeList!$E$2:$I$2036,4)</f>
        <v>Passeriformes</v>
      </c>
      <c r="H2132" s="3" t="str">
        <f>VLOOKUP(B2132,[1]LifeList!$E$2:$I$2036,5)</f>
        <v>Parulidae (New World Warblers)</v>
      </c>
    </row>
    <row r="2133" spans="1:8" x14ac:dyDescent="0.15">
      <c r="A2133" s="3" t="s">
        <v>2031</v>
      </c>
      <c r="B2133" s="3" t="s">
        <v>3782</v>
      </c>
      <c r="C2133" s="3">
        <v>34087</v>
      </c>
      <c r="D2133" s="3" t="str">
        <f>VLOOKUP(B2133,[1]LifeList!$E$2:$G$2036,1)</f>
        <v>Northern Yellow Warbler</v>
      </c>
      <c r="E2133" s="3" t="str">
        <f>VLOOKUP(B2133,[1]LifeList!$E$2:$G$2036,2)</f>
        <v>Paruline jaune</v>
      </c>
      <c r="F2133" s="3" t="str">
        <f>VLOOKUP(B2133,[1]LifeList!$E$2:$G$2036,3)</f>
        <v>Setophaga aestiva</v>
      </c>
      <c r="G2133" s="3" t="str">
        <f>VLOOKUP(B2133,[1]LifeList!$E$2:$I$2036,4)</f>
        <v>Passeriformes</v>
      </c>
      <c r="H2133" s="3" t="str">
        <f>VLOOKUP(B2133,[1]LifeList!$E$2:$I$2036,5)</f>
        <v>Parulidae (New World Warblers)</v>
      </c>
    </row>
    <row r="2134" spans="1:8" x14ac:dyDescent="0.15">
      <c r="A2134" s="3" t="s">
        <v>2032</v>
      </c>
      <c r="B2134" s="3" t="s">
        <v>3782</v>
      </c>
      <c r="C2134" s="3">
        <v>34087</v>
      </c>
      <c r="D2134" s="3" t="str">
        <f>VLOOKUP(B2134,[1]LifeList!$E$2:$G$2036,1)</f>
        <v>Northern Yellow Warbler</v>
      </c>
      <c r="E2134" s="3" t="str">
        <f>VLOOKUP(B2134,[1]LifeList!$E$2:$G$2036,2)</f>
        <v>Paruline jaune</v>
      </c>
      <c r="F2134" s="3" t="str">
        <f>VLOOKUP(B2134,[1]LifeList!$E$2:$G$2036,3)</f>
        <v>Setophaga aestiva</v>
      </c>
      <c r="G2134" s="3" t="str">
        <f>VLOOKUP(B2134,[1]LifeList!$E$2:$I$2036,4)</f>
        <v>Passeriformes</v>
      </c>
      <c r="H2134" s="3" t="str">
        <f>VLOOKUP(B2134,[1]LifeList!$E$2:$I$2036,5)</f>
        <v>Parulidae (New World Warblers)</v>
      </c>
    </row>
    <row r="2135" spans="1:8" x14ac:dyDescent="0.15">
      <c r="A2135" s="3" t="s">
        <v>2033</v>
      </c>
      <c r="B2135" s="3" t="s">
        <v>3782</v>
      </c>
      <c r="C2135" s="3">
        <v>34087</v>
      </c>
      <c r="D2135" s="3" t="str">
        <f>VLOOKUP(B2135,[1]LifeList!$E$2:$G$2036,1)</f>
        <v>Northern Yellow Warbler</v>
      </c>
      <c r="E2135" s="3" t="str">
        <f>VLOOKUP(B2135,[1]LifeList!$E$2:$G$2036,2)</f>
        <v>Paruline jaune</v>
      </c>
      <c r="F2135" s="3" t="str">
        <f>VLOOKUP(B2135,[1]LifeList!$E$2:$G$2036,3)</f>
        <v>Setophaga aestiva</v>
      </c>
      <c r="G2135" s="3" t="str">
        <f>VLOOKUP(B2135,[1]LifeList!$E$2:$I$2036,4)</f>
        <v>Passeriformes</v>
      </c>
      <c r="H2135" s="3" t="str">
        <f>VLOOKUP(B2135,[1]LifeList!$E$2:$I$2036,5)</f>
        <v>Parulidae (New World Warblers)</v>
      </c>
    </row>
    <row r="2136" spans="1:8" x14ac:dyDescent="0.15">
      <c r="A2136" s="3" t="s">
        <v>2034</v>
      </c>
      <c r="B2136" s="3" t="s">
        <v>3782</v>
      </c>
      <c r="C2136" s="3">
        <v>34087</v>
      </c>
      <c r="D2136" s="3" t="str">
        <f>VLOOKUP(B2136,[1]LifeList!$E$2:$G$2036,1)</f>
        <v>Northern Yellow Warbler</v>
      </c>
      <c r="E2136" s="3" t="str">
        <f>VLOOKUP(B2136,[1]LifeList!$E$2:$G$2036,2)</f>
        <v>Paruline jaune</v>
      </c>
      <c r="F2136" s="3" t="str">
        <f>VLOOKUP(B2136,[1]LifeList!$E$2:$G$2036,3)</f>
        <v>Setophaga aestiva</v>
      </c>
      <c r="G2136" s="3" t="str">
        <f>VLOOKUP(B2136,[1]LifeList!$E$2:$I$2036,4)</f>
        <v>Passeriformes</v>
      </c>
      <c r="H2136" s="3" t="str">
        <f>VLOOKUP(B2136,[1]LifeList!$E$2:$I$2036,5)</f>
        <v>Parulidae (New World Warblers)</v>
      </c>
    </row>
    <row r="2137" spans="1:8" x14ac:dyDescent="0.15">
      <c r="A2137" s="3" t="s">
        <v>2035</v>
      </c>
      <c r="B2137" s="3" t="s">
        <v>3782</v>
      </c>
      <c r="C2137" s="3">
        <v>34087</v>
      </c>
      <c r="D2137" s="3" t="str">
        <f>VLOOKUP(B2137,[1]LifeList!$E$2:$G$2036,1)</f>
        <v>Northern Yellow Warbler</v>
      </c>
      <c r="E2137" s="3" t="str">
        <f>VLOOKUP(B2137,[1]LifeList!$E$2:$G$2036,2)</f>
        <v>Paruline jaune</v>
      </c>
      <c r="F2137" s="3" t="str">
        <f>VLOOKUP(B2137,[1]LifeList!$E$2:$G$2036,3)</f>
        <v>Setophaga aestiva</v>
      </c>
      <c r="G2137" s="3" t="str">
        <f>VLOOKUP(B2137,[1]LifeList!$E$2:$I$2036,4)</f>
        <v>Passeriformes</v>
      </c>
      <c r="H2137" s="3" t="str">
        <f>VLOOKUP(B2137,[1]LifeList!$E$2:$I$2036,5)</f>
        <v>Parulidae (New World Warblers)</v>
      </c>
    </row>
    <row r="2138" spans="1:8" x14ac:dyDescent="0.15">
      <c r="A2138" s="3" t="s">
        <v>2052</v>
      </c>
      <c r="B2138" s="3" t="s">
        <v>3782</v>
      </c>
      <c r="C2138" s="3">
        <v>34087</v>
      </c>
      <c r="D2138" s="3" t="str">
        <f>VLOOKUP(B2138,[1]LifeList!$E$2:$G$2036,1)</f>
        <v>Northern Yellow Warbler</v>
      </c>
      <c r="E2138" s="3" t="str">
        <f>VLOOKUP(B2138,[1]LifeList!$E$2:$G$2036,2)</f>
        <v>Paruline jaune</v>
      </c>
      <c r="F2138" s="3" t="str">
        <f>VLOOKUP(B2138,[1]LifeList!$E$2:$G$2036,3)</f>
        <v>Setophaga aestiva</v>
      </c>
      <c r="G2138" s="3" t="str">
        <f>VLOOKUP(B2138,[1]LifeList!$E$2:$I$2036,4)</f>
        <v>Passeriformes</v>
      </c>
      <c r="H2138" s="3" t="str">
        <f>VLOOKUP(B2138,[1]LifeList!$E$2:$I$2036,5)</f>
        <v>Parulidae (New World Warblers)</v>
      </c>
    </row>
    <row r="2139" spans="1:8" x14ac:dyDescent="0.15">
      <c r="A2139" s="3" t="s">
        <v>2036</v>
      </c>
      <c r="B2139" s="3" t="s">
        <v>3782</v>
      </c>
      <c r="C2139" s="3">
        <v>34087</v>
      </c>
      <c r="D2139" s="3" t="str">
        <f>VLOOKUP(B2139,[1]LifeList!$E$2:$G$2036,1)</f>
        <v>Northern Yellow Warbler</v>
      </c>
      <c r="E2139" s="3" t="str">
        <f>VLOOKUP(B2139,[1]LifeList!$E$2:$G$2036,2)</f>
        <v>Paruline jaune</v>
      </c>
      <c r="F2139" s="3" t="str">
        <f>VLOOKUP(B2139,[1]LifeList!$E$2:$G$2036,3)</f>
        <v>Setophaga aestiva</v>
      </c>
      <c r="G2139" s="3" t="str">
        <f>VLOOKUP(B2139,[1]LifeList!$E$2:$I$2036,4)</f>
        <v>Passeriformes</v>
      </c>
      <c r="H2139" s="3" t="str">
        <f>VLOOKUP(B2139,[1]LifeList!$E$2:$I$2036,5)</f>
        <v>Parulidae (New World Warblers)</v>
      </c>
    </row>
    <row r="2140" spans="1:8" x14ac:dyDescent="0.15">
      <c r="A2140" s="3" t="s">
        <v>2037</v>
      </c>
      <c r="B2140" s="3" t="s">
        <v>3782</v>
      </c>
      <c r="C2140" s="3">
        <v>34087</v>
      </c>
      <c r="D2140" s="3" t="str">
        <f>VLOOKUP(B2140,[1]LifeList!$E$2:$G$2036,1)</f>
        <v>Northern Yellow Warbler</v>
      </c>
      <c r="E2140" s="3" t="str">
        <f>VLOOKUP(B2140,[1]LifeList!$E$2:$G$2036,2)</f>
        <v>Paruline jaune</v>
      </c>
      <c r="F2140" s="3" t="str">
        <f>VLOOKUP(B2140,[1]LifeList!$E$2:$G$2036,3)</f>
        <v>Setophaga aestiva</v>
      </c>
      <c r="G2140" s="3" t="str">
        <f>VLOOKUP(B2140,[1]LifeList!$E$2:$I$2036,4)</f>
        <v>Passeriformes</v>
      </c>
      <c r="H2140" s="3" t="str">
        <f>VLOOKUP(B2140,[1]LifeList!$E$2:$I$2036,5)</f>
        <v>Parulidae (New World Warblers)</v>
      </c>
    </row>
    <row r="2141" spans="1:8" x14ac:dyDescent="0.15">
      <c r="A2141" s="3" t="s">
        <v>2038</v>
      </c>
      <c r="B2141" s="3" t="s">
        <v>3782</v>
      </c>
      <c r="C2141" s="3">
        <v>34087</v>
      </c>
      <c r="D2141" s="3" t="str">
        <f>VLOOKUP(B2141,[1]LifeList!$E$2:$G$2036,1)</f>
        <v>Northern Yellow Warbler</v>
      </c>
      <c r="E2141" s="3" t="str">
        <f>VLOOKUP(B2141,[1]LifeList!$E$2:$G$2036,2)</f>
        <v>Paruline jaune</v>
      </c>
      <c r="F2141" s="3" t="str">
        <f>VLOOKUP(B2141,[1]LifeList!$E$2:$G$2036,3)</f>
        <v>Setophaga aestiva</v>
      </c>
      <c r="G2141" s="3" t="str">
        <f>VLOOKUP(B2141,[1]LifeList!$E$2:$I$2036,4)</f>
        <v>Passeriformes</v>
      </c>
      <c r="H2141" s="3" t="str">
        <f>VLOOKUP(B2141,[1]LifeList!$E$2:$I$2036,5)</f>
        <v>Parulidae (New World Warblers)</v>
      </c>
    </row>
    <row r="2142" spans="1:8" x14ac:dyDescent="0.15">
      <c r="A2142" s="3" t="s">
        <v>2039</v>
      </c>
      <c r="B2142" s="3" t="s">
        <v>3782</v>
      </c>
      <c r="C2142" s="3">
        <v>34087</v>
      </c>
      <c r="D2142" s="3" t="str">
        <f>VLOOKUP(B2142,[1]LifeList!$E$2:$G$2036,1)</f>
        <v>Northern Yellow Warbler</v>
      </c>
      <c r="E2142" s="3" t="str">
        <f>VLOOKUP(B2142,[1]LifeList!$E$2:$G$2036,2)</f>
        <v>Paruline jaune</v>
      </c>
      <c r="F2142" s="3" t="str">
        <f>VLOOKUP(B2142,[1]LifeList!$E$2:$G$2036,3)</f>
        <v>Setophaga aestiva</v>
      </c>
      <c r="G2142" s="3" t="str">
        <f>VLOOKUP(B2142,[1]LifeList!$E$2:$I$2036,4)</f>
        <v>Passeriformes</v>
      </c>
      <c r="H2142" s="3" t="str">
        <f>VLOOKUP(B2142,[1]LifeList!$E$2:$I$2036,5)</f>
        <v>Parulidae (New World Warblers)</v>
      </c>
    </row>
    <row r="2143" spans="1:8" x14ac:dyDescent="0.15">
      <c r="A2143" s="3" t="s">
        <v>2040</v>
      </c>
      <c r="B2143" s="3" t="s">
        <v>3782</v>
      </c>
      <c r="C2143" s="3">
        <v>34087</v>
      </c>
      <c r="D2143" s="3" t="str">
        <f>VLOOKUP(B2143,[1]LifeList!$E$2:$G$2036,1)</f>
        <v>Northern Yellow Warbler</v>
      </c>
      <c r="E2143" s="3" t="str">
        <f>VLOOKUP(B2143,[1]LifeList!$E$2:$G$2036,2)</f>
        <v>Paruline jaune</v>
      </c>
      <c r="F2143" s="3" t="str">
        <f>VLOOKUP(B2143,[1]LifeList!$E$2:$G$2036,3)</f>
        <v>Setophaga aestiva</v>
      </c>
      <c r="G2143" s="3" t="str">
        <f>VLOOKUP(B2143,[1]LifeList!$E$2:$I$2036,4)</f>
        <v>Passeriformes</v>
      </c>
      <c r="H2143" s="3" t="str">
        <f>VLOOKUP(B2143,[1]LifeList!$E$2:$I$2036,5)</f>
        <v>Parulidae (New World Warblers)</v>
      </c>
    </row>
    <row r="2144" spans="1:8" x14ac:dyDescent="0.15">
      <c r="A2144" s="3" t="s">
        <v>2041</v>
      </c>
      <c r="B2144" s="3" t="s">
        <v>3782</v>
      </c>
      <c r="C2144" s="3">
        <v>34087</v>
      </c>
      <c r="D2144" s="3" t="str">
        <f>VLOOKUP(B2144,[1]LifeList!$E$2:$G$2036,1)</f>
        <v>Northern Yellow Warbler</v>
      </c>
      <c r="E2144" s="3" t="str">
        <f>VLOOKUP(B2144,[1]LifeList!$E$2:$G$2036,2)</f>
        <v>Paruline jaune</v>
      </c>
      <c r="F2144" s="3" t="str">
        <f>VLOOKUP(B2144,[1]LifeList!$E$2:$G$2036,3)</f>
        <v>Setophaga aestiva</v>
      </c>
      <c r="G2144" s="3" t="str">
        <f>VLOOKUP(B2144,[1]LifeList!$E$2:$I$2036,4)</f>
        <v>Passeriformes</v>
      </c>
      <c r="H2144" s="3" t="str">
        <f>VLOOKUP(B2144,[1]LifeList!$E$2:$I$2036,5)</f>
        <v>Parulidae (New World Warblers)</v>
      </c>
    </row>
    <row r="2145" spans="1:8" x14ac:dyDescent="0.15">
      <c r="A2145" s="3" t="s">
        <v>2042</v>
      </c>
      <c r="B2145" s="3" t="s">
        <v>3782</v>
      </c>
      <c r="C2145" s="3">
        <v>34087</v>
      </c>
      <c r="D2145" s="3" t="str">
        <f>VLOOKUP(B2145,[1]LifeList!$E$2:$G$2036,1)</f>
        <v>Northern Yellow Warbler</v>
      </c>
      <c r="E2145" s="3" t="str">
        <f>VLOOKUP(B2145,[1]LifeList!$E$2:$G$2036,2)</f>
        <v>Paruline jaune</v>
      </c>
      <c r="F2145" s="3" t="str">
        <f>VLOOKUP(B2145,[1]LifeList!$E$2:$G$2036,3)</f>
        <v>Setophaga aestiva</v>
      </c>
      <c r="G2145" s="3" t="str">
        <f>VLOOKUP(B2145,[1]LifeList!$E$2:$I$2036,4)</f>
        <v>Passeriformes</v>
      </c>
      <c r="H2145" s="3" t="str">
        <f>VLOOKUP(B2145,[1]LifeList!$E$2:$I$2036,5)</f>
        <v>Parulidae (New World Warblers)</v>
      </c>
    </row>
    <row r="2146" spans="1:8" x14ac:dyDescent="0.15">
      <c r="A2146" s="3" t="s">
        <v>2053</v>
      </c>
      <c r="B2146" s="3" t="s">
        <v>3782</v>
      </c>
      <c r="C2146" s="3">
        <v>34087</v>
      </c>
      <c r="D2146" s="3" t="str">
        <f>VLOOKUP(B2146,[1]LifeList!$E$2:$G$2036,1)</f>
        <v>Northern Yellow Warbler</v>
      </c>
      <c r="E2146" s="3" t="str">
        <f>VLOOKUP(B2146,[1]LifeList!$E$2:$G$2036,2)</f>
        <v>Paruline jaune</v>
      </c>
      <c r="F2146" s="3" t="str">
        <f>VLOOKUP(B2146,[1]LifeList!$E$2:$G$2036,3)</f>
        <v>Setophaga aestiva</v>
      </c>
      <c r="G2146" s="3" t="str">
        <f>VLOOKUP(B2146,[1]LifeList!$E$2:$I$2036,4)</f>
        <v>Passeriformes</v>
      </c>
      <c r="H2146" s="3" t="str">
        <f>VLOOKUP(B2146,[1]LifeList!$E$2:$I$2036,5)</f>
        <v>Parulidae (New World Warblers)</v>
      </c>
    </row>
    <row r="2147" spans="1:8" x14ac:dyDescent="0.15">
      <c r="A2147" s="3" t="s">
        <v>2043</v>
      </c>
      <c r="B2147" s="3" t="s">
        <v>3782</v>
      </c>
      <c r="C2147" s="3">
        <v>34087</v>
      </c>
      <c r="D2147" s="3" t="str">
        <f>VLOOKUP(B2147,[1]LifeList!$E$2:$G$2036,1)</f>
        <v>Northern Yellow Warbler</v>
      </c>
      <c r="E2147" s="3" t="str">
        <f>VLOOKUP(B2147,[1]LifeList!$E$2:$G$2036,2)</f>
        <v>Paruline jaune</v>
      </c>
      <c r="F2147" s="3" t="str">
        <f>VLOOKUP(B2147,[1]LifeList!$E$2:$G$2036,3)</f>
        <v>Setophaga aestiva</v>
      </c>
      <c r="G2147" s="3" t="str">
        <f>VLOOKUP(B2147,[1]LifeList!$E$2:$I$2036,4)</f>
        <v>Passeriformes</v>
      </c>
      <c r="H2147" s="3" t="str">
        <f>VLOOKUP(B2147,[1]LifeList!$E$2:$I$2036,5)</f>
        <v>Parulidae (New World Warblers)</v>
      </c>
    </row>
    <row r="2148" spans="1:8" x14ac:dyDescent="0.15">
      <c r="A2148" s="3" t="s">
        <v>2044</v>
      </c>
      <c r="B2148" s="3" t="s">
        <v>3782</v>
      </c>
      <c r="C2148" s="3">
        <v>34087</v>
      </c>
      <c r="D2148" s="3" t="str">
        <f>VLOOKUP(B2148,[1]LifeList!$E$2:$G$2036,1)</f>
        <v>Northern Yellow Warbler</v>
      </c>
      <c r="E2148" s="3" t="str">
        <f>VLOOKUP(B2148,[1]LifeList!$E$2:$G$2036,2)</f>
        <v>Paruline jaune</v>
      </c>
      <c r="F2148" s="3" t="str">
        <f>VLOOKUP(B2148,[1]LifeList!$E$2:$G$2036,3)</f>
        <v>Setophaga aestiva</v>
      </c>
      <c r="G2148" s="3" t="str">
        <f>VLOOKUP(B2148,[1]LifeList!$E$2:$I$2036,4)</f>
        <v>Passeriformes</v>
      </c>
      <c r="H2148" s="3" t="str">
        <f>VLOOKUP(B2148,[1]LifeList!$E$2:$I$2036,5)</f>
        <v>Parulidae (New World Warblers)</v>
      </c>
    </row>
    <row r="2149" spans="1:8" x14ac:dyDescent="0.15">
      <c r="A2149" s="3" t="s">
        <v>2045</v>
      </c>
      <c r="B2149" s="3" t="s">
        <v>3782</v>
      </c>
      <c r="C2149" s="3">
        <v>34087</v>
      </c>
      <c r="D2149" s="3" t="str">
        <f>VLOOKUP(B2149,[1]LifeList!$E$2:$G$2036,1)</f>
        <v>Northern Yellow Warbler</v>
      </c>
      <c r="E2149" s="3" t="str">
        <f>VLOOKUP(B2149,[1]LifeList!$E$2:$G$2036,2)</f>
        <v>Paruline jaune</v>
      </c>
      <c r="F2149" s="3" t="str">
        <f>VLOOKUP(B2149,[1]LifeList!$E$2:$G$2036,3)</f>
        <v>Setophaga aestiva</v>
      </c>
      <c r="G2149" s="3" t="str">
        <f>VLOOKUP(B2149,[1]LifeList!$E$2:$I$2036,4)</f>
        <v>Passeriformes</v>
      </c>
      <c r="H2149" s="3" t="str">
        <f>VLOOKUP(B2149,[1]LifeList!$E$2:$I$2036,5)</f>
        <v>Parulidae (New World Warblers)</v>
      </c>
    </row>
    <row r="2150" spans="1:8" x14ac:dyDescent="0.15">
      <c r="A2150" s="3" t="s">
        <v>2046</v>
      </c>
      <c r="B2150" s="3" t="s">
        <v>3782</v>
      </c>
      <c r="C2150" s="3">
        <v>34087</v>
      </c>
      <c r="D2150" s="3" t="str">
        <f>VLOOKUP(B2150,[1]LifeList!$E$2:$G$2036,1)</f>
        <v>Northern Yellow Warbler</v>
      </c>
      <c r="E2150" s="3" t="str">
        <f>VLOOKUP(B2150,[1]LifeList!$E$2:$G$2036,2)</f>
        <v>Paruline jaune</v>
      </c>
      <c r="F2150" s="3" t="str">
        <f>VLOOKUP(B2150,[1]LifeList!$E$2:$G$2036,3)</f>
        <v>Setophaga aestiva</v>
      </c>
      <c r="G2150" s="3" t="str">
        <f>VLOOKUP(B2150,[1]LifeList!$E$2:$I$2036,4)</f>
        <v>Passeriformes</v>
      </c>
      <c r="H2150" s="3" t="str">
        <f>VLOOKUP(B2150,[1]LifeList!$E$2:$I$2036,5)</f>
        <v>Parulidae (New World Warblers)</v>
      </c>
    </row>
    <row r="2151" spans="1:8" x14ac:dyDescent="0.15">
      <c r="A2151" s="3" t="s">
        <v>2047</v>
      </c>
      <c r="B2151" s="3" t="s">
        <v>3782</v>
      </c>
      <c r="C2151" s="3">
        <v>34087</v>
      </c>
      <c r="D2151" s="3" t="str">
        <f>VLOOKUP(B2151,[1]LifeList!$E$2:$G$2036,1)</f>
        <v>Northern Yellow Warbler</v>
      </c>
      <c r="E2151" s="3" t="str">
        <f>VLOOKUP(B2151,[1]LifeList!$E$2:$G$2036,2)</f>
        <v>Paruline jaune</v>
      </c>
      <c r="F2151" s="3" t="str">
        <f>VLOOKUP(B2151,[1]LifeList!$E$2:$G$2036,3)</f>
        <v>Setophaga aestiva</v>
      </c>
      <c r="G2151" s="3" t="str">
        <f>VLOOKUP(B2151,[1]LifeList!$E$2:$I$2036,4)</f>
        <v>Passeriformes</v>
      </c>
      <c r="H2151" s="3" t="str">
        <f>VLOOKUP(B2151,[1]LifeList!$E$2:$I$2036,5)</f>
        <v>Parulidae (New World Warblers)</v>
      </c>
    </row>
    <row r="2152" spans="1:8" x14ac:dyDescent="0.15">
      <c r="A2152" s="3" t="s">
        <v>2048</v>
      </c>
      <c r="B2152" s="3" t="s">
        <v>3782</v>
      </c>
      <c r="C2152" s="3">
        <v>34087</v>
      </c>
      <c r="D2152" s="3" t="str">
        <f>VLOOKUP(B2152,[1]LifeList!$E$2:$G$2036,1)</f>
        <v>Northern Yellow Warbler</v>
      </c>
      <c r="E2152" s="3" t="str">
        <f>VLOOKUP(B2152,[1]LifeList!$E$2:$G$2036,2)</f>
        <v>Paruline jaune</v>
      </c>
      <c r="F2152" s="3" t="str">
        <f>VLOOKUP(B2152,[1]LifeList!$E$2:$G$2036,3)</f>
        <v>Setophaga aestiva</v>
      </c>
      <c r="G2152" s="3" t="str">
        <f>VLOOKUP(B2152,[1]LifeList!$E$2:$I$2036,4)</f>
        <v>Passeriformes</v>
      </c>
      <c r="H2152" s="3" t="str">
        <f>VLOOKUP(B2152,[1]LifeList!$E$2:$I$2036,5)</f>
        <v>Parulidae (New World Warblers)</v>
      </c>
    </row>
    <row r="2153" spans="1:8" x14ac:dyDescent="0.15">
      <c r="A2153" s="3" t="s">
        <v>2049</v>
      </c>
      <c r="B2153" s="3" t="s">
        <v>3782</v>
      </c>
      <c r="C2153" s="3">
        <v>34087</v>
      </c>
      <c r="D2153" s="3" t="str">
        <f>VLOOKUP(B2153,[1]LifeList!$E$2:$G$2036,1)</f>
        <v>Northern Yellow Warbler</v>
      </c>
      <c r="E2153" s="3" t="str">
        <f>VLOOKUP(B2153,[1]LifeList!$E$2:$G$2036,2)</f>
        <v>Paruline jaune</v>
      </c>
      <c r="F2153" s="3" t="str">
        <f>VLOOKUP(B2153,[1]LifeList!$E$2:$G$2036,3)</f>
        <v>Setophaga aestiva</v>
      </c>
      <c r="G2153" s="3" t="str">
        <f>VLOOKUP(B2153,[1]LifeList!$E$2:$I$2036,4)</f>
        <v>Passeriformes</v>
      </c>
      <c r="H2153" s="3" t="str">
        <f>VLOOKUP(B2153,[1]LifeList!$E$2:$I$2036,5)</f>
        <v>Parulidae (New World Warblers)</v>
      </c>
    </row>
    <row r="2154" spans="1:8" x14ac:dyDescent="0.15">
      <c r="A2154" s="3" t="s">
        <v>2050</v>
      </c>
      <c r="B2154" s="3" t="s">
        <v>3782</v>
      </c>
      <c r="C2154" s="3">
        <v>34087</v>
      </c>
      <c r="D2154" s="3" t="str">
        <f>VLOOKUP(B2154,[1]LifeList!$E$2:$G$2036,1)</f>
        <v>Northern Yellow Warbler</v>
      </c>
      <c r="E2154" s="3" t="str">
        <f>VLOOKUP(B2154,[1]LifeList!$E$2:$G$2036,2)</f>
        <v>Paruline jaune</v>
      </c>
      <c r="F2154" s="3" t="str">
        <f>VLOOKUP(B2154,[1]LifeList!$E$2:$G$2036,3)</f>
        <v>Setophaga aestiva</v>
      </c>
      <c r="G2154" s="3" t="str">
        <f>VLOOKUP(B2154,[1]LifeList!$E$2:$I$2036,4)</f>
        <v>Passeriformes</v>
      </c>
      <c r="H2154" s="3" t="str">
        <f>VLOOKUP(B2154,[1]LifeList!$E$2:$I$2036,5)</f>
        <v>Parulidae (New World Warblers)</v>
      </c>
    </row>
    <row r="2155" spans="1:8" x14ac:dyDescent="0.15">
      <c r="A2155" s="3" t="s">
        <v>2051</v>
      </c>
      <c r="B2155" s="3" t="s">
        <v>3782</v>
      </c>
      <c r="C2155" s="3">
        <v>34087</v>
      </c>
      <c r="D2155" s="3" t="str">
        <f>VLOOKUP(B2155,[1]LifeList!$E$2:$G$2036,1)</f>
        <v>Northern Yellow Warbler</v>
      </c>
      <c r="E2155" s="3" t="str">
        <f>VLOOKUP(B2155,[1]LifeList!$E$2:$G$2036,2)</f>
        <v>Paruline jaune</v>
      </c>
      <c r="F2155" s="3" t="str">
        <f>VLOOKUP(B2155,[1]LifeList!$E$2:$G$2036,3)</f>
        <v>Setophaga aestiva</v>
      </c>
      <c r="G2155" s="3" t="str">
        <f>VLOOKUP(B2155,[1]LifeList!$E$2:$I$2036,4)</f>
        <v>Passeriformes</v>
      </c>
      <c r="H2155" s="3" t="str">
        <f>VLOOKUP(B2155,[1]LifeList!$E$2:$I$2036,5)</f>
        <v>Parulidae (New World Warblers)</v>
      </c>
    </row>
    <row r="2156" spans="1:8" x14ac:dyDescent="0.15">
      <c r="A2156" s="3" t="s">
        <v>3901</v>
      </c>
      <c r="B2156" s="3" t="s">
        <v>3782</v>
      </c>
      <c r="C2156" s="3">
        <v>34087</v>
      </c>
      <c r="D2156" s="3" t="str">
        <f>VLOOKUP(B2156,[1]LifeList!$E$2:$G$2036,1)</f>
        <v>Northern Yellow Warbler</v>
      </c>
      <c r="E2156" s="3" t="str">
        <f>VLOOKUP(B2156,[1]LifeList!$E$2:$G$2036,2)</f>
        <v>Paruline jaune</v>
      </c>
      <c r="F2156" s="3" t="str">
        <f>VLOOKUP(B2156,[1]LifeList!$E$2:$G$2036,3)</f>
        <v>Setophaga aestiva</v>
      </c>
      <c r="G2156" s="3" t="str">
        <f>VLOOKUP(B2156,[1]LifeList!$E$2:$I$2036,4)</f>
        <v>Passeriformes</v>
      </c>
      <c r="H2156" s="3" t="str">
        <f>VLOOKUP(B2156,[1]LifeList!$E$2:$I$2036,5)</f>
        <v>Parulidae (New World Warblers)</v>
      </c>
    </row>
    <row r="2157" spans="1:8" x14ac:dyDescent="0.15">
      <c r="A2157" s="3" t="s">
        <v>2028</v>
      </c>
      <c r="B2157" s="3" t="s">
        <v>3782</v>
      </c>
      <c r="C2157" s="3">
        <v>34087</v>
      </c>
      <c r="D2157" s="3" t="str">
        <f>VLOOKUP(B2157,[1]LifeList!$E$2:$G$2036,1)</f>
        <v>Northern Yellow Warbler</v>
      </c>
      <c r="E2157" s="3" t="str">
        <f>VLOOKUP(B2157,[1]LifeList!$E$2:$G$2036,2)</f>
        <v>Paruline jaune</v>
      </c>
      <c r="F2157" s="3" t="str">
        <f>VLOOKUP(B2157,[1]LifeList!$E$2:$G$2036,3)</f>
        <v>Setophaga aestiva</v>
      </c>
      <c r="G2157" s="3" t="str">
        <f>VLOOKUP(B2157,[1]LifeList!$E$2:$I$2036,4)</f>
        <v>Passeriformes</v>
      </c>
      <c r="H2157" s="3" t="str">
        <f>VLOOKUP(B2157,[1]LifeList!$E$2:$I$2036,5)</f>
        <v>Parulidae (New World Warblers)</v>
      </c>
    </row>
    <row r="2158" spans="1:8" x14ac:dyDescent="0.15">
      <c r="A2158" s="3" t="s">
        <v>3902</v>
      </c>
      <c r="B2158" s="3" t="s">
        <v>5244</v>
      </c>
      <c r="C2158" s="3">
        <v>17808</v>
      </c>
      <c r="D2158" s="3" t="str">
        <f>VLOOKUP(B2158,[1]LifeList!$E$2:$G$2036,1)</f>
        <v>Nuttall's Woodpecker</v>
      </c>
      <c r="E2158" s="3" t="str">
        <f>VLOOKUP(B2158,[1]LifeList!$E$2:$G$2036,2)</f>
        <v>Pic de Nuttall</v>
      </c>
      <c r="F2158" s="3" t="str">
        <f>VLOOKUP(B2158,[1]LifeList!$E$2:$G$2036,3)</f>
        <v>Dryobates nuttallii</v>
      </c>
      <c r="G2158" s="3" t="str">
        <f>VLOOKUP(B2158,[1]LifeList!$E$2:$I$2036,4)</f>
        <v>Piciformes</v>
      </c>
      <c r="H2158" s="3" t="str">
        <f>VLOOKUP(B2158,[1]LifeList!$E$2:$I$2036,5)</f>
        <v>Picidae (Woodpeckers)</v>
      </c>
    </row>
    <row r="2159" spans="1:8" x14ac:dyDescent="0.15">
      <c r="A2159" s="3" t="s">
        <v>2058</v>
      </c>
      <c r="B2159" s="3" t="s">
        <v>4645</v>
      </c>
      <c r="C2159" s="3">
        <v>22150</v>
      </c>
      <c r="D2159" s="3" t="str">
        <f>VLOOKUP(B2159,[1]LifeList!$E$2:$G$2036,1)</f>
        <v>Oak Titmouse</v>
      </c>
      <c r="E2159" s="3" t="str">
        <f>VLOOKUP(B2159,[1]LifeList!$E$2:$G$2036,2)</f>
        <v>Mésange unicolore</v>
      </c>
      <c r="F2159" s="3" t="str">
        <f>VLOOKUP(B2159,[1]LifeList!$E$2:$G$2036,3)</f>
        <v>Baeolophus inornatus</v>
      </c>
      <c r="G2159" s="3" t="str">
        <f>VLOOKUP(B2159,[1]LifeList!$E$2:$I$2036,4)</f>
        <v>Passeriformes</v>
      </c>
      <c r="H2159" s="3" t="str">
        <f>VLOOKUP(B2159,[1]LifeList!$E$2:$I$2036,5)</f>
        <v>Paridae (Tits, Chickadees, and Titmice)</v>
      </c>
    </row>
    <row r="2160" spans="1:8" x14ac:dyDescent="0.15">
      <c r="A2160" s="3" t="s">
        <v>2059</v>
      </c>
      <c r="B2160" s="3" t="s">
        <v>4646</v>
      </c>
      <c r="C2160" s="3">
        <v>27241</v>
      </c>
      <c r="D2160" s="3" t="str">
        <f>VLOOKUP(B2160,[1]LifeList!$E$2:$G$2036,1)</f>
        <v>Ochraceous Wren</v>
      </c>
      <c r="E2160" s="3" t="str">
        <f>VLOOKUP(B2160,[1]LifeList!$E$2:$G$2036,2)</f>
        <v>Troglodyte ocré</v>
      </c>
      <c r="F2160" s="3" t="str">
        <f>VLOOKUP(B2160,[1]LifeList!$E$2:$G$2036,3)</f>
        <v>Troglodytes ochraceus</v>
      </c>
      <c r="G2160" s="3" t="str">
        <f>VLOOKUP(B2160,[1]LifeList!$E$2:$I$2036,4)</f>
        <v>Passeriformes</v>
      </c>
      <c r="H2160" s="3" t="str">
        <f>VLOOKUP(B2160,[1]LifeList!$E$2:$I$2036,5)</f>
        <v>Troglodytidae (Wrens)</v>
      </c>
    </row>
    <row r="2161" spans="1:8" x14ac:dyDescent="0.15">
      <c r="A2161" s="3" t="s">
        <v>2060</v>
      </c>
      <c r="B2161" s="3" t="s">
        <v>4647</v>
      </c>
      <c r="C2161" s="3">
        <v>16513</v>
      </c>
      <c r="D2161" s="3" t="str">
        <f>VLOOKUP(B2161,[1]LifeList!$E$2:$G$2036,1)</f>
        <v>Ochre-lored Flatbill</v>
      </c>
      <c r="E2161" s="3" t="str">
        <f>VLOOKUP(B2161,[1]LifeList!$E$2:$G$2036,2)</f>
        <v>Tyranneau à poitrine jaune</v>
      </c>
      <c r="F2161" s="3" t="str">
        <f>VLOOKUP(B2161,[1]LifeList!$E$2:$G$2036,3)</f>
        <v>Tolmomyias flaviventris</v>
      </c>
      <c r="G2161" s="3" t="str">
        <f>VLOOKUP(B2161,[1]LifeList!$E$2:$I$2036,4)</f>
        <v>Passeriformes</v>
      </c>
      <c r="H2161" s="3" t="str">
        <f>VLOOKUP(B2161,[1]LifeList!$E$2:$I$2036,5)</f>
        <v>Tyrannidae (Tyrant Flycatchers)</v>
      </c>
    </row>
    <row r="2162" spans="1:8" x14ac:dyDescent="0.15">
      <c r="A2162" s="3" t="s">
        <v>2061</v>
      </c>
      <c r="B2162" s="3" t="s">
        <v>4647</v>
      </c>
      <c r="C2162" s="3">
        <v>16513</v>
      </c>
      <c r="D2162" s="3" t="str">
        <f>VLOOKUP(B2162,[1]LifeList!$E$2:$G$2036,1)</f>
        <v>Ochre-lored Flatbill</v>
      </c>
      <c r="E2162" s="3" t="str">
        <f>VLOOKUP(B2162,[1]LifeList!$E$2:$G$2036,2)</f>
        <v>Tyranneau à poitrine jaune</v>
      </c>
      <c r="F2162" s="3" t="str">
        <f>VLOOKUP(B2162,[1]LifeList!$E$2:$G$2036,3)</f>
        <v>Tolmomyias flaviventris</v>
      </c>
      <c r="G2162" s="3" t="str">
        <f>VLOOKUP(B2162,[1]LifeList!$E$2:$I$2036,4)</f>
        <v>Passeriformes</v>
      </c>
      <c r="H2162" s="3" t="str">
        <f>VLOOKUP(B2162,[1]LifeList!$E$2:$I$2036,5)</f>
        <v>Tyrannidae (Tyrant Flycatchers)</v>
      </c>
    </row>
    <row r="2163" spans="1:8" x14ac:dyDescent="0.15">
      <c r="A2163" s="3" t="s">
        <v>2062</v>
      </c>
      <c r="B2163" s="3" t="s">
        <v>4648</v>
      </c>
      <c r="C2163" s="3">
        <v>15259</v>
      </c>
      <c r="D2163" s="3" t="str">
        <f>VLOOKUP(B2163,[1]LifeList!$E$2:$G$2036,1)</f>
        <v>Ochre-throated Foliage-gleaner</v>
      </c>
      <c r="E2163" s="3" t="str">
        <f>VLOOKUP(B2163,[1]LifeList!$E$2:$G$2036,2)</f>
        <v>Anabate à gorge fauve</v>
      </c>
      <c r="F2163" s="3" t="str">
        <f>VLOOKUP(B2163,[1]LifeList!$E$2:$G$2036,3)</f>
        <v>Automolus ochrolaemus</v>
      </c>
      <c r="G2163" s="3" t="str">
        <f>VLOOKUP(B2163,[1]LifeList!$E$2:$I$2036,4)</f>
        <v>Passeriformes</v>
      </c>
      <c r="H2163" s="3" t="str">
        <f>VLOOKUP(B2163,[1]LifeList!$E$2:$I$2036,5)</f>
        <v>Furnariidae (Ovenbirds and Woodcreepers)</v>
      </c>
    </row>
    <row r="2164" spans="1:8" x14ac:dyDescent="0.15">
      <c r="A2164" s="3" t="s">
        <v>2063</v>
      </c>
      <c r="B2164" s="3" t="s">
        <v>4649</v>
      </c>
      <c r="C2164" s="3">
        <v>3766</v>
      </c>
      <c r="D2164" s="3" t="str">
        <f>VLOOKUP(B2164,[1]LifeList!$E$2:$G$2036,1)</f>
        <v>Oilbird</v>
      </c>
      <c r="E2164" s="3" t="str">
        <f>VLOOKUP(B2164,[1]LifeList!$E$2:$G$2036,2)</f>
        <v>Guacharo des cavernes</v>
      </c>
      <c r="F2164" s="3" t="str">
        <f>VLOOKUP(B2164,[1]LifeList!$E$2:$G$2036,3)</f>
        <v>Steatornis caripensis</v>
      </c>
      <c r="G2164" s="3" t="str">
        <f>VLOOKUP(B2164,[1]LifeList!$E$2:$I$2036,4)</f>
        <v>Steatornithiformes</v>
      </c>
      <c r="H2164" s="3" t="str">
        <f>VLOOKUP(B2164,[1]LifeList!$E$2:$I$2036,5)</f>
        <v>Steatornithidae (Oilbird)</v>
      </c>
    </row>
    <row r="2165" spans="1:8" x14ac:dyDescent="0.15">
      <c r="A2165" s="3" t="s">
        <v>2064</v>
      </c>
      <c r="B2165" s="3" t="s">
        <v>4650</v>
      </c>
      <c r="C2165" s="3">
        <v>11090</v>
      </c>
      <c r="D2165" s="3" t="str">
        <f>VLOOKUP(B2165,[1]LifeList!$E$2:$G$2036,1)</f>
        <v>Olivaceous Piculet</v>
      </c>
      <c r="E2165" s="3" t="str">
        <f>VLOOKUP(B2165,[1]LifeList!$E$2:$G$2036,2)</f>
        <v>Picumne olivâtre</v>
      </c>
      <c r="F2165" s="3" t="str">
        <f>VLOOKUP(B2165,[1]LifeList!$E$2:$G$2036,3)</f>
        <v>Picumnus olivaceus</v>
      </c>
      <c r="G2165" s="3" t="str">
        <f>VLOOKUP(B2165,[1]LifeList!$E$2:$I$2036,4)</f>
        <v>Piciformes</v>
      </c>
      <c r="H2165" s="3" t="str">
        <f>VLOOKUP(B2165,[1]LifeList!$E$2:$I$2036,5)</f>
        <v>Picidae (Woodpeckers)</v>
      </c>
    </row>
    <row r="2166" spans="1:8" x14ac:dyDescent="0.15">
      <c r="A2166" s="3" t="s">
        <v>2065</v>
      </c>
      <c r="B2166" s="3" t="s">
        <v>4650</v>
      </c>
      <c r="C2166" s="3">
        <v>11090</v>
      </c>
      <c r="D2166" s="3" t="str">
        <f>VLOOKUP(B2166,[1]LifeList!$E$2:$G$2036,1)</f>
        <v>Olivaceous Piculet</v>
      </c>
      <c r="E2166" s="3" t="str">
        <f>VLOOKUP(B2166,[1]LifeList!$E$2:$G$2036,2)</f>
        <v>Picumne olivâtre</v>
      </c>
      <c r="F2166" s="3" t="str">
        <f>VLOOKUP(B2166,[1]LifeList!$E$2:$G$2036,3)</f>
        <v>Picumnus olivaceus</v>
      </c>
      <c r="G2166" s="3" t="str">
        <f>VLOOKUP(B2166,[1]LifeList!$E$2:$I$2036,4)</f>
        <v>Piciformes</v>
      </c>
      <c r="H2166" s="3" t="str">
        <f>VLOOKUP(B2166,[1]LifeList!$E$2:$I$2036,5)</f>
        <v>Picidae (Woodpeckers)</v>
      </c>
    </row>
    <row r="2167" spans="1:8" x14ac:dyDescent="0.15">
      <c r="A2167" s="3" t="s">
        <v>2066</v>
      </c>
      <c r="B2167" s="3" t="s">
        <v>4650</v>
      </c>
      <c r="C2167" s="3">
        <v>11090</v>
      </c>
      <c r="D2167" s="3" t="str">
        <f>VLOOKUP(B2167,[1]LifeList!$E$2:$G$2036,1)</f>
        <v>Olivaceous Piculet</v>
      </c>
      <c r="E2167" s="3" t="str">
        <f>VLOOKUP(B2167,[1]LifeList!$E$2:$G$2036,2)</f>
        <v>Picumne olivâtre</v>
      </c>
      <c r="F2167" s="3" t="str">
        <f>VLOOKUP(B2167,[1]LifeList!$E$2:$G$2036,3)</f>
        <v>Picumnus olivaceus</v>
      </c>
      <c r="G2167" s="3" t="str">
        <f>VLOOKUP(B2167,[1]LifeList!$E$2:$I$2036,4)</f>
        <v>Piciformes</v>
      </c>
      <c r="H2167" s="3" t="str">
        <f>VLOOKUP(B2167,[1]LifeList!$E$2:$I$2036,5)</f>
        <v>Picidae (Woodpeckers)</v>
      </c>
    </row>
    <row r="2168" spans="1:8" x14ac:dyDescent="0.15">
      <c r="A2168" s="3" t="s">
        <v>2083</v>
      </c>
      <c r="B2168" s="3" t="s">
        <v>4651</v>
      </c>
      <c r="C2168" s="3">
        <v>9823</v>
      </c>
      <c r="D2168" s="3" t="str">
        <f>VLOOKUP(B2168,[1]LifeList!$E$2:$G$2036,1)</f>
        <v>Olive Bee-eater</v>
      </c>
      <c r="E2168" s="3" t="str">
        <f>VLOOKUP(B2168,[1]LifeList!$E$2:$G$2036,2)</f>
        <v>Guêpier de Madagascar</v>
      </c>
      <c r="F2168" s="3" t="str">
        <f>VLOOKUP(B2168,[1]LifeList!$E$2:$G$2036,3)</f>
        <v>Merops superciliosus</v>
      </c>
      <c r="G2168" s="3" t="str">
        <f>VLOOKUP(B2168,[1]LifeList!$E$2:$I$2036,4)</f>
        <v>Coraciiformes</v>
      </c>
      <c r="H2168" s="3" t="str">
        <f>VLOOKUP(B2168,[1]LifeList!$E$2:$I$2036,5)</f>
        <v>Meropidae (Bee-eaters)</v>
      </c>
    </row>
    <row r="2169" spans="1:8" x14ac:dyDescent="0.15">
      <c r="A2169" s="3" t="s">
        <v>2084</v>
      </c>
      <c r="B2169" s="3" t="s">
        <v>4651</v>
      </c>
      <c r="C2169" s="3">
        <v>9823</v>
      </c>
      <c r="D2169" s="3" t="str">
        <f>VLOOKUP(B2169,[1]LifeList!$E$2:$G$2036,1)</f>
        <v>Olive Bee-eater</v>
      </c>
      <c r="E2169" s="3" t="str">
        <f>VLOOKUP(B2169,[1]LifeList!$E$2:$G$2036,2)</f>
        <v>Guêpier de Madagascar</v>
      </c>
      <c r="F2169" s="3" t="str">
        <f>VLOOKUP(B2169,[1]LifeList!$E$2:$G$2036,3)</f>
        <v>Merops superciliosus</v>
      </c>
      <c r="G2169" s="3" t="str">
        <f>VLOOKUP(B2169,[1]LifeList!$E$2:$I$2036,4)</f>
        <v>Coraciiformes</v>
      </c>
      <c r="H2169" s="3" t="str">
        <f>VLOOKUP(B2169,[1]LifeList!$E$2:$I$2036,5)</f>
        <v>Meropidae (Bee-eaters)</v>
      </c>
    </row>
    <row r="2170" spans="1:8" x14ac:dyDescent="0.15">
      <c r="A2170" s="3" t="s">
        <v>2085</v>
      </c>
      <c r="B2170" s="3" t="s">
        <v>4651</v>
      </c>
      <c r="C2170" s="3">
        <v>9823</v>
      </c>
      <c r="D2170" s="3" t="str">
        <f>VLOOKUP(B2170,[1]LifeList!$E$2:$G$2036,1)</f>
        <v>Olive Bee-eater</v>
      </c>
      <c r="E2170" s="3" t="str">
        <f>VLOOKUP(B2170,[1]LifeList!$E$2:$G$2036,2)</f>
        <v>Guêpier de Madagascar</v>
      </c>
      <c r="F2170" s="3" t="str">
        <f>VLOOKUP(B2170,[1]LifeList!$E$2:$G$2036,3)</f>
        <v>Merops superciliosus</v>
      </c>
      <c r="G2170" s="3" t="str">
        <f>VLOOKUP(B2170,[1]LifeList!$E$2:$I$2036,4)</f>
        <v>Coraciiformes</v>
      </c>
      <c r="H2170" s="3" t="str">
        <f>VLOOKUP(B2170,[1]LifeList!$E$2:$I$2036,5)</f>
        <v>Meropidae (Bee-eaters)</v>
      </c>
    </row>
    <row r="2171" spans="1:8" x14ac:dyDescent="0.15">
      <c r="A2171" s="3" t="s">
        <v>2086</v>
      </c>
      <c r="B2171" s="3" t="s">
        <v>4651</v>
      </c>
      <c r="C2171" s="3">
        <v>9823</v>
      </c>
      <c r="D2171" s="3" t="str">
        <f>VLOOKUP(B2171,[1]LifeList!$E$2:$G$2036,1)</f>
        <v>Olive Bee-eater</v>
      </c>
      <c r="E2171" s="3" t="str">
        <f>VLOOKUP(B2171,[1]LifeList!$E$2:$G$2036,2)</f>
        <v>Guêpier de Madagascar</v>
      </c>
      <c r="F2171" s="3" t="str">
        <f>VLOOKUP(B2171,[1]LifeList!$E$2:$G$2036,3)</f>
        <v>Merops superciliosus</v>
      </c>
      <c r="G2171" s="3" t="str">
        <f>VLOOKUP(B2171,[1]LifeList!$E$2:$I$2036,4)</f>
        <v>Coraciiformes</v>
      </c>
      <c r="H2171" s="3" t="str">
        <f>VLOOKUP(B2171,[1]LifeList!$E$2:$I$2036,5)</f>
        <v>Meropidae (Bee-eaters)</v>
      </c>
    </row>
    <row r="2172" spans="1:8" x14ac:dyDescent="0.15">
      <c r="A2172" s="3" t="s">
        <v>2067</v>
      </c>
      <c r="B2172" s="3" t="s">
        <v>4652</v>
      </c>
      <c r="C2172" s="3">
        <v>32042</v>
      </c>
      <c r="D2172" s="3" t="str">
        <f>VLOOKUP(B2172,[1]LifeList!$E$2:$G$2036,1)</f>
        <v>Olive-backed Euphonia</v>
      </c>
      <c r="E2172" s="3" t="str">
        <f>VLOOKUP(B2172,[1]LifeList!$E$2:$G$2036,2)</f>
        <v>Organiste olive</v>
      </c>
      <c r="F2172" s="3" t="str">
        <f>VLOOKUP(B2172,[1]LifeList!$E$2:$G$2036,3)</f>
        <v>Euphonia gouldi</v>
      </c>
      <c r="G2172" s="3" t="str">
        <f>VLOOKUP(B2172,[1]LifeList!$E$2:$I$2036,4)</f>
        <v>Passeriformes</v>
      </c>
      <c r="H2172" s="3" t="str">
        <f>VLOOKUP(B2172,[1]LifeList!$E$2:$I$2036,5)</f>
        <v>Fringillidae (Finches, Euphonias, and Allies)</v>
      </c>
    </row>
    <row r="2173" spans="1:8" x14ac:dyDescent="0.15">
      <c r="A2173" s="3" t="s">
        <v>2068</v>
      </c>
      <c r="B2173" s="3" t="s">
        <v>4652</v>
      </c>
      <c r="C2173" s="3">
        <v>32042</v>
      </c>
      <c r="D2173" s="3" t="str">
        <f>VLOOKUP(B2173,[1]LifeList!$E$2:$G$2036,1)</f>
        <v>Olive-backed Euphonia</v>
      </c>
      <c r="E2173" s="3" t="str">
        <f>VLOOKUP(B2173,[1]LifeList!$E$2:$G$2036,2)</f>
        <v>Organiste olive</v>
      </c>
      <c r="F2173" s="3" t="str">
        <f>VLOOKUP(B2173,[1]LifeList!$E$2:$G$2036,3)</f>
        <v>Euphonia gouldi</v>
      </c>
      <c r="G2173" s="3" t="str">
        <f>VLOOKUP(B2173,[1]LifeList!$E$2:$I$2036,4)</f>
        <v>Passeriformes</v>
      </c>
      <c r="H2173" s="3" t="str">
        <f>VLOOKUP(B2173,[1]LifeList!$E$2:$I$2036,5)</f>
        <v>Fringillidae (Finches, Euphonias, and Allies)</v>
      </c>
    </row>
    <row r="2174" spans="1:8" x14ac:dyDescent="0.15">
      <c r="A2174" s="3" t="s">
        <v>2069</v>
      </c>
      <c r="B2174" s="3" t="s">
        <v>4652</v>
      </c>
      <c r="C2174" s="3">
        <v>32042</v>
      </c>
      <c r="D2174" s="3" t="str">
        <f>VLOOKUP(B2174,[1]LifeList!$E$2:$G$2036,1)</f>
        <v>Olive-backed Euphonia</v>
      </c>
      <c r="E2174" s="3" t="str">
        <f>VLOOKUP(B2174,[1]LifeList!$E$2:$G$2036,2)</f>
        <v>Organiste olive</v>
      </c>
      <c r="F2174" s="3" t="str">
        <f>VLOOKUP(B2174,[1]LifeList!$E$2:$G$2036,3)</f>
        <v>Euphonia gouldi</v>
      </c>
      <c r="G2174" s="3" t="str">
        <f>VLOOKUP(B2174,[1]LifeList!$E$2:$I$2036,4)</f>
        <v>Passeriformes</v>
      </c>
      <c r="H2174" s="3" t="str">
        <f>VLOOKUP(B2174,[1]LifeList!$E$2:$I$2036,5)</f>
        <v>Fringillidae (Finches, Euphonias, and Allies)</v>
      </c>
    </row>
    <row r="2175" spans="1:8" x14ac:dyDescent="0.15">
      <c r="A2175" s="3" t="s">
        <v>2070</v>
      </c>
      <c r="B2175" s="3" t="s">
        <v>4652</v>
      </c>
      <c r="C2175" s="3">
        <v>32042</v>
      </c>
      <c r="D2175" s="3" t="str">
        <f>VLOOKUP(B2175,[1]LifeList!$E$2:$G$2036,1)</f>
        <v>Olive-backed Euphonia</v>
      </c>
      <c r="E2175" s="3" t="str">
        <f>VLOOKUP(B2175,[1]LifeList!$E$2:$G$2036,2)</f>
        <v>Organiste olive</v>
      </c>
      <c r="F2175" s="3" t="str">
        <f>VLOOKUP(B2175,[1]LifeList!$E$2:$G$2036,3)</f>
        <v>Euphonia gouldi</v>
      </c>
      <c r="G2175" s="3" t="str">
        <f>VLOOKUP(B2175,[1]LifeList!$E$2:$I$2036,4)</f>
        <v>Passeriformes</v>
      </c>
      <c r="H2175" s="3" t="str">
        <f>VLOOKUP(B2175,[1]LifeList!$E$2:$I$2036,5)</f>
        <v>Fringillidae (Finches, Euphonias, and Allies)</v>
      </c>
    </row>
    <row r="2176" spans="1:8" x14ac:dyDescent="0.15">
      <c r="A2176" s="3" t="s">
        <v>2071</v>
      </c>
      <c r="B2176" s="3" t="s">
        <v>4653</v>
      </c>
      <c r="C2176" s="3">
        <v>3068</v>
      </c>
      <c r="D2176" s="3" t="str">
        <f>VLOOKUP(B2176,[1]LifeList!$E$2:$G$2036,1)</f>
        <v>Olive-capped Coua</v>
      </c>
      <c r="E2176" s="3" t="str">
        <f>VLOOKUP(B2176,[1]LifeList!$E$2:$G$2036,2)</f>
        <v>Coua à tête olive</v>
      </c>
      <c r="F2176" s="3" t="str">
        <f>VLOOKUP(B2176,[1]LifeList!$E$2:$G$2036,3)</f>
        <v>Coua olivaceiceps</v>
      </c>
      <c r="G2176" s="3" t="str">
        <f>VLOOKUP(B2176,[1]LifeList!$E$2:$I$2036,4)</f>
        <v>Cuculiformes</v>
      </c>
      <c r="H2176" s="3" t="str">
        <f>VLOOKUP(B2176,[1]LifeList!$E$2:$I$2036,5)</f>
        <v>Cuculidae (Cuckoos)</v>
      </c>
    </row>
    <row r="2177" spans="1:8" x14ac:dyDescent="0.15">
      <c r="A2177" s="3" t="s">
        <v>2072</v>
      </c>
      <c r="B2177" s="3" t="s">
        <v>4653</v>
      </c>
      <c r="C2177" s="3">
        <v>3068</v>
      </c>
      <c r="D2177" s="3" t="str">
        <f>VLOOKUP(B2177,[1]LifeList!$E$2:$G$2036,1)</f>
        <v>Olive-capped Coua</v>
      </c>
      <c r="E2177" s="3" t="str">
        <f>VLOOKUP(B2177,[1]LifeList!$E$2:$G$2036,2)</f>
        <v>Coua à tête olive</v>
      </c>
      <c r="F2177" s="3" t="str">
        <f>VLOOKUP(B2177,[1]LifeList!$E$2:$G$2036,3)</f>
        <v>Coua olivaceiceps</v>
      </c>
      <c r="G2177" s="3" t="str">
        <f>VLOOKUP(B2177,[1]LifeList!$E$2:$I$2036,4)</f>
        <v>Cuculiformes</v>
      </c>
      <c r="H2177" s="3" t="str">
        <f>VLOOKUP(B2177,[1]LifeList!$E$2:$I$2036,5)</f>
        <v>Cuculidae (Cuckoos)</v>
      </c>
    </row>
    <row r="2178" spans="1:8" x14ac:dyDescent="0.15">
      <c r="A2178" s="3" t="s">
        <v>2073</v>
      </c>
      <c r="B2178" s="3" t="s">
        <v>4653</v>
      </c>
      <c r="C2178" s="3">
        <v>3068</v>
      </c>
      <c r="D2178" s="3" t="str">
        <f>VLOOKUP(B2178,[1]LifeList!$E$2:$G$2036,1)</f>
        <v>Olive-capped Coua</v>
      </c>
      <c r="E2178" s="3" t="str">
        <f>VLOOKUP(B2178,[1]LifeList!$E$2:$G$2036,2)</f>
        <v>Coua à tête olive</v>
      </c>
      <c r="F2178" s="3" t="str">
        <f>VLOOKUP(B2178,[1]LifeList!$E$2:$G$2036,3)</f>
        <v>Coua olivaceiceps</v>
      </c>
      <c r="G2178" s="3" t="str">
        <f>VLOOKUP(B2178,[1]LifeList!$E$2:$I$2036,4)</f>
        <v>Cuculiformes</v>
      </c>
      <c r="H2178" s="3" t="str">
        <f>VLOOKUP(B2178,[1]LifeList!$E$2:$I$2036,5)</f>
        <v>Cuculidae (Cuckoos)</v>
      </c>
    </row>
    <row r="2179" spans="1:8" x14ac:dyDescent="0.15">
      <c r="A2179" s="3" t="s">
        <v>2074</v>
      </c>
      <c r="B2179" s="3" t="s">
        <v>4653</v>
      </c>
      <c r="C2179" s="3">
        <v>3068</v>
      </c>
      <c r="D2179" s="3" t="str">
        <f>VLOOKUP(B2179,[1]LifeList!$E$2:$G$2036,1)</f>
        <v>Olive-capped Coua</v>
      </c>
      <c r="E2179" s="3" t="str">
        <f>VLOOKUP(B2179,[1]LifeList!$E$2:$G$2036,2)</f>
        <v>Coua à tête olive</v>
      </c>
      <c r="F2179" s="3" t="str">
        <f>VLOOKUP(B2179,[1]LifeList!$E$2:$G$2036,3)</f>
        <v>Coua olivaceiceps</v>
      </c>
      <c r="G2179" s="3" t="str">
        <f>VLOOKUP(B2179,[1]LifeList!$E$2:$I$2036,4)</f>
        <v>Cuculiformes</v>
      </c>
      <c r="H2179" s="3" t="str">
        <f>VLOOKUP(B2179,[1]LifeList!$E$2:$I$2036,5)</f>
        <v>Cuculidae (Cuckoos)</v>
      </c>
    </row>
    <row r="2180" spans="1:8" x14ac:dyDescent="0.15">
      <c r="A2180" s="3" t="s">
        <v>2075</v>
      </c>
      <c r="B2180" s="3" t="s">
        <v>4654</v>
      </c>
      <c r="C2180" s="3">
        <v>34013</v>
      </c>
      <c r="D2180" s="3" t="str">
        <f>VLOOKUP(B2180,[1]LifeList!$E$2:$G$2036,1)</f>
        <v>Olive-crowned Yellowthroat</v>
      </c>
      <c r="E2180" s="3" t="str">
        <f>VLOOKUP(B2180,[1]LifeList!$E$2:$G$2036,2)</f>
        <v>Paruline des bambous</v>
      </c>
      <c r="F2180" s="3" t="str">
        <f>VLOOKUP(B2180,[1]LifeList!$E$2:$G$2036,3)</f>
        <v>Geothlypis semiflava</v>
      </c>
      <c r="G2180" s="3" t="str">
        <f>VLOOKUP(B2180,[1]LifeList!$E$2:$I$2036,4)</f>
        <v>Passeriformes</v>
      </c>
      <c r="H2180" s="3" t="str">
        <f>VLOOKUP(B2180,[1]LifeList!$E$2:$I$2036,5)</f>
        <v>Parulidae (New World Warblers)</v>
      </c>
    </row>
    <row r="2181" spans="1:8" x14ac:dyDescent="0.15">
      <c r="A2181" s="3" t="s">
        <v>2076</v>
      </c>
      <c r="B2181" s="3" t="s">
        <v>4655</v>
      </c>
      <c r="C2181" s="3">
        <v>35802</v>
      </c>
      <c r="D2181" s="3" t="str">
        <f>VLOOKUP(B2181,[1]LifeList!$E$2:$G$2036,1)</f>
        <v>Olive-gray Saltator</v>
      </c>
      <c r="E2181" s="3" t="str">
        <f>VLOOKUP(B2181,[1]LifeList!$E$2:$G$2036,2)</f>
        <v>Saltator de Cabanis</v>
      </c>
      <c r="F2181" s="3" t="str">
        <f>VLOOKUP(B2181,[1]LifeList!$E$2:$G$2036,3)</f>
        <v>Saltator olivascens</v>
      </c>
      <c r="G2181" s="3" t="str">
        <f>VLOOKUP(B2181,[1]LifeList!$E$2:$I$2036,4)</f>
        <v>Passeriformes</v>
      </c>
      <c r="H2181" s="3" t="str">
        <f>VLOOKUP(B2181,[1]LifeList!$E$2:$I$2036,5)</f>
        <v>Thraupidae (Tanagers and Allies)</v>
      </c>
    </row>
    <row r="2182" spans="1:8" x14ac:dyDescent="0.15">
      <c r="A2182" s="3" t="s">
        <v>2077</v>
      </c>
      <c r="B2182" s="3" t="s">
        <v>4655</v>
      </c>
      <c r="C2182" s="3">
        <v>35802</v>
      </c>
      <c r="D2182" s="3" t="str">
        <f>VLOOKUP(B2182,[1]LifeList!$E$2:$G$2036,1)</f>
        <v>Olive-gray Saltator</v>
      </c>
      <c r="E2182" s="3" t="str">
        <f>VLOOKUP(B2182,[1]LifeList!$E$2:$G$2036,2)</f>
        <v>Saltator de Cabanis</v>
      </c>
      <c r="F2182" s="3" t="str">
        <f>VLOOKUP(B2182,[1]LifeList!$E$2:$G$2036,3)</f>
        <v>Saltator olivascens</v>
      </c>
      <c r="G2182" s="3" t="str">
        <f>VLOOKUP(B2182,[1]LifeList!$E$2:$I$2036,4)</f>
        <v>Passeriformes</v>
      </c>
      <c r="H2182" s="3" t="str">
        <f>VLOOKUP(B2182,[1]LifeList!$E$2:$I$2036,5)</f>
        <v>Thraupidae (Tanagers and Allies)</v>
      </c>
    </row>
    <row r="2183" spans="1:8" x14ac:dyDescent="0.15">
      <c r="A2183" s="3" t="s">
        <v>2078</v>
      </c>
      <c r="B2183" s="3" t="s">
        <v>4655</v>
      </c>
      <c r="C2183" s="3">
        <v>35802</v>
      </c>
      <c r="D2183" s="3" t="str">
        <f>VLOOKUP(B2183,[1]LifeList!$E$2:$G$2036,1)</f>
        <v>Olive-gray Saltator</v>
      </c>
      <c r="E2183" s="3" t="str">
        <f>VLOOKUP(B2183,[1]LifeList!$E$2:$G$2036,2)</f>
        <v>Saltator de Cabanis</v>
      </c>
      <c r="F2183" s="3" t="str">
        <f>VLOOKUP(B2183,[1]LifeList!$E$2:$G$2036,3)</f>
        <v>Saltator olivascens</v>
      </c>
      <c r="G2183" s="3" t="str">
        <f>VLOOKUP(B2183,[1]LifeList!$E$2:$I$2036,4)</f>
        <v>Passeriformes</v>
      </c>
      <c r="H2183" s="3" t="str">
        <f>VLOOKUP(B2183,[1]LifeList!$E$2:$I$2036,5)</f>
        <v>Thraupidae (Tanagers and Allies)</v>
      </c>
    </row>
    <row r="2184" spans="1:8" x14ac:dyDescent="0.15">
      <c r="A2184" s="3" t="s">
        <v>2079</v>
      </c>
      <c r="B2184" s="3" t="s">
        <v>4655</v>
      </c>
      <c r="C2184" s="3">
        <v>35802</v>
      </c>
      <c r="D2184" s="3" t="str">
        <f>VLOOKUP(B2184,[1]LifeList!$E$2:$G$2036,1)</f>
        <v>Olive-gray Saltator</v>
      </c>
      <c r="E2184" s="3" t="str">
        <f>VLOOKUP(B2184,[1]LifeList!$E$2:$G$2036,2)</f>
        <v>Saltator de Cabanis</v>
      </c>
      <c r="F2184" s="3" t="str">
        <f>VLOOKUP(B2184,[1]LifeList!$E$2:$G$2036,3)</f>
        <v>Saltator olivascens</v>
      </c>
      <c r="G2184" s="3" t="str">
        <f>VLOOKUP(B2184,[1]LifeList!$E$2:$I$2036,4)</f>
        <v>Passeriformes</v>
      </c>
      <c r="H2184" s="3" t="str">
        <f>VLOOKUP(B2184,[1]LifeList!$E$2:$I$2036,5)</f>
        <v>Thraupidae (Tanagers and Allies)</v>
      </c>
    </row>
    <row r="2185" spans="1:8" x14ac:dyDescent="0.15">
      <c r="A2185" s="3" t="s">
        <v>2080</v>
      </c>
      <c r="B2185" s="3" t="s">
        <v>4656</v>
      </c>
      <c r="C2185" s="3">
        <v>13092</v>
      </c>
      <c r="D2185" s="3" t="str">
        <f>VLOOKUP(B2185,[1]LifeList!$E$2:$G$2036,1)</f>
        <v>Olive-throated Parakeet</v>
      </c>
      <c r="E2185" s="3" t="str">
        <f>VLOOKUP(B2185,[1]LifeList!$E$2:$G$2036,2)</f>
        <v>Conure naine</v>
      </c>
      <c r="F2185" s="3" t="str">
        <f>VLOOKUP(B2185,[1]LifeList!$E$2:$G$2036,3)</f>
        <v>Eupsittula nana</v>
      </c>
      <c r="G2185" s="3" t="str">
        <f>VLOOKUP(B2185,[1]LifeList!$E$2:$I$2036,4)</f>
        <v>Psittaciformes</v>
      </c>
      <c r="H2185" s="3" t="str">
        <f>VLOOKUP(B2185,[1]LifeList!$E$2:$I$2036,5)</f>
        <v>Psittacidae (New World and African Parrots)</v>
      </c>
    </row>
    <row r="2186" spans="1:8" x14ac:dyDescent="0.15">
      <c r="A2186" s="3" t="s">
        <v>2081</v>
      </c>
      <c r="B2186" s="3" t="s">
        <v>4656</v>
      </c>
      <c r="C2186" s="3">
        <v>13092</v>
      </c>
      <c r="D2186" s="3" t="str">
        <f>VLOOKUP(B2186,[1]LifeList!$E$2:$G$2036,1)</f>
        <v>Olive-throated Parakeet</v>
      </c>
      <c r="E2186" s="3" t="str">
        <f>VLOOKUP(B2186,[1]LifeList!$E$2:$G$2036,2)</f>
        <v>Conure naine</v>
      </c>
      <c r="F2186" s="3" t="str">
        <f>VLOOKUP(B2186,[1]LifeList!$E$2:$G$2036,3)</f>
        <v>Eupsittula nana</v>
      </c>
      <c r="G2186" s="3" t="str">
        <f>VLOOKUP(B2186,[1]LifeList!$E$2:$I$2036,4)</f>
        <v>Psittaciformes</v>
      </c>
      <c r="H2186" s="3" t="str">
        <f>VLOOKUP(B2186,[1]LifeList!$E$2:$I$2036,5)</f>
        <v>Psittacidae (New World and African Parrots)</v>
      </c>
    </row>
    <row r="2187" spans="1:8" x14ac:dyDescent="0.15">
      <c r="A2187" s="3" t="s">
        <v>2082</v>
      </c>
      <c r="B2187" s="3" t="s">
        <v>4656</v>
      </c>
      <c r="C2187" s="3">
        <v>13092</v>
      </c>
      <c r="D2187" s="3" t="str">
        <f>VLOOKUP(B2187,[1]LifeList!$E$2:$G$2036,1)</f>
        <v>Olive-throated Parakeet</v>
      </c>
      <c r="E2187" s="3" t="str">
        <f>VLOOKUP(B2187,[1]LifeList!$E$2:$G$2036,2)</f>
        <v>Conure naine</v>
      </c>
      <c r="F2187" s="3" t="str">
        <f>VLOOKUP(B2187,[1]LifeList!$E$2:$G$2036,3)</f>
        <v>Eupsittula nana</v>
      </c>
      <c r="G2187" s="3" t="str">
        <f>VLOOKUP(B2187,[1]LifeList!$E$2:$I$2036,4)</f>
        <v>Psittaciformes</v>
      </c>
      <c r="H2187" s="3" t="str">
        <f>VLOOKUP(B2187,[1]LifeList!$E$2:$I$2036,5)</f>
        <v>Psittacidae (New World and African Parrots)</v>
      </c>
    </row>
    <row r="2188" spans="1:8" x14ac:dyDescent="0.15">
      <c r="A2188" s="3" t="s">
        <v>2087</v>
      </c>
      <c r="B2188" s="3" t="s">
        <v>4657</v>
      </c>
      <c r="C2188" s="3">
        <v>28197</v>
      </c>
      <c r="D2188" s="3" t="str">
        <f>VLOOKUP(B2188,[1]LifeList!$E$2:$G$2036,1)</f>
        <v>Omao</v>
      </c>
      <c r="E2188" s="3" t="str">
        <f>VLOOKUP(B2188,[1]LifeList!$E$2:$G$2036,2)</f>
        <v>Solitaire d'Hawaï</v>
      </c>
      <c r="F2188" s="3" t="str">
        <f>VLOOKUP(B2188,[1]LifeList!$E$2:$G$2036,3)</f>
        <v>Myadestes obscurus</v>
      </c>
      <c r="G2188" s="3" t="str">
        <f>VLOOKUP(B2188,[1]LifeList!$E$2:$I$2036,4)</f>
        <v>Passeriformes</v>
      </c>
      <c r="H2188" s="3" t="str">
        <f>VLOOKUP(B2188,[1]LifeList!$E$2:$I$2036,5)</f>
        <v>Turdidae (Thrushes and Allies)</v>
      </c>
    </row>
    <row r="2189" spans="1:8" x14ac:dyDescent="0.15">
      <c r="A2189" s="3" t="s">
        <v>2088</v>
      </c>
      <c r="B2189" s="3" t="s">
        <v>4658</v>
      </c>
      <c r="C2189" s="3">
        <v>33051</v>
      </c>
      <c r="D2189" s="3" t="str">
        <f>VLOOKUP(B2189,[1]LifeList!$E$2:$G$2036,1)</f>
        <v>Orange-billed Sparrow</v>
      </c>
      <c r="E2189" s="3" t="str">
        <f>VLOOKUP(B2189,[1]LifeList!$E$2:$G$2036,2)</f>
        <v>Tohi à bec orange</v>
      </c>
      <c r="F2189" s="3" t="str">
        <f>VLOOKUP(B2189,[1]LifeList!$E$2:$G$2036,3)</f>
        <v>Arremon aurantiirostris</v>
      </c>
      <c r="G2189" s="3" t="str">
        <f>VLOOKUP(B2189,[1]LifeList!$E$2:$I$2036,4)</f>
        <v>Passeriformes</v>
      </c>
      <c r="H2189" s="3" t="str">
        <f>VLOOKUP(B2189,[1]LifeList!$E$2:$I$2036,5)</f>
        <v>Passerellidae (New World Sparrows)</v>
      </c>
    </row>
    <row r="2190" spans="1:8" x14ac:dyDescent="0.15">
      <c r="A2190" s="3" t="s">
        <v>2089</v>
      </c>
      <c r="B2190" s="3" t="s">
        <v>4658</v>
      </c>
      <c r="C2190" s="3">
        <v>33051</v>
      </c>
      <c r="D2190" s="3" t="str">
        <f>VLOOKUP(B2190,[1]LifeList!$E$2:$G$2036,1)</f>
        <v>Orange-billed Sparrow</v>
      </c>
      <c r="E2190" s="3" t="str">
        <f>VLOOKUP(B2190,[1]LifeList!$E$2:$G$2036,2)</f>
        <v>Tohi à bec orange</v>
      </c>
      <c r="F2190" s="3" t="str">
        <f>VLOOKUP(B2190,[1]LifeList!$E$2:$G$2036,3)</f>
        <v>Arremon aurantiirostris</v>
      </c>
      <c r="G2190" s="3" t="str">
        <f>VLOOKUP(B2190,[1]LifeList!$E$2:$I$2036,4)</f>
        <v>Passeriformes</v>
      </c>
      <c r="H2190" s="3" t="str">
        <f>VLOOKUP(B2190,[1]LifeList!$E$2:$I$2036,5)</f>
        <v>Passerellidae (New World Sparrows)</v>
      </c>
    </row>
    <row r="2191" spans="1:8" x14ac:dyDescent="0.15">
      <c r="A2191" s="3" t="s">
        <v>2090</v>
      </c>
      <c r="B2191" s="3" t="s">
        <v>4659</v>
      </c>
      <c r="C2191" s="3">
        <v>15866</v>
      </c>
      <c r="D2191" s="3" t="str">
        <f>VLOOKUP(B2191,[1]LifeList!$E$2:$G$2036,1)</f>
        <v>Orange-breasted Fruiteater</v>
      </c>
      <c r="E2191" s="3" t="str">
        <f>VLOOKUP(B2191,[1]LifeList!$E$2:$G$2036,2)</f>
        <v>Cotinga jucunda</v>
      </c>
      <c r="F2191" s="3" t="str">
        <f>VLOOKUP(B2191,[1]LifeList!$E$2:$G$2036,3)</f>
        <v>Pipreola jucunda</v>
      </c>
      <c r="G2191" s="3" t="str">
        <f>VLOOKUP(B2191,[1]LifeList!$E$2:$I$2036,4)</f>
        <v>Passeriformes</v>
      </c>
      <c r="H2191" s="3" t="str">
        <f>VLOOKUP(B2191,[1]LifeList!$E$2:$I$2036,5)</f>
        <v>Cotingidae (Cotingas)</v>
      </c>
    </row>
    <row r="2192" spans="1:8" x14ac:dyDescent="0.15">
      <c r="A2192" s="3" t="s">
        <v>2091</v>
      </c>
      <c r="B2192" s="3" t="s">
        <v>4660</v>
      </c>
      <c r="C2192" s="3">
        <v>12836</v>
      </c>
      <c r="D2192" s="3" t="str">
        <f>VLOOKUP(B2192,[1]LifeList!$E$2:$G$2036,1)</f>
        <v>Orange-chinned Parakeet</v>
      </c>
      <c r="E2192" s="3" t="str">
        <f>VLOOKUP(B2192,[1]LifeList!$E$2:$G$2036,2)</f>
        <v>Toui à menton d'or</v>
      </c>
      <c r="F2192" s="3" t="str">
        <f>VLOOKUP(B2192,[1]LifeList!$E$2:$G$2036,3)</f>
        <v>Brotogeris jugularis</v>
      </c>
      <c r="G2192" s="3" t="str">
        <f>VLOOKUP(B2192,[1]LifeList!$E$2:$I$2036,4)</f>
        <v>Psittaciformes</v>
      </c>
      <c r="H2192" s="3" t="str">
        <f>VLOOKUP(B2192,[1]LifeList!$E$2:$I$2036,5)</f>
        <v>Psittacidae (New World and African Parrots)</v>
      </c>
    </row>
    <row r="2193" spans="1:8" x14ac:dyDescent="0.15">
      <c r="A2193" s="3" t="s">
        <v>2092</v>
      </c>
      <c r="B2193" s="3" t="s">
        <v>4660</v>
      </c>
      <c r="C2193" s="3">
        <v>12836</v>
      </c>
      <c r="D2193" s="3" t="str">
        <f>VLOOKUP(B2193,[1]LifeList!$E$2:$G$2036,1)</f>
        <v>Orange-chinned Parakeet</v>
      </c>
      <c r="E2193" s="3" t="str">
        <f>VLOOKUP(B2193,[1]LifeList!$E$2:$G$2036,2)</f>
        <v>Toui à menton d'or</v>
      </c>
      <c r="F2193" s="3" t="str">
        <f>VLOOKUP(B2193,[1]LifeList!$E$2:$G$2036,3)</f>
        <v>Brotogeris jugularis</v>
      </c>
      <c r="G2193" s="3" t="str">
        <f>VLOOKUP(B2193,[1]LifeList!$E$2:$I$2036,4)</f>
        <v>Psittaciformes</v>
      </c>
      <c r="H2193" s="3" t="str">
        <f>VLOOKUP(B2193,[1]LifeList!$E$2:$I$2036,5)</f>
        <v>Psittacidae (New World and African Parrots)</v>
      </c>
    </row>
    <row r="2194" spans="1:8" x14ac:dyDescent="0.15">
      <c r="A2194" s="3" t="s">
        <v>2093</v>
      </c>
      <c r="B2194" s="3" t="s">
        <v>4660</v>
      </c>
      <c r="C2194" s="3">
        <v>12836</v>
      </c>
      <c r="D2194" s="3" t="str">
        <f>VLOOKUP(B2194,[1]LifeList!$E$2:$G$2036,1)</f>
        <v>Orange-chinned Parakeet</v>
      </c>
      <c r="E2194" s="3" t="str">
        <f>VLOOKUP(B2194,[1]LifeList!$E$2:$G$2036,2)</f>
        <v>Toui à menton d'or</v>
      </c>
      <c r="F2194" s="3" t="str">
        <f>VLOOKUP(B2194,[1]LifeList!$E$2:$G$2036,3)</f>
        <v>Brotogeris jugularis</v>
      </c>
      <c r="G2194" s="3" t="str">
        <f>VLOOKUP(B2194,[1]LifeList!$E$2:$I$2036,4)</f>
        <v>Psittaciformes</v>
      </c>
      <c r="H2194" s="3" t="str">
        <f>VLOOKUP(B2194,[1]LifeList!$E$2:$I$2036,5)</f>
        <v>Psittacidae (New World and African Parrots)</v>
      </c>
    </row>
    <row r="2195" spans="1:8" x14ac:dyDescent="0.15">
      <c r="A2195" s="3" t="s">
        <v>2094</v>
      </c>
      <c r="B2195" s="3" t="s">
        <v>4661</v>
      </c>
      <c r="C2195" s="3">
        <v>33973</v>
      </c>
      <c r="D2195" s="3" t="str">
        <f>VLOOKUP(B2195,[1]LifeList!$E$2:$G$2036,1)</f>
        <v>Orange-crowned Warbler</v>
      </c>
      <c r="E2195" s="3" t="str">
        <f>VLOOKUP(B2195,[1]LifeList!$E$2:$G$2036,2)</f>
        <v>Paruline verdâtre</v>
      </c>
      <c r="F2195" s="3" t="str">
        <f>VLOOKUP(B2195,[1]LifeList!$E$2:$G$2036,3)</f>
        <v>Leiothlypis celata</v>
      </c>
      <c r="G2195" s="3" t="str">
        <f>VLOOKUP(B2195,[1]LifeList!$E$2:$I$2036,4)</f>
        <v>Passeriformes</v>
      </c>
      <c r="H2195" s="3" t="str">
        <f>VLOOKUP(B2195,[1]LifeList!$E$2:$I$2036,5)</f>
        <v>Parulidae (New World Warblers)</v>
      </c>
    </row>
    <row r="2196" spans="1:8" x14ac:dyDescent="0.15">
      <c r="A2196" s="3" t="s">
        <v>2095</v>
      </c>
      <c r="B2196" s="3" t="s">
        <v>4661</v>
      </c>
      <c r="C2196" s="3">
        <v>33973</v>
      </c>
      <c r="D2196" s="3" t="str">
        <f>VLOOKUP(B2196,[1]LifeList!$E$2:$G$2036,1)</f>
        <v>Orange-crowned Warbler</v>
      </c>
      <c r="E2196" s="3" t="str">
        <f>VLOOKUP(B2196,[1]LifeList!$E$2:$G$2036,2)</f>
        <v>Paruline verdâtre</v>
      </c>
      <c r="F2196" s="3" t="str">
        <f>VLOOKUP(B2196,[1]LifeList!$E$2:$G$2036,3)</f>
        <v>Leiothlypis celata</v>
      </c>
      <c r="G2196" s="3" t="str">
        <f>VLOOKUP(B2196,[1]LifeList!$E$2:$I$2036,4)</f>
        <v>Passeriformes</v>
      </c>
      <c r="H2196" s="3" t="str">
        <f>VLOOKUP(B2196,[1]LifeList!$E$2:$I$2036,5)</f>
        <v>Parulidae (New World Warblers)</v>
      </c>
    </row>
    <row r="2197" spans="1:8" x14ac:dyDescent="0.15">
      <c r="A2197" s="3" t="s">
        <v>2096</v>
      </c>
      <c r="B2197" s="3" t="s">
        <v>4662</v>
      </c>
      <c r="C2197" s="3">
        <v>13097</v>
      </c>
      <c r="D2197" s="3" t="str">
        <f>VLOOKUP(B2197,[1]LifeList!$E$2:$G$2036,1)</f>
        <v>Orange-fronted Parakeet</v>
      </c>
      <c r="E2197" s="3" t="str">
        <f>VLOOKUP(B2197,[1]LifeList!$E$2:$G$2036,2)</f>
        <v>Conure à front rouge</v>
      </c>
      <c r="F2197" s="3" t="str">
        <f>VLOOKUP(B2197,[1]LifeList!$E$2:$G$2036,3)</f>
        <v>Eupsittula canicularis</v>
      </c>
      <c r="G2197" s="3" t="str">
        <f>VLOOKUP(B2197,[1]LifeList!$E$2:$I$2036,4)</f>
        <v>Psittaciformes</v>
      </c>
      <c r="H2197" s="3" t="str">
        <f>VLOOKUP(B2197,[1]LifeList!$E$2:$I$2036,5)</f>
        <v>Psittacidae (New World and African Parrots)</v>
      </c>
    </row>
    <row r="2198" spans="1:8" x14ac:dyDescent="0.15">
      <c r="A2198" s="3" t="s">
        <v>2097</v>
      </c>
      <c r="B2198" s="3" t="s">
        <v>4663</v>
      </c>
      <c r="C2198" s="3">
        <v>12970</v>
      </c>
      <c r="D2198" s="3" t="str">
        <f>VLOOKUP(B2198,[1]LifeList!$E$2:$G$2036,1)</f>
        <v>Orange-winged Amazon</v>
      </c>
      <c r="E2198" s="3" t="str">
        <f>VLOOKUP(B2198,[1]LifeList!$E$2:$G$2036,2)</f>
        <v>Amazone aourou</v>
      </c>
      <c r="F2198" s="3" t="str">
        <f>VLOOKUP(B2198,[1]LifeList!$E$2:$G$2036,3)</f>
        <v>Amazona amazonica</v>
      </c>
      <c r="G2198" s="3" t="str">
        <f>VLOOKUP(B2198,[1]LifeList!$E$2:$I$2036,4)</f>
        <v>Psittaciformes</v>
      </c>
      <c r="H2198" s="3" t="str">
        <f>VLOOKUP(B2198,[1]LifeList!$E$2:$I$2036,5)</f>
        <v>Psittacidae (New World and African Parrots)</v>
      </c>
    </row>
    <row r="2199" spans="1:8" x14ac:dyDescent="0.15">
      <c r="A2199" s="3" t="s">
        <v>2098</v>
      </c>
      <c r="B2199" s="3" t="s">
        <v>4664</v>
      </c>
      <c r="C2199" s="3">
        <v>33679</v>
      </c>
      <c r="D2199" s="3" t="str">
        <f>VLOOKUP(B2199,[1]LifeList!$E$2:$G$2036,1)</f>
        <v>Orchard Oriole</v>
      </c>
      <c r="E2199" s="3" t="str">
        <f>VLOOKUP(B2199,[1]LifeList!$E$2:$G$2036,2)</f>
        <v>Oriole des vergers</v>
      </c>
      <c r="F2199" s="3" t="str">
        <f>VLOOKUP(B2199,[1]LifeList!$E$2:$G$2036,3)</f>
        <v>Icterus spurius</v>
      </c>
      <c r="G2199" s="3" t="str">
        <f>VLOOKUP(B2199,[1]LifeList!$E$2:$I$2036,4)</f>
        <v>Passeriformes</v>
      </c>
      <c r="H2199" s="3" t="str">
        <f>VLOOKUP(B2199,[1]LifeList!$E$2:$I$2036,5)</f>
        <v>Icteridae (Troupials and Allies)</v>
      </c>
    </row>
    <row r="2200" spans="1:8" x14ac:dyDescent="0.15">
      <c r="A2200" s="3" t="s">
        <v>2099</v>
      </c>
      <c r="B2200" s="3" t="s">
        <v>4664</v>
      </c>
      <c r="C2200" s="3">
        <v>33679</v>
      </c>
      <c r="D2200" s="3" t="str">
        <f>VLOOKUP(B2200,[1]LifeList!$E$2:$G$2036,1)</f>
        <v>Orchard Oriole</v>
      </c>
      <c r="E2200" s="3" t="str">
        <f>VLOOKUP(B2200,[1]LifeList!$E$2:$G$2036,2)</f>
        <v>Oriole des vergers</v>
      </c>
      <c r="F2200" s="3" t="str">
        <f>VLOOKUP(B2200,[1]LifeList!$E$2:$G$2036,3)</f>
        <v>Icterus spurius</v>
      </c>
      <c r="G2200" s="3" t="str">
        <f>VLOOKUP(B2200,[1]LifeList!$E$2:$I$2036,4)</f>
        <v>Passeriformes</v>
      </c>
      <c r="H2200" s="3" t="str">
        <f>VLOOKUP(B2200,[1]LifeList!$E$2:$I$2036,5)</f>
        <v>Icteridae (Troupials and Allies)</v>
      </c>
    </row>
    <row r="2201" spans="1:8" x14ac:dyDescent="0.15">
      <c r="A2201" s="3" t="s">
        <v>2100</v>
      </c>
      <c r="B2201" s="3" t="s">
        <v>4664</v>
      </c>
      <c r="C2201" s="3">
        <v>33679</v>
      </c>
      <c r="D2201" s="3" t="str">
        <f>VLOOKUP(B2201,[1]LifeList!$E$2:$G$2036,1)</f>
        <v>Orchard Oriole</v>
      </c>
      <c r="E2201" s="3" t="str">
        <f>VLOOKUP(B2201,[1]LifeList!$E$2:$G$2036,2)</f>
        <v>Oriole des vergers</v>
      </c>
      <c r="F2201" s="3" t="str">
        <f>VLOOKUP(B2201,[1]LifeList!$E$2:$G$2036,3)</f>
        <v>Icterus spurius</v>
      </c>
      <c r="G2201" s="3" t="str">
        <f>VLOOKUP(B2201,[1]LifeList!$E$2:$I$2036,4)</f>
        <v>Passeriformes</v>
      </c>
      <c r="H2201" s="3" t="str">
        <f>VLOOKUP(B2201,[1]LifeList!$E$2:$I$2036,5)</f>
        <v>Icteridae (Troupials and Allies)</v>
      </c>
    </row>
    <row r="2202" spans="1:8" x14ac:dyDescent="0.15">
      <c r="A2202" s="3" t="s">
        <v>2101</v>
      </c>
      <c r="B2202" s="3" t="s">
        <v>4664</v>
      </c>
      <c r="C2202" s="3">
        <v>33679</v>
      </c>
      <c r="D2202" s="3" t="str">
        <f>VLOOKUP(B2202,[1]LifeList!$E$2:$G$2036,1)</f>
        <v>Orchard Oriole</v>
      </c>
      <c r="E2202" s="3" t="str">
        <f>VLOOKUP(B2202,[1]LifeList!$E$2:$G$2036,2)</f>
        <v>Oriole des vergers</v>
      </c>
      <c r="F2202" s="3" t="str">
        <f>VLOOKUP(B2202,[1]LifeList!$E$2:$G$2036,3)</f>
        <v>Icterus spurius</v>
      </c>
      <c r="G2202" s="3" t="str">
        <f>VLOOKUP(B2202,[1]LifeList!$E$2:$I$2036,4)</f>
        <v>Passeriformes</v>
      </c>
      <c r="H2202" s="3" t="str">
        <f>VLOOKUP(B2202,[1]LifeList!$E$2:$I$2036,5)</f>
        <v>Icteridae (Troupials and Allies)</v>
      </c>
    </row>
    <row r="2203" spans="1:8" x14ac:dyDescent="0.15">
      <c r="A2203" s="3" t="s">
        <v>2102</v>
      </c>
      <c r="B2203" s="3" t="s">
        <v>4664</v>
      </c>
      <c r="C2203" s="3">
        <v>33679</v>
      </c>
      <c r="D2203" s="3" t="str">
        <f>VLOOKUP(B2203,[1]LifeList!$E$2:$G$2036,1)</f>
        <v>Orchard Oriole</v>
      </c>
      <c r="E2203" s="3" t="str">
        <f>VLOOKUP(B2203,[1]LifeList!$E$2:$G$2036,2)</f>
        <v>Oriole des vergers</v>
      </c>
      <c r="F2203" s="3" t="str">
        <f>VLOOKUP(B2203,[1]LifeList!$E$2:$G$2036,3)</f>
        <v>Icterus spurius</v>
      </c>
      <c r="G2203" s="3" t="str">
        <f>VLOOKUP(B2203,[1]LifeList!$E$2:$I$2036,4)</f>
        <v>Passeriformes</v>
      </c>
      <c r="H2203" s="3" t="str">
        <f>VLOOKUP(B2203,[1]LifeList!$E$2:$I$2036,5)</f>
        <v>Icteridae (Troupials and Allies)</v>
      </c>
    </row>
    <row r="2204" spans="1:8" x14ac:dyDescent="0.15">
      <c r="A2204" s="3" t="s">
        <v>2103</v>
      </c>
      <c r="B2204" s="3" t="s">
        <v>4664</v>
      </c>
      <c r="C2204" s="3">
        <v>33679</v>
      </c>
      <c r="D2204" s="3" t="str">
        <f>VLOOKUP(B2204,[1]LifeList!$E$2:$G$2036,1)</f>
        <v>Orchard Oriole</v>
      </c>
      <c r="E2204" s="3" t="str">
        <f>VLOOKUP(B2204,[1]LifeList!$E$2:$G$2036,2)</f>
        <v>Oriole des vergers</v>
      </c>
      <c r="F2204" s="3" t="str">
        <f>VLOOKUP(B2204,[1]LifeList!$E$2:$G$2036,3)</f>
        <v>Icterus spurius</v>
      </c>
      <c r="G2204" s="3" t="str">
        <f>VLOOKUP(B2204,[1]LifeList!$E$2:$I$2036,4)</f>
        <v>Passeriformes</v>
      </c>
      <c r="H2204" s="3" t="str">
        <f>VLOOKUP(B2204,[1]LifeList!$E$2:$I$2036,5)</f>
        <v>Icteridae (Troupials and Allies)</v>
      </c>
    </row>
    <row r="2205" spans="1:8" x14ac:dyDescent="0.15">
      <c r="A2205" s="3" t="s">
        <v>2104</v>
      </c>
      <c r="B2205" s="3" t="s">
        <v>4664</v>
      </c>
      <c r="C2205" s="3">
        <v>33679</v>
      </c>
      <c r="D2205" s="3" t="str">
        <f>VLOOKUP(B2205,[1]LifeList!$E$2:$G$2036,1)</f>
        <v>Orchard Oriole</v>
      </c>
      <c r="E2205" s="3" t="str">
        <f>VLOOKUP(B2205,[1]LifeList!$E$2:$G$2036,2)</f>
        <v>Oriole des vergers</v>
      </c>
      <c r="F2205" s="3" t="str">
        <f>VLOOKUP(B2205,[1]LifeList!$E$2:$G$2036,3)</f>
        <v>Icterus spurius</v>
      </c>
      <c r="G2205" s="3" t="str">
        <f>VLOOKUP(B2205,[1]LifeList!$E$2:$I$2036,4)</f>
        <v>Passeriformes</v>
      </c>
      <c r="H2205" s="3" t="str">
        <f>VLOOKUP(B2205,[1]LifeList!$E$2:$I$2036,5)</f>
        <v>Icteridae (Troupials and Allies)</v>
      </c>
    </row>
    <row r="2206" spans="1:8" x14ac:dyDescent="0.15">
      <c r="A2206" s="3" t="s">
        <v>2105</v>
      </c>
      <c r="B2206" s="3" t="s">
        <v>4664</v>
      </c>
      <c r="C2206" s="3">
        <v>33679</v>
      </c>
      <c r="D2206" s="3" t="str">
        <f>VLOOKUP(B2206,[1]LifeList!$E$2:$G$2036,1)</f>
        <v>Orchard Oriole</v>
      </c>
      <c r="E2206" s="3" t="str">
        <f>VLOOKUP(B2206,[1]LifeList!$E$2:$G$2036,2)</f>
        <v>Oriole des vergers</v>
      </c>
      <c r="F2206" s="3" t="str">
        <f>VLOOKUP(B2206,[1]LifeList!$E$2:$G$2036,3)</f>
        <v>Icterus spurius</v>
      </c>
      <c r="G2206" s="3" t="str">
        <f>VLOOKUP(B2206,[1]LifeList!$E$2:$I$2036,4)</f>
        <v>Passeriformes</v>
      </c>
      <c r="H2206" s="3" t="str">
        <f>VLOOKUP(B2206,[1]LifeList!$E$2:$I$2036,5)</f>
        <v>Icteridae (Troupials and Allies)</v>
      </c>
    </row>
    <row r="2207" spans="1:8" x14ac:dyDescent="0.15">
      <c r="A2207" s="3" t="s">
        <v>2106</v>
      </c>
      <c r="B2207" s="3" t="s">
        <v>4664</v>
      </c>
      <c r="C2207" s="3">
        <v>33679</v>
      </c>
      <c r="D2207" s="3" t="str">
        <f>VLOOKUP(B2207,[1]LifeList!$E$2:$G$2036,1)</f>
        <v>Orchard Oriole</v>
      </c>
      <c r="E2207" s="3" t="str">
        <f>VLOOKUP(B2207,[1]LifeList!$E$2:$G$2036,2)</f>
        <v>Oriole des vergers</v>
      </c>
      <c r="F2207" s="3" t="str">
        <f>VLOOKUP(B2207,[1]LifeList!$E$2:$G$2036,3)</f>
        <v>Icterus spurius</v>
      </c>
      <c r="G2207" s="3" t="str">
        <f>VLOOKUP(B2207,[1]LifeList!$E$2:$I$2036,4)</f>
        <v>Passeriformes</v>
      </c>
      <c r="H2207" s="3" t="str">
        <f>VLOOKUP(B2207,[1]LifeList!$E$2:$I$2036,5)</f>
        <v>Icteridae (Troupials and Allies)</v>
      </c>
    </row>
    <row r="2208" spans="1:8" x14ac:dyDescent="0.15">
      <c r="A2208" s="3" t="s">
        <v>2107</v>
      </c>
      <c r="B2208" s="3" t="s">
        <v>4664</v>
      </c>
      <c r="C2208" s="3">
        <v>33679</v>
      </c>
      <c r="D2208" s="3" t="str">
        <f>VLOOKUP(B2208,[1]LifeList!$E$2:$G$2036,1)</f>
        <v>Orchard Oriole</v>
      </c>
      <c r="E2208" s="3" t="str">
        <f>VLOOKUP(B2208,[1]LifeList!$E$2:$G$2036,2)</f>
        <v>Oriole des vergers</v>
      </c>
      <c r="F2208" s="3" t="str">
        <f>VLOOKUP(B2208,[1]LifeList!$E$2:$G$2036,3)</f>
        <v>Icterus spurius</v>
      </c>
      <c r="G2208" s="3" t="str">
        <f>VLOOKUP(B2208,[1]LifeList!$E$2:$I$2036,4)</f>
        <v>Passeriformes</v>
      </c>
      <c r="H2208" s="3" t="str">
        <f>VLOOKUP(B2208,[1]LifeList!$E$2:$I$2036,5)</f>
        <v>Icteridae (Troupials and Allies)</v>
      </c>
    </row>
    <row r="2209" spans="1:8" x14ac:dyDescent="0.15">
      <c r="A2209" s="3" t="s">
        <v>2108</v>
      </c>
      <c r="B2209" s="3" t="s">
        <v>4665</v>
      </c>
      <c r="C2209" s="3">
        <v>35799</v>
      </c>
      <c r="D2209" s="3" t="str">
        <f>VLOOKUP(B2209,[1]LifeList!$E$2:$G$2036,1)</f>
        <v>Orinocan Saltator</v>
      </c>
      <c r="E2209" s="3" t="str">
        <f>VLOOKUP(B2209,[1]LifeList!$E$2:$G$2036,2)</f>
        <v>Saltator de l'Orénoque</v>
      </c>
      <c r="F2209" s="3" t="str">
        <f>VLOOKUP(B2209,[1]LifeList!$E$2:$G$2036,3)</f>
        <v>Saltator orenocensis</v>
      </c>
      <c r="G2209" s="3" t="str">
        <f>VLOOKUP(B2209,[1]LifeList!$E$2:$I$2036,4)</f>
        <v>Passeriformes</v>
      </c>
      <c r="H2209" s="3" t="str">
        <f>VLOOKUP(B2209,[1]LifeList!$E$2:$I$2036,5)</f>
        <v>Thraupidae (Tanagers and Allies)</v>
      </c>
    </row>
    <row r="2210" spans="1:8" x14ac:dyDescent="0.15">
      <c r="A2210" s="3" t="s">
        <v>2109</v>
      </c>
      <c r="B2210" s="3" t="s">
        <v>4666</v>
      </c>
      <c r="C2210" s="3">
        <v>7832</v>
      </c>
      <c r="D2210" s="3" t="str">
        <f>VLOOKUP(B2210,[1]LifeList!$E$2:$G$2036,1)</f>
        <v>Osprey</v>
      </c>
      <c r="E2210" s="3" t="str">
        <f>VLOOKUP(B2210,[1]LifeList!$E$2:$G$2036,2)</f>
        <v>Balbuzard pêcheur</v>
      </c>
      <c r="F2210" s="3" t="str">
        <f>VLOOKUP(B2210,[1]LifeList!$E$2:$G$2036,3)</f>
        <v>Pandion haliaetus</v>
      </c>
      <c r="G2210" s="3" t="str">
        <f>VLOOKUP(B2210,[1]LifeList!$E$2:$I$2036,4)</f>
        <v>Accipitriformes</v>
      </c>
      <c r="H2210" s="3" t="str">
        <f>VLOOKUP(B2210,[1]LifeList!$E$2:$I$2036,5)</f>
        <v>Pandionidae (Osprey)</v>
      </c>
    </row>
    <row r="2211" spans="1:8" x14ac:dyDescent="0.15">
      <c r="A2211" s="3" t="s">
        <v>2110</v>
      </c>
      <c r="B2211" s="3" t="s">
        <v>4666</v>
      </c>
      <c r="C2211" s="3">
        <v>7832</v>
      </c>
      <c r="D2211" s="3" t="str">
        <f>VLOOKUP(B2211,[1]LifeList!$E$2:$G$2036,1)</f>
        <v>Osprey</v>
      </c>
      <c r="E2211" s="3" t="str">
        <f>VLOOKUP(B2211,[1]LifeList!$E$2:$G$2036,2)</f>
        <v>Balbuzard pêcheur</v>
      </c>
      <c r="F2211" s="3" t="str">
        <f>VLOOKUP(B2211,[1]LifeList!$E$2:$G$2036,3)</f>
        <v>Pandion haliaetus</v>
      </c>
      <c r="G2211" s="3" t="str">
        <f>VLOOKUP(B2211,[1]LifeList!$E$2:$I$2036,4)</f>
        <v>Accipitriformes</v>
      </c>
      <c r="H2211" s="3" t="str">
        <f>VLOOKUP(B2211,[1]LifeList!$E$2:$I$2036,5)</f>
        <v>Pandionidae (Osprey)</v>
      </c>
    </row>
    <row r="2212" spans="1:8" x14ac:dyDescent="0.15">
      <c r="A2212" s="3" t="s">
        <v>2111</v>
      </c>
      <c r="B2212" s="3" t="s">
        <v>4666</v>
      </c>
      <c r="C2212" s="3">
        <v>7832</v>
      </c>
      <c r="D2212" s="3" t="str">
        <f>VLOOKUP(B2212,[1]LifeList!$E$2:$G$2036,1)</f>
        <v>Osprey</v>
      </c>
      <c r="E2212" s="3" t="str">
        <f>VLOOKUP(B2212,[1]LifeList!$E$2:$G$2036,2)</f>
        <v>Balbuzard pêcheur</v>
      </c>
      <c r="F2212" s="3" t="str">
        <f>VLOOKUP(B2212,[1]LifeList!$E$2:$G$2036,3)</f>
        <v>Pandion haliaetus</v>
      </c>
      <c r="G2212" s="3" t="str">
        <f>VLOOKUP(B2212,[1]LifeList!$E$2:$I$2036,4)</f>
        <v>Accipitriformes</v>
      </c>
      <c r="H2212" s="3" t="str">
        <f>VLOOKUP(B2212,[1]LifeList!$E$2:$I$2036,5)</f>
        <v>Pandionidae (Osprey)</v>
      </c>
    </row>
    <row r="2213" spans="1:8" x14ac:dyDescent="0.15">
      <c r="A2213" s="3" t="s">
        <v>2112</v>
      </c>
      <c r="B2213" s="3" t="s">
        <v>4666</v>
      </c>
      <c r="C2213" s="3">
        <v>7832</v>
      </c>
      <c r="D2213" s="3" t="str">
        <f>VLOOKUP(B2213,[1]LifeList!$E$2:$G$2036,1)</f>
        <v>Osprey</v>
      </c>
      <c r="E2213" s="3" t="str">
        <f>VLOOKUP(B2213,[1]LifeList!$E$2:$G$2036,2)</f>
        <v>Balbuzard pêcheur</v>
      </c>
      <c r="F2213" s="3" t="str">
        <f>VLOOKUP(B2213,[1]LifeList!$E$2:$G$2036,3)</f>
        <v>Pandion haliaetus</v>
      </c>
      <c r="G2213" s="3" t="str">
        <f>VLOOKUP(B2213,[1]LifeList!$E$2:$I$2036,4)</f>
        <v>Accipitriformes</v>
      </c>
      <c r="H2213" s="3" t="str">
        <f>VLOOKUP(B2213,[1]LifeList!$E$2:$I$2036,5)</f>
        <v>Pandionidae (Osprey)</v>
      </c>
    </row>
    <row r="2214" spans="1:8" x14ac:dyDescent="0.15">
      <c r="A2214" s="3" t="s">
        <v>2113</v>
      </c>
      <c r="B2214" s="3" t="s">
        <v>4666</v>
      </c>
      <c r="C2214" s="3">
        <v>7832</v>
      </c>
      <c r="D2214" s="3" t="str">
        <f>VLOOKUP(B2214,[1]LifeList!$E$2:$G$2036,1)</f>
        <v>Osprey</v>
      </c>
      <c r="E2214" s="3" t="str">
        <f>VLOOKUP(B2214,[1]LifeList!$E$2:$G$2036,2)</f>
        <v>Balbuzard pêcheur</v>
      </c>
      <c r="F2214" s="3" t="str">
        <f>VLOOKUP(B2214,[1]LifeList!$E$2:$G$2036,3)</f>
        <v>Pandion haliaetus</v>
      </c>
      <c r="G2214" s="3" t="str">
        <f>VLOOKUP(B2214,[1]LifeList!$E$2:$I$2036,4)</f>
        <v>Accipitriformes</v>
      </c>
      <c r="H2214" s="3" t="str">
        <f>VLOOKUP(B2214,[1]LifeList!$E$2:$I$2036,5)</f>
        <v>Pandionidae (Osprey)</v>
      </c>
    </row>
    <row r="2215" spans="1:8" x14ac:dyDescent="0.15">
      <c r="A2215" s="3" t="s">
        <v>2114</v>
      </c>
      <c r="B2215" s="3" t="s">
        <v>4666</v>
      </c>
      <c r="C2215" s="3">
        <v>7832</v>
      </c>
      <c r="D2215" s="3" t="str">
        <f>VLOOKUP(B2215,[1]LifeList!$E$2:$G$2036,1)</f>
        <v>Osprey</v>
      </c>
      <c r="E2215" s="3" t="str">
        <f>VLOOKUP(B2215,[1]LifeList!$E$2:$G$2036,2)</f>
        <v>Balbuzard pêcheur</v>
      </c>
      <c r="F2215" s="3" t="str">
        <f>VLOOKUP(B2215,[1]LifeList!$E$2:$G$2036,3)</f>
        <v>Pandion haliaetus</v>
      </c>
      <c r="G2215" s="3" t="str">
        <f>VLOOKUP(B2215,[1]LifeList!$E$2:$I$2036,4)</f>
        <v>Accipitriformes</v>
      </c>
      <c r="H2215" s="3" t="str">
        <f>VLOOKUP(B2215,[1]LifeList!$E$2:$I$2036,5)</f>
        <v>Pandionidae (Osprey)</v>
      </c>
    </row>
    <row r="2216" spans="1:8" x14ac:dyDescent="0.15">
      <c r="A2216" s="3" t="s">
        <v>2115</v>
      </c>
      <c r="B2216" s="3" t="s">
        <v>4666</v>
      </c>
      <c r="C2216" s="3">
        <v>7832</v>
      </c>
      <c r="D2216" s="3" t="str">
        <f>VLOOKUP(B2216,[1]LifeList!$E$2:$G$2036,1)</f>
        <v>Osprey</v>
      </c>
      <c r="E2216" s="3" t="str">
        <f>VLOOKUP(B2216,[1]LifeList!$E$2:$G$2036,2)</f>
        <v>Balbuzard pêcheur</v>
      </c>
      <c r="F2216" s="3" t="str">
        <f>VLOOKUP(B2216,[1]LifeList!$E$2:$G$2036,3)</f>
        <v>Pandion haliaetus</v>
      </c>
      <c r="G2216" s="3" t="str">
        <f>VLOOKUP(B2216,[1]LifeList!$E$2:$I$2036,4)</f>
        <v>Accipitriformes</v>
      </c>
      <c r="H2216" s="3" t="str">
        <f>VLOOKUP(B2216,[1]LifeList!$E$2:$I$2036,5)</f>
        <v>Pandionidae (Osprey)</v>
      </c>
    </row>
    <row r="2217" spans="1:8" x14ac:dyDescent="0.15">
      <c r="A2217" s="3" t="s">
        <v>2116</v>
      </c>
      <c r="B2217" s="3" t="s">
        <v>4666</v>
      </c>
      <c r="C2217" s="3">
        <v>7832</v>
      </c>
      <c r="D2217" s="3" t="str">
        <f>VLOOKUP(B2217,[1]LifeList!$E$2:$G$2036,1)</f>
        <v>Osprey</v>
      </c>
      <c r="E2217" s="3" t="str">
        <f>VLOOKUP(B2217,[1]LifeList!$E$2:$G$2036,2)</f>
        <v>Balbuzard pêcheur</v>
      </c>
      <c r="F2217" s="3" t="str">
        <f>VLOOKUP(B2217,[1]LifeList!$E$2:$G$2036,3)</f>
        <v>Pandion haliaetus</v>
      </c>
      <c r="G2217" s="3" t="str">
        <f>VLOOKUP(B2217,[1]LifeList!$E$2:$I$2036,4)</f>
        <v>Accipitriformes</v>
      </c>
      <c r="H2217" s="3" t="str">
        <f>VLOOKUP(B2217,[1]LifeList!$E$2:$I$2036,5)</f>
        <v>Pandionidae (Osprey)</v>
      </c>
    </row>
    <row r="2218" spans="1:8" x14ac:dyDescent="0.15">
      <c r="A2218" s="3" t="s">
        <v>2117</v>
      </c>
      <c r="B2218" s="3" t="s">
        <v>4666</v>
      </c>
      <c r="C2218" s="3">
        <v>7832</v>
      </c>
      <c r="D2218" s="3" t="str">
        <f>VLOOKUP(B2218,[1]LifeList!$E$2:$G$2036,1)</f>
        <v>Osprey</v>
      </c>
      <c r="E2218" s="3" t="str">
        <f>VLOOKUP(B2218,[1]LifeList!$E$2:$G$2036,2)</f>
        <v>Balbuzard pêcheur</v>
      </c>
      <c r="F2218" s="3" t="str">
        <f>VLOOKUP(B2218,[1]LifeList!$E$2:$G$2036,3)</f>
        <v>Pandion haliaetus</v>
      </c>
      <c r="G2218" s="3" t="str">
        <f>VLOOKUP(B2218,[1]LifeList!$E$2:$I$2036,4)</f>
        <v>Accipitriformes</v>
      </c>
      <c r="H2218" s="3" t="str">
        <f>VLOOKUP(B2218,[1]LifeList!$E$2:$I$2036,5)</f>
        <v>Pandionidae (Osprey)</v>
      </c>
    </row>
    <row r="2219" spans="1:8" x14ac:dyDescent="0.15">
      <c r="A2219" s="3" t="s">
        <v>2118</v>
      </c>
      <c r="B2219" s="3" t="s">
        <v>4666</v>
      </c>
      <c r="C2219" s="3">
        <v>7832</v>
      </c>
      <c r="D2219" s="3" t="str">
        <f>VLOOKUP(B2219,[1]LifeList!$E$2:$G$2036,1)</f>
        <v>Osprey</v>
      </c>
      <c r="E2219" s="3" t="str">
        <f>VLOOKUP(B2219,[1]LifeList!$E$2:$G$2036,2)</f>
        <v>Balbuzard pêcheur</v>
      </c>
      <c r="F2219" s="3" t="str">
        <f>VLOOKUP(B2219,[1]LifeList!$E$2:$G$2036,3)</f>
        <v>Pandion haliaetus</v>
      </c>
      <c r="G2219" s="3" t="str">
        <f>VLOOKUP(B2219,[1]LifeList!$E$2:$I$2036,4)</f>
        <v>Accipitriformes</v>
      </c>
      <c r="H2219" s="3" t="str">
        <f>VLOOKUP(B2219,[1]LifeList!$E$2:$I$2036,5)</f>
        <v>Pandionidae (Osprey)</v>
      </c>
    </row>
    <row r="2220" spans="1:8" x14ac:dyDescent="0.15">
      <c r="A2220" s="3" t="s">
        <v>2119</v>
      </c>
      <c r="B2220" s="3" t="s">
        <v>4666</v>
      </c>
      <c r="C2220" s="3">
        <v>7832</v>
      </c>
      <c r="D2220" s="3" t="str">
        <f>VLOOKUP(B2220,[1]LifeList!$E$2:$G$2036,1)</f>
        <v>Osprey</v>
      </c>
      <c r="E2220" s="3" t="str">
        <f>VLOOKUP(B2220,[1]LifeList!$E$2:$G$2036,2)</f>
        <v>Balbuzard pêcheur</v>
      </c>
      <c r="F2220" s="3" t="str">
        <f>VLOOKUP(B2220,[1]LifeList!$E$2:$G$2036,3)</f>
        <v>Pandion haliaetus</v>
      </c>
      <c r="G2220" s="3" t="str">
        <f>VLOOKUP(B2220,[1]LifeList!$E$2:$I$2036,4)</f>
        <v>Accipitriformes</v>
      </c>
      <c r="H2220" s="3" t="str">
        <f>VLOOKUP(B2220,[1]LifeList!$E$2:$I$2036,5)</f>
        <v>Pandionidae (Osprey)</v>
      </c>
    </row>
    <row r="2221" spans="1:8" x14ac:dyDescent="0.15">
      <c r="A2221" s="3" t="s">
        <v>2120</v>
      </c>
      <c r="B2221" s="3" t="s">
        <v>4666</v>
      </c>
      <c r="C2221" s="3">
        <v>7832</v>
      </c>
      <c r="D2221" s="3" t="str">
        <f>VLOOKUP(B2221,[1]LifeList!$E$2:$G$2036,1)</f>
        <v>Osprey</v>
      </c>
      <c r="E2221" s="3" t="str">
        <f>VLOOKUP(B2221,[1]LifeList!$E$2:$G$2036,2)</f>
        <v>Balbuzard pêcheur</v>
      </c>
      <c r="F2221" s="3" t="str">
        <f>VLOOKUP(B2221,[1]LifeList!$E$2:$G$2036,3)</f>
        <v>Pandion haliaetus</v>
      </c>
      <c r="G2221" s="3" t="str">
        <f>VLOOKUP(B2221,[1]LifeList!$E$2:$I$2036,4)</f>
        <v>Accipitriformes</v>
      </c>
      <c r="H2221" s="3" t="str">
        <f>VLOOKUP(B2221,[1]LifeList!$E$2:$I$2036,5)</f>
        <v>Pandionidae (Osprey)</v>
      </c>
    </row>
    <row r="2222" spans="1:8" x14ac:dyDescent="0.15">
      <c r="A2222" s="3" t="s">
        <v>2121</v>
      </c>
      <c r="B2222" s="3" t="s">
        <v>4666</v>
      </c>
      <c r="C2222" s="3">
        <v>7832</v>
      </c>
      <c r="D2222" s="3" t="str">
        <f>VLOOKUP(B2222,[1]LifeList!$E$2:$G$2036,1)</f>
        <v>Osprey</v>
      </c>
      <c r="E2222" s="3" t="str">
        <f>VLOOKUP(B2222,[1]LifeList!$E$2:$G$2036,2)</f>
        <v>Balbuzard pêcheur</v>
      </c>
      <c r="F2222" s="3" t="str">
        <f>VLOOKUP(B2222,[1]LifeList!$E$2:$G$2036,3)</f>
        <v>Pandion haliaetus</v>
      </c>
      <c r="G2222" s="3" t="str">
        <f>VLOOKUP(B2222,[1]LifeList!$E$2:$I$2036,4)</f>
        <v>Accipitriformes</v>
      </c>
      <c r="H2222" s="3" t="str">
        <f>VLOOKUP(B2222,[1]LifeList!$E$2:$I$2036,5)</f>
        <v>Pandionidae (Osprey)</v>
      </c>
    </row>
    <row r="2223" spans="1:8" x14ac:dyDescent="0.15">
      <c r="A2223" s="3" t="s">
        <v>2122</v>
      </c>
      <c r="B2223" s="3" t="s">
        <v>4666</v>
      </c>
      <c r="C2223" s="3">
        <v>7832</v>
      </c>
      <c r="D2223" s="3" t="str">
        <f>VLOOKUP(B2223,[1]LifeList!$E$2:$G$2036,1)</f>
        <v>Osprey</v>
      </c>
      <c r="E2223" s="3" t="str">
        <f>VLOOKUP(B2223,[1]LifeList!$E$2:$G$2036,2)</f>
        <v>Balbuzard pêcheur</v>
      </c>
      <c r="F2223" s="3" t="str">
        <f>VLOOKUP(B2223,[1]LifeList!$E$2:$G$2036,3)</f>
        <v>Pandion haliaetus</v>
      </c>
      <c r="G2223" s="3" t="str">
        <f>VLOOKUP(B2223,[1]LifeList!$E$2:$I$2036,4)</f>
        <v>Accipitriformes</v>
      </c>
      <c r="H2223" s="3" t="str">
        <f>VLOOKUP(B2223,[1]LifeList!$E$2:$I$2036,5)</f>
        <v>Pandionidae (Osprey)</v>
      </c>
    </row>
    <row r="2224" spans="1:8" x14ac:dyDescent="0.15">
      <c r="A2224" s="3" t="s">
        <v>2123</v>
      </c>
      <c r="B2224" s="3" t="s">
        <v>4666</v>
      </c>
      <c r="C2224" s="3">
        <v>7832</v>
      </c>
      <c r="D2224" s="3" t="str">
        <f>VLOOKUP(B2224,[1]LifeList!$E$2:$G$2036,1)</f>
        <v>Osprey</v>
      </c>
      <c r="E2224" s="3" t="str">
        <f>VLOOKUP(B2224,[1]LifeList!$E$2:$G$2036,2)</f>
        <v>Balbuzard pêcheur</v>
      </c>
      <c r="F2224" s="3" t="str">
        <f>VLOOKUP(B2224,[1]LifeList!$E$2:$G$2036,3)</f>
        <v>Pandion haliaetus</v>
      </c>
      <c r="G2224" s="3" t="str">
        <f>VLOOKUP(B2224,[1]LifeList!$E$2:$I$2036,4)</f>
        <v>Accipitriformes</v>
      </c>
      <c r="H2224" s="3" t="str">
        <f>VLOOKUP(B2224,[1]LifeList!$E$2:$I$2036,5)</f>
        <v>Pandionidae (Osprey)</v>
      </c>
    </row>
    <row r="2225" spans="1:8" x14ac:dyDescent="0.15">
      <c r="A2225" s="3" t="s">
        <v>2124</v>
      </c>
      <c r="B2225" s="3" t="s">
        <v>4666</v>
      </c>
      <c r="C2225" s="3">
        <v>7832</v>
      </c>
      <c r="D2225" s="3" t="str">
        <f>VLOOKUP(B2225,[1]LifeList!$E$2:$G$2036,1)</f>
        <v>Osprey</v>
      </c>
      <c r="E2225" s="3" t="str">
        <f>VLOOKUP(B2225,[1]LifeList!$E$2:$G$2036,2)</f>
        <v>Balbuzard pêcheur</v>
      </c>
      <c r="F2225" s="3" t="str">
        <f>VLOOKUP(B2225,[1]LifeList!$E$2:$G$2036,3)</f>
        <v>Pandion haliaetus</v>
      </c>
      <c r="G2225" s="3" t="str">
        <f>VLOOKUP(B2225,[1]LifeList!$E$2:$I$2036,4)</f>
        <v>Accipitriformes</v>
      </c>
      <c r="H2225" s="3" t="str">
        <f>VLOOKUP(B2225,[1]LifeList!$E$2:$I$2036,5)</f>
        <v>Pandionidae (Osprey)</v>
      </c>
    </row>
    <row r="2226" spans="1:8" x14ac:dyDescent="0.15">
      <c r="A2226" s="3" t="s">
        <v>2125</v>
      </c>
      <c r="B2226" s="3" t="s">
        <v>4666</v>
      </c>
      <c r="C2226" s="3">
        <v>7832</v>
      </c>
      <c r="D2226" s="3" t="str">
        <f>VLOOKUP(B2226,[1]LifeList!$E$2:$G$2036,1)</f>
        <v>Osprey</v>
      </c>
      <c r="E2226" s="3" t="str">
        <f>VLOOKUP(B2226,[1]LifeList!$E$2:$G$2036,2)</f>
        <v>Balbuzard pêcheur</v>
      </c>
      <c r="F2226" s="3" t="str">
        <f>VLOOKUP(B2226,[1]LifeList!$E$2:$G$2036,3)</f>
        <v>Pandion haliaetus</v>
      </c>
      <c r="G2226" s="3" t="str">
        <f>VLOOKUP(B2226,[1]LifeList!$E$2:$I$2036,4)</f>
        <v>Accipitriformes</v>
      </c>
      <c r="H2226" s="3" t="str">
        <f>VLOOKUP(B2226,[1]LifeList!$E$2:$I$2036,5)</f>
        <v>Pandionidae (Osprey)</v>
      </c>
    </row>
    <row r="2227" spans="1:8" x14ac:dyDescent="0.15">
      <c r="A2227" s="3" t="s">
        <v>2126</v>
      </c>
      <c r="B2227" s="3" t="s">
        <v>4667</v>
      </c>
      <c r="C2227" s="3">
        <v>33946</v>
      </c>
      <c r="D2227" s="3" t="str">
        <f>VLOOKUP(B2227,[1]LifeList!$E$2:$G$2036,1)</f>
        <v>Ovenbird</v>
      </c>
      <c r="E2227" s="3" t="str">
        <f>VLOOKUP(B2227,[1]LifeList!$E$2:$G$2036,2)</f>
        <v>Paruline couronnée</v>
      </c>
      <c r="F2227" s="3" t="str">
        <f>VLOOKUP(B2227,[1]LifeList!$E$2:$G$2036,3)</f>
        <v>Seiurus aurocapilla</v>
      </c>
      <c r="G2227" s="3" t="str">
        <f>VLOOKUP(B2227,[1]LifeList!$E$2:$I$2036,4)</f>
        <v>Passeriformes</v>
      </c>
      <c r="H2227" s="3" t="str">
        <f>VLOOKUP(B2227,[1]LifeList!$E$2:$I$2036,5)</f>
        <v>Parulidae (New World Warblers)</v>
      </c>
    </row>
    <row r="2228" spans="1:8" x14ac:dyDescent="0.15">
      <c r="A2228" s="3" t="s">
        <v>2127</v>
      </c>
      <c r="B2228" s="3" t="s">
        <v>4667</v>
      </c>
      <c r="C2228" s="3">
        <v>33946</v>
      </c>
      <c r="D2228" s="3" t="str">
        <f>VLOOKUP(B2228,[1]LifeList!$E$2:$G$2036,1)</f>
        <v>Ovenbird</v>
      </c>
      <c r="E2228" s="3" t="str">
        <f>VLOOKUP(B2228,[1]LifeList!$E$2:$G$2036,2)</f>
        <v>Paruline couronnée</v>
      </c>
      <c r="F2228" s="3" t="str">
        <f>VLOOKUP(B2228,[1]LifeList!$E$2:$G$2036,3)</f>
        <v>Seiurus aurocapilla</v>
      </c>
      <c r="G2228" s="3" t="str">
        <f>VLOOKUP(B2228,[1]LifeList!$E$2:$I$2036,4)</f>
        <v>Passeriformes</v>
      </c>
      <c r="H2228" s="3" t="str">
        <f>VLOOKUP(B2228,[1]LifeList!$E$2:$I$2036,5)</f>
        <v>Parulidae (New World Warblers)</v>
      </c>
    </row>
    <row r="2229" spans="1:8" x14ac:dyDescent="0.15">
      <c r="A2229" s="3" t="s">
        <v>2128</v>
      </c>
      <c r="B2229" s="3" t="s">
        <v>4667</v>
      </c>
      <c r="C2229" s="3">
        <v>33946</v>
      </c>
      <c r="D2229" s="3" t="str">
        <f>VLOOKUP(B2229,[1]LifeList!$E$2:$G$2036,1)</f>
        <v>Ovenbird</v>
      </c>
      <c r="E2229" s="3" t="str">
        <f>VLOOKUP(B2229,[1]LifeList!$E$2:$G$2036,2)</f>
        <v>Paruline couronnée</v>
      </c>
      <c r="F2229" s="3" t="str">
        <f>VLOOKUP(B2229,[1]LifeList!$E$2:$G$2036,3)</f>
        <v>Seiurus aurocapilla</v>
      </c>
      <c r="G2229" s="3" t="str">
        <f>VLOOKUP(B2229,[1]LifeList!$E$2:$I$2036,4)</f>
        <v>Passeriformes</v>
      </c>
      <c r="H2229" s="3" t="str">
        <f>VLOOKUP(B2229,[1]LifeList!$E$2:$I$2036,5)</f>
        <v>Parulidae (New World Warblers)</v>
      </c>
    </row>
    <row r="2230" spans="1:8" x14ac:dyDescent="0.15">
      <c r="A2230" s="3" t="s">
        <v>2129</v>
      </c>
      <c r="B2230" s="3" t="s">
        <v>4667</v>
      </c>
      <c r="C2230" s="3">
        <v>33946</v>
      </c>
      <c r="D2230" s="3" t="str">
        <f>VLOOKUP(B2230,[1]LifeList!$E$2:$G$2036,1)</f>
        <v>Ovenbird</v>
      </c>
      <c r="E2230" s="3" t="str">
        <f>VLOOKUP(B2230,[1]LifeList!$E$2:$G$2036,2)</f>
        <v>Paruline couronnée</v>
      </c>
      <c r="F2230" s="3" t="str">
        <f>VLOOKUP(B2230,[1]LifeList!$E$2:$G$2036,3)</f>
        <v>Seiurus aurocapilla</v>
      </c>
      <c r="G2230" s="3" t="str">
        <f>VLOOKUP(B2230,[1]LifeList!$E$2:$I$2036,4)</f>
        <v>Passeriformes</v>
      </c>
      <c r="H2230" s="3" t="str">
        <f>VLOOKUP(B2230,[1]LifeList!$E$2:$I$2036,5)</f>
        <v>Parulidae (New World Warblers)</v>
      </c>
    </row>
    <row r="2231" spans="1:8" x14ac:dyDescent="0.15">
      <c r="A2231" s="3" t="s">
        <v>2130</v>
      </c>
      <c r="B2231" s="3" t="s">
        <v>4667</v>
      </c>
      <c r="C2231" s="3">
        <v>33946</v>
      </c>
      <c r="D2231" s="3" t="str">
        <f>VLOOKUP(B2231,[1]LifeList!$E$2:$G$2036,1)</f>
        <v>Ovenbird</v>
      </c>
      <c r="E2231" s="3" t="str">
        <f>VLOOKUP(B2231,[1]LifeList!$E$2:$G$2036,2)</f>
        <v>Paruline couronnée</v>
      </c>
      <c r="F2231" s="3" t="str">
        <f>VLOOKUP(B2231,[1]LifeList!$E$2:$G$2036,3)</f>
        <v>Seiurus aurocapilla</v>
      </c>
      <c r="G2231" s="3" t="str">
        <f>VLOOKUP(B2231,[1]LifeList!$E$2:$I$2036,4)</f>
        <v>Passeriformes</v>
      </c>
      <c r="H2231" s="3" t="str">
        <f>VLOOKUP(B2231,[1]LifeList!$E$2:$I$2036,5)</f>
        <v>Parulidae (New World Warblers)</v>
      </c>
    </row>
    <row r="2232" spans="1:8" x14ac:dyDescent="0.15">
      <c r="A2232" s="3" t="s">
        <v>2131</v>
      </c>
      <c r="B2232" s="3" t="s">
        <v>4667</v>
      </c>
      <c r="C2232" s="3">
        <v>33946</v>
      </c>
      <c r="D2232" s="3" t="str">
        <f>VLOOKUP(B2232,[1]LifeList!$E$2:$G$2036,1)</f>
        <v>Ovenbird</v>
      </c>
      <c r="E2232" s="3" t="str">
        <f>VLOOKUP(B2232,[1]LifeList!$E$2:$G$2036,2)</f>
        <v>Paruline couronnée</v>
      </c>
      <c r="F2232" s="3" t="str">
        <f>VLOOKUP(B2232,[1]LifeList!$E$2:$G$2036,3)</f>
        <v>Seiurus aurocapilla</v>
      </c>
      <c r="G2232" s="3" t="str">
        <f>VLOOKUP(B2232,[1]LifeList!$E$2:$I$2036,4)</f>
        <v>Passeriformes</v>
      </c>
      <c r="H2232" s="3" t="str">
        <f>VLOOKUP(B2232,[1]LifeList!$E$2:$I$2036,5)</f>
        <v>Parulidae (New World Warblers)</v>
      </c>
    </row>
    <row r="2233" spans="1:8" x14ac:dyDescent="0.15">
      <c r="A2233" s="3" t="s">
        <v>2132</v>
      </c>
      <c r="B2233" s="3" t="s">
        <v>4667</v>
      </c>
      <c r="C2233" s="3">
        <v>33946</v>
      </c>
      <c r="D2233" s="3" t="str">
        <f>VLOOKUP(B2233,[1]LifeList!$E$2:$G$2036,1)</f>
        <v>Ovenbird</v>
      </c>
      <c r="E2233" s="3" t="str">
        <f>VLOOKUP(B2233,[1]LifeList!$E$2:$G$2036,2)</f>
        <v>Paruline couronnée</v>
      </c>
      <c r="F2233" s="3" t="str">
        <f>VLOOKUP(B2233,[1]LifeList!$E$2:$G$2036,3)</f>
        <v>Seiurus aurocapilla</v>
      </c>
      <c r="G2233" s="3" t="str">
        <f>VLOOKUP(B2233,[1]LifeList!$E$2:$I$2036,4)</f>
        <v>Passeriformes</v>
      </c>
      <c r="H2233" s="3" t="str">
        <f>VLOOKUP(B2233,[1]LifeList!$E$2:$I$2036,5)</f>
        <v>Parulidae (New World Warblers)</v>
      </c>
    </row>
    <row r="2234" spans="1:8" x14ac:dyDescent="0.15">
      <c r="A2234" s="3" t="s">
        <v>2133</v>
      </c>
      <c r="B2234" s="3" t="s">
        <v>4667</v>
      </c>
      <c r="C2234" s="3">
        <v>33946</v>
      </c>
      <c r="D2234" s="3" t="str">
        <f>VLOOKUP(B2234,[1]LifeList!$E$2:$G$2036,1)</f>
        <v>Ovenbird</v>
      </c>
      <c r="E2234" s="3" t="str">
        <f>VLOOKUP(B2234,[1]LifeList!$E$2:$G$2036,2)</f>
        <v>Paruline couronnée</v>
      </c>
      <c r="F2234" s="3" t="str">
        <f>VLOOKUP(B2234,[1]LifeList!$E$2:$G$2036,3)</f>
        <v>Seiurus aurocapilla</v>
      </c>
      <c r="G2234" s="3" t="str">
        <f>VLOOKUP(B2234,[1]LifeList!$E$2:$I$2036,4)</f>
        <v>Passeriformes</v>
      </c>
      <c r="H2234" s="3" t="str">
        <f>VLOOKUP(B2234,[1]LifeList!$E$2:$I$2036,5)</f>
        <v>Parulidae (New World Warblers)</v>
      </c>
    </row>
    <row r="2235" spans="1:8" x14ac:dyDescent="0.15">
      <c r="A2235" s="3" t="s">
        <v>2134</v>
      </c>
      <c r="B2235" s="3" t="s">
        <v>4667</v>
      </c>
      <c r="C2235" s="3">
        <v>33946</v>
      </c>
      <c r="D2235" s="3" t="str">
        <f>VLOOKUP(B2235,[1]LifeList!$E$2:$G$2036,1)</f>
        <v>Ovenbird</v>
      </c>
      <c r="E2235" s="3" t="str">
        <f>VLOOKUP(B2235,[1]LifeList!$E$2:$G$2036,2)</f>
        <v>Paruline couronnée</v>
      </c>
      <c r="F2235" s="3" t="str">
        <f>VLOOKUP(B2235,[1]LifeList!$E$2:$G$2036,3)</f>
        <v>Seiurus aurocapilla</v>
      </c>
      <c r="G2235" s="3" t="str">
        <f>VLOOKUP(B2235,[1]LifeList!$E$2:$I$2036,4)</f>
        <v>Passeriformes</v>
      </c>
      <c r="H2235" s="3" t="str">
        <f>VLOOKUP(B2235,[1]LifeList!$E$2:$I$2036,5)</f>
        <v>Parulidae (New World Warblers)</v>
      </c>
    </row>
    <row r="2236" spans="1:8" x14ac:dyDescent="0.15">
      <c r="A2236" s="3" t="s">
        <v>2135</v>
      </c>
      <c r="B2236" s="3" t="s">
        <v>4667</v>
      </c>
      <c r="C2236" s="3">
        <v>33946</v>
      </c>
      <c r="D2236" s="3" t="str">
        <f>VLOOKUP(B2236,[1]LifeList!$E$2:$G$2036,1)</f>
        <v>Ovenbird</v>
      </c>
      <c r="E2236" s="3" t="str">
        <f>VLOOKUP(B2236,[1]LifeList!$E$2:$G$2036,2)</f>
        <v>Paruline couronnée</v>
      </c>
      <c r="F2236" s="3" t="str">
        <f>VLOOKUP(B2236,[1]LifeList!$E$2:$G$2036,3)</f>
        <v>Seiurus aurocapilla</v>
      </c>
      <c r="G2236" s="3" t="str">
        <f>VLOOKUP(B2236,[1]LifeList!$E$2:$I$2036,4)</f>
        <v>Passeriformes</v>
      </c>
      <c r="H2236" s="3" t="str">
        <f>VLOOKUP(B2236,[1]LifeList!$E$2:$I$2036,5)</f>
        <v>Parulidae (New World Warblers)</v>
      </c>
    </row>
    <row r="2237" spans="1:8" x14ac:dyDescent="0.15">
      <c r="A2237" s="3" t="s">
        <v>2136</v>
      </c>
      <c r="B2237" s="3" t="s">
        <v>4668</v>
      </c>
      <c r="C2237" s="3">
        <v>13723</v>
      </c>
      <c r="D2237" s="3" t="str">
        <f>VLOOKUP(B2237,[1]LifeList!$E$2:$G$2036,1)</f>
        <v>Pacific Antwren</v>
      </c>
      <c r="E2237" s="3" t="str">
        <f>VLOOKUP(B2237,[1]LifeList!$E$2:$G$2036,2)</f>
        <v>Myrmidon du Pacifique</v>
      </c>
      <c r="F2237" s="3" t="str">
        <f>VLOOKUP(B2237,[1]LifeList!$E$2:$G$2036,3)</f>
        <v>Myrmotherula pacifica</v>
      </c>
      <c r="G2237" s="3" t="str">
        <f>VLOOKUP(B2237,[1]LifeList!$E$2:$I$2036,4)</f>
        <v>Passeriformes</v>
      </c>
      <c r="H2237" s="3" t="str">
        <f>VLOOKUP(B2237,[1]LifeList!$E$2:$I$2036,5)</f>
        <v>Thamnophilidae (Typical Antbirds)</v>
      </c>
    </row>
    <row r="2238" spans="1:8" x14ac:dyDescent="0.15">
      <c r="A2238" s="3" t="s">
        <v>2137</v>
      </c>
      <c r="B2238" s="3" t="s">
        <v>3783</v>
      </c>
      <c r="C2238" s="3">
        <v>534</v>
      </c>
      <c r="D2238" s="3" t="str">
        <f>VLOOKUP(B2238,[1]LifeList!$E$2:$G$2036,1)</f>
        <v>Pacific Black Duck</v>
      </c>
      <c r="E2238" s="3" t="str">
        <f>VLOOKUP(B2238,[1]LifeList!$E$2:$G$2036,2)</f>
        <v>Canard à sourcils</v>
      </c>
      <c r="F2238" s="3" t="str">
        <f>VLOOKUP(B2238,[1]LifeList!$E$2:$G$2036,3)</f>
        <v>Anas superciliosa</v>
      </c>
      <c r="G2238" s="3" t="str">
        <f>VLOOKUP(B2238,[1]LifeList!$E$2:$I$2036,4)</f>
        <v>Anseriformes</v>
      </c>
      <c r="H2238" s="3" t="str">
        <f>VLOOKUP(B2238,[1]LifeList!$E$2:$I$2036,5)</f>
        <v>Anatidae (Ducks, Geese, and Waterfowl)</v>
      </c>
    </row>
    <row r="2239" spans="1:8" x14ac:dyDescent="0.15">
      <c r="A2239" s="3" t="s">
        <v>2146</v>
      </c>
      <c r="B2239" s="3" t="s">
        <v>3783</v>
      </c>
      <c r="C2239" s="3">
        <v>534</v>
      </c>
      <c r="D2239" s="3" t="str">
        <f>VLOOKUP(B2239,[1]LifeList!$E$2:$G$2036,1)</f>
        <v>Pacific Black Duck</v>
      </c>
      <c r="E2239" s="3" t="str">
        <f>VLOOKUP(B2239,[1]LifeList!$E$2:$G$2036,2)</f>
        <v>Canard à sourcils</v>
      </c>
      <c r="F2239" s="3" t="str">
        <f>VLOOKUP(B2239,[1]LifeList!$E$2:$G$2036,3)</f>
        <v>Anas superciliosa</v>
      </c>
      <c r="G2239" s="3" t="str">
        <f>VLOOKUP(B2239,[1]LifeList!$E$2:$I$2036,4)</f>
        <v>Anseriformes</v>
      </c>
      <c r="H2239" s="3" t="str">
        <f>VLOOKUP(B2239,[1]LifeList!$E$2:$I$2036,5)</f>
        <v>Anatidae (Ducks, Geese, and Waterfowl)</v>
      </c>
    </row>
    <row r="2240" spans="1:8" x14ac:dyDescent="0.15">
      <c r="A2240" s="3" t="s">
        <v>2138</v>
      </c>
      <c r="B2240" s="3" t="s">
        <v>4669</v>
      </c>
      <c r="C2240" s="3">
        <v>5816</v>
      </c>
      <c r="D2240" s="3" t="str">
        <f>VLOOKUP(B2240,[1]LifeList!$E$2:$G$2036,1)</f>
        <v>Pacific Golden-Plover</v>
      </c>
      <c r="E2240" s="3" t="str">
        <f>VLOOKUP(B2240,[1]LifeList!$E$2:$G$2036,2)</f>
        <v>Pluvier fauve</v>
      </c>
      <c r="F2240" s="3" t="str">
        <f>VLOOKUP(B2240,[1]LifeList!$E$2:$G$2036,3)</f>
        <v>Pluvialis fulva</v>
      </c>
      <c r="G2240" s="3" t="str">
        <f>VLOOKUP(B2240,[1]LifeList!$E$2:$I$2036,4)</f>
        <v>Charadriiformes</v>
      </c>
      <c r="H2240" s="3" t="str">
        <f>VLOOKUP(B2240,[1]LifeList!$E$2:$I$2036,5)</f>
        <v>Charadriidae (Plovers and Lapwings)</v>
      </c>
    </row>
    <row r="2241" spans="1:8" x14ac:dyDescent="0.15">
      <c r="A2241" s="3" t="s">
        <v>2140</v>
      </c>
      <c r="B2241" s="3" t="s">
        <v>4670</v>
      </c>
      <c r="C2241" s="3">
        <v>6506</v>
      </c>
      <c r="D2241" s="3" t="str">
        <f>VLOOKUP(B2241,[1]LifeList!$E$2:$G$2036,1)</f>
        <v>Pacific Gull</v>
      </c>
      <c r="E2241" s="3" t="str">
        <f>VLOOKUP(B2241,[1]LifeList!$E$2:$G$2036,2)</f>
        <v>Goéland austral</v>
      </c>
      <c r="F2241" s="3" t="str">
        <f>VLOOKUP(B2241,[1]LifeList!$E$2:$G$2036,3)</f>
        <v>Larus pacificus</v>
      </c>
      <c r="G2241" s="3" t="str">
        <f>VLOOKUP(B2241,[1]LifeList!$E$2:$I$2036,4)</f>
        <v>Charadriiformes</v>
      </c>
      <c r="H2241" s="3" t="str">
        <f>VLOOKUP(B2241,[1]LifeList!$E$2:$I$2036,5)</f>
        <v>Laridae (Gulls, Terns, and Skimmers)</v>
      </c>
    </row>
    <row r="2242" spans="1:8" x14ac:dyDescent="0.15">
      <c r="A2242" s="3" t="s">
        <v>2139</v>
      </c>
      <c r="B2242" s="3" t="s">
        <v>4670</v>
      </c>
      <c r="C2242" s="3">
        <v>6506</v>
      </c>
      <c r="D2242" s="3" t="str">
        <f>VLOOKUP(B2242,[1]LifeList!$E$2:$G$2036,1)</f>
        <v>Pacific Gull</v>
      </c>
      <c r="E2242" s="3" t="str">
        <f>VLOOKUP(B2242,[1]LifeList!$E$2:$G$2036,2)</f>
        <v>Goéland austral</v>
      </c>
      <c r="F2242" s="3" t="str">
        <f>VLOOKUP(B2242,[1]LifeList!$E$2:$G$2036,3)</f>
        <v>Larus pacificus</v>
      </c>
      <c r="G2242" s="3" t="str">
        <f>VLOOKUP(B2242,[1]LifeList!$E$2:$I$2036,4)</f>
        <v>Charadriiformes</v>
      </c>
      <c r="H2242" s="3" t="str">
        <f>VLOOKUP(B2242,[1]LifeList!$E$2:$I$2036,5)</f>
        <v>Laridae (Gulls, Terns, and Skimmers)</v>
      </c>
    </row>
    <row r="2243" spans="1:8" x14ac:dyDescent="0.15">
      <c r="A2243" s="3" t="s">
        <v>2141</v>
      </c>
      <c r="B2243" s="3" t="s">
        <v>4671</v>
      </c>
      <c r="C2243" s="3">
        <v>7728</v>
      </c>
      <c r="D2243" s="3" t="str">
        <f>VLOOKUP(B2243,[1]LifeList!$E$2:$G$2036,1)</f>
        <v>Pacific Heron</v>
      </c>
      <c r="E2243" s="3" t="str">
        <f>VLOOKUP(B2243,[1]LifeList!$E$2:$G$2036,2)</f>
        <v>Héron à tête blanche</v>
      </c>
      <c r="F2243" s="3" t="str">
        <f>VLOOKUP(B2243,[1]LifeList!$E$2:$G$2036,3)</f>
        <v>Ardea pacifica</v>
      </c>
      <c r="G2243" s="3" t="str">
        <f>VLOOKUP(B2243,[1]LifeList!$E$2:$I$2036,4)</f>
        <v>Pelecaniformes</v>
      </c>
      <c r="H2243" s="3" t="str">
        <f>VLOOKUP(B2243,[1]LifeList!$E$2:$I$2036,5)</f>
        <v>Ardeidae (Herons, Egrets, and Bitterns)</v>
      </c>
    </row>
    <row r="2244" spans="1:8" x14ac:dyDescent="0.15">
      <c r="A2244" s="3" t="s">
        <v>2142</v>
      </c>
      <c r="B2244" s="3" t="s">
        <v>4672</v>
      </c>
      <c r="C2244" s="3">
        <v>15036</v>
      </c>
      <c r="D2244" s="3" t="str">
        <f>VLOOKUP(B2244,[1]LifeList!$E$2:$G$2036,1)</f>
        <v>Pacific Hornero</v>
      </c>
      <c r="E2244" s="3" t="str">
        <f>VLOOKUP(B2244,[1]LifeList!$E$2:$G$2036,2)</f>
        <v>Fournier cannelle</v>
      </c>
      <c r="F2244" s="3" t="str">
        <f>VLOOKUP(B2244,[1]LifeList!$E$2:$G$2036,3)</f>
        <v>Furnarius cinnamomeus</v>
      </c>
      <c r="G2244" s="3" t="str">
        <f>VLOOKUP(B2244,[1]LifeList!$E$2:$I$2036,4)</f>
        <v>Passeriformes</v>
      </c>
      <c r="H2244" s="3" t="str">
        <f>VLOOKUP(B2244,[1]LifeList!$E$2:$I$2036,5)</f>
        <v>Furnariidae (Ovenbirds and Woodcreepers)</v>
      </c>
    </row>
    <row r="2245" spans="1:8" x14ac:dyDescent="0.15">
      <c r="A2245" s="3" t="s">
        <v>2143</v>
      </c>
      <c r="B2245" s="3" t="s">
        <v>4673</v>
      </c>
      <c r="C2245" s="3">
        <v>6931</v>
      </c>
      <c r="D2245" s="3" t="str">
        <f>VLOOKUP(B2245,[1]LifeList!$E$2:$G$2036,1)</f>
        <v>Pacific Loon</v>
      </c>
      <c r="E2245" s="3" t="str">
        <f>VLOOKUP(B2245,[1]LifeList!$E$2:$G$2036,2)</f>
        <v>Plongeon du Pacifique</v>
      </c>
      <c r="F2245" s="3" t="str">
        <f>VLOOKUP(B2245,[1]LifeList!$E$2:$G$2036,3)</f>
        <v>Gavia pacifica</v>
      </c>
      <c r="G2245" s="3" t="str">
        <f>VLOOKUP(B2245,[1]LifeList!$E$2:$I$2036,4)</f>
        <v>Gaviiformes</v>
      </c>
      <c r="H2245" s="3" t="str">
        <f>VLOOKUP(B2245,[1]LifeList!$E$2:$I$2036,5)</f>
        <v>Gaviidae (Loons)</v>
      </c>
    </row>
    <row r="2246" spans="1:8" x14ac:dyDescent="0.15">
      <c r="A2246" s="3" t="s">
        <v>2144</v>
      </c>
      <c r="B2246" s="3" t="s">
        <v>4674</v>
      </c>
      <c r="C2246" s="3">
        <v>8852</v>
      </c>
      <c r="D2246" s="3" t="str">
        <f>VLOOKUP(B2246,[1]LifeList!$E$2:$G$2036,1)</f>
        <v>Pacific Screech-Owl</v>
      </c>
      <c r="E2246" s="3" t="str">
        <f>VLOOKUP(B2246,[1]LifeList!$E$2:$G$2036,2)</f>
        <v>Petit-duc de Cooper</v>
      </c>
      <c r="F2246" s="3" t="str">
        <f>VLOOKUP(B2246,[1]LifeList!$E$2:$G$2036,3)</f>
        <v>Megascops cooperi</v>
      </c>
      <c r="G2246" s="3" t="str">
        <f>VLOOKUP(B2246,[1]LifeList!$E$2:$I$2036,4)</f>
        <v>Strigiformes</v>
      </c>
      <c r="H2246" s="3" t="str">
        <f>VLOOKUP(B2246,[1]LifeList!$E$2:$I$2036,5)</f>
        <v>Strigidae (Owls)</v>
      </c>
    </row>
    <row r="2247" spans="1:8" x14ac:dyDescent="0.15">
      <c r="A2247" s="3" t="s">
        <v>2145</v>
      </c>
      <c r="B2247" s="3" t="s">
        <v>4675</v>
      </c>
      <c r="C2247" s="3">
        <v>27288</v>
      </c>
      <c r="D2247" s="3" t="str">
        <f>VLOOKUP(B2247,[1]LifeList!$E$2:$G$2036,1)</f>
        <v>Pacific Wren</v>
      </c>
      <c r="E2247" s="3" t="str">
        <f>VLOOKUP(B2247,[1]LifeList!$E$2:$G$2036,2)</f>
        <v>Troglodyte de Baird</v>
      </c>
      <c r="F2247" s="3" t="str">
        <f>VLOOKUP(B2247,[1]LifeList!$E$2:$G$2036,3)</f>
        <v>Troglodytes pacificus</v>
      </c>
      <c r="G2247" s="3" t="str">
        <f>VLOOKUP(B2247,[1]LifeList!$E$2:$I$2036,4)</f>
        <v>Passeriformes</v>
      </c>
      <c r="H2247" s="3" t="str">
        <f>VLOOKUP(B2247,[1]LifeList!$E$2:$I$2036,5)</f>
        <v>Troglodytidae (Wrens)</v>
      </c>
    </row>
    <row r="2248" spans="1:8" x14ac:dyDescent="0.15">
      <c r="A2248" s="3" t="s">
        <v>2147</v>
      </c>
      <c r="B2248" s="3" t="s">
        <v>4676</v>
      </c>
      <c r="C2248" s="3">
        <v>34621</v>
      </c>
      <c r="D2248" s="3" t="str">
        <f>VLOOKUP(B2248,[1]LifeList!$E$2:$G$2036,1)</f>
        <v>Painted Bunting</v>
      </c>
      <c r="E2248" s="3" t="str">
        <f>VLOOKUP(B2248,[1]LifeList!$E$2:$G$2036,2)</f>
        <v>Passerin nonpareil</v>
      </c>
      <c r="F2248" s="3" t="str">
        <f>VLOOKUP(B2248,[1]LifeList!$E$2:$G$2036,3)</f>
        <v>Passerina ciris</v>
      </c>
      <c r="G2248" s="3" t="str">
        <f>VLOOKUP(B2248,[1]LifeList!$E$2:$I$2036,4)</f>
        <v>Passeriformes</v>
      </c>
      <c r="H2248" s="3" t="str">
        <f>VLOOKUP(B2248,[1]LifeList!$E$2:$I$2036,5)</f>
        <v>Cardinalidae (Cardinals and Allies)</v>
      </c>
    </row>
    <row r="2249" spans="1:8" x14ac:dyDescent="0.15">
      <c r="A2249" s="3" t="s">
        <v>2148</v>
      </c>
      <c r="B2249" s="3" t="s">
        <v>4676</v>
      </c>
      <c r="C2249" s="3">
        <v>34621</v>
      </c>
      <c r="D2249" s="3" t="str">
        <f>VLOOKUP(B2249,[1]LifeList!$E$2:$G$2036,1)</f>
        <v>Painted Bunting</v>
      </c>
      <c r="E2249" s="3" t="str">
        <f>VLOOKUP(B2249,[1]LifeList!$E$2:$G$2036,2)</f>
        <v>Passerin nonpareil</v>
      </c>
      <c r="F2249" s="3" t="str">
        <f>VLOOKUP(B2249,[1]LifeList!$E$2:$G$2036,3)</f>
        <v>Passerina ciris</v>
      </c>
      <c r="G2249" s="3" t="str">
        <f>VLOOKUP(B2249,[1]LifeList!$E$2:$I$2036,4)</f>
        <v>Passeriformes</v>
      </c>
      <c r="H2249" s="3" t="str">
        <f>VLOOKUP(B2249,[1]LifeList!$E$2:$I$2036,5)</f>
        <v>Cardinalidae (Cardinals and Allies)</v>
      </c>
    </row>
    <row r="2250" spans="1:8" x14ac:dyDescent="0.15">
      <c r="A2250" s="3" t="s">
        <v>2149</v>
      </c>
      <c r="B2250" s="3" t="s">
        <v>4676</v>
      </c>
      <c r="C2250" s="3">
        <v>34621</v>
      </c>
      <c r="D2250" s="3" t="str">
        <f>VLOOKUP(B2250,[1]LifeList!$E$2:$G$2036,1)</f>
        <v>Painted Bunting</v>
      </c>
      <c r="E2250" s="3" t="str">
        <f>VLOOKUP(B2250,[1]LifeList!$E$2:$G$2036,2)</f>
        <v>Passerin nonpareil</v>
      </c>
      <c r="F2250" s="3" t="str">
        <f>VLOOKUP(B2250,[1]LifeList!$E$2:$G$2036,3)</f>
        <v>Passerina ciris</v>
      </c>
      <c r="G2250" s="3" t="str">
        <f>VLOOKUP(B2250,[1]LifeList!$E$2:$I$2036,4)</f>
        <v>Passeriformes</v>
      </c>
      <c r="H2250" s="3" t="str">
        <f>VLOOKUP(B2250,[1]LifeList!$E$2:$I$2036,5)</f>
        <v>Cardinalidae (Cardinals and Allies)</v>
      </c>
    </row>
    <row r="2251" spans="1:8" x14ac:dyDescent="0.15">
      <c r="A2251" s="3" t="s">
        <v>2150</v>
      </c>
      <c r="B2251" s="3" t="s">
        <v>4676</v>
      </c>
      <c r="C2251" s="3">
        <v>34621</v>
      </c>
      <c r="D2251" s="3" t="str">
        <f>VLOOKUP(B2251,[1]LifeList!$E$2:$G$2036,1)</f>
        <v>Painted Bunting</v>
      </c>
      <c r="E2251" s="3" t="str">
        <f>VLOOKUP(B2251,[1]LifeList!$E$2:$G$2036,2)</f>
        <v>Passerin nonpareil</v>
      </c>
      <c r="F2251" s="3" t="str">
        <f>VLOOKUP(B2251,[1]LifeList!$E$2:$G$2036,3)</f>
        <v>Passerina ciris</v>
      </c>
      <c r="G2251" s="3" t="str">
        <f>VLOOKUP(B2251,[1]LifeList!$E$2:$I$2036,4)</f>
        <v>Passeriformes</v>
      </c>
      <c r="H2251" s="3" t="str">
        <f>VLOOKUP(B2251,[1]LifeList!$E$2:$I$2036,5)</f>
        <v>Cardinalidae (Cardinals and Allies)</v>
      </c>
    </row>
    <row r="2252" spans="1:8" x14ac:dyDescent="0.15">
      <c r="A2252" s="3" t="s">
        <v>2151</v>
      </c>
      <c r="B2252" s="3" t="s">
        <v>4676</v>
      </c>
      <c r="C2252" s="3">
        <v>34621</v>
      </c>
      <c r="D2252" s="3" t="str">
        <f>VLOOKUP(B2252,[1]LifeList!$E$2:$G$2036,1)</f>
        <v>Painted Bunting</v>
      </c>
      <c r="E2252" s="3" t="str">
        <f>VLOOKUP(B2252,[1]LifeList!$E$2:$G$2036,2)</f>
        <v>Passerin nonpareil</v>
      </c>
      <c r="F2252" s="3" t="str">
        <f>VLOOKUP(B2252,[1]LifeList!$E$2:$G$2036,3)</f>
        <v>Passerina ciris</v>
      </c>
      <c r="G2252" s="3" t="str">
        <f>VLOOKUP(B2252,[1]LifeList!$E$2:$I$2036,4)</f>
        <v>Passeriformes</v>
      </c>
      <c r="H2252" s="3" t="str">
        <f>VLOOKUP(B2252,[1]LifeList!$E$2:$I$2036,5)</f>
        <v>Cardinalidae (Cardinals and Allies)</v>
      </c>
    </row>
    <row r="2253" spans="1:8" x14ac:dyDescent="0.15">
      <c r="A2253" s="3" t="s">
        <v>2152</v>
      </c>
      <c r="B2253" s="3" t="s">
        <v>4676</v>
      </c>
      <c r="C2253" s="3">
        <v>34621</v>
      </c>
      <c r="D2253" s="3" t="str">
        <f>VLOOKUP(B2253,[1]LifeList!$E$2:$G$2036,1)</f>
        <v>Painted Bunting</v>
      </c>
      <c r="E2253" s="3" t="str">
        <f>VLOOKUP(B2253,[1]LifeList!$E$2:$G$2036,2)</f>
        <v>Passerin nonpareil</v>
      </c>
      <c r="F2253" s="3" t="str">
        <f>VLOOKUP(B2253,[1]LifeList!$E$2:$G$2036,3)</f>
        <v>Passerina ciris</v>
      </c>
      <c r="G2253" s="3" t="str">
        <f>VLOOKUP(B2253,[1]LifeList!$E$2:$I$2036,4)</f>
        <v>Passeriformes</v>
      </c>
      <c r="H2253" s="3" t="str">
        <f>VLOOKUP(B2253,[1]LifeList!$E$2:$I$2036,5)</f>
        <v>Cardinalidae (Cardinals and Allies)</v>
      </c>
    </row>
    <row r="2254" spans="1:8" x14ac:dyDescent="0.15">
      <c r="A2254" s="3" t="s">
        <v>3903</v>
      </c>
      <c r="B2254" s="3" t="s">
        <v>4676</v>
      </c>
      <c r="C2254" s="3">
        <v>34621</v>
      </c>
      <c r="D2254" s="3" t="str">
        <f>VLOOKUP(B2254,[1]LifeList!$E$2:$G$2036,1)</f>
        <v>Painted Bunting</v>
      </c>
      <c r="E2254" s="3" t="str">
        <f>VLOOKUP(B2254,[1]LifeList!$E$2:$G$2036,2)</f>
        <v>Passerin nonpareil</v>
      </c>
      <c r="F2254" s="3" t="str">
        <f>VLOOKUP(B2254,[1]LifeList!$E$2:$G$2036,3)</f>
        <v>Passerina ciris</v>
      </c>
      <c r="G2254" s="3" t="str">
        <f>VLOOKUP(B2254,[1]LifeList!$E$2:$I$2036,4)</f>
        <v>Passeriformes</v>
      </c>
      <c r="H2254" s="3" t="str">
        <f>VLOOKUP(B2254,[1]LifeList!$E$2:$I$2036,5)</f>
        <v>Cardinalidae (Cardinals and Allies)</v>
      </c>
    </row>
    <row r="2255" spans="1:8" x14ac:dyDescent="0.15">
      <c r="A2255" s="3" t="s">
        <v>3904</v>
      </c>
      <c r="B2255" s="3" t="s">
        <v>4676</v>
      </c>
      <c r="C2255" s="3">
        <v>34621</v>
      </c>
      <c r="D2255" s="3" t="str">
        <f>VLOOKUP(B2255,[1]LifeList!$E$2:$G$2036,1)</f>
        <v>Painted Bunting</v>
      </c>
      <c r="E2255" s="3" t="str">
        <f>VLOOKUP(B2255,[1]LifeList!$E$2:$G$2036,2)</f>
        <v>Passerin nonpareil</v>
      </c>
      <c r="F2255" s="3" t="str">
        <f>VLOOKUP(B2255,[1]LifeList!$E$2:$G$2036,3)</f>
        <v>Passerina ciris</v>
      </c>
      <c r="G2255" s="3" t="str">
        <f>VLOOKUP(B2255,[1]LifeList!$E$2:$I$2036,4)</f>
        <v>Passeriformes</v>
      </c>
      <c r="H2255" s="3" t="str">
        <f>VLOOKUP(B2255,[1]LifeList!$E$2:$I$2036,5)</f>
        <v>Cardinalidae (Cardinals and Allies)</v>
      </c>
    </row>
    <row r="2256" spans="1:8" x14ac:dyDescent="0.15">
      <c r="A2256" s="3" t="s">
        <v>2166</v>
      </c>
      <c r="B2256" s="3" t="s">
        <v>4677</v>
      </c>
      <c r="C2256" s="3">
        <v>8111</v>
      </c>
      <c r="D2256" s="3" t="str">
        <f>VLOOKUP(B2256,[1]LifeList!$E$2:$G$2036,1)</f>
        <v>Pale Chanting-Goshawk</v>
      </c>
      <c r="E2256" s="3" t="str">
        <f>VLOOKUP(B2256,[1]LifeList!$E$2:$G$2036,2)</f>
        <v>Autour chanteur</v>
      </c>
      <c r="F2256" s="3" t="str">
        <f>VLOOKUP(B2256,[1]LifeList!$E$2:$G$2036,3)</f>
        <v>Melierax canorus</v>
      </c>
      <c r="G2256" s="3" t="str">
        <f>VLOOKUP(B2256,[1]LifeList!$E$2:$I$2036,4)</f>
        <v>Accipitriformes</v>
      </c>
      <c r="H2256" s="3" t="str">
        <f>VLOOKUP(B2256,[1]LifeList!$E$2:$I$2036,5)</f>
        <v>Accipitridae (Hawks, Eagles, and Kites)</v>
      </c>
    </row>
    <row r="2257" spans="1:8" x14ac:dyDescent="0.15">
      <c r="A2257" s="3" t="s">
        <v>2167</v>
      </c>
      <c r="B2257" s="3" t="s">
        <v>4677</v>
      </c>
      <c r="C2257" s="3">
        <v>8111</v>
      </c>
      <c r="D2257" s="3" t="str">
        <f>VLOOKUP(B2257,[1]LifeList!$E$2:$G$2036,1)</f>
        <v>Pale Chanting-Goshawk</v>
      </c>
      <c r="E2257" s="3" t="str">
        <f>VLOOKUP(B2257,[1]LifeList!$E$2:$G$2036,2)</f>
        <v>Autour chanteur</v>
      </c>
      <c r="F2257" s="3" t="str">
        <f>VLOOKUP(B2257,[1]LifeList!$E$2:$G$2036,3)</f>
        <v>Melierax canorus</v>
      </c>
      <c r="G2257" s="3" t="str">
        <f>VLOOKUP(B2257,[1]LifeList!$E$2:$I$2036,4)</f>
        <v>Accipitriformes</v>
      </c>
      <c r="H2257" s="3" t="str">
        <f>VLOOKUP(B2257,[1]LifeList!$E$2:$I$2036,5)</f>
        <v>Accipitridae (Hawks, Eagles, and Kites)</v>
      </c>
    </row>
    <row r="2258" spans="1:8" x14ac:dyDescent="0.15">
      <c r="A2258" s="3" t="s">
        <v>2168</v>
      </c>
      <c r="B2258" s="3" t="s">
        <v>4677</v>
      </c>
      <c r="C2258" s="3">
        <v>8111</v>
      </c>
      <c r="D2258" s="3" t="str">
        <f>VLOOKUP(B2258,[1]LifeList!$E$2:$G$2036,1)</f>
        <v>Pale Chanting-Goshawk</v>
      </c>
      <c r="E2258" s="3" t="str">
        <f>VLOOKUP(B2258,[1]LifeList!$E$2:$G$2036,2)</f>
        <v>Autour chanteur</v>
      </c>
      <c r="F2258" s="3" t="str">
        <f>VLOOKUP(B2258,[1]LifeList!$E$2:$G$2036,3)</f>
        <v>Melierax canorus</v>
      </c>
      <c r="G2258" s="3" t="str">
        <f>VLOOKUP(B2258,[1]LifeList!$E$2:$I$2036,4)</f>
        <v>Accipitriformes</v>
      </c>
      <c r="H2258" s="3" t="str">
        <f>VLOOKUP(B2258,[1]LifeList!$E$2:$I$2036,5)</f>
        <v>Accipitridae (Hawks, Eagles, and Kites)</v>
      </c>
    </row>
    <row r="2259" spans="1:8" x14ac:dyDescent="0.15">
      <c r="A2259" s="3" t="s">
        <v>2153</v>
      </c>
      <c r="B2259" s="3" t="s">
        <v>4678</v>
      </c>
      <c r="C2259" s="3">
        <v>11562</v>
      </c>
      <c r="D2259" s="3" t="str">
        <f>VLOOKUP(B2259,[1]LifeList!$E$2:$G$2036,1)</f>
        <v>Pale-billed Woodpecker</v>
      </c>
      <c r="E2259" s="3" t="str">
        <f>VLOOKUP(B2259,[1]LifeList!$E$2:$G$2036,2)</f>
        <v>Pic à bec clair</v>
      </c>
      <c r="F2259" s="3" t="str">
        <f>VLOOKUP(B2259,[1]LifeList!$E$2:$G$2036,3)</f>
        <v>Campephilus guatemalensis</v>
      </c>
      <c r="G2259" s="3" t="str">
        <f>VLOOKUP(B2259,[1]LifeList!$E$2:$I$2036,4)</f>
        <v>Piciformes</v>
      </c>
      <c r="H2259" s="3" t="str">
        <f>VLOOKUP(B2259,[1]LifeList!$E$2:$I$2036,5)</f>
        <v>Picidae (Woodpeckers)</v>
      </c>
    </row>
    <row r="2260" spans="1:8" x14ac:dyDescent="0.15">
      <c r="A2260" s="3" t="s">
        <v>2154</v>
      </c>
      <c r="B2260" s="3" t="s">
        <v>4678</v>
      </c>
      <c r="C2260" s="3">
        <v>11562</v>
      </c>
      <c r="D2260" s="3" t="str">
        <f>VLOOKUP(B2260,[1]LifeList!$E$2:$G$2036,1)</f>
        <v>Pale-billed Woodpecker</v>
      </c>
      <c r="E2260" s="3" t="str">
        <f>VLOOKUP(B2260,[1]LifeList!$E$2:$G$2036,2)</f>
        <v>Pic à bec clair</v>
      </c>
      <c r="F2260" s="3" t="str">
        <f>VLOOKUP(B2260,[1]LifeList!$E$2:$G$2036,3)</f>
        <v>Campephilus guatemalensis</v>
      </c>
      <c r="G2260" s="3" t="str">
        <f>VLOOKUP(B2260,[1]LifeList!$E$2:$I$2036,4)</f>
        <v>Piciformes</v>
      </c>
      <c r="H2260" s="3" t="str">
        <f>VLOOKUP(B2260,[1]LifeList!$E$2:$I$2036,5)</f>
        <v>Picidae (Woodpeckers)</v>
      </c>
    </row>
    <row r="2261" spans="1:8" x14ac:dyDescent="0.15">
      <c r="A2261" s="3" t="s">
        <v>2155</v>
      </c>
      <c r="B2261" s="3" t="s">
        <v>4679</v>
      </c>
      <c r="C2261" s="3">
        <v>15617</v>
      </c>
      <c r="D2261" s="3" t="str">
        <f>VLOOKUP(B2261,[1]LifeList!$E$2:$G$2036,1)</f>
        <v>Pale-breasted Spinetail</v>
      </c>
      <c r="E2261" s="3" t="str">
        <f>VLOOKUP(B2261,[1]LifeList!$E$2:$G$2036,2)</f>
        <v>Synallaxe albane</v>
      </c>
      <c r="F2261" s="3" t="str">
        <f>VLOOKUP(B2261,[1]LifeList!$E$2:$G$2036,3)</f>
        <v>Synallaxis albescens</v>
      </c>
      <c r="G2261" s="3" t="str">
        <f>VLOOKUP(B2261,[1]LifeList!$E$2:$I$2036,4)</f>
        <v>Passeriformes</v>
      </c>
      <c r="H2261" s="3" t="str">
        <f>VLOOKUP(B2261,[1]LifeList!$E$2:$I$2036,5)</f>
        <v>Furnariidae (Ovenbirds and Woodcreepers)</v>
      </c>
    </row>
    <row r="2262" spans="1:8" x14ac:dyDescent="0.15">
      <c r="A2262" s="3" t="s">
        <v>2156</v>
      </c>
      <c r="B2262" s="3" t="s">
        <v>4679</v>
      </c>
      <c r="C2262" s="3">
        <v>15617</v>
      </c>
      <c r="D2262" s="3" t="str">
        <f>VLOOKUP(B2262,[1]LifeList!$E$2:$G$2036,1)</f>
        <v>Pale-breasted Spinetail</v>
      </c>
      <c r="E2262" s="3" t="str">
        <f>VLOOKUP(B2262,[1]LifeList!$E$2:$G$2036,2)</f>
        <v>Synallaxe albane</v>
      </c>
      <c r="F2262" s="3" t="str">
        <f>VLOOKUP(B2262,[1]LifeList!$E$2:$G$2036,3)</f>
        <v>Synallaxis albescens</v>
      </c>
      <c r="G2262" s="3" t="str">
        <f>VLOOKUP(B2262,[1]LifeList!$E$2:$I$2036,4)</f>
        <v>Passeriformes</v>
      </c>
      <c r="H2262" s="3" t="str">
        <f>VLOOKUP(B2262,[1]LifeList!$E$2:$I$2036,5)</f>
        <v>Furnariidae (Ovenbirds and Woodcreepers)</v>
      </c>
    </row>
    <row r="2263" spans="1:8" x14ac:dyDescent="0.15">
      <c r="A2263" s="3" t="s">
        <v>2158</v>
      </c>
      <c r="B2263" s="3" t="s">
        <v>4680</v>
      </c>
      <c r="C2263" s="3">
        <v>28745</v>
      </c>
      <c r="D2263" s="3" t="str">
        <f>VLOOKUP(B2263,[1]LifeList!$E$2:$G$2036,1)</f>
        <v>Pale-breasted Thrush</v>
      </c>
      <c r="E2263" s="3" t="str">
        <f>VLOOKUP(B2263,[1]LifeList!$E$2:$G$2036,2)</f>
        <v>Merle leucomèle</v>
      </c>
      <c r="F2263" s="3" t="str">
        <f>VLOOKUP(B2263,[1]LifeList!$E$2:$G$2036,3)</f>
        <v>Turdus leucomelas</v>
      </c>
      <c r="G2263" s="3" t="str">
        <f>VLOOKUP(B2263,[1]LifeList!$E$2:$I$2036,4)</f>
        <v>Passeriformes</v>
      </c>
      <c r="H2263" s="3" t="str">
        <f>VLOOKUP(B2263,[1]LifeList!$E$2:$I$2036,5)</f>
        <v>Turdidae (Thrushes and Allies)</v>
      </c>
    </row>
    <row r="2264" spans="1:8" x14ac:dyDescent="0.15">
      <c r="A2264" s="3" t="s">
        <v>2159</v>
      </c>
      <c r="B2264" s="3" t="s">
        <v>4680</v>
      </c>
      <c r="C2264" s="3">
        <v>28745</v>
      </c>
      <c r="D2264" s="3" t="str">
        <f>VLOOKUP(B2264,[1]LifeList!$E$2:$G$2036,1)</f>
        <v>Pale-breasted Thrush</v>
      </c>
      <c r="E2264" s="3" t="str">
        <f>VLOOKUP(B2264,[1]LifeList!$E$2:$G$2036,2)</f>
        <v>Merle leucomèle</v>
      </c>
      <c r="F2264" s="3" t="str">
        <f>VLOOKUP(B2264,[1]LifeList!$E$2:$G$2036,3)</f>
        <v>Turdus leucomelas</v>
      </c>
      <c r="G2264" s="3" t="str">
        <f>VLOOKUP(B2264,[1]LifeList!$E$2:$I$2036,4)</f>
        <v>Passeriformes</v>
      </c>
      <c r="H2264" s="3" t="str">
        <f>VLOOKUP(B2264,[1]LifeList!$E$2:$I$2036,5)</f>
        <v>Turdidae (Thrushes and Allies)</v>
      </c>
    </row>
    <row r="2265" spans="1:8" x14ac:dyDescent="0.15">
      <c r="A2265" s="3" t="s">
        <v>2160</v>
      </c>
      <c r="B2265" s="3" t="s">
        <v>4680</v>
      </c>
      <c r="C2265" s="3">
        <v>28745</v>
      </c>
      <c r="D2265" s="3" t="str">
        <f>VLOOKUP(B2265,[1]LifeList!$E$2:$G$2036,1)</f>
        <v>Pale-breasted Thrush</v>
      </c>
      <c r="E2265" s="3" t="str">
        <f>VLOOKUP(B2265,[1]LifeList!$E$2:$G$2036,2)</f>
        <v>Merle leucomèle</v>
      </c>
      <c r="F2265" s="3" t="str">
        <f>VLOOKUP(B2265,[1]LifeList!$E$2:$G$2036,3)</f>
        <v>Turdus leucomelas</v>
      </c>
      <c r="G2265" s="3" t="str">
        <f>VLOOKUP(B2265,[1]LifeList!$E$2:$I$2036,4)</f>
        <v>Passeriformes</v>
      </c>
      <c r="H2265" s="3" t="str">
        <f>VLOOKUP(B2265,[1]LifeList!$E$2:$I$2036,5)</f>
        <v>Turdidae (Thrushes and Allies)</v>
      </c>
    </row>
    <row r="2266" spans="1:8" x14ac:dyDescent="0.15">
      <c r="A2266" s="3" t="s">
        <v>2161</v>
      </c>
      <c r="B2266" s="3" t="s">
        <v>4680</v>
      </c>
      <c r="C2266" s="3">
        <v>28745</v>
      </c>
      <c r="D2266" s="3" t="str">
        <f>VLOOKUP(B2266,[1]LifeList!$E$2:$G$2036,1)</f>
        <v>Pale-breasted Thrush</v>
      </c>
      <c r="E2266" s="3" t="str">
        <f>VLOOKUP(B2266,[1]LifeList!$E$2:$G$2036,2)</f>
        <v>Merle leucomèle</v>
      </c>
      <c r="F2266" s="3" t="str">
        <f>VLOOKUP(B2266,[1]LifeList!$E$2:$G$2036,3)</f>
        <v>Turdus leucomelas</v>
      </c>
      <c r="G2266" s="3" t="str">
        <f>VLOOKUP(B2266,[1]LifeList!$E$2:$I$2036,4)</f>
        <v>Passeriformes</v>
      </c>
      <c r="H2266" s="3" t="str">
        <f>VLOOKUP(B2266,[1]LifeList!$E$2:$I$2036,5)</f>
        <v>Turdidae (Thrushes and Allies)</v>
      </c>
    </row>
    <row r="2267" spans="1:8" x14ac:dyDescent="0.15">
      <c r="A2267" s="3" t="s">
        <v>2157</v>
      </c>
      <c r="B2267" s="3" t="s">
        <v>4680</v>
      </c>
      <c r="C2267" s="3">
        <v>28745</v>
      </c>
      <c r="D2267" s="3" t="str">
        <f>VLOOKUP(B2267,[1]LifeList!$E$2:$G$2036,1)</f>
        <v>Pale-breasted Thrush</v>
      </c>
      <c r="E2267" s="3" t="str">
        <f>VLOOKUP(B2267,[1]LifeList!$E$2:$G$2036,2)</f>
        <v>Merle leucomèle</v>
      </c>
      <c r="F2267" s="3" t="str">
        <f>VLOOKUP(B2267,[1]LifeList!$E$2:$G$2036,3)</f>
        <v>Turdus leucomelas</v>
      </c>
      <c r="G2267" s="3" t="str">
        <f>VLOOKUP(B2267,[1]LifeList!$E$2:$I$2036,4)</f>
        <v>Passeriformes</v>
      </c>
      <c r="H2267" s="3" t="str">
        <f>VLOOKUP(B2267,[1]LifeList!$E$2:$I$2036,5)</f>
        <v>Turdidae (Thrushes and Allies)</v>
      </c>
    </row>
    <row r="2268" spans="1:8" x14ac:dyDescent="0.15">
      <c r="A2268" s="3" t="s">
        <v>2162</v>
      </c>
      <c r="B2268" s="3" t="s">
        <v>4681</v>
      </c>
      <c r="C2268" s="3">
        <v>1940</v>
      </c>
      <c r="D2268" s="3" t="str">
        <f>VLOOKUP(B2268,[1]LifeList!$E$2:$G$2036,1)</f>
        <v>Pale-vented Pigeon</v>
      </c>
      <c r="E2268" s="3" t="str">
        <f>VLOOKUP(B2268,[1]LifeList!$E$2:$G$2036,2)</f>
        <v>Pigeon rousset</v>
      </c>
      <c r="F2268" s="3" t="str">
        <f>VLOOKUP(B2268,[1]LifeList!$E$2:$G$2036,3)</f>
        <v>Patagioenas cayennensis</v>
      </c>
      <c r="G2268" s="3" t="str">
        <f>VLOOKUP(B2268,[1]LifeList!$E$2:$I$2036,4)</f>
        <v>Columbiformes</v>
      </c>
      <c r="H2268" s="3" t="str">
        <f>VLOOKUP(B2268,[1]LifeList!$E$2:$I$2036,5)</f>
        <v>Columbidae (Pigeons and Doves)</v>
      </c>
    </row>
    <row r="2269" spans="1:8" x14ac:dyDescent="0.15">
      <c r="A2269" s="3" t="s">
        <v>2163</v>
      </c>
      <c r="B2269" s="3" t="s">
        <v>4681</v>
      </c>
      <c r="C2269" s="3">
        <v>1940</v>
      </c>
      <c r="D2269" s="3" t="str">
        <f>VLOOKUP(B2269,[1]LifeList!$E$2:$G$2036,1)</f>
        <v>Pale-vented Pigeon</v>
      </c>
      <c r="E2269" s="3" t="str">
        <f>VLOOKUP(B2269,[1]LifeList!$E$2:$G$2036,2)</f>
        <v>Pigeon rousset</v>
      </c>
      <c r="F2269" s="3" t="str">
        <f>VLOOKUP(B2269,[1]LifeList!$E$2:$G$2036,3)</f>
        <v>Patagioenas cayennensis</v>
      </c>
      <c r="G2269" s="3" t="str">
        <f>VLOOKUP(B2269,[1]LifeList!$E$2:$I$2036,4)</f>
        <v>Columbiformes</v>
      </c>
      <c r="H2269" s="3" t="str">
        <f>VLOOKUP(B2269,[1]LifeList!$E$2:$I$2036,5)</f>
        <v>Columbidae (Pigeons and Doves)</v>
      </c>
    </row>
    <row r="2270" spans="1:8" x14ac:dyDescent="0.15">
      <c r="A2270" s="3" t="s">
        <v>2164</v>
      </c>
      <c r="B2270" s="3" t="s">
        <v>4681</v>
      </c>
      <c r="C2270" s="3">
        <v>1940</v>
      </c>
      <c r="D2270" s="3" t="str">
        <f>VLOOKUP(B2270,[1]LifeList!$E$2:$G$2036,1)</f>
        <v>Pale-vented Pigeon</v>
      </c>
      <c r="E2270" s="3" t="str">
        <f>VLOOKUP(B2270,[1]LifeList!$E$2:$G$2036,2)</f>
        <v>Pigeon rousset</v>
      </c>
      <c r="F2270" s="3" t="str">
        <f>VLOOKUP(B2270,[1]LifeList!$E$2:$G$2036,3)</f>
        <v>Patagioenas cayennensis</v>
      </c>
      <c r="G2270" s="3" t="str">
        <f>VLOOKUP(B2270,[1]LifeList!$E$2:$I$2036,4)</f>
        <v>Columbiformes</v>
      </c>
      <c r="H2270" s="3" t="str">
        <f>VLOOKUP(B2270,[1]LifeList!$E$2:$I$2036,5)</f>
        <v>Columbidae (Pigeons and Doves)</v>
      </c>
    </row>
    <row r="2271" spans="1:8" x14ac:dyDescent="0.15">
      <c r="A2271" s="3" t="s">
        <v>2165</v>
      </c>
      <c r="B2271" s="3" t="s">
        <v>4682</v>
      </c>
      <c r="C2271" s="3">
        <v>27907</v>
      </c>
      <c r="D2271" s="3" t="str">
        <f>VLOOKUP(B2271,[1]LifeList!$E$2:$G$2036,1)</f>
        <v>Pale-winged Starling</v>
      </c>
      <c r="E2271" s="3" t="str">
        <f>VLOOKUP(B2271,[1]LifeList!$E$2:$G$2036,2)</f>
        <v>Rufipenne nabouroup</v>
      </c>
      <c r="F2271" s="3" t="str">
        <f>VLOOKUP(B2271,[1]LifeList!$E$2:$G$2036,3)</f>
        <v>Onychognathus nabouroup</v>
      </c>
      <c r="G2271" s="3" t="str">
        <f>VLOOKUP(B2271,[1]LifeList!$E$2:$I$2036,4)</f>
        <v>Passeriformes</v>
      </c>
      <c r="H2271" s="3" t="str">
        <f>VLOOKUP(B2271,[1]LifeList!$E$2:$I$2036,5)</f>
        <v>Sturnidae (Starlings)</v>
      </c>
    </row>
    <row r="2272" spans="1:8" x14ac:dyDescent="0.15">
      <c r="A2272" s="3" t="s">
        <v>2169</v>
      </c>
      <c r="B2272" s="3" t="s">
        <v>4683</v>
      </c>
      <c r="C2272" s="3">
        <v>32108</v>
      </c>
      <c r="D2272" s="3" t="str">
        <f>VLOOKUP(B2272,[1]LifeList!$E$2:$G$2036,1)</f>
        <v>Palila</v>
      </c>
      <c r="E2272" s="3" t="str">
        <f>VLOOKUP(B2272,[1]LifeList!$E$2:$G$2036,2)</f>
        <v>Psittirostre palila</v>
      </c>
      <c r="F2272" s="3" t="str">
        <f>VLOOKUP(B2272,[1]LifeList!$E$2:$G$2036,3)</f>
        <v>Loxioides bailleui</v>
      </c>
      <c r="G2272" s="3" t="str">
        <f>VLOOKUP(B2272,[1]LifeList!$E$2:$I$2036,4)</f>
        <v>Passeriformes</v>
      </c>
      <c r="H2272" s="3" t="str">
        <f>VLOOKUP(B2272,[1]LifeList!$E$2:$I$2036,5)</f>
        <v>Fringillidae (Finches, Euphonias, and Allies)</v>
      </c>
    </row>
    <row r="2273" spans="1:8" x14ac:dyDescent="0.15">
      <c r="A2273" s="3" t="s">
        <v>2170</v>
      </c>
      <c r="B2273" s="3" t="s">
        <v>4684</v>
      </c>
      <c r="C2273" s="3">
        <v>3345</v>
      </c>
      <c r="D2273" s="3" t="str">
        <f>VLOOKUP(B2273,[1]LifeList!$E$2:$G$2036,1)</f>
        <v>Pallid Cuckoo</v>
      </c>
      <c r="E2273" s="3" t="str">
        <f>VLOOKUP(B2273,[1]LifeList!$E$2:$G$2036,2)</f>
        <v>Coucou pâle</v>
      </c>
      <c r="F2273" s="3" t="str">
        <f>VLOOKUP(B2273,[1]LifeList!$E$2:$G$2036,3)</f>
        <v>Heteroscenes pallidus</v>
      </c>
      <c r="G2273" s="3" t="str">
        <f>VLOOKUP(B2273,[1]LifeList!$E$2:$I$2036,4)</f>
        <v>Cuculiformes</v>
      </c>
      <c r="H2273" s="3" t="str">
        <f>VLOOKUP(B2273,[1]LifeList!$E$2:$I$2036,5)</f>
        <v>Cuculidae (Cuckoos)</v>
      </c>
    </row>
    <row r="2274" spans="1:8" x14ac:dyDescent="0.15">
      <c r="A2274" s="3" t="s">
        <v>2171</v>
      </c>
      <c r="B2274" s="3" t="s">
        <v>4685</v>
      </c>
      <c r="C2274" s="3">
        <v>34957</v>
      </c>
      <c r="D2274" s="3" t="str">
        <f>VLOOKUP(B2274,[1]LifeList!$E$2:$G$2036,1)</f>
        <v>Palm Tanager</v>
      </c>
      <c r="E2274" s="3" t="str">
        <f>VLOOKUP(B2274,[1]LifeList!$E$2:$G$2036,2)</f>
        <v>Tangara des palmiers</v>
      </c>
      <c r="F2274" s="3" t="str">
        <f>VLOOKUP(B2274,[1]LifeList!$E$2:$G$2036,3)</f>
        <v>Thraupis palmarum</v>
      </c>
      <c r="G2274" s="3" t="str">
        <f>VLOOKUP(B2274,[1]LifeList!$E$2:$I$2036,4)</f>
        <v>Passeriformes</v>
      </c>
      <c r="H2274" s="3" t="str">
        <f>VLOOKUP(B2274,[1]LifeList!$E$2:$I$2036,5)</f>
        <v>Thraupidae (Tanagers and Allies)</v>
      </c>
    </row>
    <row r="2275" spans="1:8" x14ac:dyDescent="0.15">
      <c r="A2275" s="3" t="s">
        <v>2172</v>
      </c>
      <c r="B2275" s="3" t="s">
        <v>4685</v>
      </c>
      <c r="C2275" s="3">
        <v>34957</v>
      </c>
      <c r="D2275" s="3" t="str">
        <f>VLOOKUP(B2275,[1]LifeList!$E$2:$G$2036,1)</f>
        <v>Palm Tanager</v>
      </c>
      <c r="E2275" s="3" t="str">
        <f>VLOOKUP(B2275,[1]LifeList!$E$2:$G$2036,2)</f>
        <v>Tangara des palmiers</v>
      </c>
      <c r="F2275" s="3" t="str">
        <f>VLOOKUP(B2275,[1]LifeList!$E$2:$G$2036,3)</f>
        <v>Thraupis palmarum</v>
      </c>
      <c r="G2275" s="3" t="str">
        <f>VLOOKUP(B2275,[1]LifeList!$E$2:$I$2036,4)</f>
        <v>Passeriformes</v>
      </c>
      <c r="H2275" s="3" t="str">
        <f>VLOOKUP(B2275,[1]LifeList!$E$2:$I$2036,5)</f>
        <v>Thraupidae (Tanagers and Allies)</v>
      </c>
    </row>
    <row r="2276" spans="1:8" x14ac:dyDescent="0.15">
      <c r="A2276" s="3" t="s">
        <v>2173</v>
      </c>
      <c r="B2276" s="3" t="s">
        <v>4685</v>
      </c>
      <c r="C2276" s="3">
        <v>34957</v>
      </c>
      <c r="D2276" s="3" t="str">
        <f>VLOOKUP(B2276,[1]LifeList!$E$2:$G$2036,1)</f>
        <v>Palm Tanager</v>
      </c>
      <c r="E2276" s="3" t="str">
        <f>VLOOKUP(B2276,[1]LifeList!$E$2:$G$2036,2)</f>
        <v>Tangara des palmiers</v>
      </c>
      <c r="F2276" s="3" t="str">
        <f>VLOOKUP(B2276,[1]LifeList!$E$2:$G$2036,3)</f>
        <v>Thraupis palmarum</v>
      </c>
      <c r="G2276" s="3" t="str">
        <f>VLOOKUP(B2276,[1]LifeList!$E$2:$I$2036,4)</f>
        <v>Passeriformes</v>
      </c>
      <c r="H2276" s="3" t="str">
        <f>VLOOKUP(B2276,[1]LifeList!$E$2:$I$2036,5)</f>
        <v>Thraupidae (Tanagers and Allies)</v>
      </c>
    </row>
    <row r="2277" spans="1:8" x14ac:dyDescent="0.15">
      <c r="A2277" s="3" t="s">
        <v>2175</v>
      </c>
      <c r="B2277" s="3" t="s">
        <v>4686</v>
      </c>
      <c r="C2277" s="3">
        <v>34148</v>
      </c>
      <c r="D2277" s="3" t="str">
        <f>VLOOKUP(B2277,[1]LifeList!$E$2:$G$2036,1)</f>
        <v>Palm Warbler</v>
      </c>
      <c r="E2277" s="3" t="str">
        <f>VLOOKUP(B2277,[1]LifeList!$E$2:$G$2036,2)</f>
        <v>Paruline à couronne rousse</v>
      </c>
      <c r="F2277" s="3" t="str">
        <f>VLOOKUP(B2277,[1]LifeList!$E$2:$G$2036,3)</f>
        <v>Setophaga palmarum</v>
      </c>
      <c r="G2277" s="3" t="str">
        <f>VLOOKUP(B2277,[1]LifeList!$E$2:$I$2036,4)</f>
        <v>Passeriformes</v>
      </c>
      <c r="H2277" s="3" t="str">
        <f>VLOOKUP(B2277,[1]LifeList!$E$2:$I$2036,5)</f>
        <v>Parulidae (New World Warblers)</v>
      </c>
    </row>
    <row r="2278" spans="1:8" x14ac:dyDescent="0.15">
      <c r="A2278" s="3" t="s">
        <v>2176</v>
      </c>
      <c r="B2278" s="3" t="s">
        <v>4686</v>
      </c>
      <c r="C2278" s="3">
        <v>34148</v>
      </c>
      <c r="D2278" s="3" t="str">
        <f>VLOOKUP(B2278,[1]LifeList!$E$2:$G$2036,1)</f>
        <v>Palm Warbler</v>
      </c>
      <c r="E2278" s="3" t="str">
        <f>VLOOKUP(B2278,[1]LifeList!$E$2:$G$2036,2)</f>
        <v>Paruline à couronne rousse</v>
      </c>
      <c r="F2278" s="3" t="str">
        <f>VLOOKUP(B2278,[1]LifeList!$E$2:$G$2036,3)</f>
        <v>Setophaga palmarum</v>
      </c>
      <c r="G2278" s="3" t="str">
        <f>VLOOKUP(B2278,[1]LifeList!$E$2:$I$2036,4)</f>
        <v>Passeriformes</v>
      </c>
      <c r="H2278" s="3" t="str">
        <f>VLOOKUP(B2278,[1]LifeList!$E$2:$I$2036,5)</f>
        <v>Parulidae (New World Warblers)</v>
      </c>
    </row>
    <row r="2279" spans="1:8" x14ac:dyDescent="0.15">
      <c r="A2279" s="3" t="s">
        <v>2177</v>
      </c>
      <c r="B2279" s="3" t="s">
        <v>4686</v>
      </c>
      <c r="C2279" s="3">
        <v>34148</v>
      </c>
      <c r="D2279" s="3" t="str">
        <f>VLOOKUP(B2279,[1]LifeList!$E$2:$G$2036,1)</f>
        <v>Palm Warbler</v>
      </c>
      <c r="E2279" s="3" t="str">
        <f>VLOOKUP(B2279,[1]LifeList!$E$2:$G$2036,2)</f>
        <v>Paruline à couronne rousse</v>
      </c>
      <c r="F2279" s="3" t="str">
        <f>VLOOKUP(B2279,[1]LifeList!$E$2:$G$2036,3)</f>
        <v>Setophaga palmarum</v>
      </c>
      <c r="G2279" s="3" t="str">
        <f>VLOOKUP(B2279,[1]LifeList!$E$2:$I$2036,4)</f>
        <v>Passeriformes</v>
      </c>
      <c r="H2279" s="3" t="str">
        <f>VLOOKUP(B2279,[1]LifeList!$E$2:$I$2036,5)</f>
        <v>Parulidae (New World Warblers)</v>
      </c>
    </row>
    <row r="2280" spans="1:8" x14ac:dyDescent="0.15">
      <c r="A2280" s="3" t="s">
        <v>2178</v>
      </c>
      <c r="B2280" s="3" t="s">
        <v>4686</v>
      </c>
      <c r="C2280" s="3">
        <v>34148</v>
      </c>
      <c r="D2280" s="3" t="str">
        <f>VLOOKUP(B2280,[1]LifeList!$E$2:$G$2036,1)</f>
        <v>Palm Warbler</v>
      </c>
      <c r="E2280" s="3" t="str">
        <f>VLOOKUP(B2280,[1]LifeList!$E$2:$G$2036,2)</f>
        <v>Paruline à couronne rousse</v>
      </c>
      <c r="F2280" s="3" t="str">
        <f>VLOOKUP(B2280,[1]LifeList!$E$2:$G$2036,3)</f>
        <v>Setophaga palmarum</v>
      </c>
      <c r="G2280" s="3" t="str">
        <f>VLOOKUP(B2280,[1]LifeList!$E$2:$I$2036,4)</f>
        <v>Passeriformes</v>
      </c>
      <c r="H2280" s="3" t="str">
        <f>VLOOKUP(B2280,[1]LifeList!$E$2:$I$2036,5)</f>
        <v>Parulidae (New World Warblers)</v>
      </c>
    </row>
    <row r="2281" spans="1:8" x14ac:dyDescent="0.15">
      <c r="A2281" s="3" t="s">
        <v>2179</v>
      </c>
      <c r="B2281" s="3" t="s">
        <v>4686</v>
      </c>
      <c r="C2281" s="3">
        <v>34148</v>
      </c>
      <c r="D2281" s="3" t="str">
        <f>VLOOKUP(B2281,[1]LifeList!$E$2:$G$2036,1)</f>
        <v>Palm Warbler</v>
      </c>
      <c r="E2281" s="3" t="str">
        <f>VLOOKUP(B2281,[1]LifeList!$E$2:$G$2036,2)</f>
        <v>Paruline à couronne rousse</v>
      </c>
      <c r="F2281" s="3" t="str">
        <f>VLOOKUP(B2281,[1]LifeList!$E$2:$G$2036,3)</f>
        <v>Setophaga palmarum</v>
      </c>
      <c r="G2281" s="3" t="str">
        <f>VLOOKUP(B2281,[1]LifeList!$E$2:$I$2036,4)</f>
        <v>Passeriformes</v>
      </c>
      <c r="H2281" s="3" t="str">
        <f>VLOOKUP(B2281,[1]LifeList!$E$2:$I$2036,5)</f>
        <v>Parulidae (New World Warblers)</v>
      </c>
    </row>
    <row r="2282" spans="1:8" x14ac:dyDescent="0.15">
      <c r="A2282" s="3" t="s">
        <v>2180</v>
      </c>
      <c r="B2282" s="3" t="s">
        <v>4686</v>
      </c>
      <c r="C2282" s="3">
        <v>34148</v>
      </c>
      <c r="D2282" s="3" t="str">
        <f>VLOOKUP(B2282,[1]LifeList!$E$2:$G$2036,1)</f>
        <v>Palm Warbler</v>
      </c>
      <c r="E2282" s="3" t="str">
        <f>VLOOKUP(B2282,[1]LifeList!$E$2:$G$2036,2)</f>
        <v>Paruline à couronne rousse</v>
      </c>
      <c r="F2282" s="3" t="str">
        <f>VLOOKUP(B2282,[1]LifeList!$E$2:$G$2036,3)</f>
        <v>Setophaga palmarum</v>
      </c>
      <c r="G2282" s="3" t="str">
        <f>VLOOKUP(B2282,[1]LifeList!$E$2:$I$2036,4)</f>
        <v>Passeriformes</v>
      </c>
      <c r="H2282" s="3" t="str">
        <f>VLOOKUP(B2282,[1]LifeList!$E$2:$I$2036,5)</f>
        <v>Parulidae (New World Warblers)</v>
      </c>
    </row>
    <row r="2283" spans="1:8" x14ac:dyDescent="0.15">
      <c r="A2283" s="3" t="s">
        <v>2181</v>
      </c>
      <c r="B2283" s="3" t="s">
        <v>4686</v>
      </c>
      <c r="C2283" s="3">
        <v>34148</v>
      </c>
      <c r="D2283" s="3" t="str">
        <f>VLOOKUP(B2283,[1]LifeList!$E$2:$G$2036,1)</f>
        <v>Palm Warbler</v>
      </c>
      <c r="E2283" s="3" t="str">
        <f>VLOOKUP(B2283,[1]LifeList!$E$2:$G$2036,2)</f>
        <v>Paruline à couronne rousse</v>
      </c>
      <c r="F2283" s="3" t="str">
        <f>VLOOKUP(B2283,[1]LifeList!$E$2:$G$2036,3)</f>
        <v>Setophaga palmarum</v>
      </c>
      <c r="G2283" s="3" t="str">
        <f>VLOOKUP(B2283,[1]LifeList!$E$2:$I$2036,4)</f>
        <v>Passeriformes</v>
      </c>
      <c r="H2283" s="3" t="str">
        <f>VLOOKUP(B2283,[1]LifeList!$E$2:$I$2036,5)</f>
        <v>Parulidae (New World Warblers)</v>
      </c>
    </row>
    <row r="2284" spans="1:8" x14ac:dyDescent="0.15">
      <c r="A2284" s="3" t="s">
        <v>2182</v>
      </c>
      <c r="B2284" s="3" t="s">
        <v>4686</v>
      </c>
      <c r="C2284" s="3">
        <v>34148</v>
      </c>
      <c r="D2284" s="3" t="str">
        <f>VLOOKUP(B2284,[1]LifeList!$E$2:$G$2036,1)</f>
        <v>Palm Warbler</v>
      </c>
      <c r="E2284" s="3" t="str">
        <f>VLOOKUP(B2284,[1]LifeList!$E$2:$G$2036,2)</f>
        <v>Paruline à couronne rousse</v>
      </c>
      <c r="F2284" s="3" t="str">
        <f>VLOOKUP(B2284,[1]LifeList!$E$2:$G$2036,3)</f>
        <v>Setophaga palmarum</v>
      </c>
      <c r="G2284" s="3" t="str">
        <f>VLOOKUP(B2284,[1]LifeList!$E$2:$I$2036,4)</f>
        <v>Passeriformes</v>
      </c>
      <c r="H2284" s="3" t="str">
        <f>VLOOKUP(B2284,[1]LifeList!$E$2:$I$2036,5)</f>
        <v>Parulidae (New World Warblers)</v>
      </c>
    </row>
    <row r="2285" spans="1:8" x14ac:dyDescent="0.15">
      <c r="A2285" s="3" t="s">
        <v>2183</v>
      </c>
      <c r="B2285" s="3" t="s">
        <v>4686</v>
      </c>
      <c r="C2285" s="3">
        <v>34148</v>
      </c>
      <c r="D2285" s="3" t="str">
        <f>VLOOKUP(B2285,[1]LifeList!$E$2:$G$2036,1)</f>
        <v>Palm Warbler</v>
      </c>
      <c r="E2285" s="3" t="str">
        <f>VLOOKUP(B2285,[1]LifeList!$E$2:$G$2036,2)</f>
        <v>Paruline à couronne rousse</v>
      </c>
      <c r="F2285" s="3" t="str">
        <f>VLOOKUP(B2285,[1]LifeList!$E$2:$G$2036,3)</f>
        <v>Setophaga palmarum</v>
      </c>
      <c r="G2285" s="3" t="str">
        <f>VLOOKUP(B2285,[1]LifeList!$E$2:$I$2036,4)</f>
        <v>Passeriformes</v>
      </c>
      <c r="H2285" s="3" t="str">
        <f>VLOOKUP(B2285,[1]LifeList!$E$2:$I$2036,5)</f>
        <v>Parulidae (New World Warblers)</v>
      </c>
    </row>
    <row r="2286" spans="1:8" x14ac:dyDescent="0.15">
      <c r="A2286" s="3" t="s">
        <v>2184</v>
      </c>
      <c r="B2286" s="3" t="s">
        <v>4686</v>
      </c>
      <c r="C2286" s="3">
        <v>34148</v>
      </c>
      <c r="D2286" s="3" t="str">
        <f>VLOOKUP(B2286,[1]LifeList!$E$2:$G$2036,1)</f>
        <v>Palm Warbler</v>
      </c>
      <c r="E2286" s="3" t="str">
        <f>VLOOKUP(B2286,[1]LifeList!$E$2:$G$2036,2)</f>
        <v>Paruline à couronne rousse</v>
      </c>
      <c r="F2286" s="3" t="str">
        <f>VLOOKUP(B2286,[1]LifeList!$E$2:$G$2036,3)</f>
        <v>Setophaga palmarum</v>
      </c>
      <c r="G2286" s="3" t="str">
        <f>VLOOKUP(B2286,[1]LifeList!$E$2:$I$2036,4)</f>
        <v>Passeriformes</v>
      </c>
      <c r="H2286" s="3" t="str">
        <f>VLOOKUP(B2286,[1]LifeList!$E$2:$I$2036,5)</f>
        <v>Parulidae (New World Warblers)</v>
      </c>
    </row>
    <row r="2287" spans="1:8" x14ac:dyDescent="0.15">
      <c r="A2287" s="3" t="s">
        <v>2185</v>
      </c>
      <c r="B2287" s="3" t="s">
        <v>4686</v>
      </c>
      <c r="C2287" s="3">
        <v>34148</v>
      </c>
      <c r="D2287" s="3" t="str">
        <f>VLOOKUP(B2287,[1]LifeList!$E$2:$G$2036,1)</f>
        <v>Palm Warbler</v>
      </c>
      <c r="E2287" s="3" t="str">
        <f>VLOOKUP(B2287,[1]LifeList!$E$2:$G$2036,2)</f>
        <v>Paruline à couronne rousse</v>
      </c>
      <c r="F2287" s="3" t="str">
        <f>VLOOKUP(B2287,[1]LifeList!$E$2:$G$2036,3)</f>
        <v>Setophaga palmarum</v>
      </c>
      <c r="G2287" s="3" t="str">
        <f>VLOOKUP(B2287,[1]LifeList!$E$2:$I$2036,4)</f>
        <v>Passeriformes</v>
      </c>
      <c r="H2287" s="3" t="str">
        <f>VLOOKUP(B2287,[1]LifeList!$E$2:$I$2036,5)</f>
        <v>Parulidae (New World Warblers)</v>
      </c>
    </row>
    <row r="2288" spans="1:8" x14ac:dyDescent="0.15">
      <c r="A2288" s="3" t="s">
        <v>2186</v>
      </c>
      <c r="B2288" s="3" t="s">
        <v>4686</v>
      </c>
      <c r="C2288" s="3">
        <v>34148</v>
      </c>
      <c r="D2288" s="3" t="str">
        <f>VLOOKUP(B2288,[1]LifeList!$E$2:$G$2036,1)</f>
        <v>Palm Warbler</v>
      </c>
      <c r="E2288" s="3" t="str">
        <f>VLOOKUP(B2288,[1]LifeList!$E$2:$G$2036,2)</f>
        <v>Paruline à couronne rousse</v>
      </c>
      <c r="F2288" s="3" t="str">
        <f>VLOOKUP(B2288,[1]LifeList!$E$2:$G$2036,3)</f>
        <v>Setophaga palmarum</v>
      </c>
      <c r="G2288" s="3" t="str">
        <f>VLOOKUP(B2288,[1]LifeList!$E$2:$I$2036,4)</f>
        <v>Passeriformes</v>
      </c>
      <c r="H2288" s="3" t="str">
        <f>VLOOKUP(B2288,[1]LifeList!$E$2:$I$2036,5)</f>
        <v>Parulidae (New World Warblers)</v>
      </c>
    </row>
    <row r="2289" spans="1:8" x14ac:dyDescent="0.15">
      <c r="A2289" s="3" t="s">
        <v>2187</v>
      </c>
      <c r="B2289" s="3" t="s">
        <v>4686</v>
      </c>
      <c r="C2289" s="3">
        <v>34148</v>
      </c>
      <c r="D2289" s="3" t="str">
        <f>VLOOKUP(B2289,[1]LifeList!$E$2:$G$2036,1)</f>
        <v>Palm Warbler</v>
      </c>
      <c r="E2289" s="3" t="str">
        <f>VLOOKUP(B2289,[1]LifeList!$E$2:$G$2036,2)</f>
        <v>Paruline à couronne rousse</v>
      </c>
      <c r="F2289" s="3" t="str">
        <f>VLOOKUP(B2289,[1]LifeList!$E$2:$G$2036,3)</f>
        <v>Setophaga palmarum</v>
      </c>
      <c r="G2289" s="3" t="str">
        <f>VLOOKUP(B2289,[1]LifeList!$E$2:$I$2036,4)</f>
        <v>Passeriformes</v>
      </c>
      <c r="H2289" s="3" t="str">
        <f>VLOOKUP(B2289,[1]LifeList!$E$2:$I$2036,5)</f>
        <v>Parulidae (New World Warblers)</v>
      </c>
    </row>
    <row r="2290" spans="1:8" x14ac:dyDescent="0.15">
      <c r="A2290" s="3" t="s">
        <v>2188</v>
      </c>
      <c r="B2290" s="3" t="s">
        <v>4686</v>
      </c>
      <c r="C2290" s="3">
        <v>34148</v>
      </c>
      <c r="D2290" s="3" t="str">
        <f>VLOOKUP(B2290,[1]LifeList!$E$2:$G$2036,1)</f>
        <v>Palm Warbler</v>
      </c>
      <c r="E2290" s="3" t="str">
        <f>VLOOKUP(B2290,[1]LifeList!$E$2:$G$2036,2)</f>
        <v>Paruline à couronne rousse</v>
      </c>
      <c r="F2290" s="3" t="str">
        <f>VLOOKUP(B2290,[1]LifeList!$E$2:$G$2036,3)</f>
        <v>Setophaga palmarum</v>
      </c>
      <c r="G2290" s="3" t="str">
        <f>VLOOKUP(B2290,[1]LifeList!$E$2:$I$2036,4)</f>
        <v>Passeriformes</v>
      </c>
      <c r="H2290" s="3" t="str">
        <f>VLOOKUP(B2290,[1]LifeList!$E$2:$I$2036,5)</f>
        <v>Parulidae (New World Warblers)</v>
      </c>
    </row>
    <row r="2291" spans="1:8" x14ac:dyDescent="0.15">
      <c r="A2291" s="3" t="s">
        <v>2189</v>
      </c>
      <c r="B2291" s="3" t="s">
        <v>4686</v>
      </c>
      <c r="C2291" s="3">
        <v>34148</v>
      </c>
      <c r="D2291" s="3" t="str">
        <f>VLOOKUP(B2291,[1]LifeList!$E$2:$G$2036,1)</f>
        <v>Palm Warbler</v>
      </c>
      <c r="E2291" s="3" t="str">
        <f>VLOOKUP(B2291,[1]LifeList!$E$2:$G$2036,2)</f>
        <v>Paruline à couronne rousse</v>
      </c>
      <c r="F2291" s="3" t="str">
        <f>VLOOKUP(B2291,[1]LifeList!$E$2:$G$2036,3)</f>
        <v>Setophaga palmarum</v>
      </c>
      <c r="G2291" s="3" t="str">
        <f>VLOOKUP(B2291,[1]LifeList!$E$2:$I$2036,4)</f>
        <v>Passeriformes</v>
      </c>
      <c r="H2291" s="3" t="str">
        <f>VLOOKUP(B2291,[1]LifeList!$E$2:$I$2036,5)</f>
        <v>Parulidae (New World Warblers)</v>
      </c>
    </row>
    <row r="2292" spans="1:8" x14ac:dyDescent="0.15">
      <c r="A2292" s="3" t="s">
        <v>2190</v>
      </c>
      <c r="B2292" s="3" t="s">
        <v>4686</v>
      </c>
      <c r="C2292" s="3">
        <v>34148</v>
      </c>
      <c r="D2292" s="3" t="str">
        <f>VLOOKUP(B2292,[1]LifeList!$E$2:$G$2036,1)</f>
        <v>Palm Warbler</v>
      </c>
      <c r="E2292" s="3" t="str">
        <f>VLOOKUP(B2292,[1]LifeList!$E$2:$G$2036,2)</f>
        <v>Paruline à couronne rousse</v>
      </c>
      <c r="F2292" s="3" t="str">
        <f>VLOOKUP(B2292,[1]LifeList!$E$2:$G$2036,3)</f>
        <v>Setophaga palmarum</v>
      </c>
      <c r="G2292" s="3" t="str">
        <f>VLOOKUP(B2292,[1]LifeList!$E$2:$I$2036,4)</f>
        <v>Passeriformes</v>
      </c>
      <c r="H2292" s="3" t="str">
        <f>VLOOKUP(B2292,[1]LifeList!$E$2:$I$2036,5)</f>
        <v>Parulidae (New World Warblers)</v>
      </c>
    </row>
    <row r="2293" spans="1:8" x14ac:dyDescent="0.15">
      <c r="A2293" s="3" t="s">
        <v>2191</v>
      </c>
      <c r="B2293" s="3" t="s">
        <v>4686</v>
      </c>
      <c r="C2293" s="3">
        <v>34148</v>
      </c>
      <c r="D2293" s="3" t="str">
        <f>VLOOKUP(B2293,[1]LifeList!$E$2:$G$2036,1)</f>
        <v>Palm Warbler</v>
      </c>
      <c r="E2293" s="3" t="str">
        <f>VLOOKUP(B2293,[1]LifeList!$E$2:$G$2036,2)</f>
        <v>Paruline à couronne rousse</v>
      </c>
      <c r="F2293" s="3" t="str">
        <f>VLOOKUP(B2293,[1]LifeList!$E$2:$G$2036,3)</f>
        <v>Setophaga palmarum</v>
      </c>
      <c r="G2293" s="3" t="str">
        <f>VLOOKUP(B2293,[1]LifeList!$E$2:$I$2036,4)</f>
        <v>Passeriformes</v>
      </c>
      <c r="H2293" s="3" t="str">
        <f>VLOOKUP(B2293,[1]LifeList!$E$2:$I$2036,5)</f>
        <v>Parulidae (New World Warblers)</v>
      </c>
    </row>
    <row r="2294" spans="1:8" x14ac:dyDescent="0.15">
      <c r="A2294" s="3" t="s">
        <v>2192</v>
      </c>
      <c r="B2294" s="3" t="s">
        <v>4686</v>
      </c>
      <c r="C2294" s="3">
        <v>34148</v>
      </c>
      <c r="D2294" s="3" t="str">
        <f>VLOOKUP(B2294,[1]LifeList!$E$2:$G$2036,1)</f>
        <v>Palm Warbler</v>
      </c>
      <c r="E2294" s="3" t="str">
        <f>VLOOKUP(B2294,[1]LifeList!$E$2:$G$2036,2)</f>
        <v>Paruline à couronne rousse</v>
      </c>
      <c r="F2294" s="3" t="str">
        <f>VLOOKUP(B2294,[1]LifeList!$E$2:$G$2036,3)</f>
        <v>Setophaga palmarum</v>
      </c>
      <c r="G2294" s="3" t="str">
        <f>VLOOKUP(B2294,[1]LifeList!$E$2:$I$2036,4)</f>
        <v>Passeriformes</v>
      </c>
      <c r="H2294" s="3" t="str">
        <f>VLOOKUP(B2294,[1]LifeList!$E$2:$I$2036,5)</f>
        <v>Parulidae (New World Warblers)</v>
      </c>
    </row>
    <row r="2295" spans="1:8" x14ac:dyDescent="0.15">
      <c r="A2295" s="3" t="s">
        <v>2174</v>
      </c>
      <c r="B2295" s="3" t="s">
        <v>4686</v>
      </c>
      <c r="C2295" s="3">
        <v>34148</v>
      </c>
      <c r="D2295" s="3" t="str">
        <f>VLOOKUP(B2295,[1]LifeList!$E$2:$G$2036,1)</f>
        <v>Palm Warbler</v>
      </c>
      <c r="E2295" s="3" t="str">
        <f>VLOOKUP(B2295,[1]LifeList!$E$2:$G$2036,2)</f>
        <v>Paruline à couronne rousse</v>
      </c>
      <c r="F2295" s="3" t="str">
        <f>VLOOKUP(B2295,[1]LifeList!$E$2:$G$2036,3)</f>
        <v>Setophaga palmarum</v>
      </c>
      <c r="G2295" s="3" t="str">
        <f>VLOOKUP(B2295,[1]LifeList!$E$2:$I$2036,4)</f>
        <v>Passeriformes</v>
      </c>
      <c r="H2295" s="3" t="str">
        <f>VLOOKUP(B2295,[1]LifeList!$E$2:$I$2036,5)</f>
        <v>Parulidae (New World Warblers)</v>
      </c>
    </row>
    <row r="2296" spans="1:8" x14ac:dyDescent="0.15">
      <c r="A2296" s="3" t="s">
        <v>2194</v>
      </c>
      <c r="B2296" s="3" t="s">
        <v>4687</v>
      </c>
      <c r="C2296" s="3">
        <v>17308</v>
      </c>
      <c r="D2296" s="3" t="str">
        <f>VLOOKUP(B2296,[1]LifeList!$E$2:$G$2036,1)</f>
        <v>Panama Flycatcher</v>
      </c>
      <c r="E2296" s="3" t="str">
        <f>VLOOKUP(B2296,[1]LifeList!$E$2:$G$2036,2)</f>
        <v>Tyran du Panama</v>
      </c>
      <c r="F2296" s="3" t="str">
        <f>VLOOKUP(B2296,[1]LifeList!$E$2:$G$2036,3)</f>
        <v>Myiarchus panamensis</v>
      </c>
      <c r="G2296" s="3" t="str">
        <f>VLOOKUP(B2296,[1]LifeList!$E$2:$I$2036,4)</f>
        <v>Passeriformes</v>
      </c>
      <c r="H2296" s="3" t="str">
        <f>VLOOKUP(B2296,[1]LifeList!$E$2:$I$2036,5)</f>
        <v>Tyrannidae (Tyrant Flycatchers)</v>
      </c>
    </row>
    <row r="2297" spans="1:8" x14ac:dyDescent="0.15">
      <c r="A2297" s="3" t="s">
        <v>2195</v>
      </c>
      <c r="B2297" s="3" t="s">
        <v>4687</v>
      </c>
      <c r="C2297" s="3">
        <v>17308</v>
      </c>
      <c r="D2297" s="3" t="str">
        <f>VLOOKUP(B2297,[1]LifeList!$E$2:$G$2036,1)</f>
        <v>Panama Flycatcher</v>
      </c>
      <c r="E2297" s="3" t="str">
        <f>VLOOKUP(B2297,[1]LifeList!$E$2:$G$2036,2)</f>
        <v>Tyran du Panama</v>
      </c>
      <c r="F2297" s="3" t="str">
        <f>VLOOKUP(B2297,[1]LifeList!$E$2:$G$2036,3)</f>
        <v>Myiarchus panamensis</v>
      </c>
      <c r="G2297" s="3" t="str">
        <f>VLOOKUP(B2297,[1]LifeList!$E$2:$I$2036,4)</f>
        <v>Passeriformes</v>
      </c>
      <c r="H2297" s="3" t="str">
        <f>VLOOKUP(B2297,[1]LifeList!$E$2:$I$2036,5)</f>
        <v>Tyrannidae (Tyrant Flycatchers)</v>
      </c>
    </row>
    <row r="2298" spans="1:8" x14ac:dyDescent="0.15">
      <c r="A2298" s="3" t="s">
        <v>2193</v>
      </c>
      <c r="B2298" s="3" t="s">
        <v>4687</v>
      </c>
      <c r="C2298" s="3">
        <v>17308</v>
      </c>
      <c r="D2298" s="3" t="str">
        <f>VLOOKUP(B2298,[1]LifeList!$E$2:$G$2036,1)</f>
        <v>Panama Flycatcher</v>
      </c>
      <c r="E2298" s="3" t="str">
        <f>VLOOKUP(B2298,[1]LifeList!$E$2:$G$2036,2)</f>
        <v>Tyran du Panama</v>
      </c>
      <c r="F2298" s="3" t="str">
        <f>VLOOKUP(B2298,[1]LifeList!$E$2:$G$2036,3)</f>
        <v>Myiarchus panamensis</v>
      </c>
      <c r="G2298" s="3" t="str">
        <f>VLOOKUP(B2298,[1]LifeList!$E$2:$I$2036,4)</f>
        <v>Passeriformes</v>
      </c>
      <c r="H2298" s="3" t="str">
        <f>VLOOKUP(B2298,[1]LifeList!$E$2:$I$2036,5)</f>
        <v>Tyrannidae (Tyrant Flycatchers)</v>
      </c>
    </row>
    <row r="2299" spans="1:8" x14ac:dyDescent="0.15">
      <c r="A2299" s="3" t="s">
        <v>2196</v>
      </c>
      <c r="B2299" s="3" t="s">
        <v>4688</v>
      </c>
      <c r="C2299" s="3">
        <v>35624</v>
      </c>
      <c r="D2299" s="3" t="str">
        <f>VLOOKUP(B2299,[1]LifeList!$E$2:$G$2036,1)</f>
        <v>Paramo Seedeater</v>
      </c>
      <c r="E2299" s="3" t="str">
        <f>VLOOKUP(B2299,[1]LifeList!$E$2:$G$2036,2)</f>
        <v>Cataménie du paramo</v>
      </c>
      <c r="F2299" s="3" t="str">
        <f>VLOOKUP(B2299,[1]LifeList!$E$2:$G$2036,3)</f>
        <v>Catamenia homochroa</v>
      </c>
      <c r="G2299" s="3" t="str">
        <f>VLOOKUP(B2299,[1]LifeList!$E$2:$I$2036,4)</f>
        <v>Passeriformes</v>
      </c>
      <c r="H2299" s="3" t="str">
        <f>VLOOKUP(B2299,[1]LifeList!$E$2:$I$2036,5)</f>
        <v>Thraupidae (Tanagers and Allies)</v>
      </c>
    </row>
    <row r="2300" spans="1:8" x14ac:dyDescent="0.15">
      <c r="A2300" s="3" t="s">
        <v>2197</v>
      </c>
      <c r="B2300" s="3" t="s">
        <v>4689</v>
      </c>
      <c r="C2300" s="3">
        <v>7838</v>
      </c>
      <c r="D2300" s="3" t="str">
        <f>VLOOKUP(B2300,[1]LifeList!$E$2:$G$2036,1)</f>
        <v>Pearl Kite</v>
      </c>
      <c r="E2300" s="3" t="str">
        <f>VLOOKUP(B2300,[1]LifeList!$E$2:$G$2036,2)</f>
        <v>Élanion perle</v>
      </c>
      <c r="F2300" s="3" t="str">
        <f>VLOOKUP(B2300,[1]LifeList!$E$2:$G$2036,3)</f>
        <v>Gampsonyx swainsonii</v>
      </c>
      <c r="G2300" s="3" t="str">
        <f>VLOOKUP(B2300,[1]LifeList!$E$2:$I$2036,4)</f>
        <v>Accipitriformes</v>
      </c>
      <c r="H2300" s="3" t="str">
        <f>VLOOKUP(B2300,[1]LifeList!$E$2:$I$2036,5)</f>
        <v>Accipitridae (Hawks, Eagles, and Kites)</v>
      </c>
    </row>
    <row r="2301" spans="1:8" x14ac:dyDescent="0.15">
      <c r="A2301" s="3" t="s">
        <v>2198</v>
      </c>
      <c r="B2301" s="3" t="s">
        <v>4690</v>
      </c>
      <c r="C2301" s="3">
        <v>15304</v>
      </c>
      <c r="D2301" s="3" t="str">
        <f>VLOOKUP(B2301,[1]LifeList!$E$2:$G$2036,1)</f>
        <v>Pearled Treerunner</v>
      </c>
      <c r="E2301" s="3" t="str">
        <f>VLOOKUP(B2301,[1]LifeList!$E$2:$G$2036,2)</f>
        <v>Anabasitte perlée</v>
      </c>
      <c r="F2301" s="3" t="str">
        <f>VLOOKUP(B2301,[1]LifeList!$E$2:$G$2036,3)</f>
        <v>Margarornis squamiger</v>
      </c>
      <c r="G2301" s="3" t="str">
        <f>VLOOKUP(B2301,[1]LifeList!$E$2:$I$2036,4)</f>
        <v>Passeriformes</v>
      </c>
      <c r="H2301" s="3" t="str">
        <f>VLOOKUP(B2301,[1]LifeList!$E$2:$I$2036,5)</f>
        <v>Furnariidae (Ovenbirds and Woodcreepers)</v>
      </c>
    </row>
    <row r="2302" spans="1:8" x14ac:dyDescent="0.15">
      <c r="A2302" s="3" t="s">
        <v>2199</v>
      </c>
      <c r="B2302" s="3" t="s">
        <v>4691</v>
      </c>
      <c r="C2302" s="3">
        <v>16358</v>
      </c>
      <c r="D2302" s="3" t="str">
        <f>VLOOKUP(B2302,[1]LifeList!$E$2:$G$2036,1)</f>
        <v>Pearly-vented Tody-Tyrant</v>
      </c>
      <c r="E2302" s="3" t="str">
        <f>VLOOKUP(B2302,[1]LifeList!$E$2:$G$2036,2)</f>
        <v>Todirostre à ventre perle</v>
      </c>
      <c r="F2302" s="3" t="str">
        <f>VLOOKUP(B2302,[1]LifeList!$E$2:$G$2036,3)</f>
        <v>Hemitriccus margaritaceiventer</v>
      </c>
      <c r="G2302" s="3" t="str">
        <f>VLOOKUP(B2302,[1]LifeList!$E$2:$I$2036,4)</f>
        <v>Passeriformes</v>
      </c>
      <c r="H2302" s="3" t="str">
        <f>VLOOKUP(B2302,[1]LifeList!$E$2:$I$2036,5)</f>
        <v>Tyrannidae (Tyrant Flycatchers)</v>
      </c>
    </row>
    <row r="2303" spans="1:8" x14ac:dyDescent="0.15">
      <c r="A2303" s="3" t="s">
        <v>2200</v>
      </c>
      <c r="B2303" s="3" t="s">
        <v>4691</v>
      </c>
      <c r="C2303" s="3">
        <v>16358</v>
      </c>
      <c r="D2303" s="3" t="str">
        <f>VLOOKUP(B2303,[1]LifeList!$E$2:$G$2036,1)</f>
        <v>Pearly-vented Tody-Tyrant</v>
      </c>
      <c r="E2303" s="3" t="str">
        <f>VLOOKUP(B2303,[1]LifeList!$E$2:$G$2036,2)</f>
        <v>Todirostre à ventre perle</v>
      </c>
      <c r="F2303" s="3" t="str">
        <f>VLOOKUP(B2303,[1]LifeList!$E$2:$G$2036,3)</f>
        <v>Hemitriccus margaritaceiventer</v>
      </c>
      <c r="G2303" s="3" t="str">
        <f>VLOOKUP(B2303,[1]LifeList!$E$2:$I$2036,4)</f>
        <v>Passeriformes</v>
      </c>
      <c r="H2303" s="3" t="str">
        <f>VLOOKUP(B2303,[1]LifeList!$E$2:$I$2036,5)</f>
        <v>Tyrannidae (Tyrant Flycatchers)</v>
      </c>
    </row>
    <row r="2304" spans="1:8" x14ac:dyDescent="0.15">
      <c r="A2304" s="3" t="s">
        <v>2201</v>
      </c>
      <c r="B2304" s="3" t="s">
        <v>4691</v>
      </c>
      <c r="C2304" s="3">
        <v>16358</v>
      </c>
      <c r="D2304" s="3" t="str">
        <f>VLOOKUP(B2304,[1]LifeList!$E$2:$G$2036,1)</f>
        <v>Pearly-vented Tody-Tyrant</v>
      </c>
      <c r="E2304" s="3" t="str">
        <f>VLOOKUP(B2304,[1]LifeList!$E$2:$G$2036,2)</f>
        <v>Todirostre à ventre perle</v>
      </c>
      <c r="F2304" s="3" t="str">
        <f>VLOOKUP(B2304,[1]LifeList!$E$2:$G$2036,3)</f>
        <v>Hemitriccus margaritaceiventer</v>
      </c>
      <c r="G2304" s="3" t="str">
        <f>VLOOKUP(B2304,[1]LifeList!$E$2:$I$2036,4)</f>
        <v>Passeriformes</v>
      </c>
      <c r="H2304" s="3" t="str">
        <f>VLOOKUP(B2304,[1]LifeList!$E$2:$I$2036,5)</f>
        <v>Tyrannidae (Tyrant Flycatchers)</v>
      </c>
    </row>
    <row r="2305" spans="1:8" x14ac:dyDescent="0.15">
      <c r="A2305" s="3" t="s">
        <v>2202</v>
      </c>
      <c r="B2305" s="3" t="s">
        <v>4692</v>
      </c>
      <c r="C2305" s="3">
        <v>6227</v>
      </c>
      <c r="D2305" s="3" t="str">
        <f>VLOOKUP(B2305,[1]LifeList!$E$2:$G$2036,1)</f>
        <v>Pectoral Sandpiper</v>
      </c>
      <c r="E2305" s="3" t="str">
        <f>VLOOKUP(B2305,[1]LifeList!$E$2:$G$2036,2)</f>
        <v>Bécasseau à poitrine cendrée</v>
      </c>
      <c r="F2305" s="3" t="str">
        <f>VLOOKUP(B2305,[1]LifeList!$E$2:$G$2036,3)</f>
        <v>Calidris melanotos</v>
      </c>
      <c r="G2305" s="3" t="str">
        <f>VLOOKUP(B2305,[1]LifeList!$E$2:$I$2036,4)</f>
        <v>Charadriiformes</v>
      </c>
      <c r="H2305" s="3" t="str">
        <f>VLOOKUP(B2305,[1]LifeList!$E$2:$I$2036,5)</f>
        <v>Scolopacidae (Sandpipers and Allies)</v>
      </c>
    </row>
    <row r="2306" spans="1:8" x14ac:dyDescent="0.15">
      <c r="A2306" s="3" t="s">
        <v>2203</v>
      </c>
      <c r="B2306" s="3" t="s">
        <v>4692</v>
      </c>
      <c r="C2306" s="3">
        <v>6227</v>
      </c>
      <c r="D2306" s="3" t="str">
        <f>VLOOKUP(B2306,[1]LifeList!$E$2:$G$2036,1)</f>
        <v>Pectoral Sandpiper</v>
      </c>
      <c r="E2306" s="3" t="str">
        <f>VLOOKUP(B2306,[1]LifeList!$E$2:$G$2036,2)</f>
        <v>Bécasseau à poitrine cendrée</v>
      </c>
      <c r="F2306" s="3" t="str">
        <f>VLOOKUP(B2306,[1]LifeList!$E$2:$G$2036,3)</f>
        <v>Calidris melanotos</v>
      </c>
      <c r="G2306" s="3" t="str">
        <f>VLOOKUP(B2306,[1]LifeList!$E$2:$I$2036,4)</f>
        <v>Charadriiformes</v>
      </c>
      <c r="H2306" s="3" t="str">
        <f>VLOOKUP(B2306,[1]LifeList!$E$2:$I$2036,5)</f>
        <v>Scolopacidae (Sandpipers and Allies)</v>
      </c>
    </row>
    <row r="2307" spans="1:8" x14ac:dyDescent="0.15">
      <c r="A2307" s="3" t="s">
        <v>2204</v>
      </c>
      <c r="B2307" s="3" t="s">
        <v>4692</v>
      </c>
      <c r="C2307" s="3">
        <v>6227</v>
      </c>
      <c r="D2307" s="3" t="str">
        <f>VLOOKUP(B2307,[1]LifeList!$E$2:$G$2036,1)</f>
        <v>Pectoral Sandpiper</v>
      </c>
      <c r="E2307" s="3" t="str">
        <f>VLOOKUP(B2307,[1]LifeList!$E$2:$G$2036,2)</f>
        <v>Bécasseau à poitrine cendrée</v>
      </c>
      <c r="F2307" s="3" t="str">
        <f>VLOOKUP(B2307,[1]LifeList!$E$2:$G$2036,3)</f>
        <v>Calidris melanotos</v>
      </c>
      <c r="G2307" s="3" t="str">
        <f>VLOOKUP(B2307,[1]LifeList!$E$2:$I$2036,4)</f>
        <v>Charadriiformes</v>
      </c>
      <c r="H2307" s="3" t="str">
        <f>VLOOKUP(B2307,[1]LifeList!$E$2:$I$2036,5)</f>
        <v>Scolopacidae (Sandpipers and Allies)</v>
      </c>
    </row>
    <row r="2308" spans="1:8" x14ac:dyDescent="0.15">
      <c r="A2308" s="3" t="s">
        <v>2205</v>
      </c>
      <c r="B2308" s="3" t="s">
        <v>4692</v>
      </c>
      <c r="C2308" s="3">
        <v>6227</v>
      </c>
      <c r="D2308" s="3" t="str">
        <f>VLOOKUP(B2308,[1]LifeList!$E$2:$G$2036,1)</f>
        <v>Pectoral Sandpiper</v>
      </c>
      <c r="E2308" s="3" t="str">
        <f>VLOOKUP(B2308,[1]LifeList!$E$2:$G$2036,2)</f>
        <v>Bécasseau à poitrine cendrée</v>
      </c>
      <c r="F2308" s="3" t="str">
        <f>VLOOKUP(B2308,[1]LifeList!$E$2:$G$2036,3)</f>
        <v>Calidris melanotos</v>
      </c>
      <c r="G2308" s="3" t="str">
        <f>VLOOKUP(B2308,[1]LifeList!$E$2:$I$2036,4)</f>
        <v>Charadriiformes</v>
      </c>
      <c r="H2308" s="3" t="str">
        <f>VLOOKUP(B2308,[1]LifeList!$E$2:$I$2036,5)</f>
        <v>Scolopacidae (Sandpipers and Allies)</v>
      </c>
    </row>
    <row r="2309" spans="1:8" x14ac:dyDescent="0.15">
      <c r="A2309" s="3" t="s">
        <v>2206</v>
      </c>
      <c r="B2309" s="3" t="s">
        <v>4692</v>
      </c>
      <c r="C2309" s="3">
        <v>6227</v>
      </c>
      <c r="D2309" s="3" t="str">
        <f>VLOOKUP(B2309,[1]LifeList!$E$2:$G$2036,1)</f>
        <v>Pectoral Sandpiper</v>
      </c>
      <c r="E2309" s="3" t="str">
        <f>VLOOKUP(B2309,[1]LifeList!$E$2:$G$2036,2)</f>
        <v>Bécasseau à poitrine cendrée</v>
      </c>
      <c r="F2309" s="3" t="str">
        <f>VLOOKUP(B2309,[1]LifeList!$E$2:$G$2036,3)</f>
        <v>Calidris melanotos</v>
      </c>
      <c r="G2309" s="3" t="str">
        <f>VLOOKUP(B2309,[1]LifeList!$E$2:$I$2036,4)</f>
        <v>Charadriiformes</v>
      </c>
      <c r="H2309" s="3" t="str">
        <f>VLOOKUP(B2309,[1]LifeList!$E$2:$I$2036,5)</f>
        <v>Scolopacidae (Sandpipers and Allies)</v>
      </c>
    </row>
    <row r="2310" spans="1:8" x14ac:dyDescent="0.15">
      <c r="A2310" s="3" t="s">
        <v>2207</v>
      </c>
      <c r="B2310" s="3" t="s">
        <v>4692</v>
      </c>
      <c r="C2310" s="3">
        <v>6227</v>
      </c>
      <c r="D2310" s="3" t="str">
        <f>VLOOKUP(B2310,[1]LifeList!$E$2:$G$2036,1)</f>
        <v>Pectoral Sandpiper</v>
      </c>
      <c r="E2310" s="3" t="str">
        <f>VLOOKUP(B2310,[1]LifeList!$E$2:$G$2036,2)</f>
        <v>Bécasseau à poitrine cendrée</v>
      </c>
      <c r="F2310" s="3" t="str">
        <f>VLOOKUP(B2310,[1]LifeList!$E$2:$G$2036,3)</f>
        <v>Calidris melanotos</v>
      </c>
      <c r="G2310" s="3" t="str">
        <f>VLOOKUP(B2310,[1]LifeList!$E$2:$I$2036,4)</f>
        <v>Charadriiformes</v>
      </c>
      <c r="H2310" s="3" t="str">
        <f>VLOOKUP(B2310,[1]LifeList!$E$2:$I$2036,5)</f>
        <v>Scolopacidae (Sandpipers and Allies)</v>
      </c>
    </row>
    <row r="2311" spans="1:8" x14ac:dyDescent="0.15">
      <c r="A2311" s="3" t="s">
        <v>2208</v>
      </c>
      <c r="B2311" s="3" t="s">
        <v>4693</v>
      </c>
      <c r="C2311" s="3">
        <v>7391</v>
      </c>
      <c r="D2311" s="3" t="str">
        <f>VLOOKUP(B2311,[1]LifeList!$E$2:$G$2036,1)</f>
        <v>Pelagic Cormorant</v>
      </c>
      <c r="E2311" s="3" t="str">
        <f>VLOOKUP(B2311,[1]LifeList!$E$2:$G$2036,2)</f>
        <v>Cormoran pélagique</v>
      </c>
      <c r="F2311" s="3" t="str">
        <f>VLOOKUP(B2311,[1]LifeList!$E$2:$G$2036,3)</f>
        <v>Urile pelagicus</v>
      </c>
      <c r="G2311" s="3" t="str">
        <f>VLOOKUP(B2311,[1]LifeList!$E$2:$I$2036,4)</f>
        <v>Suliformes</v>
      </c>
      <c r="H2311" s="3" t="str">
        <f>VLOOKUP(B2311,[1]LifeList!$E$2:$I$2036,5)</f>
        <v>Phalacrocoracidae (Cormorants and Shags)</v>
      </c>
    </row>
    <row r="2312" spans="1:8" x14ac:dyDescent="0.15">
      <c r="A2312" s="3" t="s">
        <v>2210</v>
      </c>
      <c r="B2312" s="3" t="s">
        <v>4694</v>
      </c>
      <c r="C2312" s="3">
        <v>12114</v>
      </c>
      <c r="D2312" s="3" t="str">
        <f>VLOOKUP(B2312,[1]LifeList!$E$2:$G$2036,1)</f>
        <v>Peregrine Falcon</v>
      </c>
      <c r="E2312" s="3" t="str">
        <f>VLOOKUP(B2312,[1]LifeList!$E$2:$G$2036,2)</f>
        <v>Faucon pèlerin</v>
      </c>
      <c r="F2312" s="3" t="str">
        <f>VLOOKUP(B2312,[1]LifeList!$E$2:$G$2036,3)</f>
        <v>Falco peregrinus</v>
      </c>
      <c r="G2312" s="3" t="str">
        <f>VLOOKUP(B2312,[1]LifeList!$E$2:$I$2036,4)</f>
        <v>Falconiformes</v>
      </c>
      <c r="H2312" s="3" t="str">
        <f>VLOOKUP(B2312,[1]LifeList!$E$2:$I$2036,5)</f>
        <v>Falconidae (Falcons and Caracaras)</v>
      </c>
    </row>
    <row r="2313" spans="1:8" x14ac:dyDescent="0.15">
      <c r="A2313" s="3" t="s">
        <v>2211</v>
      </c>
      <c r="B2313" s="3" t="s">
        <v>4694</v>
      </c>
      <c r="C2313" s="3">
        <v>12114</v>
      </c>
      <c r="D2313" s="3" t="str">
        <f>VLOOKUP(B2313,[1]LifeList!$E$2:$G$2036,1)</f>
        <v>Peregrine Falcon</v>
      </c>
      <c r="E2313" s="3" t="str">
        <f>VLOOKUP(B2313,[1]LifeList!$E$2:$G$2036,2)</f>
        <v>Faucon pèlerin</v>
      </c>
      <c r="F2313" s="3" t="str">
        <f>VLOOKUP(B2313,[1]LifeList!$E$2:$G$2036,3)</f>
        <v>Falco peregrinus</v>
      </c>
      <c r="G2313" s="3" t="str">
        <f>VLOOKUP(B2313,[1]LifeList!$E$2:$I$2036,4)</f>
        <v>Falconiformes</v>
      </c>
      <c r="H2313" s="3" t="str">
        <f>VLOOKUP(B2313,[1]LifeList!$E$2:$I$2036,5)</f>
        <v>Falconidae (Falcons and Caracaras)</v>
      </c>
    </row>
    <row r="2314" spans="1:8" x14ac:dyDescent="0.15">
      <c r="A2314" s="3" t="s">
        <v>2212</v>
      </c>
      <c r="B2314" s="3" t="s">
        <v>4694</v>
      </c>
      <c r="C2314" s="3">
        <v>12114</v>
      </c>
      <c r="D2314" s="3" t="str">
        <f>VLOOKUP(B2314,[1]LifeList!$E$2:$G$2036,1)</f>
        <v>Peregrine Falcon</v>
      </c>
      <c r="E2314" s="3" t="str">
        <f>VLOOKUP(B2314,[1]LifeList!$E$2:$G$2036,2)</f>
        <v>Faucon pèlerin</v>
      </c>
      <c r="F2314" s="3" t="str">
        <f>VLOOKUP(B2314,[1]LifeList!$E$2:$G$2036,3)</f>
        <v>Falco peregrinus</v>
      </c>
      <c r="G2314" s="3" t="str">
        <f>VLOOKUP(B2314,[1]LifeList!$E$2:$I$2036,4)</f>
        <v>Falconiformes</v>
      </c>
      <c r="H2314" s="3" t="str">
        <f>VLOOKUP(B2314,[1]LifeList!$E$2:$I$2036,5)</f>
        <v>Falconidae (Falcons and Caracaras)</v>
      </c>
    </row>
    <row r="2315" spans="1:8" x14ac:dyDescent="0.15">
      <c r="A2315" s="3" t="s">
        <v>2214</v>
      </c>
      <c r="B2315" s="3" t="s">
        <v>4694</v>
      </c>
      <c r="C2315" s="3">
        <v>12114</v>
      </c>
      <c r="D2315" s="3" t="str">
        <f>VLOOKUP(B2315,[1]LifeList!$E$2:$G$2036,1)</f>
        <v>Peregrine Falcon</v>
      </c>
      <c r="E2315" s="3" t="str">
        <f>VLOOKUP(B2315,[1]LifeList!$E$2:$G$2036,2)</f>
        <v>Faucon pèlerin</v>
      </c>
      <c r="F2315" s="3" t="str">
        <f>VLOOKUP(B2315,[1]LifeList!$E$2:$G$2036,3)</f>
        <v>Falco peregrinus</v>
      </c>
      <c r="G2315" s="3" t="str">
        <f>VLOOKUP(B2315,[1]LifeList!$E$2:$I$2036,4)</f>
        <v>Falconiformes</v>
      </c>
      <c r="H2315" s="3" t="str">
        <f>VLOOKUP(B2315,[1]LifeList!$E$2:$I$2036,5)</f>
        <v>Falconidae (Falcons and Caracaras)</v>
      </c>
    </row>
    <row r="2316" spans="1:8" x14ac:dyDescent="0.15">
      <c r="A2316" s="3" t="s">
        <v>2213</v>
      </c>
      <c r="B2316" s="3" t="s">
        <v>4694</v>
      </c>
      <c r="C2316" s="3">
        <v>12114</v>
      </c>
      <c r="D2316" s="3" t="str">
        <f>VLOOKUP(B2316,[1]LifeList!$E$2:$G$2036,1)</f>
        <v>Peregrine Falcon</v>
      </c>
      <c r="E2316" s="3" t="str">
        <f>VLOOKUP(B2316,[1]LifeList!$E$2:$G$2036,2)</f>
        <v>Faucon pèlerin</v>
      </c>
      <c r="F2316" s="3" t="str">
        <f>VLOOKUP(B2316,[1]LifeList!$E$2:$G$2036,3)</f>
        <v>Falco peregrinus</v>
      </c>
      <c r="G2316" s="3" t="str">
        <f>VLOOKUP(B2316,[1]LifeList!$E$2:$I$2036,4)</f>
        <v>Falconiformes</v>
      </c>
      <c r="H2316" s="3" t="str">
        <f>VLOOKUP(B2316,[1]LifeList!$E$2:$I$2036,5)</f>
        <v>Falconidae (Falcons and Caracaras)</v>
      </c>
    </row>
    <row r="2317" spans="1:8" x14ac:dyDescent="0.15">
      <c r="A2317" s="3" t="s">
        <v>2215</v>
      </c>
      <c r="B2317" s="3" t="s">
        <v>4694</v>
      </c>
      <c r="C2317" s="3">
        <v>12114</v>
      </c>
      <c r="D2317" s="3" t="str">
        <f>VLOOKUP(B2317,[1]LifeList!$E$2:$G$2036,1)</f>
        <v>Peregrine Falcon</v>
      </c>
      <c r="E2317" s="3" t="str">
        <f>VLOOKUP(B2317,[1]LifeList!$E$2:$G$2036,2)</f>
        <v>Faucon pèlerin</v>
      </c>
      <c r="F2317" s="3" t="str">
        <f>VLOOKUP(B2317,[1]LifeList!$E$2:$G$2036,3)</f>
        <v>Falco peregrinus</v>
      </c>
      <c r="G2317" s="3" t="str">
        <f>VLOOKUP(B2317,[1]LifeList!$E$2:$I$2036,4)</f>
        <v>Falconiformes</v>
      </c>
      <c r="H2317" s="3" t="str">
        <f>VLOOKUP(B2317,[1]LifeList!$E$2:$I$2036,5)</f>
        <v>Falconidae (Falcons and Caracaras)</v>
      </c>
    </row>
    <row r="2318" spans="1:8" x14ac:dyDescent="0.15">
      <c r="A2318" s="3" t="s">
        <v>2216</v>
      </c>
      <c r="B2318" s="3" t="s">
        <v>4694</v>
      </c>
      <c r="C2318" s="3">
        <v>12114</v>
      </c>
      <c r="D2318" s="3" t="str">
        <f>VLOOKUP(B2318,[1]LifeList!$E$2:$G$2036,1)</f>
        <v>Peregrine Falcon</v>
      </c>
      <c r="E2318" s="3" t="str">
        <f>VLOOKUP(B2318,[1]LifeList!$E$2:$G$2036,2)</f>
        <v>Faucon pèlerin</v>
      </c>
      <c r="F2318" s="3" t="str">
        <f>VLOOKUP(B2318,[1]LifeList!$E$2:$G$2036,3)</f>
        <v>Falco peregrinus</v>
      </c>
      <c r="G2318" s="3" t="str">
        <f>VLOOKUP(B2318,[1]LifeList!$E$2:$I$2036,4)</f>
        <v>Falconiformes</v>
      </c>
      <c r="H2318" s="3" t="str">
        <f>VLOOKUP(B2318,[1]LifeList!$E$2:$I$2036,5)</f>
        <v>Falconidae (Falcons and Caracaras)</v>
      </c>
    </row>
    <row r="2319" spans="1:8" x14ac:dyDescent="0.15">
      <c r="A2319" s="3" t="s">
        <v>2217</v>
      </c>
      <c r="B2319" s="3" t="s">
        <v>4694</v>
      </c>
      <c r="C2319" s="3">
        <v>12114</v>
      </c>
      <c r="D2319" s="3" t="str">
        <f>VLOOKUP(B2319,[1]LifeList!$E$2:$G$2036,1)</f>
        <v>Peregrine Falcon</v>
      </c>
      <c r="E2319" s="3" t="str">
        <f>VLOOKUP(B2319,[1]LifeList!$E$2:$G$2036,2)</f>
        <v>Faucon pèlerin</v>
      </c>
      <c r="F2319" s="3" t="str">
        <f>VLOOKUP(B2319,[1]LifeList!$E$2:$G$2036,3)</f>
        <v>Falco peregrinus</v>
      </c>
      <c r="G2319" s="3" t="str">
        <f>VLOOKUP(B2319,[1]LifeList!$E$2:$I$2036,4)</f>
        <v>Falconiformes</v>
      </c>
      <c r="H2319" s="3" t="str">
        <f>VLOOKUP(B2319,[1]LifeList!$E$2:$I$2036,5)</f>
        <v>Falconidae (Falcons and Caracaras)</v>
      </c>
    </row>
    <row r="2320" spans="1:8" x14ac:dyDescent="0.15">
      <c r="A2320" s="3" t="s">
        <v>2218</v>
      </c>
      <c r="B2320" s="3" t="s">
        <v>4694</v>
      </c>
      <c r="C2320" s="3">
        <v>12114</v>
      </c>
      <c r="D2320" s="3" t="str">
        <f>VLOOKUP(B2320,[1]LifeList!$E$2:$G$2036,1)</f>
        <v>Peregrine Falcon</v>
      </c>
      <c r="E2320" s="3" t="str">
        <f>VLOOKUP(B2320,[1]LifeList!$E$2:$G$2036,2)</f>
        <v>Faucon pèlerin</v>
      </c>
      <c r="F2320" s="3" t="str">
        <f>VLOOKUP(B2320,[1]LifeList!$E$2:$G$2036,3)</f>
        <v>Falco peregrinus</v>
      </c>
      <c r="G2320" s="3" t="str">
        <f>VLOOKUP(B2320,[1]LifeList!$E$2:$I$2036,4)</f>
        <v>Falconiformes</v>
      </c>
      <c r="H2320" s="3" t="str">
        <f>VLOOKUP(B2320,[1]LifeList!$E$2:$I$2036,5)</f>
        <v>Falconidae (Falcons and Caracaras)</v>
      </c>
    </row>
    <row r="2321" spans="1:8" x14ac:dyDescent="0.15">
      <c r="A2321" s="3" t="s">
        <v>2219</v>
      </c>
      <c r="B2321" s="3" t="s">
        <v>4694</v>
      </c>
      <c r="C2321" s="3">
        <v>12114</v>
      </c>
      <c r="D2321" s="3" t="str">
        <f>VLOOKUP(B2321,[1]LifeList!$E$2:$G$2036,1)</f>
        <v>Peregrine Falcon</v>
      </c>
      <c r="E2321" s="3" t="str">
        <f>VLOOKUP(B2321,[1]LifeList!$E$2:$G$2036,2)</f>
        <v>Faucon pèlerin</v>
      </c>
      <c r="F2321" s="3" t="str">
        <f>VLOOKUP(B2321,[1]LifeList!$E$2:$G$2036,3)</f>
        <v>Falco peregrinus</v>
      </c>
      <c r="G2321" s="3" t="str">
        <f>VLOOKUP(B2321,[1]LifeList!$E$2:$I$2036,4)</f>
        <v>Falconiformes</v>
      </c>
      <c r="H2321" s="3" t="str">
        <f>VLOOKUP(B2321,[1]LifeList!$E$2:$I$2036,5)</f>
        <v>Falconidae (Falcons and Caracaras)</v>
      </c>
    </row>
    <row r="2322" spans="1:8" x14ac:dyDescent="0.15">
      <c r="A2322" s="3" t="s">
        <v>2209</v>
      </c>
      <c r="B2322" s="3" t="s">
        <v>4694</v>
      </c>
      <c r="C2322" s="3">
        <v>12114</v>
      </c>
      <c r="D2322" s="3" t="str">
        <f>VLOOKUP(B2322,[1]LifeList!$E$2:$G$2036,1)</f>
        <v>Peregrine Falcon</v>
      </c>
      <c r="E2322" s="3" t="str">
        <f>VLOOKUP(B2322,[1]LifeList!$E$2:$G$2036,2)</f>
        <v>Faucon pèlerin</v>
      </c>
      <c r="F2322" s="3" t="str">
        <f>VLOOKUP(B2322,[1]LifeList!$E$2:$G$2036,3)</f>
        <v>Falco peregrinus</v>
      </c>
      <c r="G2322" s="3" t="str">
        <f>VLOOKUP(B2322,[1]LifeList!$E$2:$I$2036,4)</f>
        <v>Falconiformes</v>
      </c>
      <c r="H2322" s="3" t="str">
        <f>VLOOKUP(B2322,[1]LifeList!$E$2:$I$2036,5)</f>
        <v>Falconidae (Falcons and Caracaras)</v>
      </c>
    </row>
    <row r="2323" spans="1:8" x14ac:dyDescent="0.15">
      <c r="A2323" s="3" t="s">
        <v>2220</v>
      </c>
      <c r="B2323" s="3" t="s">
        <v>4694</v>
      </c>
      <c r="C2323" s="3">
        <v>12114</v>
      </c>
      <c r="D2323" s="3" t="str">
        <f>VLOOKUP(B2323,[1]LifeList!$E$2:$G$2036,1)</f>
        <v>Peregrine Falcon</v>
      </c>
      <c r="E2323" s="3" t="str">
        <f>VLOOKUP(B2323,[1]LifeList!$E$2:$G$2036,2)</f>
        <v>Faucon pèlerin</v>
      </c>
      <c r="F2323" s="3" t="str">
        <f>VLOOKUP(B2323,[1]LifeList!$E$2:$G$2036,3)</f>
        <v>Falco peregrinus</v>
      </c>
      <c r="G2323" s="3" t="str">
        <f>VLOOKUP(B2323,[1]LifeList!$E$2:$I$2036,4)</f>
        <v>Falconiformes</v>
      </c>
      <c r="H2323" s="3" t="str">
        <f>VLOOKUP(B2323,[1]LifeList!$E$2:$I$2036,5)</f>
        <v>Falconidae (Falcons and Caracaras)</v>
      </c>
    </row>
    <row r="2324" spans="1:8" x14ac:dyDescent="0.15">
      <c r="A2324" s="3" t="s">
        <v>2221</v>
      </c>
      <c r="B2324" s="3" t="s">
        <v>4695</v>
      </c>
      <c r="C2324" s="3">
        <v>3032</v>
      </c>
      <c r="D2324" s="3" t="str">
        <f>VLOOKUP(B2324,[1]LifeList!$E$2:$G$2036,1)</f>
        <v>Pheasant Cuckoo</v>
      </c>
      <c r="E2324" s="3" t="str">
        <f>VLOOKUP(B2324,[1]LifeList!$E$2:$G$2036,2)</f>
        <v>Géocoucou faisan</v>
      </c>
      <c r="F2324" s="3" t="str">
        <f>VLOOKUP(B2324,[1]LifeList!$E$2:$G$2036,3)</f>
        <v>Dromococcyx phasianellus</v>
      </c>
      <c r="G2324" s="3" t="str">
        <f>VLOOKUP(B2324,[1]LifeList!$E$2:$I$2036,4)</f>
        <v>Cuculiformes</v>
      </c>
      <c r="H2324" s="3" t="str">
        <f>VLOOKUP(B2324,[1]LifeList!$E$2:$I$2036,5)</f>
        <v>Cuculidae (Cuckoos)</v>
      </c>
    </row>
    <row r="2325" spans="1:8" x14ac:dyDescent="0.15">
      <c r="A2325" s="3" t="s">
        <v>2222</v>
      </c>
      <c r="B2325" s="3" t="s">
        <v>4695</v>
      </c>
      <c r="C2325" s="3">
        <v>3032</v>
      </c>
      <c r="D2325" s="3" t="str">
        <f>VLOOKUP(B2325,[1]LifeList!$E$2:$G$2036,1)</f>
        <v>Pheasant Cuckoo</v>
      </c>
      <c r="E2325" s="3" t="str">
        <f>VLOOKUP(B2325,[1]LifeList!$E$2:$G$2036,2)</f>
        <v>Géocoucou faisan</v>
      </c>
      <c r="F2325" s="3" t="str">
        <f>VLOOKUP(B2325,[1]LifeList!$E$2:$G$2036,3)</f>
        <v>Dromococcyx phasianellus</v>
      </c>
      <c r="G2325" s="3" t="str">
        <f>VLOOKUP(B2325,[1]LifeList!$E$2:$I$2036,4)</f>
        <v>Cuculiformes</v>
      </c>
      <c r="H2325" s="3" t="str">
        <f>VLOOKUP(B2325,[1]LifeList!$E$2:$I$2036,5)</f>
        <v>Cuculidae (Cuckoos)</v>
      </c>
    </row>
    <row r="2326" spans="1:8" x14ac:dyDescent="0.15">
      <c r="A2326" s="3" t="s">
        <v>2223</v>
      </c>
      <c r="B2326" s="3" t="s">
        <v>4696</v>
      </c>
      <c r="C2326" s="3">
        <v>19244</v>
      </c>
      <c r="D2326" s="3" t="str">
        <f>VLOOKUP(B2326,[1]LifeList!$E$2:$G$2036,1)</f>
        <v>Philadelphia Vireo</v>
      </c>
      <c r="E2326" s="3" t="str">
        <f>VLOOKUP(B2326,[1]LifeList!$E$2:$G$2036,2)</f>
        <v>Viréo de Philadelphie</v>
      </c>
      <c r="F2326" s="3" t="str">
        <f>VLOOKUP(B2326,[1]LifeList!$E$2:$G$2036,3)</f>
        <v>Vireo philadelphicus</v>
      </c>
      <c r="G2326" s="3" t="str">
        <f>VLOOKUP(B2326,[1]LifeList!$E$2:$I$2036,4)</f>
        <v>Passeriformes</v>
      </c>
      <c r="H2326" s="3" t="str">
        <f>VLOOKUP(B2326,[1]LifeList!$E$2:$I$2036,5)</f>
        <v>Vireonidae (Vireos, Shrike-Babblers, and Erpornis)</v>
      </c>
    </row>
    <row r="2327" spans="1:8" x14ac:dyDescent="0.15">
      <c r="A2327" s="3" t="s">
        <v>2224</v>
      </c>
      <c r="B2327" s="3" t="s">
        <v>4696</v>
      </c>
      <c r="C2327" s="3">
        <v>19244</v>
      </c>
      <c r="D2327" s="3" t="str">
        <f>VLOOKUP(B2327,[1]LifeList!$E$2:$G$2036,1)</f>
        <v>Philadelphia Vireo</v>
      </c>
      <c r="E2327" s="3" t="str">
        <f>VLOOKUP(B2327,[1]LifeList!$E$2:$G$2036,2)</f>
        <v>Viréo de Philadelphie</v>
      </c>
      <c r="F2327" s="3" t="str">
        <f>VLOOKUP(B2327,[1]LifeList!$E$2:$G$2036,3)</f>
        <v>Vireo philadelphicus</v>
      </c>
      <c r="G2327" s="3" t="str">
        <f>VLOOKUP(B2327,[1]LifeList!$E$2:$I$2036,4)</f>
        <v>Passeriformes</v>
      </c>
      <c r="H2327" s="3" t="str">
        <f>VLOOKUP(B2327,[1]LifeList!$E$2:$I$2036,5)</f>
        <v>Vireonidae (Vireos, Shrike-Babblers, and Erpornis)</v>
      </c>
    </row>
    <row r="2328" spans="1:8" x14ac:dyDescent="0.15">
      <c r="A2328" s="3" t="s">
        <v>2225</v>
      </c>
      <c r="B2328" s="3" t="s">
        <v>4696</v>
      </c>
      <c r="C2328" s="3">
        <v>19244</v>
      </c>
      <c r="D2328" s="3" t="str">
        <f>VLOOKUP(B2328,[1]LifeList!$E$2:$G$2036,1)</f>
        <v>Philadelphia Vireo</v>
      </c>
      <c r="E2328" s="3" t="str">
        <f>VLOOKUP(B2328,[1]LifeList!$E$2:$G$2036,2)</f>
        <v>Viréo de Philadelphie</v>
      </c>
      <c r="F2328" s="3" t="str">
        <f>VLOOKUP(B2328,[1]LifeList!$E$2:$G$2036,3)</f>
        <v>Vireo philadelphicus</v>
      </c>
      <c r="G2328" s="3" t="str">
        <f>VLOOKUP(B2328,[1]LifeList!$E$2:$I$2036,4)</f>
        <v>Passeriformes</v>
      </c>
      <c r="H2328" s="3" t="str">
        <f>VLOOKUP(B2328,[1]LifeList!$E$2:$I$2036,5)</f>
        <v>Vireonidae (Vireos, Shrike-Babblers, and Erpornis)</v>
      </c>
    </row>
    <row r="2329" spans="1:8" x14ac:dyDescent="0.15">
      <c r="A2329" s="3" t="s">
        <v>2237</v>
      </c>
      <c r="B2329" s="3" t="s">
        <v>4697</v>
      </c>
      <c r="C2329" s="3">
        <v>5777</v>
      </c>
      <c r="D2329" s="3" t="str">
        <f>VLOOKUP(B2329,[1]LifeList!$E$2:$G$2036,1)</f>
        <v>Pied Avocet</v>
      </c>
      <c r="E2329" s="3" t="str">
        <f>VLOOKUP(B2329,[1]LifeList!$E$2:$G$2036,2)</f>
        <v>Avocette élégante</v>
      </c>
      <c r="F2329" s="3" t="str">
        <f>VLOOKUP(B2329,[1]LifeList!$E$2:$G$2036,3)</f>
        <v>Recurvirostra avosetta</v>
      </c>
      <c r="G2329" s="3" t="str">
        <f>VLOOKUP(B2329,[1]LifeList!$E$2:$I$2036,4)</f>
        <v>Charadriiformes</v>
      </c>
      <c r="H2329" s="3" t="str">
        <f>VLOOKUP(B2329,[1]LifeList!$E$2:$I$2036,5)</f>
        <v>Recurvirostridae (Stilts and Avocets)</v>
      </c>
    </row>
    <row r="2330" spans="1:8" x14ac:dyDescent="0.15">
      <c r="A2330" s="3" t="s">
        <v>2239</v>
      </c>
      <c r="B2330" s="3" t="s">
        <v>4698</v>
      </c>
      <c r="C2330" s="3">
        <v>10632</v>
      </c>
      <c r="D2330" s="3" t="str">
        <f>VLOOKUP(B2330,[1]LifeList!$E$2:$G$2036,1)</f>
        <v>Pied Barbet</v>
      </c>
      <c r="E2330" s="3" t="str">
        <f>VLOOKUP(B2330,[1]LifeList!$E$2:$G$2036,2)</f>
        <v>Barbican pie</v>
      </c>
      <c r="F2330" s="3" t="str">
        <f>VLOOKUP(B2330,[1]LifeList!$E$2:$G$2036,3)</f>
        <v>Tricholaema leucomelas</v>
      </c>
      <c r="G2330" s="3" t="str">
        <f>VLOOKUP(B2330,[1]LifeList!$E$2:$I$2036,4)</f>
        <v>Piciformes</v>
      </c>
      <c r="H2330" s="3" t="str">
        <f>VLOOKUP(B2330,[1]LifeList!$E$2:$I$2036,5)</f>
        <v>Lybiidae (African Barbets)</v>
      </c>
    </row>
    <row r="2331" spans="1:8" x14ac:dyDescent="0.15">
      <c r="A2331" s="3" t="s">
        <v>2238</v>
      </c>
      <c r="B2331" s="3" t="s">
        <v>4698</v>
      </c>
      <c r="C2331" s="3">
        <v>10632</v>
      </c>
      <c r="D2331" s="3" t="str">
        <f>VLOOKUP(B2331,[1]LifeList!$E$2:$G$2036,1)</f>
        <v>Pied Barbet</v>
      </c>
      <c r="E2331" s="3" t="str">
        <f>VLOOKUP(B2331,[1]LifeList!$E$2:$G$2036,2)</f>
        <v>Barbican pie</v>
      </c>
      <c r="F2331" s="3" t="str">
        <f>VLOOKUP(B2331,[1]LifeList!$E$2:$G$2036,3)</f>
        <v>Tricholaema leucomelas</v>
      </c>
      <c r="G2331" s="3" t="str">
        <f>VLOOKUP(B2331,[1]LifeList!$E$2:$I$2036,4)</f>
        <v>Piciformes</v>
      </c>
      <c r="H2331" s="3" t="str">
        <f>VLOOKUP(B2331,[1]LifeList!$E$2:$I$2036,5)</f>
        <v>Lybiidae (African Barbets)</v>
      </c>
    </row>
    <row r="2332" spans="1:8" x14ac:dyDescent="0.15">
      <c r="A2332" s="3" t="s">
        <v>2240</v>
      </c>
      <c r="B2332" s="3" t="s">
        <v>4699</v>
      </c>
      <c r="C2332" s="3">
        <v>21616</v>
      </c>
      <c r="D2332" s="3" t="str">
        <f>VLOOKUP(B2332,[1]LifeList!$E$2:$G$2036,1)</f>
        <v>Pied Crow</v>
      </c>
      <c r="E2332" s="3" t="str">
        <f>VLOOKUP(B2332,[1]LifeList!$E$2:$G$2036,2)</f>
        <v>Corbeau pie</v>
      </c>
      <c r="F2332" s="3" t="str">
        <f>VLOOKUP(B2332,[1]LifeList!$E$2:$G$2036,3)</f>
        <v>Corvus albus</v>
      </c>
      <c r="G2332" s="3" t="str">
        <f>VLOOKUP(B2332,[1]LifeList!$E$2:$I$2036,4)</f>
        <v>Passeriformes</v>
      </c>
      <c r="H2332" s="3" t="str">
        <f>VLOOKUP(B2332,[1]LifeList!$E$2:$I$2036,5)</f>
        <v>Corvidae (Crows, Jays, and Magpies)</v>
      </c>
    </row>
    <row r="2333" spans="1:8" x14ac:dyDescent="0.15">
      <c r="A2333" s="3" t="s">
        <v>2241</v>
      </c>
      <c r="B2333" s="3" t="s">
        <v>4700</v>
      </c>
      <c r="C2333" s="3">
        <v>19807</v>
      </c>
      <c r="D2333" s="3" t="str">
        <f>VLOOKUP(B2333,[1]LifeList!$E$2:$G$2036,1)</f>
        <v>Pied Currawong</v>
      </c>
      <c r="E2333" s="3" t="str">
        <f>VLOOKUP(B2333,[1]LifeList!$E$2:$G$2036,2)</f>
        <v>Grand Réveilleur</v>
      </c>
      <c r="F2333" s="3" t="str">
        <f>VLOOKUP(B2333,[1]LifeList!$E$2:$G$2036,3)</f>
        <v>Strepera graculina</v>
      </c>
      <c r="G2333" s="3" t="str">
        <f>VLOOKUP(B2333,[1]LifeList!$E$2:$I$2036,4)</f>
        <v>Passeriformes</v>
      </c>
      <c r="H2333" s="3" t="str">
        <f>VLOOKUP(B2333,[1]LifeList!$E$2:$I$2036,5)</f>
        <v>Artamidae (Woodswallows, Bellmagpies, and Allies)</v>
      </c>
    </row>
    <row r="2334" spans="1:8" x14ac:dyDescent="0.15">
      <c r="A2334" s="3" t="s">
        <v>2242</v>
      </c>
      <c r="B2334" s="3" t="s">
        <v>4700</v>
      </c>
      <c r="C2334" s="3">
        <v>19807</v>
      </c>
      <c r="D2334" s="3" t="str">
        <f>VLOOKUP(B2334,[1]LifeList!$E$2:$G$2036,1)</f>
        <v>Pied Currawong</v>
      </c>
      <c r="E2334" s="3" t="str">
        <f>VLOOKUP(B2334,[1]LifeList!$E$2:$G$2036,2)</f>
        <v>Grand Réveilleur</v>
      </c>
      <c r="F2334" s="3" t="str">
        <f>VLOOKUP(B2334,[1]LifeList!$E$2:$G$2036,3)</f>
        <v>Strepera graculina</v>
      </c>
      <c r="G2334" s="3" t="str">
        <f>VLOOKUP(B2334,[1]LifeList!$E$2:$I$2036,4)</f>
        <v>Passeriformes</v>
      </c>
      <c r="H2334" s="3" t="str">
        <f>VLOOKUP(B2334,[1]LifeList!$E$2:$I$2036,5)</f>
        <v>Artamidae (Woodswallows, Bellmagpies, and Allies)</v>
      </c>
    </row>
    <row r="2335" spans="1:8" x14ac:dyDescent="0.15">
      <c r="A2335" s="3" t="s">
        <v>2243</v>
      </c>
      <c r="B2335" s="3" t="s">
        <v>4701</v>
      </c>
      <c r="C2335" s="3">
        <v>10307</v>
      </c>
      <c r="D2335" s="3" t="str">
        <f>VLOOKUP(B2335,[1]LifeList!$E$2:$G$2036,1)</f>
        <v>Pied Kingfisher</v>
      </c>
      <c r="E2335" s="3" t="str">
        <f>VLOOKUP(B2335,[1]LifeList!$E$2:$G$2036,2)</f>
        <v>Martin-pêcheur pie</v>
      </c>
      <c r="F2335" s="3" t="str">
        <f>VLOOKUP(B2335,[1]LifeList!$E$2:$G$2036,3)</f>
        <v>Ceryle rudis</v>
      </c>
      <c r="G2335" s="3" t="str">
        <f>VLOOKUP(B2335,[1]LifeList!$E$2:$I$2036,4)</f>
        <v>Coraciiformes</v>
      </c>
      <c r="H2335" s="3" t="str">
        <f>VLOOKUP(B2335,[1]LifeList!$E$2:$I$2036,5)</f>
        <v>Alcedinidae (Kingfishers)</v>
      </c>
    </row>
    <row r="2336" spans="1:8" x14ac:dyDescent="0.15">
      <c r="A2336" s="3" t="s">
        <v>2245</v>
      </c>
      <c r="B2336" s="3" t="s">
        <v>4702</v>
      </c>
      <c r="C2336" s="3">
        <v>5791</v>
      </c>
      <c r="D2336" s="3" t="str">
        <f>VLOOKUP(B2336,[1]LifeList!$E$2:$G$2036,1)</f>
        <v>Pied Oystercatcher</v>
      </c>
      <c r="E2336" s="3" t="str">
        <f>VLOOKUP(B2336,[1]LifeList!$E$2:$G$2036,2)</f>
        <v>Huîtrier à long bec</v>
      </c>
      <c r="F2336" s="3" t="str">
        <f>VLOOKUP(B2336,[1]LifeList!$E$2:$G$2036,3)</f>
        <v>Haematopus longirostris</v>
      </c>
      <c r="G2336" s="3" t="str">
        <f>VLOOKUP(B2336,[1]LifeList!$E$2:$I$2036,4)</f>
        <v>Charadriiformes</v>
      </c>
      <c r="H2336" s="3" t="str">
        <f>VLOOKUP(B2336,[1]LifeList!$E$2:$I$2036,5)</f>
        <v>Haematopodidae (Oystercatchers)</v>
      </c>
    </row>
    <row r="2337" spans="1:8" x14ac:dyDescent="0.15">
      <c r="A2337" s="3" t="s">
        <v>2244</v>
      </c>
      <c r="B2337" s="3" t="s">
        <v>4702</v>
      </c>
      <c r="C2337" s="3">
        <v>5791</v>
      </c>
      <c r="D2337" s="3" t="str">
        <f>VLOOKUP(B2337,[1]LifeList!$E$2:$G$2036,1)</f>
        <v>Pied Oystercatcher</v>
      </c>
      <c r="E2337" s="3" t="str">
        <f>VLOOKUP(B2337,[1]LifeList!$E$2:$G$2036,2)</f>
        <v>Huîtrier à long bec</v>
      </c>
      <c r="F2337" s="3" t="str">
        <f>VLOOKUP(B2337,[1]LifeList!$E$2:$G$2036,3)</f>
        <v>Haematopus longirostris</v>
      </c>
      <c r="G2337" s="3" t="str">
        <f>VLOOKUP(B2337,[1]LifeList!$E$2:$I$2036,4)</f>
        <v>Charadriiformes</v>
      </c>
      <c r="H2337" s="3" t="str">
        <f>VLOOKUP(B2337,[1]LifeList!$E$2:$I$2036,5)</f>
        <v>Haematopodidae (Oystercatchers)</v>
      </c>
    </row>
    <row r="2338" spans="1:8" x14ac:dyDescent="0.15">
      <c r="A2338" s="3" t="s">
        <v>2246</v>
      </c>
      <c r="B2338" s="3" t="s">
        <v>4703</v>
      </c>
      <c r="C2338" s="3">
        <v>10384</v>
      </c>
      <c r="D2338" s="3" t="str">
        <f>VLOOKUP(B2338,[1]LifeList!$E$2:$G$2036,1)</f>
        <v>Pied Puffbird</v>
      </c>
      <c r="E2338" s="3" t="str">
        <f>VLOOKUP(B2338,[1]LifeList!$E$2:$G$2036,2)</f>
        <v>Tamatia pie</v>
      </c>
      <c r="F2338" s="3" t="str">
        <f>VLOOKUP(B2338,[1]LifeList!$E$2:$G$2036,3)</f>
        <v>Notharchus tectus</v>
      </c>
      <c r="G2338" s="3" t="str">
        <f>VLOOKUP(B2338,[1]LifeList!$E$2:$I$2036,4)</f>
        <v>Piciformes</v>
      </c>
      <c r="H2338" s="3" t="str">
        <f>VLOOKUP(B2338,[1]LifeList!$E$2:$I$2036,5)</f>
        <v>Bucconidae (Puffbirds)</v>
      </c>
    </row>
    <row r="2339" spans="1:8" x14ac:dyDescent="0.15">
      <c r="A2339" s="3" t="s">
        <v>2247</v>
      </c>
      <c r="B2339" s="3" t="s">
        <v>4703</v>
      </c>
      <c r="C2339" s="3">
        <v>10384</v>
      </c>
      <c r="D2339" s="3" t="str">
        <f>VLOOKUP(B2339,[1]LifeList!$E$2:$G$2036,1)</f>
        <v>Pied Puffbird</v>
      </c>
      <c r="E2339" s="3" t="str">
        <f>VLOOKUP(B2339,[1]LifeList!$E$2:$G$2036,2)</f>
        <v>Tamatia pie</v>
      </c>
      <c r="F2339" s="3" t="str">
        <f>VLOOKUP(B2339,[1]LifeList!$E$2:$G$2036,3)</f>
        <v>Notharchus tectus</v>
      </c>
      <c r="G2339" s="3" t="str">
        <f>VLOOKUP(B2339,[1]LifeList!$E$2:$I$2036,4)</f>
        <v>Piciformes</v>
      </c>
      <c r="H2339" s="3" t="str">
        <f>VLOOKUP(B2339,[1]LifeList!$E$2:$I$2036,5)</f>
        <v>Bucconidae (Puffbirds)</v>
      </c>
    </row>
    <row r="2340" spans="1:8" x14ac:dyDescent="0.15">
      <c r="A2340" s="3" t="s">
        <v>2248</v>
      </c>
      <c r="B2340" s="3" t="s">
        <v>4703</v>
      </c>
      <c r="C2340" s="3">
        <v>10384</v>
      </c>
      <c r="D2340" s="3" t="str">
        <f>VLOOKUP(B2340,[1]LifeList!$E$2:$G$2036,1)</f>
        <v>Pied Puffbird</v>
      </c>
      <c r="E2340" s="3" t="str">
        <f>VLOOKUP(B2340,[1]LifeList!$E$2:$G$2036,2)</f>
        <v>Tamatia pie</v>
      </c>
      <c r="F2340" s="3" t="str">
        <f>VLOOKUP(B2340,[1]LifeList!$E$2:$G$2036,3)</f>
        <v>Notharchus tectus</v>
      </c>
      <c r="G2340" s="3" t="str">
        <f>VLOOKUP(B2340,[1]LifeList!$E$2:$I$2036,4)</f>
        <v>Piciformes</v>
      </c>
      <c r="H2340" s="3" t="str">
        <f>VLOOKUP(B2340,[1]LifeList!$E$2:$I$2036,5)</f>
        <v>Bucconidae (Puffbirds)</v>
      </c>
    </row>
    <row r="2341" spans="1:8" x14ac:dyDescent="0.15">
      <c r="A2341" s="3" t="s">
        <v>2249</v>
      </c>
      <c r="B2341" s="3" t="s">
        <v>4704</v>
      </c>
      <c r="C2341" s="3">
        <v>5764</v>
      </c>
      <c r="D2341" s="3" t="str">
        <f>VLOOKUP(B2341,[1]LifeList!$E$2:$G$2036,1)</f>
        <v>Pied Stilt</v>
      </c>
      <c r="E2341" s="3" t="str">
        <f>VLOOKUP(B2341,[1]LifeList!$E$2:$G$2036,2)</f>
        <v>Échasse d'Australie</v>
      </c>
      <c r="F2341" s="3" t="str">
        <f>VLOOKUP(B2341,[1]LifeList!$E$2:$G$2036,3)</f>
        <v>Himantopus leucocephalus</v>
      </c>
      <c r="G2341" s="3" t="str">
        <f>VLOOKUP(B2341,[1]LifeList!$E$2:$I$2036,4)</f>
        <v>Charadriiformes</v>
      </c>
      <c r="H2341" s="3" t="str">
        <f>VLOOKUP(B2341,[1]LifeList!$E$2:$I$2036,5)</f>
        <v>Recurvirostridae (Stilts and Avocets)</v>
      </c>
    </row>
    <row r="2342" spans="1:8" x14ac:dyDescent="0.15">
      <c r="A2342" s="3" t="s">
        <v>2250</v>
      </c>
      <c r="B2342" s="3" t="s">
        <v>4704</v>
      </c>
      <c r="C2342" s="3">
        <v>5764</v>
      </c>
      <c r="D2342" s="3" t="str">
        <f>VLOOKUP(B2342,[1]LifeList!$E$2:$G$2036,1)</f>
        <v>Pied Stilt</v>
      </c>
      <c r="E2342" s="3" t="str">
        <f>VLOOKUP(B2342,[1]LifeList!$E$2:$G$2036,2)</f>
        <v>Échasse d'Australie</v>
      </c>
      <c r="F2342" s="3" t="str">
        <f>VLOOKUP(B2342,[1]LifeList!$E$2:$G$2036,3)</f>
        <v>Himantopus leucocephalus</v>
      </c>
      <c r="G2342" s="3" t="str">
        <f>VLOOKUP(B2342,[1]LifeList!$E$2:$I$2036,4)</f>
        <v>Charadriiformes</v>
      </c>
      <c r="H2342" s="3" t="str">
        <f>VLOOKUP(B2342,[1]LifeList!$E$2:$I$2036,5)</f>
        <v>Recurvirostridae (Stilts and Avocets)</v>
      </c>
    </row>
    <row r="2343" spans="1:8" x14ac:dyDescent="0.15">
      <c r="A2343" s="3" t="s">
        <v>2251</v>
      </c>
      <c r="B2343" s="3" t="s">
        <v>4704</v>
      </c>
      <c r="C2343" s="3">
        <v>5764</v>
      </c>
      <c r="D2343" s="3" t="str">
        <f>VLOOKUP(B2343,[1]LifeList!$E$2:$G$2036,1)</f>
        <v>Pied Stilt</v>
      </c>
      <c r="E2343" s="3" t="str">
        <f>VLOOKUP(B2343,[1]LifeList!$E$2:$G$2036,2)</f>
        <v>Échasse d'Australie</v>
      </c>
      <c r="F2343" s="3" t="str">
        <f>VLOOKUP(B2343,[1]LifeList!$E$2:$G$2036,3)</f>
        <v>Himantopus leucocephalus</v>
      </c>
      <c r="G2343" s="3" t="str">
        <f>VLOOKUP(B2343,[1]LifeList!$E$2:$I$2036,4)</f>
        <v>Charadriiformes</v>
      </c>
      <c r="H2343" s="3" t="str">
        <f>VLOOKUP(B2343,[1]LifeList!$E$2:$I$2036,5)</f>
        <v>Recurvirostridae (Stilts and Avocets)</v>
      </c>
    </row>
    <row r="2344" spans="1:8" x14ac:dyDescent="0.15">
      <c r="A2344" s="3" t="s">
        <v>2252</v>
      </c>
      <c r="B2344" s="3" t="s">
        <v>4705</v>
      </c>
      <c r="C2344" s="3">
        <v>17160</v>
      </c>
      <c r="D2344" s="3" t="str">
        <f>VLOOKUP(B2344,[1]LifeList!$E$2:$G$2036,1)</f>
        <v>Pied Water-Tyrant</v>
      </c>
      <c r="E2344" s="3" t="str">
        <f>VLOOKUP(B2344,[1]LifeList!$E$2:$G$2036,2)</f>
        <v>Moucherolle pie</v>
      </c>
      <c r="F2344" s="3" t="str">
        <f>VLOOKUP(B2344,[1]LifeList!$E$2:$G$2036,3)</f>
        <v>Fluvicola pica</v>
      </c>
      <c r="G2344" s="3" t="str">
        <f>VLOOKUP(B2344,[1]LifeList!$E$2:$I$2036,4)</f>
        <v>Passeriformes</v>
      </c>
      <c r="H2344" s="3" t="str">
        <f>VLOOKUP(B2344,[1]LifeList!$E$2:$I$2036,5)</f>
        <v>Tyrannidae (Tyrant Flycatchers)</v>
      </c>
    </row>
    <row r="2345" spans="1:8" x14ac:dyDescent="0.15">
      <c r="A2345" s="3" t="s">
        <v>2253</v>
      </c>
      <c r="B2345" s="3" t="s">
        <v>4705</v>
      </c>
      <c r="C2345" s="3">
        <v>17160</v>
      </c>
      <c r="D2345" s="3" t="str">
        <f>VLOOKUP(B2345,[1]LifeList!$E$2:$G$2036,1)</f>
        <v>Pied Water-Tyrant</v>
      </c>
      <c r="E2345" s="3" t="str">
        <f>VLOOKUP(B2345,[1]LifeList!$E$2:$G$2036,2)</f>
        <v>Moucherolle pie</v>
      </c>
      <c r="F2345" s="3" t="str">
        <f>VLOOKUP(B2345,[1]LifeList!$E$2:$G$2036,3)</f>
        <v>Fluvicola pica</v>
      </c>
      <c r="G2345" s="3" t="str">
        <f>VLOOKUP(B2345,[1]LifeList!$E$2:$I$2036,4)</f>
        <v>Passeriformes</v>
      </c>
      <c r="H2345" s="3" t="str">
        <f>VLOOKUP(B2345,[1]LifeList!$E$2:$I$2036,5)</f>
        <v>Tyrannidae (Tyrant Flycatchers)</v>
      </c>
    </row>
    <row r="2346" spans="1:8" x14ac:dyDescent="0.15">
      <c r="A2346" s="3" t="s">
        <v>2255</v>
      </c>
      <c r="B2346" s="3" t="s">
        <v>4705</v>
      </c>
      <c r="C2346" s="3">
        <v>17160</v>
      </c>
      <c r="D2346" s="3" t="str">
        <f>VLOOKUP(B2346,[1]LifeList!$E$2:$G$2036,1)</f>
        <v>Pied Water-Tyrant</v>
      </c>
      <c r="E2346" s="3" t="str">
        <f>VLOOKUP(B2346,[1]LifeList!$E$2:$G$2036,2)</f>
        <v>Moucherolle pie</v>
      </c>
      <c r="F2346" s="3" t="str">
        <f>VLOOKUP(B2346,[1]LifeList!$E$2:$G$2036,3)</f>
        <v>Fluvicola pica</v>
      </c>
      <c r="G2346" s="3" t="str">
        <f>VLOOKUP(B2346,[1]LifeList!$E$2:$I$2036,4)</f>
        <v>Passeriformes</v>
      </c>
      <c r="H2346" s="3" t="str">
        <f>VLOOKUP(B2346,[1]LifeList!$E$2:$I$2036,5)</f>
        <v>Tyrannidae (Tyrant Flycatchers)</v>
      </c>
    </row>
    <row r="2347" spans="1:8" x14ac:dyDescent="0.15">
      <c r="A2347" s="3" t="s">
        <v>2254</v>
      </c>
      <c r="B2347" s="3" t="s">
        <v>4705</v>
      </c>
      <c r="C2347" s="3">
        <v>17160</v>
      </c>
      <c r="D2347" s="3" t="str">
        <f>VLOOKUP(B2347,[1]LifeList!$E$2:$G$2036,1)</f>
        <v>Pied Water-Tyrant</v>
      </c>
      <c r="E2347" s="3" t="str">
        <f>VLOOKUP(B2347,[1]LifeList!$E$2:$G$2036,2)</f>
        <v>Moucherolle pie</v>
      </c>
      <c r="F2347" s="3" t="str">
        <f>VLOOKUP(B2347,[1]LifeList!$E$2:$G$2036,3)</f>
        <v>Fluvicola pica</v>
      </c>
      <c r="G2347" s="3" t="str">
        <f>VLOOKUP(B2347,[1]LifeList!$E$2:$I$2036,4)</f>
        <v>Passeriformes</v>
      </c>
      <c r="H2347" s="3" t="str">
        <f>VLOOKUP(B2347,[1]LifeList!$E$2:$I$2036,5)</f>
        <v>Tyrannidae (Tyrant Flycatchers)</v>
      </c>
    </row>
    <row r="2348" spans="1:8" x14ac:dyDescent="0.15">
      <c r="A2348" s="3" t="s">
        <v>2226</v>
      </c>
      <c r="B2348" s="3" t="s">
        <v>4706</v>
      </c>
      <c r="C2348" s="3">
        <v>6855</v>
      </c>
      <c r="D2348" s="3" t="str">
        <f>VLOOKUP(B2348,[1]LifeList!$E$2:$G$2036,1)</f>
        <v>Pied-billed Grebe</v>
      </c>
      <c r="E2348" s="3" t="str">
        <f>VLOOKUP(B2348,[1]LifeList!$E$2:$G$2036,2)</f>
        <v>Grèbe à bec bigarré</v>
      </c>
      <c r="F2348" s="3" t="str">
        <f>VLOOKUP(B2348,[1]LifeList!$E$2:$G$2036,3)</f>
        <v>Podilymbus podiceps</v>
      </c>
      <c r="G2348" s="3" t="str">
        <f>VLOOKUP(B2348,[1]LifeList!$E$2:$I$2036,4)</f>
        <v>Podicipediformes</v>
      </c>
      <c r="H2348" s="3" t="str">
        <f>VLOOKUP(B2348,[1]LifeList!$E$2:$I$2036,5)</f>
        <v>Podicipedidae (Grebes)</v>
      </c>
    </row>
    <row r="2349" spans="1:8" x14ac:dyDescent="0.15">
      <c r="A2349" s="3" t="s">
        <v>2227</v>
      </c>
      <c r="B2349" s="3" t="s">
        <v>4706</v>
      </c>
      <c r="C2349" s="3">
        <v>6855</v>
      </c>
      <c r="D2349" s="3" t="str">
        <f>VLOOKUP(B2349,[1]LifeList!$E$2:$G$2036,1)</f>
        <v>Pied-billed Grebe</v>
      </c>
      <c r="E2349" s="3" t="str">
        <f>VLOOKUP(B2349,[1]LifeList!$E$2:$G$2036,2)</f>
        <v>Grèbe à bec bigarré</v>
      </c>
      <c r="F2349" s="3" t="str">
        <f>VLOOKUP(B2349,[1]LifeList!$E$2:$G$2036,3)</f>
        <v>Podilymbus podiceps</v>
      </c>
      <c r="G2349" s="3" t="str">
        <f>VLOOKUP(B2349,[1]LifeList!$E$2:$I$2036,4)</f>
        <v>Podicipediformes</v>
      </c>
      <c r="H2349" s="3" t="str">
        <f>VLOOKUP(B2349,[1]LifeList!$E$2:$I$2036,5)</f>
        <v>Podicipedidae (Grebes)</v>
      </c>
    </row>
    <row r="2350" spans="1:8" x14ac:dyDescent="0.15">
      <c r="A2350" s="3" t="s">
        <v>2228</v>
      </c>
      <c r="B2350" s="3" t="s">
        <v>4706</v>
      </c>
      <c r="C2350" s="3">
        <v>6855</v>
      </c>
      <c r="D2350" s="3" t="str">
        <f>VLOOKUP(B2350,[1]LifeList!$E$2:$G$2036,1)</f>
        <v>Pied-billed Grebe</v>
      </c>
      <c r="E2350" s="3" t="str">
        <f>VLOOKUP(B2350,[1]LifeList!$E$2:$G$2036,2)</f>
        <v>Grèbe à bec bigarré</v>
      </c>
      <c r="F2350" s="3" t="str">
        <f>VLOOKUP(B2350,[1]LifeList!$E$2:$G$2036,3)</f>
        <v>Podilymbus podiceps</v>
      </c>
      <c r="G2350" s="3" t="str">
        <f>VLOOKUP(B2350,[1]LifeList!$E$2:$I$2036,4)</f>
        <v>Podicipediformes</v>
      </c>
      <c r="H2350" s="3" t="str">
        <f>VLOOKUP(B2350,[1]LifeList!$E$2:$I$2036,5)</f>
        <v>Podicipedidae (Grebes)</v>
      </c>
    </row>
    <row r="2351" spans="1:8" x14ac:dyDescent="0.15">
      <c r="A2351" s="3" t="s">
        <v>2229</v>
      </c>
      <c r="B2351" s="3" t="s">
        <v>4706</v>
      </c>
      <c r="C2351" s="3">
        <v>6855</v>
      </c>
      <c r="D2351" s="3" t="str">
        <f>VLOOKUP(B2351,[1]LifeList!$E$2:$G$2036,1)</f>
        <v>Pied-billed Grebe</v>
      </c>
      <c r="E2351" s="3" t="str">
        <f>VLOOKUP(B2351,[1]LifeList!$E$2:$G$2036,2)</f>
        <v>Grèbe à bec bigarré</v>
      </c>
      <c r="F2351" s="3" t="str">
        <f>VLOOKUP(B2351,[1]LifeList!$E$2:$G$2036,3)</f>
        <v>Podilymbus podiceps</v>
      </c>
      <c r="G2351" s="3" t="str">
        <f>VLOOKUP(B2351,[1]LifeList!$E$2:$I$2036,4)</f>
        <v>Podicipediformes</v>
      </c>
      <c r="H2351" s="3" t="str">
        <f>VLOOKUP(B2351,[1]LifeList!$E$2:$I$2036,5)</f>
        <v>Podicipedidae (Grebes)</v>
      </c>
    </row>
    <row r="2352" spans="1:8" x14ac:dyDescent="0.15">
      <c r="A2352" s="3" t="s">
        <v>2230</v>
      </c>
      <c r="B2352" s="3" t="s">
        <v>4706</v>
      </c>
      <c r="C2352" s="3">
        <v>6855</v>
      </c>
      <c r="D2352" s="3" t="str">
        <f>VLOOKUP(B2352,[1]LifeList!$E$2:$G$2036,1)</f>
        <v>Pied-billed Grebe</v>
      </c>
      <c r="E2352" s="3" t="str">
        <f>VLOOKUP(B2352,[1]LifeList!$E$2:$G$2036,2)</f>
        <v>Grèbe à bec bigarré</v>
      </c>
      <c r="F2352" s="3" t="str">
        <f>VLOOKUP(B2352,[1]LifeList!$E$2:$G$2036,3)</f>
        <v>Podilymbus podiceps</v>
      </c>
      <c r="G2352" s="3" t="str">
        <f>VLOOKUP(B2352,[1]LifeList!$E$2:$I$2036,4)</f>
        <v>Podicipediformes</v>
      </c>
      <c r="H2352" s="3" t="str">
        <f>VLOOKUP(B2352,[1]LifeList!$E$2:$I$2036,5)</f>
        <v>Podicipedidae (Grebes)</v>
      </c>
    </row>
    <row r="2353" spans="1:8" x14ac:dyDescent="0.15">
      <c r="A2353" s="3" t="s">
        <v>2231</v>
      </c>
      <c r="B2353" s="3" t="s">
        <v>4706</v>
      </c>
      <c r="C2353" s="3">
        <v>6855</v>
      </c>
      <c r="D2353" s="3" t="str">
        <f>VLOOKUP(B2353,[1]LifeList!$E$2:$G$2036,1)</f>
        <v>Pied-billed Grebe</v>
      </c>
      <c r="E2353" s="3" t="str">
        <f>VLOOKUP(B2353,[1]LifeList!$E$2:$G$2036,2)</f>
        <v>Grèbe à bec bigarré</v>
      </c>
      <c r="F2353" s="3" t="str">
        <f>VLOOKUP(B2353,[1]LifeList!$E$2:$G$2036,3)</f>
        <v>Podilymbus podiceps</v>
      </c>
      <c r="G2353" s="3" t="str">
        <f>VLOOKUP(B2353,[1]LifeList!$E$2:$I$2036,4)</f>
        <v>Podicipediformes</v>
      </c>
      <c r="H2353" s="3" t="str">
        <f>VLOOKUP(B2353,[1]LifeList!$E$2:$I$2036,5)</f>
        <v>Podicipedidae (Grebes)</v>
      </c>
    </row>
    <row r="2354" spans="1:8" x14ac:dyDescent="0.15">
      <c r="A2354" s="3" t="s">
        <v>2232</v>
      </c>
      <c r="B2354" s="3" t="s">
        <v>4706</v>
      </c>
      <c r="C2354" s="3">
        <v>6855</v>
      </c>
      <c r="D2354" s="3" t="str">
        <f>VLOOKUP(B2354,[1]LifeList!$E$2:$G$2036,1)</f>
        <v>Pied-billed Grebe</v>
      </c>
      <c r="E2354" s="3" t="str">
        <f>VLOOKUP(B2354,[1]LifeList!$E$2:$G$2036,2)</f>
        <v>Grèbe à bec bigarré</v>
      </c>
      <c r="F2354" s="3" t="str">
        <f>VLOOKUP(B2354,[1]LifeList!$E$2:$G$2036,3)</f>
        <v>Podilymbus podiceps</v>
      </c>
      <c r="G2354" s="3" t="str">
        <f>VLOOKUP(B2354,[1]LifeList!$E$2:$I$2036,4)</f>
        <v>Podicipediformes</v>
      </c>
      <c r="H2354" s="3" t="str">
        <f>VLOOKUP(B2354,[1]LifeList!$E$2:$I$2036,5)</f>
        <v>Podicipedidae (Grebes)</v>
      </c>
    </row>
    <row r="2355" spans="1:8" x14ac:dyDescent="0.15">
      <c r="A2355" s="3" t="s">
        <v>2233</v>
      </c>
      <c r="B2355" s="3" t="s">
        <v>4706</v>
      </c>
      <c r="C2355" s="3">
        <v>6855</v>
      </c>
      <c r="D2355" s="3" t="str">
        <f>VLOOKUP(B2355,[1]LifeList!$E$2:$G$2036,1)</f>
        <v>Pied-billed Grebe</v>
      </c>
      <c r="E2355" s="3" t="str">
        <f>VLOOKUP(B2355,[1]LifeList!$E$2:$G$2036,2)</f>
        <v>Grèbe à bec bigarré</v>
      </c>
      <c r="F2355" s="3" t="str">
        <f>VLOOKUP(B2355,[1]LifeList!$E$2:$G$2036,3)</f>
        <v>Podilymbus podiceps</v>
      </c>
      <c r="G2355" s="3" t="str">
        <f>VLOOKUP(B2355,[1]LifeList!$E$2:$I$2036,4)</f>
        <v>Podicipediformes</v>
      </c>
      <c r="H2355" s="3" t="str">
        <f>VLOOKUP(B2355,[1]LifeList!$E$2:$I$2036,5)</f>
        <v>Podicipedidae (Grebes)</v>
      </c>
    </row>
    <row r="2356" spans="1:8" x14ac:dyDescent="0.15">
      <c r="A2356" s="3" t="s">
        <v>2234</v>
      </c>
      <c r="B2356" s="3" t="s">
        <v>4706</v>
      </c>
      <c r="C2356" s="3">
        <v>6855</v>
      </c>
      <c r="D2356" s="3" t="str">
        <f>VLOOKUP(B2356,[1]LifeList!$E$2:$G$2036,1)</f>
        <v>Pied-billed Grebe</v>
      </c>
      <c r="E2356" s="3" t="str">
        <f>VLOOKUP(B2356,[1]LifeList!$E$2:$G$2036,2)</f>
        <v>Grèbe à bec bigarré</v>
      </c>
      <c r="F2356" s="3" t="str">
        <f>VLOOKUP(B2356,[1]LifeList!$E$2:$G$2036,3)</f>
        <v>Podilymbus podiceps</v>
      </c>
      <c r="G2356" s="3" t="str">
        <f>VLOOKUP(B2356,[1]LifeList!$E$2:$I$2036,4)</f>
        <v>Podicipediformes</v>
      </c>
      <c r="H2356" s="3" t="str">
        <f>VLOOKUP(B2356,[1]LifeList!$E$2:$I$2036,5)</f>
        <v>Podicipedidae (Grebes)</v>
      </c>
    </row>
    <row r="2357" spans="1:8" x14ac:dyDescent="0.15">
      <c r="A2357" s="3" t="s">
        <v>2235</v>
      </c>
      <c r="B2357" s="3" t="s">
        <v>4706</v>
      </c>
      <c r="C2357" s="3">
        <v>6855</v>
      </c>
      <c r="D2357" s="3" t="str">
        <f>VLOOKUP(B2357,[1]LifeList!$E$2:$G$2036,1)</f>
        <v>Pied-billed Grebe</v>
      </c>
      <c r="E2357" s="3" t="str">
        <f>VLOOKUP(B2357,[1]LifeList!$E$2:$G$2036,2)</f>
        <v>Grèbe à bec bigarré</v>
      </c>
      <c r="F2357" s="3" t="str">
        <f>VLOOKUP(B2357,[1]LifeList!$E$2:$G$2036,3)</f>
        <v>Podilymbus podiceps</v>
      </c>
      <c r="G2357" s="3" t="str">
        <f>VLOOKUP(B2357,[1]LifeList!$E$2:$I$2036,4)</f>
        <v>Podicipediformes</v>
      </c>
      <c r="H2357" s="3" t="str">
        <f>VLOOKUP(B2357,[1]LifeList!$E$2:$I$2036,5)</f>
        <v>Podicipedidae (Grebes)</v>
      </c>
    </row>
    <row r="2358" spans="1:8" x14ac:dyDescent="0.15">
      <c r="A2358" s="3" t="s">
        <v>2236</v>
      </c>
      <c r="B2358" s="3" t="s">
        <v>4706</v>
      </c>
      <c r="C2358" s="3">
        <v>6855</v>
      </c>
      <c r="D2358" s="3" t="str">
        <f>VLOOKUP(B2358,[1]LifeList!$E$2:$G$2036,1)</f>
        <v>Pied-billed Grebe</v>
      </c>
      <c r="E2358" s="3" t="str">
        <f>VLOOKUP(B2358,[1]LifeList!$E$2:$G$2036,2)</f>
        <v>Grèbe à bec bigarré</v>
      </c>
      <c r="F2358" s="3" t="str">
        <f>VLOOKUP(B2358,[1]LifeList!$E$2:$G$2036,3)</f>
        <v>Podilymbus podiceps</v>
      </c>
      <c r="G2358" s="3" t="str">
        <f>VLOOKUP(B2358,[1]LifeList!$E$2:$I$2036,4)</f>
        <v>Podicipediformes</v>
      </c>
      <c r="H2358" s="3" t="str">
        <f>VLOOKUP(B2358,[1]LifeList!$E$2:$I$2036,5)</f>
        <v>Podicipedidae (Grebes)</v>
      </c>
    </row>
    <row r="2359" spans="1:8" x14ac:dyDescent="0.15">
      <c r="A2359" s="3" t="s">
        <v>2256</v>
      </c>
      <c r="B2359" s="3" t="s">
        <v>4707</v>
      </c>
      <c r="C2359" s="3">
        <v>35633</v>
      </c>
      <c r="D2359" s="3" t="str">
        <f>VLOOKUP(B2359,[1]LifeList!$E$2:$G$2036,1)</f>
        <v>Pileated Finch</v>
      </c>
      <c r="E2359" s="3" t="str">
        <f>VLOOKUP(B2359,[1]LifeList!$E$2:$G$2036,2)</f>
        <v>Araguira gris</v>
      </c>
      <c r="F2359" s="3" t="str">
        <f>VLOOKUP(B2359,[1]LifeList!$E$2:$G$2036,3)</f>
        <v>Coryphospingus pileatus</v>
      </c>
      <c r="G2359" s="3" t="str">
        <f>VLOOKUP(B2359,[1]LifeList!$E$2:$I$2036,4)</f>
        <v>Passeriformes</v>
      </c>
      <c r="H2359" s="3" t="str">
        <f>VLOOKUP(B2359,[1]LifeList!$E$2:$I$2036,5)</f>
        <v>Thraupidae (Tanagers and Allies)</v>
      </c>
    </row>
    <row r="2360" spans="1:8" x14ac:dyDescent="0.15">
      <c r="A2360" s="3" t="s">
        <v>3905</v>
      </c>
      <c r="B2360" s="3" t="s">
        <v>4707</v>
      </c>
      <c r="C2360" s="3">
        <v>35633</v>
      </c>
      <c r="D2360" s="3" t="str">
        <f>VLOOKUP(B2360,[1]LifeList!$E$2:$G$2036,1)</f>
        <v>Pileated Finch</v>
      </c>
      <c r="E2360" s="3" t="str">
        <f>VLOOKUP(B2360,[1]LifeList!$E$2:$G$2036,2)</f>
        <v>Araguira gris</v>
      </c>
      <c r="F2360" s="3" t="str">
        <f>VLOOKUP(B2360,[1]LifeList!$E$2:$G$2036,3)</f>
        <v>Coryphospingus pileatus</v>
      </c>
      <c r="G2360" s="3" t="str">
        <f>VLOOKUP(B2360,[1]LifeList!$E$2:$I$2036,4)</f>
        <v>Passeriformes</v>
      </c>
      <c r="H2360" s="3" t="str">
        <f>VLOOKUP(B2360,[1]LifeList!$E$2:$I$2036,5)</f>
        <v>Thraupidae (Tanagers and Allies)</v>
      </c>
    </row>
    <row r="2361" spans="1:8" x14ac:dyDescent="0.15">
      <c r="A2361" s="3" t="s">
        <v>2257</v>
      </c>
      <c r="B2361" s="3" t="s">
        <v>4708</v>
      </c>
      <c r="C2361" s="3">
        <v>11762</v>
      </c>
      <c r="D2361" s="3" t="str">
        <f>VLOOKUP(B2361,[1]LifeList!$E$2:$G$2036,1)</f>
        <v>Pileated Woodpecker</v>
      </c>
      <c r="E2361" s="3" t="str">
        <f>VLOOKUP(B2361,[1]LifeList!$E$2:$G$2036,2)</f>
        <v>Grand Pic</v>
      </c>
      <c r="F2361" s="3" t="str">
        <f>VLOOKUP(B2361,[1]LifeList!$E$2:$G$2036,3)</f>
        <v>Dryocopus pileatus</v>
      </c>
      <c r="G2361" s="3" t="str">
        <f>VLOOKUP(B2361,[1]LifeList!$E$2:$I$2036,4)</f>
        <v>Piciformes</v>
      </c>
      <c r="H2361" s="3" t="str">
        <f>VLOOKUP(B2361,[1]LifeList!$E$2:$I$2036,5)</f>
        <v>Picidae (Woodpeckers)</v>
      </c>
    </row>
    <row r="2362" spans="1:8" x14ac:dyDescent="0.15">
      <c r="A2362" s="3" t="s">
        <v>2258</v>
      </c>
      <c r="B2362" s="3" t="s">
        <v>4708</v>
      </c>
      <c r="C2362" s="3">
        <v>11762</v>
      </c>
      <c r="D2362" s="3" t="str">
        <f>VLOOKUP(B2362,[1]LifeList!$E$2:$G$2036,1)</f>
        <v>Pileated Woodpecker</v>
      </c>
      <c r="E2362" s="3" t="str">
        <f>VLOOKUP(B2362,[1]LifeList!$E$2:$G$2036,2)</f>
        <v>Grand Pic</v>
      </c>
      <c r="F2362" s="3" t="str">
        <f>VLOOKUP(B2362,[1]LifeList!$E$2:$G$2036,3)</f>
        <v>Dryocopus pileatus</v>
      </c>
      <c r="G2362" s="3" t="str">
        <f>VLOOKUP(B2362,[1]LifeList!$E$2:$I$2036,4)</f>
        <v>Piciformes</v>
      </c>
      <c r="H2362" s="3" t="str">
        <f>VLOOKUP(B2362,[1]LifeList!$E$2:$I$2036,5)</f>
        <v>Picidae (Woodpeckers)</v>
      </c>
    </row>
    <row r="2363" spans="1:8" x14ac:dyDescent="0.15">
      <c r="A2363" s="3" t="s">
        <v>2259</v>
      </c>
      <c r="B2363" s="3" t="s">
        <v>4708</v>
      </c>
      <c r="C2363" s="3">
        <v>11762</v>
      </c>
      <c r="D2363" s="3" t="str">
        <f>VLOOKUP(B2363,[1]LifeList!$E$2:$G$2036,1)</f>
        <v>Pileated Woodpecker</v>
      </c>
      <c r="E2363" s="3" t="str">
        <f>VLOOKUP(B2363,[1]LifeList!$E$2:$G$2036,2)</f>
        <v>Grand Pic</v>
      </c>
      <c r="F2363" s="3" t="str">
        <f>VLOOKUP(B2363,[1]LifeList!$E$2:$G$2036,3)</f>
        <v>Dryocopus pileatus</v>
      </c>
      <c r="G2363" s="3" t="str">
        <f>VLOOKUP(B2363,[1]LifeList!$E$2:$I$2036,4)</f>
        <v>Piciformes</v>
      </c>
      <c r="H2363" s="3" t="str">
        <f>VLOOKUP(B2363,[1]LifeList!$E$2:$I$2036,5)</f>
        <v>Picidae (Woodpeckers)</v>
      </c>
    </row>
    <row r="2364" spans="1:8" x14ac:dyDescent="0.15">
      <c r="A2364" s="3" t="s">
        <v>2260</v>
      </c>
      <c r="B2364" s="3" t="s">
        <v>4708</v>
      </c>
      <c r="C2364" s="3">
        <v>11762</v>
      </c>
      <c r="D2364" s="3" t="str">
        <f>VLOOKUP(B2364,[1]LifeList!$E$2:$G$2036,1)</f>
        <v>Pileated Woodpecker</v>
      </c>
      <c r="E2364" s="3" t="str">
        <f>VLOOKUP(B2364,[1]LifeList!$E$2:$G$2036,2)</f>
        <v>Grand Pic</v>
      </c>
      <c r="F2364" s="3" t="str">
        <f>VLOOKUP(B2364,[1]LifeList!$E$2:$G$2036,3)</f>
        <v>Dryocopus pileatus</v>
      </c>
      <c r="G2364" s="3" t="str">
        <f>VLOOKUP(B2364,[1]LifeList!$E$2:$I$2036,4)</f>
        <v>Piciformes</v>
      </c>
      <c r="H2364" s="3" t="str">
        <f>VLOOKUP(B2364,[1]LifeList!$E$2:$I$2036,5)</f>
        <v>Picidae (Woodpeckers)</v>
      </c>
    </row>
    <row r="2365" spans="1:8" x14ac:dyDescent="0.15">
      <c r="A2365" s="3" t="s">
        <v>2261</v>
      </c>
      <c r="B2365" s="3" t="s">
        <v>4709</v>
      </c>
      <c r="C2365" s="3">
        <v>31443</v>
      </c>
      <c r="D2365" s="3" t="str">
        <f>VLOOKUP(B2365,[1]LifeList!$E$2:$G$2036,1)</f>
        <v>Pin-tailed Whydah</v>
      </c>
      <c r="E2365" s="3" t="str">
        <f>VLOOKUP(B2365,[1]LifeList!$E$2:$G$2036,2)</f>
        <v>Veuve dominicaine</v>
      </c>
      <c r="F2365" s="3" t="str">
        <f>VLOOKUP(B2365,[1]LifeList!$E$2:$G$2036,3)</f>
        <v>Vidua macroura</v>
      </c>
      <c r="G2365" s="3" t="str">
        <f>VLOOKUP(B2365,[1]LifeList!$E$2:$I$2036,4)</f>
        <v>Passeriformes</v>
      </c>
      <c r="H2365" s="3" t="str">
        <f>VLOOKUP(B2365,[1]LifeList!$E$2:$I$2036,5)</f>
        <v>Viduidae (Whydahs and Indigobirds)</v>
      </c>
    </row>
    <row r="2366" spans="1:8" x14ac:dyDescent="0.15">
      <c r="A2366" s="3" t="s">
        <v>2262</v>
      </c>
      <c r="B2366" s="3" t="s">
        <v>4710</v>
      </c>
      <c r="C2366" s="3">
        <v>32221</v>
      </c>
      <c r="D2366" s="3" t="str">
        <f>VLOOKUP(B2366,[1]LifeList!$E$2:$G$2036,1)</f>
        <v>Pine Grosbeak</v>
      </c>
      <c r="E2366" s="3" t="str">
        <f>VLOOKUP(B2366,[1]LifeList!$E$2:$G$2036,2)</f>
        <v>Durbec des sapins</v>
      </c>
      <c r="F2366" s="3" t="str">
        <f>VLOOKUP(B2366,[1]LifeList!$E$2:$G$2036,3)</f>
        <v>Pinicola enucleator</v>
      </c>
      <c r="G2366" s="3" t="str">
        <f>VLOOKUP(B2366,[1]LifeList!$E$2:$I$2036,4)</f>
        <v>Passeriformes</v>
      </c>
      <c r="H2366" s="3" t="str">
        <f>VLOOKUP(B2366,[1]LifeList!$E$2:$I$2036,5)</f>
        <v>Fringillidae (Finches, Euphonias, and Allies)</v>
      </c>
    </row>
    <row r="2367" spans="1:8" x14ac:dyDescent="0.15">
      <c r="A2367" s="3" t="s">
        <v>2263</v>
      </c>
      <c r="B2367" s="3" t="s">
        <v>4710</v>
      </c>
      <c r="C2367" s="3">
        <v>32221</v>
      </c>
      <c r="D2367" s="3" t="str">
        <f>VLOOKUP(B2367,[1]LifeList!$E$2:$G$2036,1)</f>
        <v>Pine Grosbeak</v>
      </c>
      <c r="E2367" s="3" t="str">
        <f>VLOOKUP(B2367,[1]LifeList!$E$2:$G$2036,2)</f>
        <v>Durbec des sapins</v>
      </c>
      <c r="F2367" s="3" t="str">
        <f>VLOOKUP(B2367,[1]LifeList!$E$2:$G$2036,3)</f>
        <v>Pinicola enucleator</v>
      </c>
      <c r="G2367" s="3" t="str">
        <f>VLOOKUP(B2367,[1]LifeList!$E$2:$I$2036,4)</f>
        <v>Passeriformes</v>
      </c>
      <c r="H2367" s="3" t="str">
        <f>VLOOKUP(B2367,[1]LifeList!$E$2:$I$2036,5)</f>
        <v>Fringillidae (Finches, Euphonias, and Allies)</v>
      </c>
    </row>
    <row r="2368" spans="1:8" x14ac:dyDescent="0.15">
      <c r="A2368" s="3" t="s">
        <v>2272</v>
      </c>
      <c r="B2368" s="3" t="s">
        <v>4711</v>
      </c>
      <c r="C2368" s="3">
        <v>32595</v>
      </c>
      <c r="D2368" s="3" t="str">
        <f>VLOOKUP(B2368,[1]LifeList!$E$2:$G$2036,1)</f>
        <v>Pine Siskin</v>
      </c>
      <c r="E2368" s="3" t="str">
        <f>VLOOKUP(B2368,[1]LifeList!$E$2:$G$2036,2)</f>
        <v>Tarin des pins</v>
      </c>
      <c r="F2368" s="3" t="str">
        <f>VLOOKUP(B2368,[1]LifeList!$E$2:$G$2036,3)</f>
        <v>Spinus pinus</v>
      </c>
      <c r="G2368" s="3" t="str">
        <f>VLOOKUP(B2368,[1]LifeList!$E$2:$I$2036,4)</f>
        <v>Passeriformes</v>
      </c>
      <c r="H2368" s="3" t="str">
        <f>VLOOKUP(B2368,[1]LifeList!$E$2:$I$2036,5)</f>
        <v>Fringillidae (Finches, Euphonias, and Allies)</v>
      </c>
    </row>
    <row r="2369" spans="1:8" x14ac:dyDescent="0.15">
      <c r="A2369" s="3" t="s">
        <v>2264</v>
      </c>
      <c r="B2369" s="3" t="s">
        <v>4711</v>
      </c>
      <c r="C2369" s="3">
        <v>32595</v>
      </c>
      <c r="D2369" s="3" t="str">
        <f>VLOOKUP(B2369,[1]LifeList!$E$2:$G$2036,1)</f>
        <v>Pine Siskin</v>
      </c>
      <c r="E2369" s="3" t="str">
        <f>VLOOKUP(B2369,[1]LifeList!$E$2:$G$2036,2)</f>
        <v>Tarin des pins</v>
      </c>
      <c r="F2369" s="3" t="str">
        <f>VLOOKUP(B2369,[1]LifeList!$E$2:$G$2036,3)</f>
        <v>Spinus pinus</v>
      </c>
      <c r="G2369" s="3" t="str">
        <f>VLOOKUP(B2369,[1]LifeList!$E$2:$I$2036,4)</f>
        <v>Passeriformes</v>
      </c>
      <c r="H2369" s="3" t="str">
        <f>VLOOKUP(B2369,[1]LifeList!$E$2:$I$2036,5)</f>
        <v>Fringillidae (Finches, Euphonias, and Allies)</v>
      </c>
    </row>
    <row r="2370" spans="1:8" x14ac:dyDescent="0.15">
      <c r="A2370" s="3" t="s">
        <v>2265</v>
      </c>
      <c r="B2370" s="3" t="s">
        <v>4711</v>
      </c>
      <c r="C2370" s="3">
        <v>32595</v>
      </c>
      <c r="D2370" s="3" t="str">
        <f>VLOOKUP(B2370,[1]LifeList!$E$2:$G$2036,1)</f>
        <v>Pine Siskin</v>
      </c>
      <c r="E2370" s="3" t="str">
        <f>VLOOKUP(B2370,[1]LifeList!$E$2:$G$2036,2)</f>
        <v>Tarin des pins</v>
      </c>
      <c r="F2370" s="3" t="str">
        <f>VLOOKUP(B2370,[1]LifeList!$E$2:$G$2036,3)</f>
        <v>Spinus pinus</v>
      </c>
      <c r="G2370" s="3" t="str">
        <f>VLOOKUP(B2370,[1]LifeList!$E$2:$I$2036,4)</f>
        <v>Passeriformes</v>
      </c>
      <c r="H2370" s="3" t="str">
        <f>VLOOKUP(B2370,[1]LifeList!$E$2:$I$2036,5)</f>
        <v>Fringillidae (Finches, Euphonias, and Allies)</v>
      </c>
    </row>
    <row r="2371" spans="1:8" x14ac:dyDescent="0.15">
      <c r="A2371" s="3" t="s">
        <v>2267</v>
      </c>
      <c r="B2371" s="3" t="s">
        <v>4712</v>
      </c>
      <c r="C2371" s="3">
        <v>34153</v>
      </c>
      <c r="D2371" s="3" t="str">
        <f>VLOOKUP(B2371,[1]LifeList!$E$2:$G$2036,1)</f>
        <v>Pine Warbler</v>
      </c>
      <c r="E2371" s="3" t="str">
        <f>VLOOKUP(B2371,[1]LifeList!$E$2:$G$2036,2)</f>
        <v>Paruline des pins</v>
      </c>
      <c r="F2371" s="3" t="str">
        <f>VLOOKUP(B2371,[1]LifeList!$E$2:$G$2036,3)</f>
        <v>Setophaga pinus</v>
      </c>
      <c r="G2371" s="3" t="str">
        <f>VLOOKUP(B2371,[1]LifeList!$E$2:$I$2036,4)</f>
        <v>Passeriformes</v>
      </c>
      <c r="H2371" s="3" t="str">
        <f>VLOOKUP(B2371,[1]LifeList!$E$2:$I$2036,5)</f>
        <v>Parulidae (New World Warblers)</v>
      </c>
    </row>
    <row r="2372" spans="1:8" x14ac:dyDescent="0.15">
      <c r="A2372" s="3" t="s">
        <v>2268</v>
      </c>
      <c r="B2372" s="3" t="s">
        <v>4712</v>
      </c>
      <c r="C2372" s="3">
        <v>34153</v>
      </c>
      <c r="D2372" s="3" t="str">
        <f>VLOOKUP(B2372,[1]LifeList!$E$2:$G$2036,1)</f>
        <v>Pine Warbler</v>
      </c>
      <c r="E2372" s="3" t="str">
        <f>VLOOKUP(B2372,[1]LifeList!$E$2:$G$2036,2)</f>
        <v>Paruline des pins</v>
      </c>
      <c r="F2372" s="3" t="str">
        <f>VLOOKUP(B2372,[1]LifeList!$E$2:$G$2036,3)</f>
        <v>Setophaga pinus</v>
      </c>
      <c r="G2372" s="3" t="str">
        <f>VLOOKUP(B2372,[1]LifeList!$E$2:$I$2036,4)</f>
        <v>Passeriformes</v>
      </c>
      <c r="H2372" s="3" t="str">
        <f>VLOOKUP(B2372,[1]LifeList!$E$2:$I$2036,5)</f>
        <v>Parulidae (New World Warblers)</v>
      </c>
    </row>
    <row r="2373" spans="1:8" x14ac:dyDescent="0.15">
      <c r="A2373" s="3" t="s">
        <v>2269</v>
      </c>
      <c r="B2373" s="3" t="s">
        <v>4712</v>
      </c>
      <c r="C2373" s="3">
        <v>34153</v>
      </c>
      <c r="D2373" s="3" t="str">
        <f>VLOOKUP(B2373,[1]LifeList!$E$2:$G$2036,1)</f>
        <v>Pine Warbler</v>
      </c>
      <c r="E2373" s="3" t="str">
        <f>VLOOKUP(B2373,[1]LifeList!$E$2:$G$2036,2)</f>
        <v>Paruline des pins</v>
      </c>
      <c r="F2373" s="3" t="str">
        <f>VLOOKUP(B2373,[1]LifeList!$E$2:$G$2036,3)</f>
        <v>Setophaga pinus</v>
      </c>
      <c r="G2373" s="3" t="str">
        <f>VLOOKUP(B2373,[1]LifeList!$E$2:$I$2036,4)</f>
        <v>Passeriformes</v>
      </c>
      <c r="H2373" s="3" t="str">
        <f>VLOOKUP(B2373,[1]LifeList!$E$2:$I$2036,5)</f>
        <v>Parulidae (New World Warblers)</v>
      </c>
    </row>
    <row r="2374" spans="1:8" x14ac:dyDescent="0.15">
      <c r="A2374" s="3" t="s">
        <v>2270</v>
      </c>
      <c r="B2374" s="3" t="s">
        <v>4712</v>
      </c>
      <c r="C2374" s="3">
        <v>34153</v>
      </c>
      <c r="D2374" s="3" t="str">
        <f>VLOOKUP(B2374,[1]LifeList!$E$2:$G$2036,1)</f>
        <v>Pine Warbler</v>
      </c>
      <c r="E2374" s="3" t="str">
        <f>VLOOKUP(B2374,[1]LifeList!$E$2:$G$2036,2)</f>
        <v>Paruline des pins</v>
      </c>
      <c r="F2374" s="3" t="str">
        <f>VLOOKUP(B2374,[1]LifeList!$E$2:$G$2036,3)</f>
        <v>Setophaga pinus</v>
      </c>
      <c r="G2374" s="3" t="str">
        <f>VLOOKUP(B2374,[1]LifeList!$E$2:$I$2036,4)</f>
        <v>Passeriformes</v>
      </c>
      <c r="H2374" s="3" t="str">
        <f>VLOOKUP(B2374,[1]LifeList!$E$2:$I$2036,5)</f>
        <v>Parulidae (New World Warblers)</v>
      </c>
    </row>
    <row r="2375" spans="1:8" x14ac:dyDescent="0.15">
      <c r="A2375" s="3" t="s">
        <v>2271</v>
      </c>
      <c r="B2375" s="3" t="s">
        <v>4712</v>
      </c>
      <c r="C2375" s="3">
        <v>34153</v>
      </c>
      <c r="D2375" s="3" t="str">
        <f>VLOOKUP(B2375,[1]LifeList!$E$2:$G$2036,1)</f>
        <v>Pine Warbler</v>
      </c>
      <c r="E2375" s="3" t="str">
        <f>VLOOKUP(B2375,[1]LifeList!$E$2:$G$2036,2)</f>
        <v>Paruline des pins</v>
      </c>
      <c r="F2375" s="3" t="str">
        <f>VLOOKUP(B2375,[1]LifeList!$E$2:$G$2036,3)</f>
        <v>Setophaga pinus</v>
      </c>
      <c r="G2375" s="3" t="str">
        <f>VLOOKUP(B2375,[1]LifeList!$E$2:$I$2036,4)</f>
        <v>Passeriformes</v>
      </c>
      <c r="H2375" s="3" t="str">
        <f>VLOOKUP(B2375,[1]LifeList!$E$2:$I$2036,5)</f>
        <v>Parulidae (New World Warblers)</v>
      </c>
    </row>
    <row r="2376" spans="1:8" x14ac:dyDescent="0.15">
      <c r="A2376" s="3" t="s">
        <v>2266</v>
      </c>
      <c r="B2376" s="3" t="s">
        <v>4712</v>
      </c>
      <c r="C2376" s="3">
        <v>34153</v>
      </c>
      <c r="D2376" s="3" t="str">
        <f>VLOOKUP(B2376,[1]LifeList!$E$2:$G$2036,1)</f>
        <v>Pine Warbler</v>
      </c>
      <c r="E2376" s="3" t="str">
        <f>VLOOKUP(B2376,[1]LifeList!$E$2:$G$2036,2)</f>
        <v>Paruline des pins</v>
      </c>
      <c r="F2376" s="3" t="str">
        <f>VLOOKUP(B2376,[1]LifeList!$E$2:$G$2036,3)</f>
        <v>Setophaga pinus</v>
      </c>
      <c r="G2376" s="3" t="str">
        <f>VLOOKUP(B2376,[1]LifeList!$E$2:$I$2036,4)</f>
        <v>Passeriformes</v>
      </c>
      <c r="H2376" s="3" t="str">
        <f>VLOOKUP(B2376,[1]LifeList!$E$2:$I$2036,5)</f>
        <v>Parulidae (New World Warblers)</v>
      </c>
    </row>
    <row r="2377" spans="1:8" x14ac:dyDescent="0.15">
      <c r="A2377" s="3" t="s">
        <v>2276</v>
      </c>
      <c r="B2377" s="3" t="s">
        <v>4713</v>
      </c>
      <c r="C2377" s="3">
        <v>21766</v>
      </c>
      <c r="D2377" s="3" t="str">
        <f>VLOOKUP(B2377,[1]LifeList!$E$2:$G$2036,1)</f>
        <v>Pink Robin</v>
      </c>
      <c r="E2377" s="3" t="str">
        <f>VLOOKUP(B2377,[1]LifeList!$E$2:$G$2036,2)</f>
        <v>Miro incarnat</v>
      </c>
      <c r="F2377" s="3" t="str">
        <f>VLOOKUP(B2377,[1]LifeList!$E$2:$G$2036,3)</f>
        <v>Petroica rodinogaster</v>
      </c>
      <c r="G2377" s="3" t="str">
        <f>VLOOKUP(B2377,[1]LifeList!$E$2:$I$2036,4)</f>
        <v>Passeriformes</v>
      </c>
      <c r="H2377" s="3" t="str">
        <f>VLOOKUP(B2377,[1]LifeList!$E$2:$I$2036,5)</f>
        <v>Petroicidae (Australasian Robins)</v>
      </c>
    </row>
    <row r="2378" spans="1:8" x14ac:dyDescent="0.15">
      <c r="A2378" s="3" t="s">
        <v>2273</v>
      </c>
      <c r="B2378" s="3" t="s">
        <v>4714</v>
      </c>
      <c r="C2378" s="3">
        <v>35432</v>
      </c>
      <c r="D2378" s="3" t="str">
        <f>VLOOKUP(B2378,[1]LifeList!$E$2:$G$2036,1)</f>
        <v>Pink-billed Cnemoscopus</v>
      </c>
      <c r="E2378" s="3" t="str">
        <f>VLOOKUP(B2378,[1]LifeList!$E$2:$G$2036,2)</f>
        <v>Tangara capucin</v>
      </c>
      <c r="F2378" s="3" t="str">
        <f>VLOOKUP(B2378,[1]LifeList!$E$2:$G$2036,3)</f>
        <v>Cnemoscopus rubrirostris</v>
      </c>
      <c r="G2378" s="3" t="str">
        <f>VLOOKUP(B2378,[1]LifeList!$E$2:$I$2036,4)</f>
        <v>Passeriformes</v>
      </c>
      <c r="H2378" s="3" t="str">
        <f>VLOOKUP(B2378,[1]LifeList!$E$2:$I$2036,5)</f>
        <v>Thraupidae (Tanagers and Allies)</v>
      </c>
    </row>
    <row r="2379" spans="1:8" x14ac:dyDescent="0.15">
      <c r="A2379" s="3" t="s">
        <v>2274</v>
      </c>
      <c r="B2379" s="3" t="s">
        <v>4715</v>
      </c>
      <c r="C2379" s="3">
        <v>656</v>
      </c>
      <c r="D2379" s="3" t="str">
        <f>VLOOKUP(B2379,[1]LifeList!$E$2:$G$2036,1)</f>
        <v>Pink-eared Duck</v>
      </c>
      <c r="E2379" s="3" t="str">
        <f>VLOOKUP(B2379,[1]LifeList!$E$2:$G$2036,2)</f>
        <v>Malacorhynque à oreilles roses</v>
      </c>
      <c r="F2379" s="3" t="str">
        <f>VLOOKUP(B2379,[1]LifeList!$E$2:$G$2036,3)</f>
        <v>Malacorhynchus membranaceus</v>
      </c>
      <c r="G2379" s="3" t="str">
        <f>VLOOKUP(B2379,[1]LifeList!$E$2:$I$2036,4)</f>
        <v>Anseriformes</v>
      </c>
      <c r="H2379" s="3" t="str">
        <f>VLOOKUP(B2379,[1]LifeList!$E$2:$I$2036,5)</f>
        <v>Anatidae (Ducks, Geese, and Waterfowl)</v>
      </c>
    </row>
    <row r="2380" spans="1:8" x14ac:dyDescent="0.15">
      <c r="A2380" s="3" t="s">
        <v>2275</v>
      </c>
      <c r="B2380" s="3" t="s">
        <v>4715</v>
      </c>
      <c r="C2380" s="3">
        <v>656</v>
      </c>
      <c r="D2380" s="3" t="str">
        <f>VLOOKUP(B2380,[1]LifeList!$E$2:$G$2036,1)</f>
        <v>Pink-eared Duck</v>
      </c>
      <c r="E2380" s="3" t="str">
        <f>VLOOKUP(B2380,[1]LifeList!$E$2:$G$2036,2)</f>
        <v>Malacorhynque à oreilles roses</v>
      </c>
      <c r="F2380" s="3" t="str">
        <f>VLOOKUP(B2380,[1]LifeList!$E$2:$G$2036,3)</f>
        <v>Malacorhynchus membranaceus</v>
      </c>
      <c r="G2380" s="3" t="str">
        <f>VLOOKUP(B2380,[1]LifeList!$E$2:$I$2036,4)</f>
        <v>Anseriformes</v>
      </c>
      <c r="H2380" s="3" t="str">
        <f>VLOOKUP(B2380,[1]LifeList!$E$2:$I$2036,5)</f>
        <v>Anatidae (Ducks, Geese, and Waterfowl)</v>
      </c>
    </row>
    <row r="2381" spans="1:8" x14ac:dyDescent="0.15">
      <c r="A2381" s="3" t="s">
        <v>2277</v>
      </c>
      <c r="B2381" s="3" t="s">
        <v>4716</v>
      </c>
      <c r="C2381" s="3">
        <v>17440</v>
      </c>
      <c r="D2381" s="3" t="str">
        <f>VLOOKUP(B2381,[1]LifeList!$E$2:$G$2036,1)</f>
        <v>Piratic Flycatcher</v>
      </c>
      <c r="E2381" s="3" t="str">
        <f>VLOOKUP(B2381,[1]LifeList!$E$2:$G$2036,2)</f>
        <v>Tyran pirate</v>
      </c>
      <c r="F2381" s="3" t="str">
        <f>VLOOKUP(B2381,[1]LifeList!$E$2:$G$2036,3)</f>
        <v>Legatus leucophaius</v>
      </c>
      <c r="G2381" s="3" t="str">
        <f>VLOOKUP(B2381,[1]LifeList!$E$2:$I$2036,4)</f>
        <v>Passeriformes</v>
      </c>
      <c r="H2381" s="3" t="str">
        <f>VLOOKUP(B2381,[1]LifeList!$E$2:$I$2036,5)</f>
        <v>Tyrannidae (Tyrant Flycatchers)</v>
      </c>
    </row>
    <row r="2382" spans="1:8" x14ac:dyDescent="0.15">
      <c r="A2382" s="3" t="s">
        <v>2284</v>
      </c>
      <c r="B2382" s="3" t="s">
        <v>4717</v>
      </c>
      <c r="C2382" s="3">
        <v>13627</v>
      </c>
      <c r="D2382" s="3" t="str">
        <f>VLOOKUP(B2382,[1]LifeList!$E$2:$G$2036,1)</f>
        <v>Plain Antvireo</v>
      </c>
      <c r="E2382" s="3" t="str">
        <f>VLOOKUP(B2382,[1]LifeList!$E$2:$G$2036,2)</f>
        <v>Batara gorgeret</v>
      </c>
      <c r="F2382" s="3" t="str">
        <f>VLOOKUP(B2382,[1]LifeList!$E$2:$G$2036,3)</f>
        <v>Dysithamnus mentalis</v>
      </c>
      <c r="G2382" s="3" t="str">
        <f>VLOOKUP(B2382,[1]LifeList!$E$2:$I$2036,4)</f>
        <v>Passeriformes</v>
      </c>
      <c r="H2382" s="3" t="str">
        <f>VLOOKUP(B2382,[1]LifeList!$E$2:$I$2036,5)</f>
        <v>Thamnophilidae (Typical Antbirds)</v>
      </c>
    </row>
    <row r="2383" spans="1:8" x14ac:dyDescent="0.15">
      <c r="A2383" s="3" t="s">
        <v>2285</v>
      </c>
      <c r="B2383" s="3" t="s">
        <v>4718</v>
      </c>
      <c r="C2383" s="3">
        <v>945</v>
      </c>
      <c r="D2383" s="3" t="str">
        <f>VLOOKUP(B2383,[1]LifeList!$E$2:$G$2036,1)</f>
        <v>Plain Chachalaca</v>
      </c>
      <c r="E2383" s="3" t="str">
        <f>VLOOKUP(B2383,[1]LifeList!$E$2:$G$2036,2)</f>
        <v>Ortalide chacamel</v>
      </c>
      <c r="F2383" s="3" t="str">
        <f>VLOOKUP(B2383,[1]LifeList!$E$2:$G$2036,3)</f>
        <v>Ortalis vetula</v>
      </c>
      <c r="G2383" s="3" t="str">
        <f>VLOOKUP(B2383,[1]LifeList!$E$2:$I$2036,4)</f>
        <v>Galliformes</v>
      </c>
      <c r="H2383" s="3" t="str">
        <f>VLOOKUP(B2383,[1]LifeList!$E$2:$I$2036,5)</f>
        <v>Cracidae (Guans, Chachalacas, and Curassows)</v>
      </c>
    </row>
    <row r="2384" spans="1:8" x14ac:dyDescent="0.15">
      <c r="A2384" s="3" t="s">
        <v>2278</v>
      </c>
      <c r="B2384" s="3" t="s">
        <v>4719</v>
      </c>
      <c r="C2384" s="3">
        <v>14664</v>
      </c>
      <c r="D2384" s="3" t="str">
        <f>VLOOKUP(B2384,[1]LifeList!$E$2:$G$2036,1)</f>
        <v>Plain-brown Woodcreeper</v>
      </c>
      <c r="E2384" s="3" t="str">
        <f>VLOOKUP(B2384,[1]LifeList!$E$2:$G$2036,2)</f>
        <v>Grimpar enfumé</v>
      </c>
      <c r="F2384" s="3" t="str">
        <f>VLOOKUP(B2384,[1]LifeList!$E$2:$G$2036,3)</f>
        <v>Dendrocincla fuliginosa</v>
      </c>
      <c r="G2384" s="3" t="str">
        <f>VLOOKUP(B2384,[1]LifeList!$E$2:$I$2036,4)</f>
        <v>Passeriformes</v>
      </c>
      <c r="H2384" s="3" t="str">
        <f>VLOOKUP(B2384,[1]LifeList!$E$2:$I$2036,5)</f>
        <v>Furnariidae (Ovenbirds and Woodcreepers)</v>
      </c>
    </row>
    <row r="2385" spans="1:8" x14ac:dyDescent="0.15">
      <c r="A2385" s="3" t="s">
        <v>2279</v>
      </c>
      <c r="B2385" s="3" t="s">
        <v>4719</v>
      </c>
      <c r="C2385" s="3">
        <v>14664</v>
      </c>
      <c r="D2385" s="3" t="str">
        <f>VLOOKUP(B2385,[1]LifeList!$E$2:$G$2036,1)</f>
        <v>Plain-brown Woodcreeper</v>
      </c>
      <c r="E2385" s="3" t="str">
        <f>VLOOKUP(B2385,[1]LifeList!$E$2:$G$2036,2)</f>
        <v>Grimpar enfumé</v>
      </c>
      <c r="F2385" s="3" t="str">
        <f>VLOOKUP(B2385,[1]LifeList!$E$2:$G$2036,3)</f>
        <v>Dendrocincla fuliginosa</v>
      </c>
      <c r="G2385" s="3" t="str">
        <f>VLOOKUP(B2385,[1]LifeList!$E$2:$I$2036,4)</f>
        <v>Passeriformes</v>
      </c>
      <c r="H2385" s="3" t="str">
        <f>VLOOKUP(B2385,[1]LifeList!$E$2:$I$2036,5)</f>
        <v>Furnariidae (Ovenbirds and Woodcreepers)</v>
      </c>
    </row>
    <row r="2386" spans="1:8" x14ac:dyDescent="0.15">
      <c r="A2386" s="3" t="s">
        <v>2281</v>
      </c>
      <c r="B2386" s="3" t="s">
        <v>4719</v>
      </c>
      <c r="C2386" s="3">
        <v>14664</v>
      </c>
      <c r="D2386" s="3" t="str">
        <f>VLOOKUP(B2386,[1]LifeList!$E$2:$G$2036,1)</f>
        <v>Plain-brown Woodcreeper</v>
      </c>
      <c r="E2386" s="3" t="str">
        <f>VLOOKUP(B2386,[1]LifeList!$E$2:$G$2036,2)</f>
        <v>Grimpar enfumé</v>
      </c>
      <c r="F2386" s="3" t="str">
        <f>VLOOKUP(B2386,[1]LifeList!$E$2:$G$2036,3)</f>
        <v>Dendrocincla fuliginosa</v>
      </c>
      <c r="G2386" s="3" t="str">
        <f>VLOOKUP(B2386,[1]LifeList!$E$2:$I$2036,4)</f>
        <v>Passeriformes</v>
      </c>
      <c r="H2386" s="3" t="str">
        <f>VLOOKUP(B2386,[1]LifeList!$E$2:$I$2036,5)</f>
        <v>Furnariidae (Ovenbirds and Woodcreepers)</v>
      </c>
    </row>
    <row r="2387" spans="1:8" x14ac:dyDescent="0.15">
      <c r="A2387" s="3" t="s">
        <v>2280</v>
      </c>
      <c r="B2387" s="3" t="s">
        <v>4719</v>
      </c>
      <c r="C2387" s="3">
        <v>14664</v>
      </c>
      <c r="D2387" s="3" t="str">
        <f>VLOOKUP(B2387,[1]LifeList!$E$2:$G$2036,1)</f>
        <v>Plain-brown Woodcreeper</v>
      </c>
      <c r="E2387" s="3" t="str">
        <f>VLOOKUP(B2387,[1]LifeList!$E$2:$G$2036,2)</f>
        <v>Grimpar enfumé</v>
      </c>
      <c r="F2387" s="3" t="str">
        <f>VLOOKUP(B2387,[1]LifeList!$E$2:$G$2036,3)</f>
        <v>Dendrocincla fuliginosa</v>
      </c>
      <c r="G2387" s="3" t="str">
        <f>VLOOKUP(B2387,[1]LifeList!$E$2:$I$2036,4)</f>
        <v>Passeriformes</v>
      </c>
      <c r="H2387" s="3" t="str">
        <f>VLOOKUP(B2387,[1]LifeList!$E$2:$I$2036,5)</f>
        <v>Furnariidae (Ovenbirds and Woodcreepers)</v>
      </c>
    </row>
    <row r="2388" spans="1:8" x14ac:dyDescent="0.15">
      <c r="A2388" s="3" t="s">
        <v>2282</v>
      </c>
      <c r="B2388" s="3" t="s">
        <v>4720</v>
      </c>
      <c r="C2388" s="3">
        <v>35054</v>
      </c>
      <c r="D2388" s="3" t="str">
        <f>VLOOKUP(B2388,[1]LifeList!$E$2:$G$2036,1)</f>
        <v>Plain-colored Tanager</v>
      </c>
      <c r="E2388" s="3" t="str">
        <f>VLOOKUP(B2388,[1]LifeList!$E$2:$G$2036,2)</f>
        <v>Calliste gris</v>
      </c>
      <c r="F2388" s="3" t="str">
        <f>VLOOKUP(B2388,[1]LifeList!$E$2:$G$2036,3)</f>
        <v>Tangara inornata</v>
      </c>
      <c r="G2388" s="3" t="str">
        <f>VLOOKUP(B2388,[1]LifeList!$E$2:$I$2036,4)</f>
        <v>Passeriformes</v>
      </c>
      <c r="H2388" s="3" t="str">
        <f>VLOOKUP(B2388,[1]LifeList!$E$2:$I$2036,5)</f>
        <v>Thraupidae (Tanagers and Allies)</v>
      </c>
    </row>
    <row r="2389" spans="1:8" x14ac:dyDescent="0.15">
      <c r="A2389" s="3" t="s">
        <v>2283</v>
      </c>
      <c r="B2389" s="3" t="s">
        <v>4720</v>
      </c>
      <c r="C2389" s="3">
        <v>35054</v>
      </c>
      <c r="D2389" s="3" t="str">
        <f>VLOOKUP(B2389,[1]LifeList!$E$2:$G$2036,1)</f>
        <v>Plain-colored Tanager</v>
      </c>
      <c r="E2389" s="3" t="str">
        <f>VLOOKUP(B2389,[1]LifeList!$E$2:$G$2036,2)</f>
        <v>Calliste gris</v>
      </c>
      <c r="F2389" s="3" t="str">
        <f>VLOOKUP(B2389,[1]LifeList!$E$2:$G$2036,3)</f>
        <v>Tangara inornata</v>
      </c>
      <c r="G2389" s="3" t="str">
        <f>VLOOKUP(B2389,[1]LifeList!$E$2:$I$2036,4)</f>
        <v>Passeriformes</v>
      </c>
      <c r="H2389" s="3" t="str">
        <f>VLOOKUP(B2389,[1]LifeList!$E$2:$I$2036,5)</f>
        <v>Thraupidae (Tanagers and Allies)</v>
      </c>
    </row>
    <row r="2390" spans="1:8" x14ac:dyDescent="0.15">
      <c r="A2390" s="3" t="s">
        <v>2286</v>
      </c>
      <c r="B2390" s="3" t="s">
        <v>4721</v>
      </c>
      <c r="C2390" s="3">
        <v>8389</v>
      </c>
      <c r="D2390" s="3" t="str">
        <f>VLOOKUP(B2390,[1]LifeList!$E$2:$G$2036,1)</f>
        <v>Plumbeous Kite</v>
      </c>
      <c r="E2390" s="3" t="str">
        <f>VLOOKUP(B2390,[1]LifeList!$E$2:$G$2036,2)</f>
        <v>Milan bleuâtre</v>
      </c>
      <c r="F2390" s="3" t="str">
        <f>VLOOKUP(B2390,[1]LifeList!$E$2:$G$2036,3)</f>
        <v>Ictinia plumbea</v>
      </c>
      <c r="G2390" s="3" t="str">
        <f>VLOOKUP(B2390,[1]LifeList!$E$2:$I$2036,4)</f>
        <v>Accipitriformes</v>
      </c>
      <c r="H2390" s="3" t="str">
        <f>VLOOKUP(B2390,[1]LifeList!$E$2:$I$2036,5)</f>
        <v>Accipitridae (Hawks, Eagles, and Kites)</v>
      </c>
    </row>
    <row r="2391" spans="1:8" x14ac:dyDescent="0.15">
      <c r="A2391" s="3" t="s">
        <v>2287</v>
      </c>
      <c r="B2391" s="3" t="s">
        <v>4721</v>
      </c>
      <c r="C2391" s="3">
        <v>8389</v>
      </c>
      <c r="D2391" s="3" t="str">
        <f>VLOOKUP(B2391,[1]LifeList!$E$2:$G$2036,1)</f>
        <v>Plumbeous Kite</v>
      </c>
      <c r="E2391" s="3" t="str">
        <f>VLOOKUP(B2391,[1]LifeList!$E$2:$G$2036,2)</f>
        <v>Milan bleuâtre</v>
      </c>
      <c r="F2391" s="3" t="str">
        <f>VLOOKUP(B2391,[1]LifeList!$E$2:$G$2036,3)</f>
        <v>Ictinia plumbea</v>
      </c>
      <c r="G2391" s="3" t="str">
        <f>VLOOKUP(B2391,[1]LifeList!$E$2:$I$2036,4)</f>
        <v>Accipitriformes</v>
      </c>
      <c r="H2391" s="3" t="str">
        <f>VLOOKUP(B2391,[1]LifeList!$E$2:$I$2036,5)</f>
        <v>Accipitridae (Hawks, Eagles, and Kites)</v>
      </c>
    </row>
    <row r="2392" spans="1:8" x14ac:dyDescent="0.15">
      <c r="A2392" s="3" t="s">
        <v>2288</v>
      </c>
      <c r="B2392" s="3" t="s">
        <v>3784</v>
      </c>
      <c r="C2392" s="3">
        <v>35376</v>
      </c>
      <c r="D2392" s="3" t="str">
        <f>VLOOKUP(B2392,[1]LifeList!$E$2:$G$2036,1)</f>
        <v>Plumbeous Sierra Finch</v>
      </c>
      <c r="E2392" s="3" t="str">
        <f>VLOOKUP(B2392,[1]LifeList!$E$2:$G$2036,2)</f>
        <v>Haplospize gris-de-plomb</v>
      </c>
      <c r="F2392" s="3" t="str">
        <f>VLOOKUP(B2392,[1]LifeList!$E$2:$G$2036,3)</f>
        <v>Geospizopsis unicolor</v>
      </c>
      <c r="G2392" s="3" t="str">
        <f>VLOOKUP(B2392,[1]LifeList!$E$2:$I$2036,4)</f>
        <v>Passeriformes</v>
      </c>
      <c r="H2392" s="3" t="str">
        <f>VLOOKUP(B2392,[1]LifeList!$E$2:$I$2036,5)</f>
        <v>Thraupidae (Tanagers and Allies)</v>
      </c>
    </row>
    <row r="2393" spans="1:8" x14ac:dyDescent="0.15">
      <c r="A2393" s="3" t="s">
        <v>2289</v>
      </c>
      <c r="B2393" s="3" t="s">
        <v>3784</v>
      </c>
      <c r="C2393" s="3">
        <v>35376</v>
      </c>
      <c r="D2393" s="3" t="str">
        <f>VLOOKUP(B2393,[1]LifeList!$E$2:$G$2036,1)</f>
        <v>Plumbeous Sierra Finch</v>
      </c>
      <c r="E2393" s="3" t="str">
        <f>VLOOKUP(B2393,[1]LifeList!$E$2:$G$2036,2)</f>
        <v>Haplospize gris-de-plomb</v>
      </c>
      <c r="F2393" s="3" t="str">
        <f>VLOOKUP(B2393,[1]LifeList!$E$2:$G$2036,3)</f>
        <v>Geospizopsis unicolor</v>
      </c>
      <c r="G2393" s="3" t="str">
        <f>VLOOKUP(B2393,[1]LifeList!$E$2:$I$2036,4)</f>
        <v>Passeriformes</v>
      </c>
      <c r="H2393" s="3" t="str">
        <f>VLOOKUP(B2393,[1]LifeList!$E$2:$I$2036,5)</f>
        <v>Thraupidae (Tanagers and Allies)</v>
      </c>
    </row>
    <row r="2394" spans="1:8" x14ac:dyDescent="0.15">
      <c r="A2394" s="3" t="s">
        <v>2290</v>
      </c>
      <c r="B2394" s="3" t="s">
        <v>3784</v>
      </c>
      <c r="C2394" s="3">
        <v>35376</v>
      </c>
      <c r="D2394" s="3" t="str">
        <f>VLOOKUP(B2394,[1]LifeList!$E$2:$G$2036,1)</f>
        <v>Plumbeous Sierra Finch</v>
      </c>
      <c r="E2394" s="3" t="str">
        <f>VLOOKUP(B2394,[1]LifeList!$E$2:$G$2036,2)</f>
        <v>Haplospize gris-de-plomb</v>
      </c>
      <c r="F2394" s="3" t="str">
        <f>VLOOKUP(B2394,[1]LifeList!$E$2:$G$2036,3)</f>
        <v>Geospizopsis unicolor</v>
      </c>
      <c r="G2394" s="3" t="str">
        <f>VLOOKUP(B2394,[1]LifeList!$E$2:$I$2036,4)</f>
        <v>Passeriformes</v>
      </c>
      <c r="H2394" s="3" t="str">
        <f>VLOOKUP(B2394,[1]LifeList!$E$2:$I$2036,5)</f>
        <v>Thraupidae (Tanagers and Allies)</v>
      </c>
    </row>
    <row r="2395" spans="1:8" x14ac:dyDescent="0.15">
      <c r="A2395" s="3" t="s">
        <v>2291</v>
      </c>
      <c r="B2395" s="3" t="s">
        <v>4722</v>
      </c>
      <c r="C2395" s="3">
        <v>11547</v>
      </c>
      <c r="D2395" s="3" t="str">
        <f>VLOOKUP(B2395,[1]LifeList!$E$2:$G$2036,1)</f>
        <v>Powerful Woodpecker</v>
      </c>
      <c r="E2395" s="3" t="str">
        <f>VLOOKUP(B2395,[1]LifeList!$E$2:$G$2036,2)</f>
        <v>Pic puissant</v>
      </c>
      <c r="F2395" s="3" t="str">
        <f>VLOOKUP(B2395,[1]LifeList!$E$2:$G$2036,3)</f>
        <v>Campephilus pollens</v>
      </c>
      <c r="G2395" s="3" t="str">
        <f>VLOOKUP(B2395,[1]LifeList!$E$2:$I$2036,4)</f>
        <v>Piciformes</v>
      </c>
      <c r="H2395" s="3" t="str">
        <f>VLOOKUP(B2395,[1]LifeList!$E$2:$I$2036,5)</f>
        <v>Picidae (Woodpeckers)</v>
      </c>
    </row>
    <row r="2396" spans="1:8" x14ac:dyDescent="0.15">
      <c r="A2396" s="3" t="s">
        <v>2292</v>
      </c>
      <c r="B2396" s="3" t="s">
        <v>4723</v>
      </c>
      <c r="C2396" s="3">
        <v>34185</v>
      </c>
      <c r="D2396" s="3" t="str">
        <f>VLOOKUP(B2396,[1]LifeList!$E$2:$G$2036,1)</f>
        <v>Prairie Warbler</v>
      </c>
      <c r="E2396" s="3" t="str">
        <f>VLOOKUP(B2396,[1]LifeList!$E$2:$G$2036,2)</f>
        <v>Paruline des prés</v>
      </c>
      <c r="F2396" s="3" t="str">
        <f>VLOOKUP(B2396,[1]LifeList!$E$2:$G$2036,3)</f>
        <v>Setophaga discolor</v>
      </c>
      <c r="G2396" s="3" t="str">
        <f>VLOOKUP(B2396,[1]LifeList!$E$2:$I$2036,4)</f>
        <v>Passeriformes</v>
      </c>
      <c r="H2396" s="3" t="str">
        <f>VLOOKUP(B2396,[1]LifeList!$E$2:$I$2036,5)</f>
        <v>Parulidae (New World Warblers)</v>
      </c>
    </row>
    <row r="2397" spans="1:8" x14ac:dyDescent="0.15">
      <c r="A2397" s="3" t="s">
        <v>2293</v>
      </c>
      <c r="B2397" s="3" t="s">
        <v>4723</v>
      </c>
      <c r="C2397" s="3">
        <v>34185</v>
      </c>
      <c r="D2397" s="3" t="str">
        <f>VLOOKUP(B2397,[1]LifeList!$E$2:$G$2036,1)</f>
        <v>Prairie Warbler</v>
      </c>
      <c r="E2397" s="3" t="str">
        <f>VLOOKUP(B2397,[1]LifeList!$E$2:$G$2036,2)</f>
        <v>Paruline des prés</v>
      </c>
      <c r="F2397" s="3" t="str">
        <f>VLOOKUP(B2397,[1]LifeList!$E$2:$G$2036,3)</f>
        <v>Setophaga discolor</v>
      </c>
      <c r="G2397" s="3" t="str">
        <f>VLOOKUP(B2397,[1]LifeList!$E$2:$I$2036,4)</f>
        <v>Passeriformes</v>
      </c>
      <c r="H2397" s="3" t="str">
        <f>VLOOKUP(B2397,[1]LifeList!$E$2:$I$2036,5)</f>
        <v>Parulidae (New World Warblers)</v>
      </c>
    </row>
    <row r="2398" spans="1:8" x14ac:dyDescent="0.15">
      <c r="A2398" s="3" t="s">
        <v>2294</v>
      </c>
      <c r="B2398" s="3" t="s">
        <v>4723</v>
      </c>
      <c r="C2398" s="3">
        <v>34185</v>
      </c>
      <c r="D2398" s="3" t="str">
        <f>VLOOKUP(B2398,[1]LifeList!$E$2:$G$2036,1)</f>
        <v>Prairie Warbler</v>
      </c>
      <c r="E2398" s="3" t="str">
        <f>VLOOKUP(B2398,[1]LifeList!$E$2:$G$2036,2)</f>
        <v>Paruline des prés</v>
      </c>
      <c r="F2398" s="3" t="str">
        <f>VLOOKUP(B2398,[1]LifeList!$E$2:$G$2036,3)</f>
        <v>Setophaga discolor</v>
      </c>
      <c r="G2398" s="3" t="str">
        <f>VLOOKUP(B2398,[1]LifeList!$E$2:$I$2036,4)</f>
        <v>Passeriformes</v>
      </c>
      <c r="H2398" s="3" t="str">
        <f>VLOOKUP(B2398,[1]LifeList!$E$2:$I$2036,5)</f>
        <v>Parulidae (New World Warblers)</v>
      </c>
    </row>
    <row r="2399" spans="1:8" x14ac:dyDescent="0.15">
      <c r="A2399" s="3" t="s">
        <v>2295</v>
      </c>
      <c r="B2399" s="3" t="s">
        <v>4723</v>
      </c>
      <c r="C2399" s="3">
        <v>34185</v>
      </c>
      <c r="D2399" s="3" t="str">
        <f>VLOOKUP(B2399,[1]LifeList!$E$2:$G$2036,1)</f>
        <v>Prairie Warbler</v>
      </c>
      <c r="E2399" s="3" t="str">
        <f>VLOOKUP(B2399,[1]LifeList!$E$2:$G$2036,2)</f>
        <v>Paruline des prés</v>
      </c>
      <c r="F2399" s="3" t="str">
        <f>VLOOKUP(B2399,[1]LifeList!$E$2:$G$2036,3)</f>
        <v>Setophaga discolor</v>
      </c>
      <c r="G2399" s="3" t="str">
        <f>VLOOKUP(B2399,[1]LifeList!$E$2:$I$2036,4)</f>
        <v>Passeriformes</v>
      </c>
      <c r="H2399" s="3" t="str">
        <f>VLOOKUP(B2399,[1]LifeList!$E$2:$I$2036,5)</f>
        <v>Parulidae (New World Warblers)</v>
      </c>
    </row>
    <row r="2400" spans="1:8" x14ac:dyDescent="0.15">
      <c r="A2400" s="3" t="s">
        <v>2296</v>
      </c>
      <c r="B2400" s="3" t="s">
        <v>4723</v>
      </c>
      <c r="C2400" s="3">
        <v>34185</v>
      </c>
      <c r="D2400" s="3" t="str">
        <f>VLOOKUP(B2400,[1]LifeList!$E$2:$G$2036,1)</f>
        <v>Prairie Warbler</v>
      </c>
      <c r="E2400" s="3" t="str">
        <f>VLOOKUP(B2400,[1]LifeList!$E$2:$G$2036,2)</f>
        <v>Paruline des prés</v>
      </c>
      <c r="F2400" s="3" t="str">
        <f>VLOOKUP(B2400,[1]LifeList!$E$2:$G$2036,3)</f>
        <v>Setophaga discolor</v>
      </c>
      <c r="G2400" s="3" t="str">
        <f>VLOOKUP(B2400,[1]LifeList!$E$2:$I$2036,4)</f>
        <v>Passeriformes</v>
      </c>
      <c r="H2400" s="3" t="str">
        <f>VLOOKUP(B2400,[1]LifeList!$E$2:$I$2036,5)</f>
        <v>Parulidae (New World Warblers)</v>
      </c>
    </row>
    <row r="2401" spans="1:8" x14ac:dyDescent="0.15">
      <c r="A2401" s="3" t="s">
        <v>2297</v>
      </c>
      <c r="B2401" s="3" t="s">
        <v>4723</v>
      </c>
      <c r="C2401" s="3">
        <v>34185</v>
      </c>
      <c r="D2401" s="3" t="str">
        <f>VLOOKUP(B2401,[1]LifeList!$E$2:$G$2036,1)</f>
        <v>Prairie Warbler</v>
      </c>
      <c r="E2401" s="3" t="str">
        <f>VLOOKUP(B2401,[1]LifeList!$E$2:$G$2036,2)</f>
        <v>Paruline des prés</v>
      </c>
      <c r="F2401" s="3" t="str">
        <f>VLOOKUP(B2401,[1]LifeList!$E$2:$G$2036,3)</f>
        <v>Setophaga discolor</v>
      </c>
      <c r="G2401" s="3" t="str">
        <f>VLOOKUP(B2401,[1]LifeList!$E$2:$I$2036,4)</f>
        <v>Passeriformes</v>
      </c>
      <c r="H2401" s="3" t="str">
        <f>VLOOKUP(B2401,[1]LifeList!$E$2:$I$2036,5)</f>
        <v>Parulidae (New World Warblers)</v>
      </c>
    </row>
    <row r="2402" spans="1:8" x14ac:dyDescent="0.15">
      <c r="A2402" s="3" t="s">
        <v>2298</v>
      </c>
      <c r="B2402" s="3" t="s">
        <v>4723</v>
      </c>
      <c r="C2402" s="3">
        <v>34185</v>
      </c>
      <c r="D2402" s="3" t="str">
        <f>VLOOKUP(B2402,[1]LifeList!$E$2:$G$2036,1)</f>
        <v>Prairie Warbler</v>
      </c>
      <c r="E2402" s="3" t="str">
        <f>VLOOKUP(B2402,[1]LifeList!$E$2:$G$2036,2)</f>
        <v>Paruline des prés</v>
      </c>
      <c r="F2402" s="3" t="str">
        <f>VLOOKUP(B2402,[1]LifeList!$E$2:$G$2036,3)</f>
        <v>Setophaga discolor</v>
      </c>
      <c r="G2402" s="3" t="str">
        <f>VLOOKUP(B2402,[1]LifeList!$E$2:$I$2036,4)</f>
        <v>Passeriformes</v>
      </c>
      <c r="H2402" s="3" t="str">
        <f>VLOOKUP(B2402,[1]LifeList!$E$2:$I$2036,5)</f>
        <v>Parulidae (New World Warblers)</v>
      </c>
    </row>
    <row r="2403" spans="1:8" x14ac:dyDescent="0.15">
      <c r="A2403" s="3" t="s">
        <v>2299</v>
      </c>
      <c r="B2403" s="3" t="s">
        <v>4724</v>
      </c>
      <c r="C2403" s="3">
        <v>10831</v>
      </c>
      <c r="D2403" s="3" t="str">
        <f>VLOOKUP(B2403,[1]LifeList!$E$2:$G$2036,1)</f>
        <v>Prong-billed Barbet</v>
      </c>
      <c r="E2403" s="3" t="str">
        <f>VLOOKUP(B2403,[1]LifeList!$E$2:$G$2036,2)</f>
        <v>Cabézon de Frantzius</v>
      </c>
      <c r="F2403" s="3" t="str">
        <f>VLOOKUP(B2403,[1]LifeList!$E$2:$G$2036,3)</f>
        <v>Semnornis frantzii</v>
      </c>
      <c r="G2403" s="3" t="str">
        <f>VLOOKUP(B2403,[1]LifeList!$E$2:$I$2036,4)</f>
        <v>Piciformes</v>
      </c>
      <c r="H2403" s="3" t="str">
        <f>VLOOKUP(B2403,[1]LifeList!$E$2:$I$2036,5)</f>
        <v>Semnornithidae (Toucan-Barbets)</v>
      </c>
    </row>
    <row r="2404" spans="1:8" x14ac:dyDescent="0.15">
      <c r="A2404" s="3" t="s">
        <v>2300</v>
      </c>
      <c r="B2404" s="3" t="s">
        <v>4725</v>
      </c>
      <c r="C2404" s="3">
        <v>33963</v>
      </c>
      <c r="D2404" s="3" t="str">
        <f>VLOOKUP(B2404,[1]LifeList!$E$2:$G$2036,1)</f>
        <v>Prothonotary Warbler</v>
      </c>
      <c r="E2404" s="3" t="str">
        <f>VLOOKUP(B2404,[1]LifeList!$E$2:$G$2036,2)</f>
        <v>Paruline orangée</v>
      </c>
      <c r="F2404" s="3" t="str">
        <f>VLOOKUP(B2404,[1]LifeList!$E$2:$G$2036,3)</f>
        <v>Protonotaria citrea</v>
      </c>
      <c r="G2404" s="3" t="str">
        <f>VLOOKUP(B2404,[1]LifeList!$E$2:$I$2036,4)</f>
        <v>Passeriformes</v>
      </c>
      <c r="H2404" s="3" t="str">
        <f>VLOOKUP(B2404,[1]LifeList!$E$2:$I$2036,5)</f>
        <v>Parulidae (New World Warblers)</v>
      </c>
    </row>
    <row r="2405" spans="1:8" x14ac:dyDescent="0.15">
      <c r="A2405" s="3" t="s">
        <v>2301</v>
      </c>
      <c r="B2405" s="3" t="s">
        <v>4725</v>
      </c>
      <c r="C2405" s="3">
        <v>33963</v>
      </c>
      <c r="D2405" s="3" t="str">
        <f>VLOOKUP(B2405,[1]LifeList!$E$2:$G$2036,1)</f>
        <v>Prothonotary Warbler</v>
      </c>
      <c r="E2405" s="3" t="str">
        <f>VLOOKUP(B2405,[1]LifeList!$E$2:$G$2036,2)</f>
        <v>Paruline orangée</v>
      </c>
      <c r="F2405" s="3" t="str">
        <f>VLOOKUP(B2405,[1]LifeList!$E$2:$G$2036,3)</f>
        <v>Protonotaria citrea</v>
      </c>
      <c r="G2405" s="3" t="str">
        <f>VLOOKUP(B2405,[1]LifeList!$E$2:$I$2036,4)</f>
        <v>Passeriformes</v>
      </c>
      <c r="H2405" s="3" t="str">
        <f>VLOOKUP(B2405,[1]LifeList!$E$2:$I$2036,5)</f>
        <v>Parulidae (New World Warblers)</v>
      </c>
    </row>
    <row r="2406" spans="1:8" x14ac:dyDescent="0.15">
      <c r="A2406" s="3" t="s">
        <v>2302</v>
      </c>
      <c r="B2406" s="3" t="s">
        <v>4725</v>
      </c>
      <c r="C2406" s="3">
        <v>33963</v>
      </c>
      <c r="D2406" s="3" t="str">
        <f>VLOOKUP(B2406,[1]LifeList!$E$2:$G$2036,1)</f>
        <v>Prothonotary Warbler</v>
      </c>
      <c r="E2406" s="3" t="str">
        <f>VLOOKUP(B2406,[1]LifeList!$E$2:$G$2036,2)</f>
        <v>Paruline orangée</v>
      </c>
      <c r="F2406" s="3" t="str">
        <f>VLOOKUP(B2406,[1]LifeList!$E$2:$G$2036,3)</f>
        <v>Protonotaria citrea</v>
      </c>
      <c r="G2406" s="3" t="str">
        <f>VLOOKUP(B2406,[1]LifeList!$E$2:$I$2036,4)</f>
        <v>Passeriformes</v>
      </c>
      <c r="H2406" s="3" t="str">
        <f>VLOOKUP(B2406,[1]LifeList!$E$2:$I$2036,5)</f>
        <v>Parulidae (New World Warblers)</v>
      </c>
    </row>
    <row r="2407" spans="1:8" x14ac:dyDescent="0.15">
      <c r="A2407" s="3" t="s">
        <v>2303</v>
      </c>
      <c r="B2407" s="3" t="s">
        <v>4725</v>
      </c>
      <c r="C2407" s="3">
        <v>33963</v>
      </c>
      <c r="D2407" s="3" t="str">
        <f>VLOOKUP(B2407,[1]LifeList!$E$2:$G$2036,1)</f>
        <v>Prothonotary Warbler</v>
      </c>
      <c r="E2407" s="3" t="str">
        <f>VLOOKUP(B2407,[1]LifeList!$E$2:$G$2036,2)</f>
        <v>Paruline orangée</v>
      </c>
      <c r="F2407" s="3" t="str">
        <f>VLOOKUP(B2407,[1]LifeList!$E$2:$G$2036,3)</f>
        <v>Protonotaria citrea</v>
      </c>
      <c r="G2407" s="3" t="str">
        <f>VLOOKUP(B2407,[1]LifeList!$E$2:$I$2036,4)</f>
        <v>Passeriformes</v>
      </c>
      <c r="H2407" s="3" t="str">
        <f>VLOOKUP(B2407,[1]LifeList!$E$2:$I$2036,5)</f>
        <v>Parulidae (New World Warblers)</v>
      </c>
    </row>
    <row r="2408" spans="1:8" x14ac:dyDescent="0.15">
      <c r="A2408" s="3" t="s">
        <v>2304</v>
      </c>
      <c r="B2408" s="3" t="s">
        <v>4725</v>
      </c>
      <c r="C2408" s="3">
        <v>33963</v>
      </c>
      <c r="D2408" s="3" t="str">
        <f>VLOOKUP(B2408,[1]LifeList!$E$2:$G$2036,1)</f>
        <v>Prothonotary Warbler</v>
      </c>
      <c r="E2408" s="3" t="str">
        <f>VLOOKUP(B2408,[1]LifeList!$E$2:$G$2036,2)</f>
        <v>Paruline orangée</v>
      </c>
      <c r="F2408" s="3" t="str">
        <f>VLOOKUP(B2408,[1]LifeList!$E$2:$G$2036,3)</f>
        <v>Protonotaria citrea</v>
      </c>
      <c r="G2408" s="3" t="str">
        <f>VLOOKUP(B2408,[1]LifeList!$E$2:$I$2036,4)</f>
        <v>Passeriformes</v>
      </c>
      <c r="H2408" s="3" t="str">
        <f>VLOOKUP(B2408,[1]LifeList!$E$2:$I$2036,5)</f>
        <v>Parulidae (New World Warblers)</v>
      </c>
    </row>
    <row r="2409" spans="1:8" x14ac:dyDescent="0.15">
      <c r="A2409" s="3" t="s">
        <v>2305</v>
      </c>
      <c r="B2409" s="3" t="s">
        <v>4725</v>
      </c>
      <c r="C2409" s="3">
        <v>33963</v>
      </c>
      <c r="D2409" s="3" t="str">
        <f>VLOOKUP(B2409,[1]LifeList!$E$2:$G$2036,1)</f>
        <v>Prothonotary Warbler</v>
      </c>
      <c r="E2409" s="3" t="str">
        <f>VLOOKUP(B2409,[1]LifeList!$E$2:$G$2036,2)</f>
        <v>Paruline orangée</v>
      </c>
      <c r="F2409" s="3" t="str">
        <f>VLOOKUP(B2409,[1]LifeList!$E$2:$G$2036,3)</f>
        <v>Protonotaria citrea</v>
      </c>
      <c r="G2409" s="3" t="str">
        <f>VLOOKUP(B2409,[1]LifeList!$E$2:$I$2036,4)</f>
        <v>Passeriformes</v>
      </c>
      <c r="H2409" s="3" t="str">
        <f>VLOOKUP(B2409,[1]LifeList!$E$2:$I$2036,5)</f>
        <v>Parulidae (New World Warblers)</v>
      </c>
    </row>
    <row r="2410" spans="1:8" x14ac:dyDescent="0.15">
      <c r="A2410" s="3" t="s">
        <v>2306</v>
      </c>
      <c r="B2410" s="3" t="s">
        <v>4725</v>
      </c>
      <c r="C2410" s="3">
        <v>33963</v>
      </c>
      <c r="D2410" s="3" t="str">
        <f>VLOOKUP(B2410,[1]LifeList!$E$2:$G$2036,1)</f>
        <v>Prothonotary Warbler</v>
      </c>
      <c r="E2410" s="3" t="str">
        <f>VLOOKUP(B2410,[1]LifeList!$E$2:$G$2036,2)</f>
        <v>Paruline orangée</v>
      </c>
      <c r="F2410" s="3" t="str">
        <f>VLOOKUP(B2410,[1]LifeList!$E$2:$G$2036,3)</f>
        <v>Protonotaria citrea</v>
      </c>
      <c r="G2410" s="3" t="str">
        <f>VLOOKUP(B2410,[1]LifeList!$E$2:$I$2036,4)</f>
        <v>Passeriformes</v>
      </c>
      <c r="H2410" s="3" t="str">
        <f>VLOOKUP(B2410,[1]LifeList!$E$2:$I$2036,5)</f>
        <v>Parulidae (New World Warblers)</v>
      </c>
    </row>
    <row r="2411" spans="1:8" x14ac:dyDescent="0.15">
      <c r="A2411" s="3" t="s">
        <v>2307</v>
      </c>
      <c r="B2411" s="3" t="s">
        <v>4725</v>
      </c>
      <c r="C2411" s="3">
        <v>33963</v>
      </c>
      <c r="D2411" s="3" t="str">
        <f>VLOOKUP(B2411,[1]LifeList!$E$2:$G$2036,1)</f>
        <v>Prothonotary Warbler</v>
      </c>
      <c r="E2411" s="3" t="str">
        <f>VLOOKUP(B2411,[1]LifeList!$E$2:$G$2036,2)</f>
        <v>Paruline orangée</v>
      </c>
      <c r="F2411" s="3" t="str">
        <f>VLOOKUP(B2411,[1]LifeList!$E$2:$G$2036,3)</f>
        <v>Protonotaria citrea</v>
      </c>
      <c r="G2411" s="3" t="str">
        <f>VLOOKUP(B2411,[1]LifeList!$E$2:$I$2036,4)</f>
        <v>Passeriformes</v>
      </c>
      <c r="H2411" s="3" t="str">
        <f>VLOOKUP(B2411,[1]LifeList!$E$2:$I$2036,5)</f>
        <v>Parulidae (New World Warblers)</v>
      </c>
    </row>
    <row r="2412" spans="1:8" x14ac:dyDescent="0.15">
      <c r="A2412" s="3" t="s">
        <v>2308</v>
      </c>
      <c r="B2412" s="3" t="s">
        <v>4725</v>
      </c>
      <c r="C2412" s="3">
        <v>33963</v>
      </c>
      <c r="D2412" s="3" t="str">
        <f>VLOOKUP(B2412,[1]LifeList!$E$2:$G$2036,1)</f>
        <v>Prothonotary Warbler</v>
      </c>
      <c r="E2412" s="3" t="str">
        <f>VLOOKUP(B2412,[1]LifeList!$E$2:$G$2036,2)</f>
        <v>Paruline orangée</v>
      </c>
      <c r="F2412" s="3" t="str">
        <f>VLOOKUP(B2412,[1]LifeList!$E$2:$G$2036,3)</f>
        <v>Protonotaria citrea</v>
      </c>
      <c r="G2412" s="3" t="str">
        <f>VLOOKUP(B2412,[1]LifeList!$E$2:$I$2036,4)</f>
        <v>Passeriformes</v>
      </c>
      <c r="H2412" s="3" t="str">
        <f>VLOOKUP(B2412,[1]LifeList!$E$2:$I$2036,5)</f>
        <v>Parulidae (New World Warblers)</v>
      </c>
    </row>
    <row r="2413" spans="1:8" x14ac:dyDescent="0.15">
      <c r="A2413" s="3" t="s">
        <v>2309</v>
      </c>
      <c r="B2413" s="3" t="s">
        <v>4725</v>
      </c>
      <c r="C2413" s="3">
        <v>33963</v>
      </c>
      <c r="D2413" s="3" t="str">
        <f>VLOOKUP(B2413,[1]LifeList!$E$2:$G$2036,1)</f>
        <v>Prothonotary Warbler</v>
      </c>
      <c r="E2413" s="3" t="str">
        <f>VLOOKUP(B2413,[1]LifeList!$E$2:$G$2036,2)</f>
        <v>Paruline orangée</v>
      </c>
      <c r="F2413" s="3" t="str">
        <f>VLOOKUP(B2413,[1]LifeList!$E$2:$G$2036,3)</f>
        <v>Protonotaria citrea</v>
      </c>
      <c r="G2413" s="3" t="str">
        <f>VLOOKUP(B2413,[1]LifeList!$E$2:$I$2036,4)</f>
        <v>Passeriformes</v>
      </c>
      <c r="H2413" s="3" t="str">
        <f>VLOOKUP(B2413,[1]LifeList!$E$2:$I$2036,5)</f>
        <v>Parulidae (New World Warblers)</v>
      </c>
    </row>
    <row r="2414" spans="1:8" x14ac:dyDescent="0.15">
      <c r="A2414" s="3" t="s">
        <v>2310</v>
      </c>
      <c r="B2414" s="3" t="s">
        <v>4725</v>
      </c>
      <c r="C2414" s="3">
        <v>33963</v>
      </c>
      <c r="D2414" s="3" t="str">
        <f>VLOOKUP(B2414,[1]LifeList!$E$2:$G$2036,1)</f>
        <v>Prothonotary Warbler</v>
      </c>
      <c r="E2414" s="3" t="str">
        <f>VLOOKUP(B2414,[1]LifeList!$E$2:$G$2036,2)</f>
        <v>Paruline orangée</v>
      </c>
      <c r="F2414" s="3" t="str">
        <f>VLOOKUP(B2414,[1]LifeList!$E$2:$G$2036,3)</f>
        <v>Protonotaria citrea</v>
      </c>
      <c r="G2414" s="3" t="str">
        <f>VLOOKUP(B2414,[1]LifeList!$E$2:$I$2036,4)</f>
        <v>Passeriformes</v>
      </c>
      <c r="H2414" s="3" t="str">
        <f>VLOOKUP(B2414,[1]LifeList!$E$2:$I$2036,5)</f>
        <v>Parulidae (New World Warblers)</v>
      </c>
    </row>
    <row r="2415" spans="1:8" x14ac:dyDescent="0.15">
      <c r="A2415" s="3" t="s">
        <v>2311</v>
      </c>
      <c r="B2415" s="3" t="s">
        <v>4725</v>
      </c>
      <c r="C2415" s="3">
        <v>33963</v>
      </c>
      <c r="D2415" s="3" t="str">
        <f>VLOOKUP(B2415,[1]LifeList!$E$2:$G$2036,1)</f>
        <v>Prothonotary Warbler</v>
      </c>
      <c r="E2415" s="3" t="str">
        <f>VLOOKUP(B2415,[1]LifeList!$E$2:$G$2036,2)</f>
        <v>Paruline orangée</v>
      </c>
      <c r="F2415" s="3" t="str">
        <f>VLOOKUP(B2415,[1]LifeList!$E$2:$G$2036,3)</f>
        <v>Protonotaria citrea</v>
      </c>
      <c r="G2415" s="3" t="str">
        <f>VLOOKUP(B2415,[1]LifeList!$E$2:$I$2036,4)</f>
        <v>Passeriformes</v>
      </c>
      <c r="H2415" s="3" t="str">
        <f>VLOOKUP(B2415,[1]LifeList!$E$2:$I$2036,5)</f>
        <v>Parulidae (New World Warblers)</v>
      </c>
    </row>
    <row r="2416" spans="1:8" x14ac:dyDescent="0.15">
      <c r="A2416" s="3" t="s">
        <v>2312</v>
      </c>
      <c r="B2416" s="3" t="s">
        <v>4725</v>
      </c>
      <c r="C2416" s="3">
        <v>33963</v>
      </c>
      <c r="D2416" s="3" t="str">
        <f>VLOOKUP(B2416,[1]LifeList!$E$2:$G$2036,1)</f>
        <v>Prothonotary Warbler</v>
      </c>
      <c r="E2416" s="3" t="str">
        <f>VLOOKUP(B2416,[1]LifeList!$E$2:$G$2036,2)</f>
        <v>Paruline orangée</v>
      </c>
      <c r="F2416" s="3" t="str">
        <f>VLOOKUP(B2416,[1]LifeList!$E$2:$G$2036,3)</f>
        <v>Protonotaria citrea</v>
      </c>
      <c r="G2416" s="3" t="str">
        <f>VLOOKUP(B2416,[1]LifeList!$E$2:$I$2036,4)</f>
        <v>Passeriformes</v>
      </c>
      <c r="H2416" s="3" t="str">
        <f>VLOOKUP(B2416,[1]LifeList!$E$2:$I$2036,5)</f>
        <v>Parulidae (New World Warblers)</v>
      </c>
    </row>
    <row r="2417" spans="1:8" x14ac:dyDescent="0.15">
      <c r="A2417" s="3" t="s">
        <v>2313</v>
      </c>
      <c r="B2417" s="3" t="s">
        <v>4725</v>
      </c>
      <c r="C2417" s="3">
        <v>33963</v>
      </c>
      <c r="D2417" s="3" t="str">
        <f>VLOOKUP(B2417,[1]LifeList!$E$2:$G$2036,1)</f>
        <v>Prothonotary Warbler</v>
      </c>
      <c r="E2417" s="3" t="str">
        <f>VLOOKUP(B2417,[1]LifeList!$E$2:$G$2036,2)</f>
        <v>Paruline orangée</v>
      </c>
      <c r="F2417" s="3" t="str">
        <f>VLOOKUP(B2417,[1]LifeList!$E$2:$G$2036,3)</f>
        <v>Protonotaria citrea</v>
      </c>
      <c r="G2417" s="3" t="str">
        <f>VLOOKUP(B2417,[1]LifeList!$E$2:$I$2036,4)</f>
        <v>Passeriformes</v>
      </c>
      <c r="H2417" s="3" t="str">
        <f>VLOOKUP(B2417,[1]LifeList!$E$2:$I$2036,5)</f>
        <v>Parulidae (New World Warblers)</v>
      </c>
    </row>
    <row r="2418" spans="1:8" x14ac:dyDescent="0.15">
      <c r="A2418" s="3" t="s">
        <v>2314</v>
      </c>
      <c r="B2418" s="3" t="s">
        <v>4725</v>
      </c>
      <c r="C2418" s="3">
        <v>33963</v>
      </c>
      <c r="D2418" s="3" t="str">
        <f>VLOOKUP(B2418,[1]LifeList!$E$2:$G$2036,1)</f>
        <v>Prothonotary Warbler</v>
      </c>
      <c r="E2418" s="3" t="str">
        <f>VLOOKUP(B2418,[1]LifeList!$E$2:$G$2036,2)</f>
        <v>Paruline orangée</v>
      </c>
      <c r="F2418" s="3" t="str">
        <f>VLOOKUP(B2418,[1]LifeList!$E$2:$G$2036,3)</f>
        <v>Protonotaria citrea</v>
      </c>
      <c r="G2418" s="3" t="str">
        <f>VLOOKUP(B2418,[1]LifeList!$E$2:$I$2036,4)</f>
        <v>Passeriformes</v>
      </c>
      <c r="H2418" s="3" t="str">
        <f>VLOOKUP(B2418,[1]LifeList!$E$2:$I$2036,5)</f>
        <v>Parulidae (New World Warblers)</v>
      </c>
    </row>
    <row r="2419" spans="1:8" x14ac:dyDescent="0.15">
      <c r="A2419" s="3" t="s">
        <v>2315</v>
      </c>
      <c r="B2419" s="3" t="s">
        <v>4725</v>
      </c>
      <c r="C2419" s="3">
        <v>33963</v>
      </c>
      <c r="D2419" s="3" t="str">
        <f>VLOOKUP(B2419,[1]LifeList!$E$2:$G$2036,1)</f>
        <v>Prothonotary Warbler</v>
      </c>
      <c r="E2419" s="3" t="str">
        <f>VLOOKUP(B2419,[1]LifeList!$E$2:$G$2036,2)</f>
        <v>Paruline orangée</v>
      </c>
      <c r="F2419" s="3" t="str">
        <f>VLOOKUP(B2419,[1]LifeList!$E$2:$G$2036,3)</f>
        <v>Protonotaria citrea</v>
      </c>
      <c r="G2419" s="3" t="str">
        <f>VLOOKUP(B2419,[1]LifeList!$E$2:$I$2036,4)</f>
        <v>Passeriformes</v>
      </c>
      <c r="H2419" s="3" t="str">
        <f>VLOOKUP(B2419,[1]LifeList!$E$2:$I$2036,5)</f>
        <v>Parulidae (New World Warblers)</v>
      </c>
    </row>
    <row r="2420" spans="1:8" x14ac:dyDescent="0.15">
      <c r="A2420" s="3" t="s">
        <v>2316</v>
      </c>
      <c r="B2420" s="3" t="s">
        <v>4725</v>
      </c>
      <c r="C2420" s="3">
        <v>33963</v>
      </c>
      <c r="D2420" s="3" t="str">
        <f>VLOOKUP(B2420,[1]LifeList!$E$2:$G$2036,1)</f>
        <v>Prothonotary Warbler</v>
      </c>
      <c r="E2420" s="3" t="str">
        <f>VLOOKUP(B2420,[1]LifeList!$E$2:$G$2036,2)</f>
        <v>Paruline orangée</v>
      </c>
      <c r="F2420" s="3" t="str">
        <f>VLOOKUP(B2420,[1]LifeList!$E$2:$G$2036,3)</f>
        <v>Protonotaria citrea</v>
      </c>
      <c r="G2420" s="3" t="str">
        <f>VLOOKUP(B2420,[1]LifeList!$E$2:$I$2036,4)</f>
        <v>Passeriformes</v>
      </c>
      <c r="H2420" s="3" t="str">
        <f>VLOOKUP(B2420,[1]LifeList!$E$2:$I$2036,5)</f>
        <v>Parulidae (New World Warblers)</v>
      </c>
    </row>
    <row r="2421" spans="1:8" x14ac:dyDescent="0.15">
      <c r="A2421" s="3" t="s">
        <v>2328</v>
      </c>
      <c r="B2421" s="3" t="s">
        <v>4726</v>
      </c>
      <c r="C2421" s="3">
        <v>32324</v>
      </c>
      <c r="D2421" s="3" t="str">
        <f>VLOOKUP(B2421,[1]LifeList!$E$2:$G$2036,1)</f>
        <v>Purple Finch</v>
      </c>
      <c r="E2421" s="3" t="str">
        <f>VLOOKUP(B2421,[1]LifeList!$E$2:$G$2036,2)</f>
        <v>Roselin pourpré</v>
      </c>
      <c r="F2421" s="3" t="str">
        <f>VLOOKUP(B2421,[1]LifeList!$E$2:$G$2036,3)</f>
        <v>Haemorhous purpureus</v>
      </c>
      <c r="G2421" s="3" t="str">
        <f>VLOOKUP(B2421,[1]LifeList!$E$2:$I$2036,4)</f>
        <v>Passeriformes</v>
      </c>
      <c r="H2421" s="3" t="str">
        <f>VLOOKUP(B2421,[1]LifeList!$E$2:$I$2036,5)</f>
        <v>Fringillidae (Finches, Euphonias, and Allies)</v>
      </c>
    </row>
    <row r="2422" spans="1:8" x14ac:dyDescent="0.15">
      <c r="A2422" s="3" t="s">
        <v>2329</v>
      </c>
      <c r="B2422" s="3" t="s">
        <v>4726</v>
      </c>
      <c r="C2422" s="3">
        <v>32324</v>
      </c>
      <c r="D2422" s="3" t="str">
        <f>VLOOKUP(B2422,[1]LifeList!$E$2:$G$2036,1)</f>
        <v>Purple Finch</v>
      </c>
      <c r="E2422" s="3" t="str">
        <f>VLOOKUP(B2422,[1]LifeList!$E$2:$G$2036,2)</f>
        <v>Roselin pourpré</v>
      </c>
      <c r="F2422" s="3" t="str">
        <f>VLOOKUP(B2422,[1]LifeList!$E$2:$G$2036,3)</f>
        <v>Haemorhous purpureus</v>
      </c>
      <c r="G2422" s="3" t="str">
        <f>VLOOKUP(B2422,[1]LifeList!$E$2:$I$2036,4)</f>
        <v>Passeriformes</v>
      </c>
      <c r="H2422" s="3" t="str">
        <f>VLOOKUP(B2422,[1]LifeList!$E$2:$I$2036,5)</f>
        <v>Fringillidae (Finches, Euphonias, and Allies)</v>
      </c>
    </row>
    <row r="2423" spans="1:8" x14ac:dyDescent="0.15">
      <c r="A2423" s="3" t="s">
        <v>2330</v>
      </c>
      <c r="B2423" s="3" t="s">
        <v>4726</v>
      </c>
      <c r="C2423" s="3">
        <v>32324</v>
      </c>
      <c r="D2423" s="3" t="str">
        <f>VLOOKUP(B2423,[1]LifeList!$E$2:$G$2036,1)</f>
        <v>Purple Finch</v>
      </c>
      <c r="E2423" s="3" t="str">
        <f>VLOOKUP(B2423,[1]LifeList!$E$2:$G$2036,2)</f>
        <v>Roselin pourpré</v>
      </c>
      <c r="F2423" s="3" t="str">
        <f>VLOOKUP(B2423,[1]LifeList!$E$2:$G$2036,3)</f>
        <v>Haemorhous purpureus</v>
      </c>
      <c r="G2423" s="3" t="str">
        <f>VLOOKUP(B2423,[1]LifeList!$E$2:$I$2036,4)</f>
        <v>Passeriformes</v>
      </c>
      <c r="H2423" s="3" t="str">
        <f>VLOOKUP(B2423,[1]LifeList!$E$2:$I$2036,5)</f>
        <v>Fringillidae (Finches, Euphonias, and Allies)</v>
      </c>
    </row>
    <row r="2424" spans="1:8" x14ac:dyDescent="0.15">
      <c r="A2424" s="3" t="s">
        <v>2344</v>
      </c>
      <c r="B2424" s="3" t="s">
        <v>4726</v>
      </c>
      <c r="C2424" s="3">
        <v>32324</v>
      </c>
      <c r="D2424" s="3" t="str">
        <f>VLOOKUP(B2424,[1]LifeList!$E$2:$G$2036,1)</f>
        <v>Purple Finch</v>
      </c>
      <c r="E2424" s="3" t="str">
        <f>VLOOKUP(B2424,[1]LifeList!$E$2:$G$2036,2)</f>
        <v>Roselin pourpré</v>
      </c>
      <c r="F2424" s="3" t="str">
        <f>VLOOKUP(B2424,[1]LifeList!$E$2:$G$2036,3)</f>
        <v>Haemorhous purpureus</v>
      </c>
      <c r="G2424" s="3" t="str">
        <f>VLOOKUP(B2424,[1]LifeList!$E$2:$I$2036,4)</f>
        <v>Passeriformes</v>
      </c>
      <c r="H2424" s="3" t="str">
        <f>VLOOKUP(B2424,[1]LifeList!$E$2:$I$2036,5)</f>
        <v>Fringillidae (Finches, Euphonias, and Allies)</v>
      </c>
    </row>
    <row r="2425" spans="1:8" x14ac:dyDescent="0.15">
      <c r="A2425" s="3" t="s">
        <v>2331</v>
      </c>
      <c r="B2425" s="3" t="s">
        <v>4726</v>
      </c>
      <c r="C2425" s="3">
        <v>32324</v>
      </c>
      <c r="D2425" s="3" t="str">
        <f>VLOOKUP(B2425,[1]LifeList!$E$2:$G$2036,1)</f>
        <v>Purple Finch</v>
      </c>
      <c r="E2425" s="3" t="str">
        <f>VLOOKUP(B2425,[1]LifeList!$E$2:$G$2036,2)</f>
        <v>Roselin pourpré</v>
      </c>
      <c r="F2425" s="3" t="str">
        <f>VLOOKUP(B2425,[1]LifeList!$E$2:$G$2036,3)</f>
        <v>Haemorhous purpureus</v>
      </c>
      <c r="G2425" s="3" t="str">
        <f>VLOOKUP(B2425,[1]LifeList!$E$2:$I$2036,4)</f>
        <v>Passeriformes</v>
      </c>
      <c r="H2425" s="3" t="str">
        <f>VLOOKUP(B2425,[1]LifeList!$E$2:$I$2036,5)</f>
        <v>Fringillidae (Finches, Euphonias, and Allies)</v>
      </c>
    </row>
    <row r="2426" spans="1:8" x14ac:dyDescent="0.15">
      <c r="A2426" s="3" t="s">
        <v>2332</v>
      </c>
      <c r="B2426" s="3" t="s">
        <v>4726</v>
      </c>
      <c r="C2426" s="3">
        <v>32324</v>
      </c>
      <c r="D2426" s="3" t="str">
        <f>VLOOKUP(B2426,[1]LifeList!$E$2:$G$2036,1)</f>
        <v>Purple Finch</v>
      </c>
      <c r="E2426" s="3" t="str">
        <f>VLOOKUP(B2426,[1]LifeList!$E$2:$G$2036,2)</f>
        <v>Roselin pourpré</v>
      </c>
      <c r="F2426" s="3" t="str">
        <f>VLOOKUP(B2426,[1]LifeList!$E$2:$G$2036,3)</f>
        <v>Haemorhous purpureus</v>
      </c>
      <c r="G2426" s="3" t="str">
        <f>VLOOKUP(B2426,[1]LifeList!$E$2:$I$2036,4)</f>
        <v>Passeriformes</v>
      </c>
      <c r="H2426" s="3" t="str">
        <f>VLOOKUP(B2426,[1]LifeList!$E$2:$I$2036,5)</f>
        <v>Fringillidae (Finches, Euphonias, and Allies)</v>
      </c>
    </row>
    <row r="2427" spans="1:8" x14ac:dyDescent="0.15">
      <c r="A2427" s="3" t="s">
        <v>2333</v>
      </c>
      <c r="B2427" s="3" t="s">
        <v>4727</v>
      </c>
      <c r="C2427" s="3">
        <v>5515</v>
      </c>
      <c r="D2427" s="3" t="str">
        <f>VLOOKUP(B2427,[1]LifeList!$E$2:$G$2036,1)</f>
        <v>Purple Gallinule</v>
      </c>
      <c r="E2427" s="3" t="str">
        <f>VLOOKUP(B2427,[1]LifeList!$E$2:$G$2036,2)</f>
        <v>Talève violacée</v>
      </c>
      <c r="F2427" s="3" t="str">
        <f>VLOOKUP(B2427,[1]LifeList!$E$2:$G$2036,3)</f>
        <v>Porphyrio martinica</v>
      </c>
      <c r="G2427" s="3" t="str">
        <f>VLOOKUP(B2427,[1]LifeList!$E$2:$I$2036,4)</f>
        <v>Gruiformes</v>
      </c>
      <c r="H2427" s="3" t="str">
        <f>VLOOKUP(B2427,[1]LifeList!$E$2:$I$2036,5)</f>
        <v>Rallidae (Rails, Gallinules, and Coots)</v>
      </c>
    </row>
    <row r="2428" spans="1:8" x14ac:dyDescent="0.15">
      <c r="A2428" s="3" t="s">
        <v>2334</v>
      </c>
      <c r="B2428" s="3" t="s">
        <v>4727</v>
      </c>
      <c r="C2428" s="3">
        <v>5515</v>
      </c>
      <c r="D2428" s="3" t="str">
        <f>VLOOKUP(B2428,[1]LifeList!$E$2:$G$2036,1)</f>
        <v>Purple Gallinule</v>
      </c>
      <c r="E2428" s="3" t="str">
        <f>VLOOKUP(B2428,[1]LifeList!$E$2:$G$2036,2)</f>
        <v>Talève violacée</v>
      </c>
      <c r="F2428" s="3" t="str">
        <f>VLOOKUP(B2428,[1]LifeList!$E$2:$G$2036,3)</f>
        <v>Porphyrio martinica</v>
      </c>
      <c r="G2428" s="3" t="str">
        <f>VLOOKUP(B2428,[1]LifeList!$E$2:$I$2036,4)</f>
        <v>Gruiformes</v>
      </c>
      <c r="H2428" s="3" t="str">
        <f>VLOOKUP(B2428,[1]LifeList!$E$2:$I$2036,5)</f>
        <v>Rallidae (Rails, Gallinules, and Coots)</v>
      </c>
    </row>
    <row r="2429" spans="1:8" x14ac:dyDescent="0.15">
      <c r="A2429" s="3" t="s">
        <v>2335</v>
      </c>
      <c r="B2429" s="3" t="s">
        <v>4727</v>
      </c>
      <c r="C2429" s="3">
        <v>5515</v>
      </c>
      <c r="D2429" s="3" t="str">
        <f>VLOOKUP(B2429,[1]LifeList!$E$2:$G$2036,1)</f>
        <v>Purple Gallinule</v>
      </c>
      <c r="E2429" s="3" t="str">
        <f>VLOOKUP(B2429,[1]LifeList!$E$2:$G$2036,2)</f>
        <v>Talève violacée</v>
      </c>
      <c r="F2429" s="3" t="str">
        <f>VLOOKUP(B2429,[1]LifeList!$E$2:$G$2036,3)</f>
        <v>Porphyrio martinica</v>
      </c>
      <c r="G2429" s="3" t="str">
        <f>VLOOKUP(B2429,[1]LifeList!$E$2:$I$2036,4)</f>
        <v>Gruiformes</v>
      </c>
      <c r="H2429" s="3" t="str">
        <f>VLOOKUP(B2429,[1]LifeList!$E$2:$I$2036,5)</f>
        <v>Rallidae (Rails, Gallinules, and Coots)</v>
      </c>
    </row>
    <row r="2430" spans="1:8" x14ac:dyDescent="0.15">
      <c r="A2430" s="3" t="s">
        <v>2336</v>
      </c>
      <c r="B2430" s="3" t="s">
        <v>4727</v>
      </c>
      <c r="C2430" s="3">
        <v>5515</v>
      </c>
      <c r="D2430" s="3" t="str">
        <f>VLOOKUP(B2430,[1]LifeList!$E$2:$G$2036,1)</f>
        <v>Purple Gallinule</v>
      </c>
      <c r="E2430" s="3" t="str">
        <f>VLOOKUP(B2430,[1]LifeList!$E$2:$G$2036,2)</f>
        <v>Talève violacée</v>
      </c>
      <c r="F2430" s="3" t="str">
        <f>VLOOKUP(B2430,[1]LifeList!$E$2:$G$2036,3)</f>
        <v>Porphyrio martinica</v>
      </c>
      <c r="G2430" s="3" t="str">
        <f>VLOOKUP(B2430,[1]LifeList!$E$2:$I$2036,4)</f>
        <v>Gruiformes</v>
      </c>
      <c r="H2430" s="3" t="str">
        <f>VLOOKUP(B2430,[1]LifeList!$E$2:$I$2036,5)</f>
        <v>Rallidae (Rails, Gallinules, and Coots)</v>
      </c>
    </row>
    <row r="2431" spans="1:8" x14ac:dyDescent="0.15">
      <c r="A2431" s="3" t="s">
        <v>2337</v>
      </c>
      <c r="B2431" s="3" t="s">
        <v>4727</v>
      </c>
      <c r="C2431" s="3">
        <v>5515</v>
      </c>
      <c r="D2431" s="3" t="str">
        <f>VLOOKUP(B2431,[1]LifeList!$E$2:$G$2036,1)</f>
        <v>Purple Gallinule</v>
      </c>
      <c r="E2431" s="3" t="str">
        <f>VLOOKUP(B2431,[1]LifeList!$E$2:$G$2036,2)</f>
        <v>Talève violacée</v>
      </c>
      <c r="F2431" s="3" t="str">
        <f>VLOOKUP(B2431,[1]LifeList!$E$2:$G$2036,3)</f>
        <v>Porphyrio martinica</v>
      </c>
      <c r="G2431" s="3" t="str">
        <f>VLOOKUP(B2431,[1]LifeList!$E$2:$I$2036,4)</f>
        <v>Gruiformes</v>
      </c>
      <c r="H2431" s="3" t="str">
        <f>VLOOKUP(B2431,[1]LifeList!$E$2:$I$2036,5)</f>
        <v>Rallidae (Rails, Gallinules, and Coots)</v>
      </c>
    </row>
    <row r="2432" spans="1:8" x14ac:dyDescent="0.15">
      <c r="A2432" s="3" t="s">
        <v>2338</v>
      </c>
      <c r="B2432" s="3" t="s">
        <v>4727</v>
      </c>
      <c r="C2432" s="3">
        <v>5515</v>
      </c>
      <c r="D2432" s="3" t="str">
        <f>VLOOKUP(B2432,[1]LifeList!$E$2:$G$2036,1)</f>
        <v>Purple Gallinule</v>
      </c>
      <c r="E2432" s="3" t="str">
        <f>VLOOKUP(B2432,[1]LifeList!$E$2:$G$2036,2)</f>
        <v>Talève violacée</v>
      </c>
      <c r="F2432" s="3" t="str">
        <f>VLOOKUP(B2432,[1]LifeList!$E$2:$G$2036,3)</f>
        <v>Porphyrio martinica</v>
      </c>
      <c r="G2432" s="3" t="str">
        <f>VLOOKUP(B2432,[1]LifeList!$E$2:$I$2036,4)</f>
        <v>Gruiformes</v>
      </c>
      <c r="H2432" s="3" t="str">
        <f>VLOOKUP(B2432,[1]LifeList!$E$2:$I$2036,5)</f>
        <v>Rallidae (Rails, Gallinules, and Coots)</v>
      </c>
    </row>
    <row r="2433" spans="1:8" x14ac:dyDescent="0.15">
      <c r="A2433" s="3" t="s">
        <v>2339</v>
      </c>
      <c r="B2433" s="3" t="s">
        <v>4727</v>
      </c>
      <c r="C2433" s="3">
        <v>5515</v>
      </c>
      <c r="D2433" s="3" t="str">
        <f>VLOOKUP(B2433,[1]LifeList!$E$2:$G$2036,1)</f>
        <v>Purple Gallinule</v>
      </c>
      <c r="E2433" s="3" t="str">
        <f>VLOOKUP(B2433,[1]LifeList!$E$2:$G$2036,2)</f>
        <v>Talève violacée</v>
      </c>
      <c r="F2433" s="3" t="str">
        <f>VLOOKUP(B2433,[1]LifeList!$E$2:$G$2036,3)</f>
        <v>Porphyrio martinica</v>
      </c>
      <c r="G2433" s="3" t="str">
        <f>VLOOKUP(B2433,[1]LifeList!$E$2:$I$2036,4)</f>
        <v>Gruiformes</v>
      </c>
      <c r="H2433" s="3" t="str">
        <f>VLOOKUP(B2433,[1]LifeList!$E$2:$I$2036,5)</f>
        <v>Rallidae (Rails, Gallinules, and Coots)</v>
      </c>
    </row>
    <row r="2434" spans="1:8" x14ac:dyDescent="0.15">
      <c r="A2434" s="3" t="s">
        <v>2340</v>
      </c>
      <c r="B2434" s="3" t="s">
        <v>4727</v>
      </c>
      <c r="C2434" s="3">
        <v>5515</v>
      </c>
      <c r="D2434" s="3" t="str">
        <f>VLOOKUP(B2434,[1]LifeList!$E$2:$G$2036,1)</f>
        <v>Purple Gallinule</v>
      </c>
      <c r="E2434" s="3" t="str">
        <f>VLOOKUP(B2434,[1]LifeList!$E$2:$G$2036,2)</f>
        <v>Talève violacée</v>
      </c>
      <c r="F2434" s="3" t="str">
        <f>VLOOKUP(B2434,[1]LifeList!$E$2:$G$2036,3)</f>
        <v>Porphyrio martinica</v>
      </c>
      <c r="G2434" s="3" t="str">
        <f>VLOOKUP(B2434,[1]LifeList!$E$2:$I$2036,4)</f>
        <v>Gruiformes</v>
      </c>
      <c r="H2434" s="3" t="str">
        <f>VLOOKUP(B2434,[1]LifeList!$E$2:$I$2036,5)</f>
        <v>Rallidae (Rails, Gallinules, and Coots)</v>
      </c>
    </row>
    <row r="2435" spans="1:8" x14ac:dyDescent="0.15">
      <c r="A2435" s="3" t="s">
        <v>2341</v>
      </c>
      <c r="B2435" s="3" t="s">
        <v>4728</v>
      </c>
      <c r="C2435" s="3">
        <v>7766</v>
      </c>
      <c r="D2435" s="3" t="str">
        <f>VLOOKUP(B2435,[1]LifeList!$E$2:$G$2036,1)</f>
        <v>Purple Heron</v>
      </c>
      <c r="E2435" s="3" t="str">
        <f>VLOOKUP(B2435,[1]LifeList!$E$2:$G$2036,2)</f>
        <v>Héron pourpré</v>
      </c>
      <c r="F2435" s="3" t="str">
        <f>VLOOKUP(B2435,[1]LifeList!$E$2:$G$2036,3)</f>
        <v>Ardea purpurea</v>
      </c>
      <c r="G2435" s="3" t="str">
        <f>VLOOKUP(B2435,[1]LifeList!$E$2:$I$2036,4)</f>
        <v>Pelecaniformes</v>
      </c>
      <c r="H2435" s="3" t="str">
        <f>VLOOKUP(B2435,[1]LifeList!$E$2:$I$2036,5)</f>
        <v>Ardeidae (Herons, Egrets, and Bitterns)</v>
      </c>
    </row>
    <row r="2436" spans="1:8" x14ac:dyDescent="0.15">
      <c r="A2436" s="3" t="s">
        <v>2342</v>
      </c>
      <c r="B2436" s="3" t="s">
        <v>4729</v>
      </c>
      <c r="C2436" s="3">
        <v>35168</v>
      </c>
      <c r="D2436" s="3" t="str">
        <f>VLOOKUP(B2436,[1]LifeList!$E$2:$G$2036,1)</f>
        <v>Purple Honeycreeper</v>
      </c>
      <c r="E2436" s="3" t="str">
        <f>VLOOKUP(B2436,[1]LifeList!$E$2:$G$2036,2)</f>
        <v>Guit-guit céruléen</v>
      </c>
      <c r="F2436" s="3" t="str">
        <f>VLOOKUP(B2436,[1]LifeList!$E$2:$G$2036,3)</f>
        <v>Cyanerpes caeruleus</v>
      </c>
      <c r="G2436" s="3" t="str">
        <f>VLOOKUP(B2436,[1]LifeList!$E$2:$I$2036,4)</f>
        <v>Passeriformes</v>
      </c>
      <c r="H2436" s="3" t="str">
        <f>VLOOKUP(B2436,[1]LifeList!$E$2:$I$2036,5)</f>
        <v>Thraupidae (Tanagers and Allies)</v>
      </c>
    </row>
    <row r="2437" spans="1:8" x14ac:dyDescent="0.15">
      <c r="A2437" s="3" t="s">
        <v>2343</v>
      </c>
      <c r="B2437" s="3" t="s">
        <v>4730</v>
      </c>
      <c r="C2437" s="3">
        <v>24081</v>
      </c>
      <c r="D2437" s="3" t="str">
        <f>VLOOKUP(B2437,[1]LifeList!$E$2:$G$2036,1)</f>
        <v>Purple Martin</v>
      </c>
      <c r="E2437" s="3" t="str">
        <f>VLOOKUP(B2437,[1]LifeList!$E$2:$G$2036,2)</f>
        <v>Hirondelle noire</v>
      </c>
      <c r="F2437" s="3" t="str">
        <f>VLOOKUP(B2437,[1]LifeList!$E$2:$G$2036,3)</f>
        <v>Progne subis</v>
      </c>
      <c r="G2437" s="3" t="str">
        <f>VLOOKUP(B2437,[1]LifeList!$E$2:$I$2036,4)</f>
        <v>Passeriformes</v>
      </c>
      <c r="H2437" s="3" t="str">
        <f>VLOOKUP(B2437,[1]LifeList!$E$2:$I$2036,5)</f>
        <v>Hirundinidae (Swallows)</v>
      </c>
    </row>
    <row r="2438" spans="1:8" x14ac:dyDescent="0.15">
      <c r="A2438" s="3" t="s">
        <v>2317</v>
      </c>
      <c r="B2438" s="3" t="s">
        <v>4731</v>
      </c>
      <c r="C2438" s="3">
        <v>4516</v>
      </c>
      <c r="D2438" s="3" t="str">
        <f>VLOOKUP(B2438,[1]LifeList!$E$2:$G$2036,1)</f>
        <v>Purple-backed Thornbill</v>
      </c>
      <c r="E2438" s="3" t="str">
        <f>VLOOKUP(B2438,[1]LifeList!$E$2:$G$2036,2)</f>
        <v>Colibri à petit bec</v>
      </c>
      <c r="F2438" s="3" t="str">
        <f>VLOOKUP(B2438,[1]LifeList!$E$2:$G$2036,3)</f>
        <v>Ramphomicron microrhynchum</v>
      </c>
      <c r="G2438" s="3" t="str">
        <f>VLOOKUP(B2438,[1]LifeList!$E$2:$I$2036,4)</f>
        <v>Apodiformes</v>
      </c>
      <c r="H2438" s="3" t="str">
        <f>VLOOKUP(B2438,[1]LifeList!$E$2:$I$2036,5)</f>
        <v>Trochilidae (Hummingbirds)</v>
      </c>
    </row>
    <row r="2439" spans="1:8" x14ac:dyDescent="0.15">
      <c r="A2439" s="3" t="s">
        <v>2318</v>
      </c>
      <c r="B2439" s="3" t="s">
        <v>4732</v>
      </c>
      <c r="C2439" s="3">
        <v>4691</v>
      </c>
      <c r="D2439" s="3" t="str">
        <f>VLOOKUP(B2439,[1]LifeList!$E$2:$G$2036,1)</f>
        <v>Purple-bibbed Whitetip</v>
      </c>
      <c r="E2439" s="3" t="str">
        <f>VLOOKUP(B2439,[1]LifeList!$E$2:$G$2036,2)</f>
        <v>Colibri de Benjamin</v>
      </c>
      <c r="F2439" s="3" t="str">
        <f>VLOOKUP(B2439,[1]LifeList!$E$2:$G$2036,3)</f>
        <v>Urosticte benjamini</v>
      </c>
      <c r="G2439" s="3" t="str">
        <f>VLOOKUP(B2439,[1]LifeList!$E$2:$I$2036,4)</f>
        <v>Apodiformes</v>
      </c>
      <c r="H2439" s="3" t="str">
        <f>VLOOKUP(B2439,[1]LifeList!$E$2:$I$2036,5)</f>
        <v>Trochilidae (Hummingbirds)</v>
      </c>
    </row>
    <row r="2440" spans="1:8" x14ac:dyDescent="0.15">
      <c r="A2440" s="3" t="s">
        <v>2319</v>
      </c>
      <c r="B2440" s="3" t="s">
        <v>4733</v>
      </c>
      <c r="C2440" s="3">
        <v>4368</v>
      </c>
      <c r="D2440" s="3" t="str">
        <f>VLOOKUP(B2440,[1]LifeList!$E$2:$G$2036,1)</f>
        <v>Purple-crowned Fairy</v>
      </c>
      <c r="E2440" s="3" t="str">
        <f>VLOOKUP(B2440,[1]LifeList!$E$2:$G$2036,2)</f>
        <v>Colibri féérique</v>
      </c>
      <c r="F2440" s="3" t="str">
        <f>VLOOKUP(B2440,[1]LifeList!$E$2:$G$2036,3)</f>
        <v>Heliothryx barroti</v>
      </c>
      <c r="G2440" s="3" t="str">
        <f>VLOOKUP(B2440,[1]LifeList!$E$2:$I$2036,4)</f>
        <v>Apodiformes</v>
      </c>
      <c r="H2440" s="3" t="str">
        <f>VLOOKUP(B2440,[1]LifeList!$E$2:$I$2036,5)</f>
        <v>Trochilidae (Hummingbirds)</v>
      </c>
    </row>
    <row r="2441" spans="1:8" x14ac:dyDescent="0.15">
      <c r="A2441" s="3" t="s">
        <v>2320</v>
      </c>
      <c r="B2441" s="3" t="s">
        <v>4733</v>
      </c>
      <c r="C2441" s="3">
        <v>4368</v>
      </c>
      <c r="D2441" s="3" t="str">
        <f>VLOOKUP(B2441,[1]LifeList!$E$2:$G$2036,1)</f>
        <v>Purple-crowned Fairy</v>
      </c>
      <c r="E2441" s="3" t="str">
        <f>VLOOKUP(B2441,[1]LifeList!$E$2:$G$2036,2)</f>
        <v>Colibri féérique</v>
      </c>
      <c r="F2441" s="3" t="str">
        <f>VLOOKUP(B2441,[1]LifeList!$E$2:$G$2036,3)</f>
        <v>Heliothryx barroti</v>
      </c>
      <c r="G2441" s="3" t="str">
        <f>VLOOKUP(B2441,[1]LifeList!$E$2:$I$2036,4)</f>
        <v>Apodiformes</v>
      </c>
      <c r="H2441" s="3" t="str">
        <f>VLOOKUP(B2441,[1]LifeList!$E$2:$I$2036,5)</f>
        <v>Trochilidae (Hummingbirds)</v>
      </c>
    </row>
    <row r="2442" spans="1:8" x14ac:dyDescent="0.15">
      <c r="A2442" s="3" t="s">
        <v>2321</v>
      </c>
      <c r="B2442" s="3" t="s">
        <v>4733</v>
      </c>
      <c r="C2442" s="3">
        <v>4368</v>
      </c>
      <c r="D2442" s="3" t="str">
        <f>VLOOKUP(B2442,[1]LifeList!$E$2:$G$2036,1)</f>
        <v>Purple-crowned Fairy</v>
      </c>
      <c r="E2442" s="3" t="str">
        <f>VLOOKUP(B2442,[1]LifeList!$E$2:$G$2036,2)</f>
        <v>Colibri féérique</v>
      </c>
      <c r="F2442" s="3" t="str">
        <f>VLOOKUP(B2442,[1]LifeList!$E$2:$G$2036,3)</f>
        <v>Heliothryx barroti</v>
      </c>
      <c r="G2442" s="3" t="str">
        <f>VLOOKUP(B2442,[1]LifeList!$E$2:$I$2036,4)</f>
        <v>Apodiformes</v>
      </c>
      <c r="H2442" s="3" t="str">
        <f>VLOOKUP(B2442,[1]LifeList!$E$2:$I$2036,5)</f>
        <v>Trochilidae (Hummingbirds)</v>
      </c>
    </row>
    <row r="2443" spans="1:8" x14ac:dyDescent="0.15">
      <c r="A2443" s="3" t="s">
        <v>2322</v>
      </c>
      <c r="B2443" s="3" t="s">
        <v>4733</v>
      </c>
      <c r="C2443" s="3">
        <v>4368</v>
      </c>
      <c r="D2443" s="3" t="str">
        <f>VLOOKUP(B2443,[1]LifeList!$E$2:$G$2036,1)</f>
        <v>Purple-crowned Fairy</v>
      </c>
      <c r="E2443" s="3" t="str">
        <f>VLOOKUP(B2443,[1]LifeList!$E$2:$G$2036,2)</f>
        <v>Colibri féérique</v>
      </c>
      <c r="F2443" s="3" t="str">
        <f>VLOOKUP(B2443,[1]LifeList!$E$2:$G$2036,3)</f>
        <v>Heliothryx barroti</v>
      </c>
      <c r="G2443" s="3" t="str">
        <f>VLOOKUP(B2443,[1]LifeList!$E$2:$I$2036,4)</f>
        <v>Apodiformes</v>
      </c>
      <c r="H2443" s="3" t="str">
        <f>VLOOKUP(B2443,[1]LifeList!$E$2:$I$2036,5)</f>
        <v>Trochilidae (Hummingbirds)</v>
      </c>
    </row>
    <row r="2444" spans="1:8" x14ac:dyDescent="0.15">
      <c r="A2444" s="3" t="s">
        <v>2323</v>
      </c>
      <c r="B2444" s="3" t="s">
        <v>4734</v>
      </c>
      <c r="C2444" s="3">
        <v>15910</v>
      </c>
      <c r="D2444" s="3" t="str">
        <f>VLOOKUP(B2444,[1]LifeList!$E$2:$G$2036,1)</f>
        <v>Purple-throated Fruitcrow</v>
      </c>
      <c r="E2444" s="3" t="str">
        <f>VLOOKUP(B2444,[1]LifeList!$E$2:$G$2036,2)</f>
        <v>Coracine noire</v>
      </c>
      <c r="F2444" s="3" t="str">
        <f>VLOOKUP(B2444,[1]LifeList!$E$2:$G$2036,3)</f>
        <v>Querula purpurata</v>
      </c>
      <c r="G2444" s="3" t="str">
        <f>VLOOKUP(B2444,[1]LifeList!$E$2:$I$2036,4)</f>
        <v>Passeriformes</v>
      </c>
      <c r="H2444" s="3" t="str">
        <f>VLOOKUP(B2444,[1]LifeList!$E$2:$I$2036,5)</f>
        <v>Cotingidae (Cotingas)</v>
      </c>
    </row>
    <row r="2445" spans="1:8" x14ac:dyDescent="0.15">
      <c r="A2445" s="3" t="s">
        <v>2324</v>
      </c>
      <c r="B2445" s="3" t="s">
        <v>4734</v>
      </c>
      <c r="C2445" s="3">
        <v>15910</v>
      </c>
      <c r="D2445" s="3" t="str">
        <f>VLOOKUP(B2445,[1]LifeList!$E$2:$G$2036,1)</f>
        <v>Purple-throated Fruitcrow</v>
      </c>
      <c r="E2445" s="3" t="str">
        <f>VLOOKUP(B2445,[1]LifeList!$E$2:$G$2036,2)</f>
        <v>Coracine noire</v>
      </c>
      <c r="F2445" s="3" t="str">
        <f>VLOOKUP(B2445,[1]LifeList!$E$2:$G$2036,3)</f>
        <v>Querula purpurata</v>
      </c>
      <c r="G2445" s="3" t="str">
        <f>VLOOKUP(B2445,[1]LifeList!$E$2:$I$2036,4)</f>
        <v>Passeriformes</v>
      </c>
      <c r="H2445" s="3" t="str">
        <f>VLOOKUP(B2445,[1]LifeList!$E$2:$I$2036,5)</f>
        <v>Cotingidae (Cotingas)</v>
      </c>
    </row>
    <row r="2446" spans="1:8" x14ac:dyDescent="0.15">
      <c r="A2446" s="3" t="s">
        <v>2325</v>
      </c>
      <c r="B2446" s="3" t="s">
        <v>4735</v>
      </c>
      <c r="C2446" s="3">
        <v>4757</v>
      </c>
      <c r="D2446" s="3" t="str">
        <f>VLOOKUP(B2446,[1]LifeList!$E$2:$G$2036,1)</f>
        <v>Purple-throated Mountain-gem</v>
      </c>
      <c r="E2446" s="3" t="str">
        <f>VLOOKUP(B2446,[1]LifeList!$E$2:$G$2036,2)</f>
        <v>Colibri à gorge pourprée</v>
      </c>
      <c r="F2446" s="3" t="str">
        <f>VLOOKUP(B2446,[1]LifeList!$E$2:$G$2036,3)</f>
        <v>Lampornis calolaemus</v>
      </c>
      <c r="G2446" s="3" t="str">
        <f>VLOOKUP(B2446,[1]LifeList!$E$2:$I$2036,4)</f>
        <v>Apodiformes</v>
      </c>
      <c r="H2446" s="3" t="str">
        <f>VLOOKUP(B2446,[1]LifeList!$E$2:$I$2036,5)</f>
        <v>Trochilidae (Hummingbirds)</v>
      </c>
    </row>
    <row r="2447" spans="1:8" x14ac:dyDescent="0.15">
      <c r="A2447" s="3" t="s">
        <v>2326</v>
      </c>
      <c r="B2447" s="3" t="s">
        <v>4735</v>
      </c>
      <c r="C2447" s="3">
        <v>4757</v>
      </c>
      <c r="D2447" s="3" t="str">
        <f>VLOOKUP(B2447,[1]LifeList!$E$2:$G$2036,1)</f>
        <v>Purple-throated Mountain-gem</v>
      </c>
      <c r="E2447" s="3" t="str">
        <f>VLOOKUP(B2447,[1]LifeList!$E$2:$G$2036,2)</f>
        <v>Colibri à gorge pourprée</v>
      </c>
      <c r="F2447" s="3" t="str">
        <f>VLOOKUP(B2447,[1]LifeList!$E$2:$G$2036,3)</f>
        <v>Lampornis calolaemus</v>
      </c>
      <c r="G2447" s="3" t="str">
        <f>VLOOKUP(B2447,[1]LifeList!$E$2:$I$2036,4)</f>
        <v>Apodiformes</v>
      </c>
      <c r="H2447" s="3" t="str">
        <f>VLOOKUP(B2447,[1]LifeList!$E$2:$I$2036,5)</f>
        <v>Trochilidae (Hummingbirds)</v>
      </c>
    </row>
    <row r="2448" spans="1:8" x14ac:dyDescent="0.15">
      <c r="A2448" s="3" t="s">
        <v>2327</v>
      </c>
      <c r="B2448" s="3" t="s">
        <v>4736</v>
      </c>
      <c r="C2448" s="3">
        <v>4795</v>
      </c>
      <c r="D2448" s="3" t="str">
        <f>VLOOKUP(B2448,[1]LifeList!$E$2:$G$2036,1)</f>
        <v>Purple-throated Woodstar</v>
      </c>
      <c r="E2448" s="3" t="str">
        <f>VLOOKUP(B2448,[1]LifeList!$E$2:$G$2036,2)</f>
        <v>Colibri de Mitchell</v>
      </c>
      <c r="F2448" s="3" t="str">
        <f>VLOOKUP(B2448,[1]LifeList!$E$2:$G$2036,3)</f>
        <v>Philodice mitchellii</v>
      </c>
      <c r="G2448" s="3" t="str">
        <f>VLOOKUP(B2448,[1]LifeList!$E$2:$I$2036,4)</f>
        <v>Apodiformes</v>
      </c>
      <c r="H2448" s="3" t="str">
        <f>VLOOKUP(B2448,[1]LifeList!$E$2:$I$2036,5)</f>
        <v>Trochilidae (Hummingbirds)</v>
      </c>
    </row>
    <row r="2449" spans="1:8" x14ac:dyDescent="0.15">
      <c r="A2449" s="3" t="s">
        <v>2345</v>
      </c>
      <c r="B2449" s="3" t="s">
        <v>4737</v>
      </c>
      <c r="C2449" s="3">
        <v>11978</v>
      </c>
      <c r="D2449" s="3" t="str">
        <f>VLOOKUP(B2449,[1]LifeList!$E$2:$G$2036,1)</f>
        <v>Pygmy Falcon</v>
      </c>
      <c r="E2449" s="3" t="str">
        <f>VLOOKUP(B2449,[1]LifeList!$E$2:$G$2036,2)</f>
        <v>Fauconnet d'Afrique</v>
      </c>
      <c r="F2449" s="3" t="str">
        <f>VLOOKUP(B2449,[1]LifeList!$E$2:$G$2036,3)</f>
        <v>Polihierax semitorquatus</v>
      </c>
      <c r="G2449" s="3" t="str">
        <f>VLOOKUP(B2449,[1]LifeList!$E$2:$I$2036,4)</f>
        <v>Falconiformes</v>
      </c>
      <c r="H2449" s="3" t="str">
        <f>VLOOKUP(B2449,[1]LifeList!$E$2:$I$2036,5)</f>
        <v>Falconidae (Falcons and Caracaras)</v>
      </c>
    </row>
    <row r="2450" spans="1:8" x14ac:dyDescent="0.15">
      <c r="A2450" s="3" t="s">
        <v>2346</v>
      </c>
      <c r="B2450" s="3" t="s">
        <v>4737</v>
      </c>
      <c r="C2450" s="3">
        <v>11978</v>
      </c>
      <c r="D2450" s="3" t="str">
        <f>VLOOKUP(B2450,[1]LifeList!$E$2:$G$2036,1)</f>
        <v>Pygmy Falcon</v>
      </c>
      <c r="E2450" s="3" t="str">
        <f>VLOOKUP(B2450,[1]LifeList!$E$2:$G$2036,2)</f>
        <v>Fauconnet d'Afrique</v>
      </c>
      <c r="F2450" s="3" t="str">
        <f>VLOOKUP(B2450,[1]LifeList!$E$2:$G$2036,3)</f>
        <v>Polihierax semitorquatus</v>
      </c>
      <c r="G2450" s="3" t="str">
        <f>VLOOKUP(B2450,[1]LifeList!$E$2:$I$2036,4)</f>
        <v>Falconiformes</v>
      </c>
      <c r="H2450" s="3" t="str">
        <f>VLOOKUP(B2450,[1]LifeList!$E$2:$I$2036,5)</f>
        <v>Falconidae (Falcons and Caracaras)</v>
      </c>
    </row>
    <row r="2451" spans="1:8" x14ac:dyDescent="0.15">
      <c r="A2451" s="3" t="s">
        <v>2347</v>
      </c>
      <c r="B2451" s="3" t="s">
        <v>4738</v>
      </c>
      <c r="C2451" s="3">
        <v>12680</v>
      </c>
      <c r="D2451" s="3" t="str">
        <f>VLOOKUP(B2451,[1]LifeList!$E$2:$G$2036,1)</f>
        <v>Rainbow Lorikeet</v>
      </c>
      <c r="E2451" s="3" t="str">
        <f>VLOOKUP(B2451,[1]LifeList!$E$2:$G$2036,2)</f>
        <v>Loriquet arc-en-ciel</v>
      </c>
      <c r="F2451" s="3" t="str">
        <f>VLOOKUP(B2451,[1]LifeList!$E$2:$G$2036,3)</f>
        <v>Trichoglossus moluccanus</v>
      </c>
      <c r="G2451" s="3" t="str">
        <f>VLOOKUP(B2451,[1]LifeList!$E$2:$I$2036,4)</f>
        <v>Psittaciformes</v>
      </c>
      <c r="H2451" s="3" t="str">
        <f>VLOOKUP(B2451,[1]LifeList!$E$2:$I$2036,5)</f>
        <v>Psittaculidae (Old World Parrots)</v>
      </c>
    </row>
    <row r="2452" spans="1:8" x14ac:dyDescent="0.15">
      <c r="A2452" s="3" t="s">
        <v>2348</v>
      </c>
      <c r="B2452" s="3" t="s">
        <v>4738</v>
      </c>
      <c r="C2452" s="3">
        <v>12680</v>
      </c>
      <c r="D2452" s="3" t="str">
        <f>VLOOKUP(B2452,[1]LifeList!$E$2:$G$2036,1)</f>
        <v>Rainbow Lorikeet</v>
      </c>
      <c r="E2452" s="3" t="str">
        <f>VLOOKUP(B2452,[1]LifeList!$E$2:$G$2036,2)</f>
        <v>Loriquet arc-en-ciel</v>
      </c>
      <c r="F2452" s="3" t="str">
        <f>VLOOKUP(B2452,[1]LifeList!$E$2:$G$2036,3)</f>
        <v>Trichoglossus moluccanus</v>
      </c>
      <c r="G2452" s="3" t="str">
        <f>VLOOKUP(B2452,[1]LifeList!$E$2:$I$2036,4)</f>
        <v>Psittaciformes</v>
      </c>
      <c r="H2452" s="3" t="str">
        <f>VLOOKUP(B2452,[1]LifeList!$E$2:$I$2036,5)</f>
        <v>Psittaculidae (Old World Parrots)</v>
      </c>
    </row>
    <row r="2453" spans="1:8" x14ac:dyDescent="0.15">
      <c r="A2453" s="3" t="s">
        <v>2349</v>
      </c>
      <c r="B2453" s="3" t="s">
        <v>4738</v>
      </c>
      <c r="C2453" s="3">
        <v>12680</v>
      </c>
      <c r="D2453" s="3" t="str">
        <f>VLOOKUP(B2453,[1]LifeList!$E$2:$G$2036,1)</f>
        <v>Rainbow Lorikeet</v>
      </c>
      <c r="E2453" s="3" t="str">
        <f>VLOOKUP(B2453,[1]LifeList!$E$2:$G$2036,2)</f>
        <v>Loriquet arc-en-ciel</v>
      </c>
      <c r="F2453" s="3" t="str">
        <f>VLOOKUP(B2453,[1]LifeList!$E$2:$G$2036,3)</f>
        <v>Trichoglossus moluccanus</v>
      </c>
      <c r="G2453" s="3" t="str">
        <f>VLOOKUP(B2453,[1]LifeList!$E$2:$I$2036,4)</f>
        <v>Psittaciformes</v>
      </c>
      <c r="H2453" s="3" t="str">
        <f>VLOOKUP(B2453,[1]LifeList!$E$2:$I$2036,5)</f>
        <v>Psittaculidae (Old World Parrots)</v>
      </c>
    </row>
    <row r="2454" spans="1:8" x14ac:dyDescent="0.15">
      <c r="A2454" s="3" t="s">
        <v>2494</v>
      </c>
      <c r="B2454" s="3" t="s">
        <v>4739</v>
      </c>
      <c r="C2454" s="3">
        <v>30929</v>
      </c>
      <c r="D2454" s="3" t="str">
        <f>VLOOKUP(B2454,[1]LifeList!$E$2:$G$2036,1)</f>
        <v>Red Fody</v>
      </c>
      <c r="E2454" s="3" t="str">
        <f>VLOOKUP(B2454,[1]LifeList!$E$2:$G$2036,2)</f>
        <v>Foudi rouge</v>
      </c>
      <c r="F2454" s="3" t="str">
        <f>VLOOKUP(B2454,[1]LifeList!$E$2:$G$2036,3)</f>
        <v>Foudia madagascariensis</v>
      </c>
      <c r="G2454" s="3" t="str">
        <f>VLOOKUP(B2454,[1]LifeList!$E$2:$I$2036,4)</f>
        <v>Passeriformes</v>
      </c>
      <c r="H2454" s="3" t="str">
        <f>VLOOKUP(B2454,[1]LifeList!$E$2:$I$2036,5)</f>
        <v>Ploceidae (Weavers and Allies)</v>
      </c>
    </row>
    <row r="2455" spans="1:8" x14ac:dyDescent="0.15">
      <c r="A2455" s="3" t="s">
        <v>2495</v>
      </c>
      <c r="B2455" s="3" t="s">
        <v>4739</v>
      </c>
      <c r="C2455" s="3">
        <v>30929</v>
      </c>
      <c r="D2455" s="3" t="str">
        <f>VLOOKUP(B2455,[1]LifeList!$E$2:$G$2036,1)</f>
        <v>Red Fody</v>
      </c>
      <c r="E2455" s="3" t="str">
        <f>VLOOKUP(B2455,[1]LifeList!$E$2:$G$2036,2)</f>
        <v>Foudi rouge</v>
      </c>
      <c r="F2455" s="3" t="str">
        <f>VLOOKUP(B2455,[1]LifeList!$E$2:$G$2036,3)</f>
        <v>Foudia madagascariensis</v>
      </c>
      <c r="G2455" s="3" t="str">
        <f>VLOOKUP(B2455,[1]LifeList!$E$2:$I$2036,4)</f>
        <v>Passeriformes</v>
      </c>
      <c r="H2455" s="3" t="str">
        <f>VLOOKUP(B2455,[1]LifeList!$E$2:$I$2036,5)</f>
        <v>Ploceidae (Weavers and Allies)</v>
      </c>
    </row>
    <row r="2456" spans="1:8" x14ac:dyDescent="0.15">
      <c r="A2456" s="3" t="s">
        <v>2496</v>
      </c>
      <c r="B2456" s="3" t="s">
        <v>4739</v>
      </c>
      <c r="C2456" s="3">
        <v>30929</v>
      </c>
      <c r="D2456" s="3" t="str">
        <f>VLOOKUP(B2456,[1]LifeList!$E$2:$G$2036,1)</f>
        <v>Red Fody</v>
      </c>
      <c r="E2456" s="3" t="str">
        <f>VLOOKUP(B2456,[1]LifeList!$E$2:$G$2036,2)</f>
        <v>Foudi rouge</v>
      </c>
      <c r="F2456" s="3" t="str">
        <f>VLOOKUP(B2456,[1]LifeList!$E$2:$G$2036,3)</f>
        <v>Foudia madagascariensis</v>
      </c>
      <c r="G2456" s="3" t="str">
        <f>VLOOKUP(B2456,[1]LifeList!$E$2:$I$2036,4)</f>
        <v>Passeriformes</v>
      </c>
      <c r="H2456" s="3" t="str">
        <f>VLOOKUP(B2456,[1]LifeList!$E$2:$I$2036,5)</f>
        <v>Ploceidae (Weavers and Allies)</v>
      </c>
    </row>
    <row r="2457" spans="1:8" x14ac:dyDescent="0.15">
      <c r="A2457" s="3" t="s">
        <v>2497</v>
      </c>
      <c r="B2457" s="3" t="s">
        <v>4739</v>
      </c>
      <c r="C2457" s="3">
        <v>30929</v>
      </c>
      <c r="D2457" s="3" t="str">
        <f>VLOOKUP(B2457,[1]LifeList!$E$2:$G$2036,1)</f>
        <v>Red Fody</v>
      </c>
      <c r="E2457" s="3" t="str">
        <f>VLOOKUP(B2457,[1]LifeList!$E$2:$G$2036,2)</f>
        <v>Foudi rouge</v>
      </c>
      <c r="F2457" s="3" t="str">
        <f>VLOOKUP(B2457,[1]LifeList!$E$2:$G$2036,3)</f>
        <v>Foudia madagascariensis</v>
      </c>
      <c r="G2457" s="3" t="str">
        <f>VLOOKUP(B2457,[1]LifeList!$E$2:$I$2036,4)</f>
        <v>Passeriformes</v>
      </c>
      <c r="H2457" s="3" t="str">
        <f>VLOOKUP(B2457,[1]LifeList!$E$2:$I$2036,5)</f>
        <v>Ploceidae (Weavers and Allies)</v>
      </c>
    </row>
    <row r="2458" spans="1:8" x14ac:dyDescent="0.15">
      <c r="A2458" s="3" t="s">
        <v>2498</v>
      </c>
      <c r="B2458" s="3" t="s">
        <v>4739</v>
      </c>
      <c r="C2458" s="3">
        <v>30929</v>
      </c>
      <c r="D2458" s="3" t="str">
        <f>VLOOKUP(B2458,[1]LifeList!$E$2:$G$2036,1)</f>
        <v>Red Fody</v>
      </c>
      <c r="E2458" s="3" t="str">
        <f>VLOOKUP(B2458,[1]LifeList!$E$2:$G$2036,2)</f>
        <v>Foudi rouge</v>
      </c>
      <c r="F2458" s="3" t="str">
        <f>VLOOKUP(B2458,[1]LifeList!$E$2:$G$2036,3)</f>
        <v>Foudia madagascariensis</v>
      </c>
      <c r="G2458" s="3" t="str">
        <f>VLOOKUP(B2458,[1]LifeList!$E$2:$I$2036,4)</f>
        <v>Passeriformes</v>
      </c>
      <c r="H2458" s="3" t="str">
        <f>VLOOKUP(B2458,[1]LifeList!$E$2:$I$2036,5)</f>
        <v>Ploceidae (Weavers and Allies)</v>
      </c>
    </row>
    <row r="2459" spans="1:8" x14ac:dyDescent="0.15">
      <c r="A2459" s="3" t="s">
        <v>2499</v>
      </c>
      <c r="B2459" s="3" t="s">
        <v>4739</v>
      </c>
      <c r="C2459" s="3">
        <v>30929</v>
      </c>
      <c r="D2459" s="3" t="str">
        <f>VLOOKUP(B2459,[1]LifeList!$E$2:$G$2036,1)</f>
        <v>Red Fody</v>
      </c>
      <c r="E2459" s="3" t="str">
        <f>VLOOKUP(B2459,[1]LifeList!$E$2:$G$2036,2)</f>
        <v>Foudi rouge</v>
      </c>
      <c r="F2459" s="3" t="str">
        <f>VLOOKUP(B2459,[1]LifeList!$E$2:$G$2036,3)</f>
        <v>Foudia madagascariensis</v>
      </c>
      <c r="G2459" s="3" t="str">
        <f>VLOOKUP(B2459,[1]LifeList!$E$2:$I$2036,4)</f>
        <v>Passeriformes</v>
      </c>
      <c r="H2459" s="3" t="str">
        <f>VLOOKUP(B2459,[1]LifeList!$E$2:$I$2036,5)</f>
        <v>Ploceidae (Weavers and Allies)</v>
      </c>
    </row>
    <row r="2460" spans="1:8" x14ac:dyDescent="0.15">
      <c r="A2460" s="3" t="s">
        <v>2500</v>
      </c>
      <c r="B2460" s="3" t="s">
        <v>4739</v>
      </c>
      <c r="C2460" s="3">
        <v>30929</v>
      </c>
      <c r="D2460" s="3" t="str">
        <f>VLOOKUP(B2460,[1]LifeList!$E$2:$G$2036,1)</f>
        <v>Red Fody</v>
      </c>
      <c r="E2460" s="3" t="str">
        <f>VLOOKUP(B2460,[1]LifeList!$E$2:$G$2036,2)</f>
        <v>Foudi rouge</v>
      </c>
      <c r="F2460" s="3" t="str">
        <f>VLOOKUP(B2460,[1]LifeList!$E$2:$G$2036,3)</f>
        <v>Foudia madagascariensis</v>
      </c>
      <c r="G2460" s="3" t="str">
        <f>VLOOKUP(B2460,[1]LifeList!$E$2:$I$2036,4)</f>
        <v>Passeriformes</v>
      </c>
      <c r="H2460" s="3" t="str">
        <f>VLOOKUP(B2460,[1]LifeList!$E$2:$I$2036,5)</f>
        <v>Ploceidae (Weavers and Allies)</v>
      </c>
    </row>
    <row r="2461" spans="1:8" x14ac:dyDescent="0.15">
      <c r="A2461" s="3" t="s">
        <v>2501</v>
      </c>
      <c r="B2461" s="3" t="s">
        <v>4739</v>
      </c>
      <c r="C2461" s="3">
        <v>30929</v>
      </c>
      <c r="D2461" s="3" t="str">
        <f>VLOOKUP(B2461,[1]LifeList!$E$2:$G$2036,1)</f>
        <v>Red Fody</v>
      </c>
      <c r="E2461" s="3" t="str">
        <f>VLOOKUP(B2461,[1]LifeList!$E$2:$G$2036,2)</f>
        <v>Foudi rouge</v>
      </c>
      <c r="F2461" s="3" t="str">
        <f>VLOOKUP(B2461,[1]LifeList!$E$2:$G$2036,3)</f>
        <v>Foudia madagascariensis</v>
      </c>
      <c r="G2461" s="3" t="str">
        <f>VLOOKUP(B2461,[1]LifeList!$E$2:$I$2036,4)</f>
        <v>Passeriformes</v>
      </c>
      <c r="H2461" s="3" t="str">
        <f>VLOOKUP(B2461,[1]LifeList!$E$2:$I$2036,5)</f>
        <v>Ploceidae (Weavers and Allies)</v>
      </c>
    </row>
    <row r="2462" spans="1:8" x14ac:dyDescent="0.15">
      <c r="A2462" s="3" t="s">
        <v>2502</v>
      </c>
      <c r="B2462" s="3" t="s">
        <v>4739</v>
      </c>
      <c r="C2462" s="3">
        <v>30929</v>
      </c>
      <c r="D2462" s="3" t="str">
        <f>VLOOKUP(B2462,[1]LifeList!$E$2:$G$2036,1)</f>
        <v>Red Fody</v>
      </c>
      <c r="E2462" s="3" t="str">
        <f>VLOOKUP(B2462,[1]LifeList!$E$2:$G$2036,2)</f>
        <v>Foudi rouge</v>
      </c>
      <c r="F2462" s="3" t="str">
        <f>VLOOKUP(B2462,[1]LifeList!$E$2:$G$2036,3)</f>
        <v>Foudia madagascariensis</v>
      </c>
      <c r="G2462" s="3" t="str">
        <f>VLOOKUP(B2462,[1]LifeList!$E$2:$I$2036,4)</f>
        <v>Passeriformes</v>
      </c>
      <c r="H2462" s="3" t="str">
        <f>VLOOKUP(B2462,[1]LifeList!$E$2:$I$2036,5)</f>
        <v>Ploceidae (Weavers and Allies)</v>
      </c>
    </row>
    <row r="2463" spans="1:8" x14ac:dyDescent="0.15">
      <c r="A2463" s="3" t="s">
        <v>2504</v>
      </c>
      <c r="B2463" s="3" t="s">
        <v>4740</v>
      </c>
      <c r="C2463" s="3">
        <v>17865</v>
      </c>
      <c r="D2463" s="3" t="str">
        <f>VLOOKUP(B2463,[1]LifeList!$E$2:$G$2036,1)</f>
        <v>Red Wattlebird</v>
      </c>
      <c r="E2463" s="3" t="str">
        <f>VLOOKUP(B2463,[1]LifeList!$E$2:$G$2036,2)</f>
        <v>Méliphage barbe-rouge</v>
      </c>
      <c r="F2463" s="3" t="str">
        <f>VLOOKUP(B2463,[1]LifeList!$E$2:$G$2036,3)</f>
        <v>Anthochaera carunculata</v>
      </c>
      <c r="G2463" s="3" t="str">
        <f>VLOOKUP(B2463,[1]LifeList!$E$2:$I$2036,4)</f>
        <v>Passeriformes</v>
      </c>
      <c r="H2463" s="3" t="str">
        <f>VLOOKUP(B2463,[1]LifeList!$E$2:$I$2036,5)</f>
        <v>Meliphagidae (Honeyeaters)</v>
      </c>
    </row>
    <row r="2464" spans="1:8" x14ac:dyDescent="0.15">
      <c r="A2464" s="3" t="s">
        <v>2505</v>
      </c>
      <c r="B2464" s="3" t="s">
        <v>4740</v>
      </c>
      <c r="C2464" s="3">
        <v>17865</v>
      </c>
      <c r="D2464" s="3" t="str">
        <f>VLOOKUP(B2464,[1]LifeList!$E$2:$G$2036,1)</f>
        <v>Red Wattlebird</v>
      </c>
      <c r="E2464" s="3" t="str">
        <f>VLOOKUP(B2464,[1]LifeList!$E$2:$G$2036,2)</f>
        <v>Méliphage barbe-rouge</v>
      </c>
      <c r="F2464" s="3" t="str">
        <f>VLOOKUP(B2464,[1]LifeList!$E$2:$G$2036,3)</f>
        <v>Anthochaera carunculata</v>
      </c>
      <c r="G2464" s="3" t="str">
        <f>VLOOKUP(B2464,[1]LifeList!$E$2:$I$2036,4)</f>
        <v>Passeriformes</v>
      </c>
      <c r="H2464" s="3" t="str">
        <f>VLOOKUP(B2464,[1]LifeList!$E$2:$I$2036,5)</f>
        <v>Meliphagidae (Honeyeaters)</v>
      </c>
    </row>
    <row r="2465" spans="1:8" x14ac:dyDescent="0.15">
      <c r="A2465" s="3" t="s">
        <v>2503</v>
      </c>
      <c r="B2465" s="3" t="s">
        <v>4740</v>
      </c>
      <c r="C2465" s="3">
        <v>17865</v>
      </c>
      <c r="D2465" s="3" t="str">
        <f>VLOOKUP(B2465,[1]LifeList!$E$2:$G$2036,1)</f>
        <v>Red Wattlebird</v>
      </c>
      <c r="E2465" s="3" t="str">
        <f>VLOOKUP(B2465,[1]LifeList!$E$2:$G$2036,2)</f>
        <v>Méliphage barbe-rouge</v>
      </c>
      <c r="F2465" s="3" t="str">
        <f>VLOOKUP(B2465,[1]LifeList!$E$2:$G$2036,3)</f>
        <v>Anthochaera carunculata</v>
      </c>
      <c r="G2465" s="3" t="str">
        <f>VLOOKUP(B2465,[1]LifeList!$E$2:$I$2036,4)</f>
        <v>Passeriformes</v>
      </c>
      <c r="H2465" s="3" t="str">
        <f>VLOOKUP(B2465,[1]LifeList!$E$2:$I$2036,5)</f>
        <v>Meliphagidae (Honeyeaters)</v>
      </c>
    </row>
    <row r="2466" spans="1:8" x14ac:dyDescent="0.15">
      <c r="A2466" s="3" t="s">
        <v>2350</v>
      </c>
      <c r="B2466" s="3" t="s">
        <v>4741</v>
      </c>
      <c r="C2466" s="3">
        <v>10538</v>
      </c>
      <c r="D2466" s="3" t="str">
        <f>VLOOKUP(B2466,[1]LifeList!$E$2:$G$2036,1)</f>
        <v>Red-and-yellow Barbet</v>
      </c>
      <c r="E2466" s="3" t="str">
        <f>VLOOKUP(B2466,[1]LifeList!$E$2:$G$2036,2)</f>
        <v>Barbican à tête rouge</v>
      </c>
      <c r="F2466" s="3" t="str">
        <f>VLOOKUP(B2466,[1]LifeList!$E$2:$G$2036,3)</f>
        <v>Trachyphonus erythrocephalus</v>
      </c>
      <c r="G2466" s="3" t="str">
        <f>VLOOKUP(B2466,[1]LifeList!$E$2:$I$2036,4)</f>
        <v>Piciformes</v>
      </c>
      <c r="H2466" s="3" t="str">
        <f>VLOOKUP(B2466,[1]LifeList!$E$2:$I$2036,5)</f>
        <v>Lybiidae (African Barbets)</v>
      </c>
    </row>
    <row r="2467" spans="1:8" x14ac:dyDescent="0.15">
      <c r="A2467" s="3" t="s">
        <v>2351</v>
      </c>
      <c r="B2467" s="3" t="s">
        <v>4741</v>
      </c>
      <c r="C2467" s="3">
        <v>10538</v>
      </c>
      <c r="D2467" s="3" t="str">
        <f>VLOOKUP(B2467,[1]LifeList!$E$2:$G$2036,1)</f>
        <v>Red-and-yellow Barbet</v>
      </c>
      <c r="E2467" s="3" t="str">
        <f>VLOOKUP(B2467,[1]LifeList!$E$2:$G$2036,2)</f>
        <v>Barbican à tête rouge</v>
      </c>
      <c r="F2467" s="3" t="str">
        <f>VLOOKUP(B2467,[1]LifeList!$E$2:$G$2036,3)</f>
        <v>Trachyphonus erythrocephalus</v>
      </c>
      <c r="G2467" s="3" t="str">
        <f>VLOOKUP(B2467,[1]LifeList!$E$2:$I$2036,4)</f>
        <v>Piciformes</v>
      </c>
      <c r="H2467" s="3" t="str">
        <f>VLOOKUP(B2467,[1]LifeList!$E$2:$I$2036,5)</f>
        <v>Lybiidae (African Barbets)</v>
      </c>
    </row>
    <row r="2468" spans="1:8" x14ac:dyDescent="0.15">
      <c r="A2468" s="3" t="s">
        <v>2352</v>
      </c>
      <c r="B2468" s="3" t="s">
        <v>4742</v>
      </c>
      <c r="C2468" s="3">
        <v>11199</v>
      </c>
      <c r="D2468" s="3" t="str">
        <f>VLOOKUP(B2468,[1]LifeList!$E$2:$G$2036,1)</f>
        <v>Red-bellied Woodpecker</v>
      </c>
      <c r="E2468" s="3" t="str">
        <f>VLOOKUP(B2468,[1]LifeList!$E$2:$G$2036,2)</f>
        <v>Pic à ventre roux</v>
      </c>
      <c r="F2468" s="3" t="str">
        <f>VLOOKUP(B2468,[1]LifeList!$E$2:$G$2036,3)</f>
        <v>Melanerpes carolinus</v>
      </c>
      <c r="G2468" s="3" t="str">
        <f>VLOOKUP(B2468,[1]LifeList!$E$2:$I$2036,4)</f>
        <v>Piciformes</v>
      </c>
      <c r="H2468" s="3" t="str">
        <f>VLOOKUP(B2468,[1]LifeList!$E$2:$I$2036,5)</f>
        <v>Picidae (Woodpeckers)</v>
      </c>
    </row>
    <row r="2469" spans="1:8" x14ac:dyDescent="0.15">
      <c r="A2469" s="3" t="s">
        <v>2353</v>
      </c>
      <c r="B2469" s="3" t="s">
        <v>4742</v>
      </c>
      <c r="C2469" s="3">
        <v>11199</v>
      </c>
      <c r="D2469" s="3" t="str">
        <f>VLOOKUP(B2469,[1]LifeList!$E$2:$G$2036,1)</f>
        <v>Red-bellied Woodpecker</v>
      </c>
      <c r="E2469" s="3" t="str">
        <f>VLOOKUP(B2469,[1]LifeList!$E$2:$G$2036,2)</f>
        <v>Pic à ventre roux</v>
      </c>
      <c r="F2469" s="3" t="str">
        <f>VLOOKUP(B2469,[1]LifeList!$E$2:$G$2036,3)</f>
        <v>Melanerpes carolinus</v>
      </c>
      <c r="G2469" s="3" t="str">
        <f>VLOOKUP(B2469,[1]LifeList!$E$2:$I$2036,4)</f>
        <v>Piciformes</v>
      </c>
      <c r="H2469" s="3" t="str">
        <f>VLOOKUP(B2469,[1]LifeList!$E$2:$I$2036,5)</f>
        <v>Picidae (Woodpeckers)</v>
      </c>
    </row>
    <row r="2470" spans="1:8" x14ac:dyDescent="0.15">
      <c r="A2470" s="3" t="s">
        <v>2354</v>
      </c>
      <c r="B2470" s="3" t="s">
        <v>4742</v>
      </c>
      <c r="C2470" s="3">
        <v>11199</v>
      </c>
      <c r="D2470" s="3" t="str">
        <f>VLOOKUP(B2470,[1]LifeList!$E$2:$G$2036,1)</f>
        <v>Red-bellied Woodpecker</v>
      </c>
      <c r="E2470" s="3" t="str">
        <f>VLOOKUP(B2470,[1]LifeList!$E$2:$G$2036,2)</f>
        <v>Pic à ventre roux</v>
      </c>
      <c r="F2470" s="3" t="str">
        <f>VLOOKUP(B2470,[1]LifeList!$E$2:$G$2036,3)</f>
        <v>Melanerpes carolinus</v>
      </c>
      <c r="G2470" s="3" t="str">
        <f>VLOOKUP(B2470,[1]LifeList!$E$2:$I$2036,4)</f>
        <v>Piciformes</v>
      </c>
      <c r="H2470" s="3" t="str">
        <f>VLOOKUP(B2470,[1]LifeList!$E$2:$I$2036,5)</f>
        <v>Picidae (Woodpeckers)</v>
      </c>
    </row>
    <row r="2471" spans="1:8" x14ac:dyDescent="0.15">
      <c r="A2471" s="3" t="s">
        <v>2355</v>
      </c>
      <c r="B2471" s="3" t="s">
        <v>4742</v>
      </c>
      <c r="C2471" s="3">
        <v>11199</v>
      </c>
      <c r="D2471" s="3" t="str">
        <f>VLOOKUP(B2471,[1]LifeList!$E$2:$G$2036,1)</f>
        <v>Red-bellied Woodpecker</v>
      </c>
      <c r="E2471" s="3" t="str">
        <f>VLOOKUP(B2471,[1]LifeList!$E$2:$G$2036,2)</f>
        <v>Pic à ventre roux</v>
      </c>
      <c r="F2471" s="3" t="str">
        <f>VLOOKUP(B2471,[1]LifeList!$E$2:$G$2036,3)</f>
        <v>Melanerpes carolinus</v>
      </c>
      <c r="G2471" s="3" t="str">
        <f>VLOOKUP(B2471,[1]LifeList!$E$2:$I$2036,4)</f>
        <v>Piciformes</v>
      </c>
      <c r="H2471" s="3" t="str">
        <f>VLOOKUP(B2471,[1]LifeList!$E$2:$I$2036,5)</f>
        <v>Picidae (Woodpeckers)</v>
      </c>
    </row>
    <row r="2472" spans="1:8" x14ac:dyDescent="0.15">
      <c r="A2472" s="3" t="s">
        <v>2356</v>
      </c>
      <c r="B2472" s="3" t="s">
        <v>4742</v>
      </c>
      <c r="C2472" s="3">
        <v>11199</v>
      </c>
      <c r="D2472" s="3" t="str">
        <f>VLOOKUP(B2472,[1]LifeList!$E$2:$G$2036,1)</f>
        <v>Red-bellied Woodpecker</v>
      </c>
      <c r="E2472" s="3" t="str">
        <f>VLOOKUP(B2472,[1]LifeList!$E$2:$G$2036,2)</f>
        <v>Pic à ventre roux</v>
      </c>
      <c r="F2472" s="3" t="str">
        <f>VLOOKUP(B2472,[1]LifeList!$E$2:$G$2036,3)</f>
        <v>Melanerpes carolinus</v>
      </c>
      <c r="G2472" s="3" t="str">
        <f>VLOOKUP(B2472,[1]LifeList!$E$2:$I$2036,4)</f>
        <v>Piciformes</v>
      </c>
      <c r="H2472" s="3" t="str">
        <f>VLOOKUP(B2472,[1]LifeList!$E$2:$I$2036,5)</f>
        <v>Picidae (Woodpeckers)</v>
      </c>
    </row>
    <row r="2473" spans="1:8" x14ac:dyDescent="0.15">
      <c r="A2473" s="3" t="s">
        <v>2357</v>
      </c>
      <c r="B2473" s="3" t="s">
        <v>4742</v>
      </c>
      <c r="C2473" s="3">
        <v>11199</v>
      </c>
      <c r="D2473" s="3" t="str">
        <f>VLOOKUP(B2473,[1]LifeList!$E$2:$G$2036,1)</f>
        <v>Red-bellied Woodpecker</v>
      </c>
      <c r="E2473" s="3" t="str">
        <f>VLOOKUP(B2473,[1]LifeList!$E$2:$G$2036,2)</f>
        <v>Pic à ventre roux</v>
      </c>
      <c r="F2473" s="3" t="str">
        <f>VLOOKUP(B2473,[1]LifeList!$E$2:$G$2036,3)</f>
        <v>Melanerpes carolinus</v>
      </c>
      <c r="G2473" s="3" t="str">
        <f>VLOOKUP(B2473,[1]LifeList!$E$2:$I$2036,4)</f>
        <v>Piciformes</v>
      </c>
      <c r="H2473" s="3" t="str">
        <f>VLOOKUP(B2473,[1]LifeList!$E$2:$I$2036,5)</f>
        <v>Picidae (Woodpeckers)</v>
      </c>
    </row>
    <row r="2474" spans="1:8" x14ac:dyDescent="0.15">
      <c r="A2474" s="3" t="s">
        <v>2358</v>
      </c>
      <c r="B2474" s="3" t="s">
        <v>4742</v>
      </c>
      <c r="C2474" s="3">
        <v>11199</v>
      </c>
      <c r="D2474" s="3" t="str">
        <f>VLOOKUP(B2474,[1]LifeList!$E$2:$G$2036,1)</f>
        <v>Red-bellied Woodpecker</v>
      </c>
      <c r="E2474" s="3" t="str">
        <f>VLOOKUP(B2474,[1]LifeList!$E$2:$G$2036,2)</f>
        <v>Pic à ventre roux</v>
      </c>
      <c r="F2474" s="3" t="str">
        <f>VLOOKUP(B2474,[1]LifeList!$E$2:$G$2036,3)</f>
        <v>Melanerpes carolinus</v>
      </c>
      <c r="G2474" s="3" t="str">
        <f>VLOOKUP(B2474,[1]LifeList!$E$2:$I$2036,4)</f>
        <v>Piciformes</v>
      </c>
      <c r="H2474" s="3" t="str">
        <f>VLOOKUP(B2474,[1]LifeList!$E$2:$I$2036,5)</f>
        <v>Picidae (Woodpeckers)</v>
      </c>
    </row>
    <row r="2475" spans="1:8" x14ac:dyDescent="0.15">
      <c r="A2475" s="3" t="s">
        <v>2359</v>
      </c>
      <c r="B2475" s="3" t="s">
        <v>4742</v>
      </c>
      <c r="C2475" s="3">
        <v>11199</v>
      </c>
      <c r="D2475" s="3" t="str">
        <f>VLOOKUP(B2475,[1]LifeList!$E$2:$G$2036,1)</f>
        <v>Red-bellied Woodpecker</v>
      </c>
      <c r="E2475" s="3" t="str">
        <f>VLOOKUP(B2475,[1]LifeList!$E$2:$G$2036,2)</f>
        <v>Pic à ventre roux</v>
      </c>
      <c r="F2475" s="3" t="str">
        <f>VLOOKUP(B2475,[1]LifeList!$E$2:$G$2036,3)</f>
        <v>Melanerpes carolinus</v>
      </c>
      <c r="G2475" s="3" t="str">
        <f>VLOOKUP(B2475,[1]LifeList!$E$2:$I$2036,4)</f>
        <v>Piciformes</v>
      </c>
      <c r="H2475" s="3" t="str">
        <f>VLOOKUP(B2475,[1]LifeList!$E$2:$I$2036,5)</f>
        <v>Picidae (Woodpeckers)</v>
      </c>
    </row>
    <row r="2476" spans="1:8" x14ac:dyDescent="0.15">
      <c r="A2476" s="3" t="s">
        <v>2360</v>
      </c>
      <c r="B2476" s="3" t="s">
        <v>4743</v>
      </c>
      <c r="C2476" s="3">
        <v>30706</v>
      </c>
      <c r="D2476" s="3" t="str">
        <f>VLOOKUP(B2476,[1]LifeList!$E$2:$G$2036,1)</f>
        <v>Red-billed Buffalo-Weaver</v>
      </c>
      <c r="E2476" s="3" t="str">
        <f>VLOOKUP(B2476,[1]LifeList!$E$2:$G$2036,2)</f>
        <v>Alecto à bec rouge</v>
      </c>
      <c r="F2476" s="3" t="str">
        <f>VLOOKUP(B2476,[1]LifeList!$E$2:$G$2036,3)</f>
        <v>Bubalornis niger</v>
      </c>
      <c r="G2476" s="3" t="str">
        <f>VLOOKUP(B2476,[1]LifeList!$E$2:$I$2036,4)</f>
        <v>Passeriformes</v>
      </c>
      <c r="H2476" s="3" t="str">
        <f>VLOOKUP(B2476,[1]LifeList!$E$2:$I$2036,5)</f>
        <v>Ploceidae (Weavers and Allies)</v>
      </c>
    </row>
    <row r="2477" spans="1:8" x14ac:dyDescent="0.15">
      <c r="A2477" s="3" t="s">
        <v>2361</v>
      </c>
      <c r="B2477" s="3" t="s">
        <v>4743</v>
      </c>
      <c r="C2477" s="3">
        <v>30706</v>
      </c>
      <c r="D2477" s="3" t="str">
        <f>VLOOKUP(B2477,[1]LifeList!$E$2:$G$2036,1)</f>
        <v>Red-billed Buffalo-Weaver</v>
      </c>
      <c r="E2477" s="3" t="str">
        <f>VLOOKUP(B2477,[1]LifeList!$E$2:$G$2036,2)</f>
        <v>Alecto à bec rouge</v>
      </c>
      <c r="F2477" s="3" t="str">
        <f>VLOOKUP(B2477,[1]LifeList!$E$2:$G$2036,3)</f>
        <v>Bubalornis niger</v>
      </c>
      <c r="G2477" s="3" t="str">
        <f>VLOOKUP(B2477,[1]LifeList!$E$2:$I$2036,4)</f>
        <v>Passeriformes</v>
      </c>
      <c r="H2477" s="3" t="str">
        <f>VLOOKUP(B2477,[1]LifeList!$E$2:$I$2036,5)</f>
        <v>Ploceidae (Weavers and Allies)</v>
      </c>
    </row>
    <row r="2478" spans="1:8" x14ac:dyDescent="0.15">
      <c r="A2478" s="3" t="s">
        <v>2362</v>
      </c>
      <c r="B2478" s="3" t="s">
        <v>4744</v>
      </c>
      <c r="C2478" s="3">
        <v>591</v>
      </c>
      <c r="D2478" s="3" t="str">
        <f>VLOOKUP(B2478,[1]LifeList!$E$2:$G$2036,1)</f>
        <v>Red-billed Duck</v>
      </c>
      <c r="E2478" s="3" t="str">
        <f>VLOOKUP(B2478,[1]LifeList!$E$2:$G$2036,2)</f>
        <v>Canard à bec rouge</v>
      </c>
      <c r="F2478" s="3" t="str">
        <f>VLOOKUP(B2478,[1]LifeList!$E$2:$G$2036,3)</f>
        <v>Anas erythrorhyncha</v>
      </c>
      <c r="G2478" s="3" t="str">
        <f>VLOOKUP(B2478,[1]LifeList!$E$2:$I$2036,4)</f>
        <v>Anseriformes</v>
      </c>
      <c r="H2478" s="3" t="str">
        <f>VLOOKUP(B2478,[1]LifeList!$E$2:$I$2036,5)</f>
        <v>Anatidae (Ducks, Geese, and Waterfowl)</v>
      </c>
    </row>
    <row r="2479" spans="1:8" x14ac:dyDescent="0.15">
      <c r="A2479" s="3" t="s">
        <v>2363</v>
      </c>
      <c r="B2479" s="3" t="s">
        <v>4745</v>
      </c>
      <c r="C2479" s="3">
        <v>4896</v>
      </c>
      <c r="D2479" s="3" t="str">
        <f>VLOOKUP(B2479,[1]LifeList!$E$2:$G$2036,1)</f>
        <v>Red-billed Emerald</v>
      </c>
      <c r="E2479" s="3" t="str">
        <f>VLOOKUP(B2479,[1]LifeList!$E$2:$G$2036,2)</f>
        <v>Émeraude de Gibson</v>
      </c>
      <c r="F2479" s="3" t="str">
        <f>VLOOKUP(B2479,[1]LifeList!$E$2:$G$2036,3)</f>
        <v>Chlorostilbon gibsoni</v>
      </c>
      <c r="G2479" s="3" t="str">
        <f>VLOOKUP(B2479,[1]LifeList!$E$2:$I$2036,4)</f>
        <v>Apodiformes</v>
      </c>
      <c r="H2479" s="3" t="str">
        <f>VLOOKUP(B2479,[1]LifeList!$E$2:$I$2036,5)</f>
        <v>Trochilidae (Hummingbirds)</v>
      </c>
    </row>
    <row r="2480" spans="1:8" x14ac:dyDescent="0.15">
      <c r="A2480" s="3" t="s">
        <v>2364</v>
      </c>
      <c r="B2480" s="3" t="s">
        <v>4746</v>
      </c>
      <c r="C2480" s="3">
        <v>26565</v>
      </c>
      <c r="D2480" s="3" t="str">
        <f>VLOOKUP(B2480,[1]LifeList!$E$2:$G$2036,1)</f>
        <v>Red-billed Leiothrix</v>
      </c>
      <c r="E2480" s="3" t="str">
        <f>VLOOKUP(B2480,[1]LifeList!$E$2:$G$2036,2)</f>
        <v>Léiothrix jaune</v>
      </c>
      <c r="F2480" s="3" t="str">
        <f>VLOOKUP(B2480,[1]LifeList!$E$2:$G$2036,3)</f>
        <v>Leiothrix lutea</v>
      </c>
      <c r="G2480" s="3" t="str">
        <f>VLOOKUP(B2480,[1]LifeList!$E$2:$I$2036,4)</f>
        <v>Passeriformes</v>
      </c>
      <c r="H2480" s="3" t="str">
        <f>VLOOKUP(B2480,[1]LifeList!$E$2:$I$2036,5)</f>
        <v>Leiothrichidae (Laughingthrushes and Allies)</v>
      </c>
    </row>
    <row r="2481" spans="1:8" x14ac:dyDescent="0.15">
      <c r="A2481" s="3" t="s">
        <v>2365</v>
      </c>
      <c r="B2481" s="3" t="s">
        <v>4747</v>
      </c>
      <c r="C2481" s="3">
        <v>12874</v>
      </c>
      <c r="D2481" s="3" t="str">
        <f>VLOOKUP(B2481,[1]LifeList!$E$2:$G$2036,1)</f>
        <v>Red-billed Parrot</v>
      </c>
      <c r="E2481" s="3" t="str">
        <f>VLOOKUP(B2481,[1]LifeList!$E$2:$G$2036,2)</f>
        <v>Pione à bec rouge</v>
      </c>
      <c r="F2481" s="3" t="str">
        <f>VLOOKUP(B2481,[1]LifeList!$E$2:$G$2036,3)</f>
        <v>Pionus sordidus</v>
      </c>
      <c r="G2481" s="3" t="str">
        <f>VLOOKUP(B2481,[1]LifeList!$E$2:$I$2036,4)</f>
        <v>Psittaciformes</v>
      </c>
      <c r="H2481" s="3" t="str">
        <f>VLOOKUP(B2481,[1]LifeList!$E$2:$I$2036,5)</f>
        <v>Psittacidae (New World and African Parrots)</v>
      </c>
    </row>
    <row r="2482" spans="1:8" x14ac:dyDescent="0.15">
      <c r="A2482" s="3" t="s">
        <v>2366</v>
      </c>
      <c r="B2482" s="3" t="s">
        <v>4747</v>
      </c>
      <c r="C2482" s="3">
        <v>12874</v>
      </c>
      <c r="D2482" s="3" t="str">
        <f>VLOOKUP(B2482,[1]LifeList!$E$2:$G$2036,1)</f>
        <v>Red-billed Parrot</v>
      </c>
      <c r="E2482" s="3" t="str">
        <f>VLOOKUP(B2482,[1]LifeList!$E$2:$G$2036,2)</f>
        <v>Pione à bec rouge</v>
      </c>
      <c r="F2482" s="3" t="str">
        <f>VLOOKUP(B2482,[1]LifeList!$E$2:$G$2036,3)</f>
        <v>Pionus sordidus</v>
      </c>
      <c r="G2482" s="3" t="str">
        <f>VLOOKUP(B2482,[1]LifeList!$E$2:$I$2036,4)</f>
        <v>Psittaciformes</v>
      </c>
      <c r="H2482" s="3" t="str">
        <f>VLOOKUP(B2482,[1]LifeList!$E$2:$I$2036,5)</f>
        <v>Psittacidae (New World and African Parrots)</v>
      </c>
    </row>
    <row r="2483" spans="1:8" x14ac:dyDescent="0.15">
      <c r="A2483" s="3" t="s">
        <v>2367</v>
      </c>
      <c r="B2483" s="3" t="s">
        <v>4748</v>
      </c>
      <c r="C2483" s="3">
        <v>1957</v>
      </c>
      <c r="D2483" s="3" t="str">
        <f>VLOOKUP(B2483,[1]LifeList!$E$2:$G$2036,1)</f>
        <v>Red-billed Pigeon</v>
      </c>
      <c r="E2483" s="3" t="str">
        <f>VLOOKUP(B2483,[1]LifeList!$E$2:$G$2036,2)</f>
        <v>Pigeon à bec rouge</v>
      </c>
      <c r="F2483" s="3" t="str">
        <f>VLOOKUP(B2483,[1]LifeList!$E$2:$G$2036,3)</f>
        <v>Patagioenas flavirostris</v>
      </c>
      <c r="G2483" s="3" t="str">
        <f>VLOOKUP(B2483,[1]LifeList!$E$2:$I$2036,4)</f>
        <v>Columbiformes</v>
      </c>
      <c r="H2483" s="3" t="str">
        <f>VLOOKUP(B2483,[1]LifeList!$E$2:$I$2036,5)</f>
        <v>Columbidae (Pigeons and Doves)</v>
      </c>
    </row>
    <row r="2484" spans="1:8" x14ac:dyDescent="0.15">
      <c r="A2484" s="3" t="s">
        <v>2368</v>
      </c>
      <c r="B2484" s="3" t="s">
        <v>4749</v>
      </c>
      <c r="C2484" s="3">
        <v>1822</v>
      </c>
      <c r="D2484" s="3" t="str">
        <f>VLOOKUP(B2484,[1]LifeList!$E$2:$G$2036,1)</f>
        <v>Red-billed Spurfowl</v>
      </c>
      <c r="E2484" s="3" t="str">
        <f>VLOOKUP(B2484,[1]LifeList!$E$2:$G$2036,2)</f>
        <v>Francolin à bec rouge</v>
      </c>
      <c r="F2484" s="3" t="str">
        <f>VLOOKUP(B2484,[1]LifeList!$E$2:$G$2036,3)</f>
        <v>Pternistis adspersus</v>
      </c>
      <c r="G2484" s="3" t="str">
        <f>VLOOKUP(B2484,[1]LifeList!$E$2:$I$2036,4)</f>
        <v>Galliformes</v>
      </c>
      <c r="H2484" s="3" t="str">
        <f>VLOOKUP(B2484,[1]LifeList!$E$2:$I$2036,5)</f>
        <v>Phasianidae (Pheasants, Grouse, and Allies)</v>
      </c>
    </row>
    <row r="2485" spans="1:8" x14ac:dyDescent="0.15">
      <c r="A2485" s="3" t="s">
        <v>2369</v>
      </c>
      <c r="B2485" s="3" t="s">
        <v>4750</v>
      </c>
      <c r="C2485" s="3">
        <v>6915</v>
      </c>
      <c r="D2485" s="3" t="str">
        <f>VLOOKUP(B2485,[1]LifeList!$E$2:$G$2036,1)</f>
        <v>Red-billed Tropicbird</v>
      </c>
      <c r="E2485" s="3" t="str">
        <f>VLOOKUP(B2485,[1]LifeList!$E$2:$G$2036,2)</f>
        <v>Phaéton à bec rouge</v>
      </c>
      <c r="F2485" s="3" t="str">
        <f>VLOOKUP(B2485,[1]LifeList!$E$2:$G$2036,3)</f>
        <v>Phaethon aethereus</v>
      </c>
      <c r="G2485" s="3" t="str">
        <f>VLOOKUP(B2485,[1]LifeList!$E$2:$I$2036,4)</f>
        <v>Phaethontiformes</v>
      </c>
      <c r="H2485" s="3" t="str">
        <f>VLOOKUP(B2485,[1]LifeList!$E$2:$I$2036,5)</f>
        <v>Phaethontidae (Tropicbirds)</v>
      </c>
    </row>
    <row r="2486" spans="1:8" x14ac:dyDescent="0.15">
      <c r="A2486" s="3" t="s">
        <v>2370</v>
      </c>
      <c r="B2486" s="3" t="s">
        <v>4750</v>
      </c>
      <c r="C2486" s="3">
        <v>6915</v>
      </c>
      <c r="D2486" s="3" t="str">
        <f>VLOOKUP(B2486,[1]LifeList!$E$2:$G$2036,1)</f>
        <v>Red-billed Tropicbird</v>
      </c>
      <c r="E2486" s="3" t="str">
        <f>VLOOKUP(B2486,[1]LifeList!$E$2:$G$2036,2)</f>
        <v>Phaéton à bec rouge</v>
      </c>
      <c r="F2486" s="3" t="str">
        <f>VLOOKUP(B2486,[1]LifeList!$E$2:$G$2036,3)</f>
        <v>Phaethon aethereus</v>
      </c>
      <c r="G2486" s="3" t="str">
        <f>VLOOKUP(B2486,[1]LifeList!$E$2:$I$2036,4)</f>
        <v>Phaethontiformes</v>
      </c>
      <c r="H2486" s="3" t="str">
        <f>VLOOKUP(B2486,[1]LifeList!$E$2:$I$2036,5)</f>
        <v>Phaethontidae (Tropicbirds)</v>
      </c>
    </row>
    <row r="2487" spans="1:8" x14ac:dyDescent="0.15">
      <c r="A2487" s="3" t="s">
        <v>2371</v>
      </c>
      <c r="B2487" s="3" t="s">
        <v>4751</v>
      </c>
      <c r="C2487" s="3">
        <v>3074</v>
      </c>
      <c r="D2487" s="3" t="str">
        <f>VLOOKUP(B2487,[1]LifeList!$E$2:$G$2036,1)</f>
        <v>Red-breasted Coua</v>
      </c>
      <c r="E2487" s="3" t="str">
        <f>VLOOKUP(B2487,[1]LifeList!$E$2:$G$2036,2)</f>
        <v>Coua de Serrès</v>
      </c>
      <c r="F2487" s="3" t="str">
        <f>VLOOKUP(B2487,[1]LifeList!$E$2:$G$2036,3)</f>
        <v>Coua serriana</v>
      </c>
      <c r="G2487" s="3" t="str">
        <f>VLOOKUP(B2487,[1]LifeList!$E$2:$I$2036,4)</f>
        <v>Cuculiformes</v>
      </c>
      <c r="H2487" s="3" t="str">
        <f>VLOOKUP(B2487,[1]LifeList!$E$2:$I$2036,5)</f>
        <v>Cuculidae (Cuckoos)</v>
      </c>
    </row>
    <row r="2488" spans="1:8" x14ac:dyDescent="0.15">
      <c r="A2488" s="3" t="s">
        <v>2372</v>
      </c>
      <c r="B2488" s="3" t="s">
        <v>4752</v>
      </c>
      <c r="C2488" s="3">
        <v>33594</v>
      </c>
      <c r="D2488" s="3" t="str">
        <f>VLOOKUP(B2488,[1]LifeList!$E$2:$G$2036,1)</f>
        <v>Red-breasted Meadowlark</v>
      </c>
      <c r="E2488" s="3" t="str">
        <f>VLOOKUP(B2488,[1]LifeList!$E$2:$G$2036,2)</f>
        <v>Sturnelle militaire</v>
      </c>
      <c r="F2488" s="3" t="str">
        <f>VLOOKUP(B2488,[1]LifeList!$E$2:$G$2036,3)</f>
        <v>Leistes militaris</v>
      </c>
      <c r="G2488" s="3" t="str">
        <f>VLOOKUP(B2488,[1]LifeList!$E$2:$I$2036,4)</f>
        <v>Passeriformes</v>
      </c>
      <c r="H2488" s="3" t="str">
        <f>VLOOKUP(B2488,[1]LifeList!$E$2:$I$2036,5)</f>
        <v>Icteridae (Troupials and Allies)</v>
      </c>
    </row>
    <row r="2489" spans="1:8" x14ac:dyDescent="0.15">
      <c r="A2489" s="3" t="s">
        <v>2373</v>
      </c>
      <c r="B2489" s="3" t="s">
        <v>4753</v>
      </c>
      <c r="C2489" s="3">
        <v>770</v>
      </c>
      <c r="D2489" s="3" t="str">
        <f>VLOOKUP(B2489,[1]LifeList!$E$2:$G$2036,1)</f>
        <v>Red-breasted Merganser</v>
      </c>
      <c r="E2489" s="3" t="str">
        <f>VLOOKUP(B2489,[1]LifeList!$E$2:$G$2036,2)</f>
        <v>Harle huppé</v>
      </c>
      <c r="F2489" s="3" t="str">
        <f>VLOOKUP(B2489,[1]LifeList!$E$2:$G$2036,3)</f>
        <v>Mergus serrator</v>
      </c>
      <c r="G2489" s="3" t="str">
        <f>VLOOKUP(B2489,[1]LifeList!$E$2:$I$2036,4)</f>
        <v>Anseriformes</v>
      </c>
      <c r="H2489" s="3" t="str">
        <f>VLOOKUP(B2489,[1]LifeList!$E$2:$I$2036,5)</f>
        <v>Anatidae (Ducks, Geese, and Waterfowl)</v>
      </c>
    </row>
    <row r="2490" spans="1:8" x14ac:dyDescent="0.15">
      <c r="A2490" s="3" t="s">
        <v>2374</v>
      </c>
      <c r="B2490" s="3" t="s">
        <v>4753</v>
      </c>
      <c r="C2490" s="3">
        <v>770</v>
      </c>
      <c r="D2490" s="3" t="str">
        <f>VLOOKUP(B2490,[1]LifeList!$E$2:$G$2036,1)</f>
        <v>Red-breasted Merganser</v>
      </c>
      <c r="E2490" s="3" t="str">
        <f>VLOOKUP(B2490,[1]LifeList!$E$2:$G$2036,2)</f>
        <v>Harle huppé</v>
      </c>
      <c r="F2490" s="3" t="str">
        <f>VLOOKUP(B2490,[1]LifeList!$E$2:$G$2036,3)</f>
        <v>Mergus serrator</v>
      </c>
      <c r="G2490" s="3" t="str">
        <f>VLOOKUP(B2490,[1]LifeList!$E$2:$I$2036,4)</f>
        <v>Anseriformes</v>
      </c>
      <c r="H2490" s="3" t="str">
        <f>VLOOKUP(B2490,[1]LifeList!$E$2:$I$2036,5)</f>
        <v>Anatidae (Ducks, Geese, and Waterfowl)</v>
      </c>
    </row>
    <row r="2491" spans="1:8" x14ac:dyDescent="0.15">
      <c r="A2491" s="3" t="s">
        <v>2375</v>
      </c>
      <c r="B2491" s="3" t="s">
        <v>4753</v>
      </c>
      <c r="C2491" s="3">
        <v>770</v>
      </c>
      <c r="D2491" s="3" t="str">
        <f>VLOOKUP(B2491,[1]LifeList!$E$2:$G$2036,1)</f>
        <v>Red-breasted Merganser</v>
      </c>
      <c r="E2491" s="3" t="str">
        <f>VLOOKUP(B2491,[1]LifeList!$E$2:$G$2036,2)</f>
        <v>Harle huppé</v>
      </c>
      <c r="F2491" s="3" t="str">
        <f>VLOOKUP(B2491,[1]LifeList!$E$2:$G$2036,3)</f>
        <v>Mergus serrator</v>
      </c>
      <c r="G2491" s="3" t="str">
        <f>VLOOKUP(B2491,[1]LifeList!$E$2:$I$2036,4)</f>
        <v>Anseriformes</v>
      </c>
      <c r="H2491" s="3" t="str">
        <f>VLOOKUP(B2491,[1]LifeList!$E$2:$I$2036,5)</f>
        <v>Anatidae (Ducks, Geese, and Waterfowl)</v>
      </c>
    </row>
    <row r="2492" spans="1:8" x14ac:dyDescent="0.15">
      <c r="A2492" s="3" t="s">
        <v>2376</v>
      </c>
      <c r="B2492" s="3" t="s">
        <v>4753</v>
      </c>
      <c r="C2492" s="3">
        <v>770</v>
      </c>
      <c r="D2492" s="3" t="str">
        <f>VLOOKUP(B2492,[1]LifeList!$E$2:$G$2036,1)</f>
        <v>Red-breasted Merganser</v>
      </c>
      <c r="E2492" s="3" t="str">
        <f>VLOOKUP(B2492,[1]LifeList!$E$2:$G$2036,2)</f>
        <v>Harle huppé</v>
      </c>
      <c r="F2492" s="3" t="str">
        <f>VLOOKUP(B2492,[1]LifeList!$E$2:$G$2036,3)</f>
        <v>Mergus serrator</v>
      </c>
      <c r="G2492" s="3" t="str">
        <f>VLOOKUP(B2492,[1]LifeList!$E$2:$I$2036,4)</f>
        <v>Anseriformes</v>
      </c>
      <c r="H2492" s="3" t="str">
        <f>VLOOKUP(B2492,[1]LifeList!$E$2:$I$2036,5)</f>
        <v>Anatidae (Ducks, Geese, and Waterfowl)</v>
      </c>
    </row>
    <row r="2493" spans="1:8" x14ac:dyDescent="0.15">
      <c r="A2493" s="3" t="s">
        <v>2377</v>
      </c>
      <c r="B2493" s="3" t="s">
        <v>4753</v>
      </c>
      <c r="C2493" s="3">
        <v>770</v>
      </c>
      <c r="D2493" s="3" t="str">
        <f>VLOOKUP(B2493,[1]LifeList!$E$2:$G$2036,1)</f>
        <v>Red-breasted Merganser</v>
      </c>
      <c r="E2493" s="3" t="str">
        <f>VLOOKUP(B2493,[1]LifeList!$E$2:$G$2036,2)</f>
        <v>Harle huppé</v>
      </c>
      <c r="F2493" s="3" t="str">
        <f>VLOOKUP(B2493,[1]LifeList!$E$2:$G$2036,3)</f>
        <v>Mergus serrator</v>
      </c>
      <c r="G2493" s="3" t="str">
        <f>VLOOKUP(B2493,[1]LifeList!$E$2:$I$2036,4)</f>
        <v>Anseriformes</v>
      </c>
      <c r="H2493" s="3" t="str">
        <f>VLOOKUP(B2493,[1]LifeList!$E$2:$I$2036,5)</f>
        <v>Anatidae (Ducks, Geese, and Waterfowl)</v>
      </c>
    </row>
    <row r="2494" spans="1:8" x14ac:dyDescent="0.15">
      <c r="A2494" s="3" t="s">
        <v>2378</v>
      </c>
      <c r="B2494" s="3" t="s">
        <v>4753</v>
      </c>
      <c r="C2494" s="3">
        <v>770</v>
      </c>
      <c r="D2494" s="3" t="str">
        <f>VLOOKUP(B2494,[1]LifeList!$E$2:$G$2036,1)</f>
        <v>Red-breasted Merganser</v>
      </c>
      <c r="E2494" s="3" t="str">
        <f>VLOOKUP(B2494,[1]LifeList!$E$2:$G$2036,2)</f>
        <v>Harle huppé</v>
      </c>
      <c r="F2494" s="3" t="str">
        <f>VLOOKUP(B2494,[1]LifeList!$E$2:$G$2036,3)</f>
        <v>Mergus serrator</v>
      </c>
      <c r="G2494" s="3" t="str">
        <f>VLOOKUP(B2494,[1]LifeList!$E$2:$I$2036,4)</f>
        <v>Anseriformes</v>
      </c>
      <c r="H2494" s="3" t="str">
        <f>VLOOKUP(B2494,[1]LifeList!$E$2:$I$2036,5)</f>
        <v>Anatidae (Ducks, Geese, and Waterfowl)</v>
      </c>
    </row>
    <row r="2495" spans="1:8" x14ac:dyDescent="0.15">
      <c r="A2495" s="3" t="s">
        <v>2383</v>
      </c>
      <c r="B2495" s="3" t="s">
        <v>4753</v>
      </c>
      <c r="C2495" s="3">
        <v>770</v>
      </c>
      <c r="D2495" s="3" t="str">
        <f>VLOOKUP(B2495,[1]LifeList!$E$2:$G$2036,1)</f>
        <v>Red-breasted Merganser</v>
      </c>
      <c r="E2495" s="3" t="str">
        <f>VLOOKUP(B2495,[1]LifeList!$E$2:$G$2036,2)</f>
        <v>Harle huppé</v>
      </c>
      <c r="F2495" s="3" t="str">
        <f>VLOOKUP(B2495,[1]LifeList!$E$2:$G$2036,3)</f>
        <v>Mergus serrator</v>
      </c>
      <c r="G2495" s="3" t="str">
        <f>VLOOKUP(B2495,[1]LifeList!$E$2:$I$2036,4)</f>
        <v>Anseriformes</v>
      </c>
      <c r="H2495" s="3" t="str">
        <f>VLOOKUP(B2495,[1]LifeList!$E$2:$I$2036,5)</f>
        <v>Anatidae (Ducks, Geese, and Waterfowl)</v>
      </c>
    </row>
    <row r="2496" spans="1:8" x14ac:dyDescent="0.15">
      <c r="A2496" s="3" t="s">
        <v>2379</v>
      </c>
      <c r="B2496" s="3" t="s">
        <v>4754</v>
      </c>
      <c r="C2496" s="3">
        <v>26937</v>
      </c>
      <c r="D2496" s="3" t="str">
        <f>VLOOKUP(B2496,[1]LifeList!$E$2:$G$2036,1)</f>
        <v>Red-breasted Nuthatch</v>
      </c>
      <c r="E2496" s="3" t="str">
        <f>VLOOKUP(B2496,[1]LifeList!$E$2:$G$2036,2)</f>
        <v>Sittelle à poitrine rousse</v>
      </c>
      <c r="F2496" s="3" t="str">
        <f>VLOOKUP(B2496,[1]LifeList!$E$2:$G$2036,3)</f>
        <v>Sitta canadensis</v>
      </c>
      <c r="G2496" s="3" t="str">
        <f>VLOOKUP(B2496,[1]LifeList!$E$2:$I$2036,4)</f>
        <v>Passeriformes</v>
      </c>
      <c r="H2496" s="3" t="str">
        <f>VLOOKUP(B2496,[1]LifeList!$E$2:$I$2036,5)</f>
        <v>Sittidae (Nuthatches)</v>
      </c>
    </row>
    <row r="2497" spans="1:8" x14ac:dyDescent="0.15">
      <c r="A2497" s="3" t="s">
        <v>2380</v>
      </c>
      <c r="B2497" s="3" t="s">
        <v>4754</v>
      </c>
      <c r="C2497" s="3">
        <v>26937</v>
      </c>
      <c r="D2497" s="3" t="str">
        <f>VLOOKUP(B2497,[1]LifeList!$E$2:$G$2036,1)</f>
        <v>Red-breasted Nuthatch</v>
      </c>
      <c r="E2497" s="3" t="str">
        <f>VLOOKUP(B2497,[1]LifeList!$E$2:$G$2036,2)</f>
        <v>Sittelle à poitrine rousse</v>
      </c>
      <c r="F2497" s="3" t="str">
        <f>VLOOKUP(B2497,[1]LifeList!$E$2:$G$2036,3)</f>
        <v>Sitta canadensis</v>
      </c>
      <c r="G2497" s="3" t="str">
        <f>VLOOKUP(B2497,[1]LifeList!$E$2:$I$2036,4)</f>
        <v>Passeriformes</v>
      </c>
      <c r="H2497" s="3" t="str">
        <f>VLOOKUP(B2497,[1]LifeList!$E$2:$I$2036,5)</f>
        <v>Sittidae (Nuthatches)</v>
      </c>
    </row>
    <row r="2498" spans="1:8" x14ac:dyDescent="0.15">
      <c r="A2498" s="3" t="s">
        <v>2381</v>
      </c>
      <c r="B2498" s="3" t="s">
        <v>4754</v>
      </c>
      <c r="C2498" s="3">
        <v>26937</v>
      </c>
      <c r="D2498" s="3" t="str">
        <f>VLOOKUP(B2498,[1]LifeList!$E$2:$G$2036,1)</f>
        <v>Red-breasted Nuthatch</v>
      </c>
      <c r="E2498" s="3" t="str">
        <f>VLOOKUP(B2498,[1]LifeList!$E$2:$G$2036,2)</f>
        <v>Sittelle à poitrine rousse</v>
      </c>
      <c r="F2498" s="3" t="str">
        <f>VLOOKUP(B2498,[1]LifeList!$E$2:$G$2036,3)</f>
        <v>Sitta canadensis</v>
      </c>
      <c r="G2498" s="3" t="str">
        <f>VLOOKUP(B2498,[1]LifeList!$E$2:$I$2036,4)</f>
        <v>Passeriformes</v>
      </c>
      <c r="H2498" s="3" t="str">
        <f>VLOOKUP(B2498,[1]LifeList!$E$2:$I$2036,5)</f>
        <v>Sittidae (Nuthatches)</v>
      </c>
    </row>
    <row r="2499" spans="1:8" x14ac:dyDescent="0.15">
      <c r="A2499" s="3" t="s">
        <v>2382</v>
      </c>
      <c r="B2499" s="3" t="s">
        <v>4754</v>
      </c>
      <c r="C2499" s="3">
        <v>26937</v>
      </c>
      <c r="D2499" s="3" t="str">
        <f>VLOOKUP(B2499,[1]LifeList!$E$2:$G$2036,1)</f>
        <v>Red-breasted Nuthatch</v>
      </c>
      <c r="E2499" s="3" t="str">
        <f>VLOOKUP(B2499,[1]LifeList!$E$2:$G$2036,2)</f>
        <v>Sittelle à poitrine rousse</v>
      </c>
      <c r="F2499" s="3" t="str">
        <f>VLOOKUP(B2499,[1]LifeList!$E$2:$G$2036,3)</f>
        <v>Sitta canadensis</v>
      </c>
      <c r="G2499" s="3" t="str">
        <f>VLOOKUP(B2499,[1]LifeList!$E$2:$I$2036,4)</f>
        <v>Passeriformes</v>
      </c>
      <c r="H2499" s="3" t="str">
        <f>VLOOKUP(B2499,[1]LifeList!$E$2:$I$2036,5)</f>
        <v>Sittidae (Nuthatches)</v>
      </c>
    </row>
    <row r="2500" spans="1:8" x14ac:dyDescent="0.15">
      <c r="A2500" s="3" t="s">
        <v>2384</v>
      </c>
      <c r="B2500" s="3" t="s">
        <v>4755</v>
      </c>
      <c r="C2500" s="3">
        <v>31023</v>
      </c>
      <c r="D2500" s="3" t="str">
        <f>VLOOKUP(B2500,[1]LifeList!$E$2:$G$2036,1)</f>
        <v>Red-browed Firetail</v>
      </c>
      <c r="E2500" s="3" t="str">
        <f>VLOOKUP(B2500,[1]LifeList!$E$2:$G$2036,2)</f>
        <v>Diamant à cinq couleurs</v>
      </c>
      <c r="F2500" s="3" t="str">
        <f>VLOOKUP(B2500,[1]LifeList!$E$2:$G$2036,3)</f>
        <v>Neochmia temporalis</v>
      </c>
      <c r="G2500" s="3" t="str">
        <f>VLOOKUP(B2500,[1]LifeList!$E$2:$I$2036,4)</f>
        <v>Passeriformes</v>
      </c>
      <c r="H2500" s="3" t="str">
        <f>VLOOKUP(B2500,[1]LifeList!$E$2:$I$2036,5)</f>
        <v>Estrildidae (Waxbills and Allies)</v>
      </c>
    </row>
    <row r="2501" spans="1:8" x14ac:dyDescent="0.15">
      <c r="A2501" s="3" t="s">
        <v>2385</v>
      </c>
      <c r="B2501" s="3" t="s">
        <v>4755</v>
      </c>
      <c r="C2501" s="3">
        <v>31023</v>
      </c>
      <c r="D2501" s="3" t="str">
        <f>VLOOKUP(B2501,[1]LifeList!$E$2:$G$2036,1)</f>
        <v>Red-browed Firetail</v>
      </c>
      <c r="E2501" s="3" t="str">
        <f>VLOOKUP(B2501,[1]LifeList!$E$2:$G$2036,2)</f>
        <v>Diamant à cinq couleurs</v>
      </c>
      <c r="F2501" s="3" t="str">
        <f>VLOOKUP(B2501,[1]LifeList!$E$2:$G$2036,3)</f>
        <v>Neochmia temporalis</v>
      </c>
      <c r="G2501" s="3" t="str">
        <f>VLOOKUP(B2501,[1]LifeList!$E$2:$I$2036,4)</f>
        <v>Passeriformes</v>
      </c>
      <c r="H2501" s="3" t="str">
        <f>VLOOKUP(B2501,[1]LifeList!$E$2:$I$2036,5)</f>
        <v>Estrildidae (Waxbills and Allies)</v>
      </c>
    </row>
    <row r="2502" spans="1:8" x14ac:dyDescent="0.15">
      <c r="A2502" s="3" t="s">
        <v>2386</v>
      </c>
      <c r="B2502" s="3" t="s">
        <v>4756</v>
      </c>
      <c r="C2502" s="3">
        <v>22775</v>
      </c>
      <c r="D2502" s="3" t="str">
        <f>VLOOKUP(B2502,[1]LifeList!$E$2:$G$2036,1)</f>
        <v>Red-capped Lark</v>
      </c>
      <c r="E2502" s="3" t="str">
        <f>VLOOKUP(B2502,[1]LifeList!$E$2:$G$2036,2)</f>
        <v>Alouette cendrille</v>
      </c>
      <c r="F2502" s="3" t="str">
        <f>VLOOKUP(B2502,[1]LifeList!$E$2:$G$2036,3)</f>
        <v>Calandrella cinerea</v>
      </c>
      <c r="G2502" s="3" t="str">
        <f>VLOOKUP(B2502,[1]LifeList!$E$2:$I$2036,4)</f>
        <v>Passeriformes</v>
      </c>
      <c r="H2502" s="3" t="str">
        <f>VLOOKUP(B2502,[1]LifeList!$E$2:$I$2036,5)</f>
        <v>Alaudidae (Larks)</v>
      </c>
    </row>
    <row r="2503" spans="1:8" x14ac:dyDescent="0.15">
      <c r="A2503" s="3" t="s">
        <v>2387</v>
      </c>
      <c r="B2503" s="3" t="s">
        <v>4757</v>
      </c>
      <c r="C2503" s="3">
        <v>15836</v>
      </c>
      <c r="D2503" s="3" t="str">
        <f>VLOOKUP(B2503,[1]LifeList!$E$2:$G$2036,1)</f>
        <v>Red-capped Manakin</v>
      </c>
      <c r="E2503" s="3" t="str">
        <f>VLOOKUP(B2503,[1]LifeList!$E$2:$G$2036,2)</f>
        <v>Manakin à cuisses jaunes</v>
      </c>
      <c r="F2503" s="3" t="str">
        <f>VLOOKUP(B2503,[1]LifeList!$E$2:$G$2036,3)</f>
        <v>Ceratopipra mentalis</v>
      </c>
      <c r="G2503" s="3" t="str">
        <f>VLOOKUP(B2503,[1]LifeList!$E$2:$I$2036,4)</f>
        <v>Passeriformes</v>
      </c>
      <c r="H2503" s="3" t="str">
        <f>VLOOKUP(B2503,[1]LifeList!$E$2:$I$2036,5)</f>
        <v>Pipridae (Manakins)</v>
      </c>
    </row>
    <row r="2504" spans="1:8" x14ac:dyDescent="0.15">
      <c r="A2504" s="3" t="s">
        <v>3906</v>
      </c>
      <c r="B2504" s="3" t="s">
        <v>4757</v>
      </c>
      <c r="C2504" s="3">
        <v>15836</v>
      </c>
      <c r="D2504" s="3" t="str">
        <f>VLOOKUP(B2504,[1]LifeList!$E$2:$G$2036,1)</f>
        <v>Red-capped Manakin</v>
      </c>
      <c r="E2504" s="3" t="str">
        <f>VLOOKUP(B2504,[1]LifeList!$E$2:$G$2036,2)</f>
        <v>Manakin à cuisses jaunes</v>
      </c>
      <c r="F2504" s="3" t="str">
        <f>VLOOKUP(B2504,[1]LifeList!$E$2:$G$2036,3)</f>
        <v>Ceratopipra mentalis</v>
      </c>
      <c r="G2504" s="3" t="str">
        <f>VLOOKUP(B2504,[1]LifeList!$E$2:$I$2036,4)</f>
        <v>Passeriformes</v>
      </c>
      <c r="H2504" s="3" t="str">
        <f>VLOOKUP(B2504,[1]LifeList!$E$2:$I$2036,5)</f>
        <v>Pipridae (Manakins)</v>
      </c>
    </row>
    <row r="2505" spans="1:8" x14ac:dyDescent="0.15">
      <c r="A2505" s="3" t="s">
        <v>2388</v>
      </c>
      <c r="B2505" s="3" t="s">
        <v>4758</v>
      </c>
      <c r="C2505" s="3">
        <v>5940</v>
      </c>
      <c r="D2505" s="3" t="str">
        <f>VLOOKUP(B2505,[1]LifeList!$E$2:$G$2036,1)</f>
        <v>Red-capped Plover</v>
      </c>
      <c r="E2505" s="3" t="str">
        <f>VLOOKUP(B2505,[1]LifeList!$E$2:$G$2036,2)</f>
        <v>Pluvier à tête rousse</v>
      </c>
      <c r="F2505" s="3" t="str">
        <f>VLOOKUP(B2505,[1]LifeList!$E$2:$G$2036,3)</f>
        <v>Anarhynchus ruficapillus</v>
      </c>
      <c r="G2505" s="3" t="str">
        <f>VLOOKUP(B2505,[1]LifeList!$E$2:$I$2036,4)</f>
        <v>Charadriiformes</v>
      </c>
      <c r="H2505" s="3" t="str">
        <f>VLOOKUP(B2505,[1]LifeList!$E$2:$I$2036,5)</f>
        <v>Charadriidae (Plovers and Lapwings)</v>
      </c>
    </row>
    <row r="2506" spans="1:8" x14ac:dyDescent="0.15">
      <c r="A2506" s="3" t="s">
        <v>2389</v>
      </c>
      <c r="B2506" s="3" t="s">
        <v>4759</v>
      </c>
      <c r="C2506" s="3">
        <v>29229</v>
      </c>
      <c r="D2506" s="3" t="str">
        <f>VLOOKUP(B2506,[1]LifeList!$E$2:$G$2036,1)</f>
        <v>Red-capped Robin-Chat</v>
      </c>
      <c r="E2506" s="3" t="str">
        <f>VLOOKUP(B2506,[1]LifeList!$E$2:$G$2036,2)</f>
        <v>Cossyphe à calotte rousse</v>
      </c>
      <c r="F2506" s="3" t="str">
        <f>VLOOKUP(B2506,[1]LifeList!$E$2:$G$2036,3)</f>
        <v>Cossypha natalensis</v>
      </c>
      <c r="G2506" s="3" t="str">
        <f>VLOOKUP(B2506,[1]LifeList!$E$2:$I$2036,4)</f>
        <v>Passeriformes</v>
      </c>
      <c r="H2506" s="3" t="str">
        <f>VLOOKUP(B2506,[1]LifeList!$E$2:$I$2036,5)</f>
        <v>Muscicapidae (Old World Flycatchers)</v>
      </c>
    </row>
    <row r="2507" spans="1:8" x14ac:dyDescent="0.15">
      <c r="A2507" s="3" t="s">
        <v>2390</v>
      </c>
      <c r="B2507" s="3" t="s">
        <v>4760</v>
      </c>
      <c r="C2507" s="3">
        <v>2952</v>
      </c>
      <c r="D2507" s="3" t="str">
        <f>VLOOKUP(B2507,[1]LifeList!$E$2:$G$2036,1)</f>
        <v>Red-crested Bustard</v>
      </c>
      <c r="E2507" s="3" t="str">
        <f>VLOOKUP(B2507,[1]LifeList!$E$2:$G$2036,2)</f>
        <v>Outarde houppette</v>
      </c>
      <c r="F2507" s="3" t="str">
        <f>VLOOKUP(B2507,[1]LifeList!$E$2:$G$2036,3)</f>
        <v>Lophotis ruficrista</v>
      </c>
      <c r="G2507" s="3" t="str">
        <f>VLOOKUP(B2507,[1]LifeList!$E$2:$I$2036,4)</f>
        <v>Otidiformes</v>
      </c>
      <c r="H2507" s="3" t="str">
        <f>VLOOKUP(B2507,[1]LifeList!$E$2:$I$2036,5)</f>
        <v>Otididae (Bustards)</v>
      </c>
    </row>
    <row r="2508" spans="1:8" x14ac:dyDescent="0.15">
      <c r="A2508" s="3" t="s">
        <v>2391</v>
      </c>
      <c r="B2508" s="3" t="s">
        <v>4761</v>
      </c>
      <c r="C2508" s="3">
        <v>34459</v>
      </c>
      <c r="D2508" s="3" t="str">
        <f>VLOOKUP(B2508,[1]LifeList!$E$2:$G$2036,1)</f>
        <v>Red-crowned Ant-Tanager</v>
      </c>
      <c r="E2508" s="3" t="str">
        <f>VLOOKUP(B2508,[1]LifeList!$E$2:$G$2036,2)</f>
        <v>Habia à couronne rouge</v>
      </c>
      <c r="F2508" s="3" t="str">
        <f>VLOOKUP(B2508,[1]LifeList!$E$2:$G$2036,3)</f>
        <v>Habia rubica</v>
      </c>
      <c r="G2508" s="3" t="str">
        <f>VLOOKUP(B2508,[1]LifeList!$E$2:$I$2036,4)</f>
        <v>Passeriformes</v>
      </c>
      <c r="H2508" s="3" t="str">
        <f>VLOOKUP(B2508,[1]LifeList!$E$2:$I$2036,5)</f>
        <v>Cardinalidae (Cardinals and Allies)</v>
      </c>
    </row>
    <row r="2509" spans="1:8" x14ac:dyDescent="0.15">
      <c r="A2509" s="3" t="s">
        <v>2393</v>
      </c>
      <c r="B2509" s="3" t="s">
        <v>4762</v>
      </c>
      <c r="C2509" s="3">
        <v>11171</v>
      </c>
      <c r="D2509" s="3" t="str">
        <f>VLOOKUP(B2509,[1]LifeList!$E$2:$G$2036,1)</f>
        <v>Red-crowned Woodpecker</v>
      </c>
      <c r="E2509" s="3" t="str">
        <f>VLOOKUP(B2509,[1]LifeList!$E$2:$G$2036,2)</f>
        <v>Pic à couronne rouge</v>
      </c>
      <c r="F2509" s="3" t="str">
        <f>VLOOKUP(B2509,[1]LifeList!$E$2:$G$2036,3)</f>
        <v>Melanerpes rubricapillus</v>
      </c>
      <c r="G2509" s="3" t="str">
        <f>VLOOKUP(B2509,[1]LifeList!$E$2:$I$2036,4)</f>
        <v>Piciformes</v>
      </c>
      <c r="H2509" s="3" t="str">
        <f>VLOOKUP(B2509,[1]LifeList!$E$2:$I$2036,5)</f>
        <v>Picidae (Woodpeckers)</v>
      </c>
    </row>
    <row r="2510" spans="1:8" x14ac:dyDescent="0.15">
      <c r="A2510" s="3" t="s">
        <v>2394</v>
      </c>
      <c r="B2510" s="3" t="s">
        <v>4762</v>
      </c>
      <c r="C2510" s="3">
        <v>11171</v>
      </c>
      <c r="D2510" s="3" t="str">
        <f>VLOOKUP(B2510,[1]LifeList!$E$2:$G$2036,1)</f>
        <v>Red-crowned Woodpecker</v>
      </c>
      <c r="E2510" s="3" t="str">
        <f>VLOOKUP(B2510,[1]LifeList!$E$2:$G$2036,2)</f>
        <v>Pic à couronne rouge</v>
      </c>
      <c r="F2510" s="3" t="str">
        <f>VLOOKUP(B2510,[1]LifeList!$E$2:$G$2036,3)</f>
        <v>Melanerpes rubricapillus</v>
      </c>
      <c r="G2510" s="3" t="str">
        <f>VLOOKUP(B2510,[1]LifeList!$E$2:$I$2036,4)</f>
        <v>Piciformes</v>
      </c>
      <c r="H2510" s="3" t="str">
        <f>VLOOKUP(B2510,[1]LifeList!$E$2:$I$2036,5)</f>
        <v>Picidae (Woodpeckers)</v>
      </c>
    </row>
    <row r="2511" spans="1:8" x14ac:dyDescent="0.15">
      <c r="A2511" s="3" t="s">
        <v>2395</v>
      </c>
      <c r="B2511" s="3" t="s">
        <v>4762</v>
      </c>
      <c r="C2511" s="3">
        <v>11171</v>
      </c>
      <c r="D2511" s="3" t="str">
        <f>VLOOKUP(B2511,[1]LifeList!$E$2:$G$2036,1)</f>
        <v>Red-crowned Woodpecker</v>
      </c>
      <c r="E2511" s="3" t="str">
        <f>VLOOKUP(B2511,[1]LifeList!$E$2:$G$2036,2)</f>
        <v>Pic à couronne rouge</v>
      </c>
      <c r="F2511" s="3" t="str">
        <f>VLOOKUP(B2511,[1]LifeList!$E$2:$G$2036,3)</f>
        <v>Melanerpes rubricapillus</v>
      </c>
      <c r="G2511" s="3" t="str">
        <f>VLOOKUP(B2511,[1]LifeList!$E$2:$I$2036,4)</f>
        <v>Piciformes</v>
      </c>
      <c r="H2511" s="3" t="str">
        <f>VLOOKUP(B2511,[1]LifeList!$E$2:$I$2036,5)</f>
        <v>Picidae (Woodpeckers)</v>
      </c>
    </row>
    <row r="2512" spans="1:8" x14ac:dyDescent="0.15">
      <c r="A2512" s="3" t="s">
        <v>2396</v>
      </c>
      <c r="B2512" s="3" t="s">
        <v>4762</v>
      </c>
      <c r="C2512" s="3">
        <v>11171</v>
      </c>
      <c r="D2512" s="3" t="str">
        <f>VLOOKUP(B2512,[1]LifeList!$E$2:$G$2036,1)</f>
        <v>Red-crowned Woodpecker</v>
      </c>
      <c r="E2512" s="3" t="str">
        <f>VLOOKUP(B2512,[1]LifeList!$E$2:$G$2036,2)</f>
        <v>Pic à couronne rouge</v>
      </c>
      <c r="F2512" s="3" t="str">
        <f>VLOOKUP(B2512,[1]LifeList!$E$2:$G$2036,3)</f>
        <v>Melanerpes rubricapillus</v>
      </c>
      <c r="G2512" s="3" t="str">
        <f>VLOOKUP(B2512,[1]LifeList!$E$2:$I$2036,4)</f>
        <v>Piciformes</v>
      </c>
      <c r="H2512" s="3" t="str">
        <f>VLOOKUP(B2512,[1]LifeList!$E$2:$I$2036,5)</f>
        <v>Picidae (Woodpeckers)</v>
      </c>
    </row>
    <row r="2513" spans="1:8" x14ac:dyDescent="0.15">
      <c r="A2513" s="3" t="s">
        <v>2397</v>
      </c>
      <c r="B2513" s="3" t="s">
        <v>4762</v>
      </c>
      <c r="C2513" s="3">
        <v>11171</v>
      </c>
      <c r="D2513" s="3" t="str">
        <f>VLOOKUP(B2513,[1]LifeList!$E$2:$G$2036,1)</f>
        <v>Red-crowned Woodpecker</v>
      </c>
      <c r="E2513" s="3" t="str">
        <f>VLOOKUP(B2513,[1]LifeList!$E$2:$G$2036,2)</f>
        <v>Pic à couronne rouge</v>
      </c>
      <c r="F2513" s="3" t="str">
        <f>VLOOKUP(B2513,[1]LifeList!$E$2:$G$2036,3)</f>
        <v>Melanerpes rubricapillus</v>
      </c>
      <c r="G2513" s="3" t="str">
        <f>VLOOKUP(B2513,[1]LifeList!$E$2:$I$2036,4)</f>
        <v>Piciformes</v>
      </c>
      <c r="H2513" s="3" t="str">
        <f>VLOOKUP(B2513,[1]LifeList!$E$2:$I$2036,5)</f>
        <v>Picidae (Woodpeckers)</v>
      </c>
    </row>
    <row r="2514" spans="1:8" x14ac:dyDescent="0.15">
      <c r="A2514" s="3" t="s">
        <v>2392</v>
      </c>
      <c r="B2514" s="3" t="s">
        <v>4762</v>
      </c>
      <c r="C2514" s="3">
        <v>11171</v>
      </c>
      <c r="D2514" s="3" t="str">
        <f>VLOOKUP(B2514,[1]LifeList!$E$2:$G$2036,1)</f>
        <v>Red-crowned Woodpecker</v>
      </c>
      <c r="E2514" s="3" t="str">
        <f>VLOOKUP(B2514,[1]LifeList!$E$2:$G$2036,2)</f>
        <v>Pic à couronne rouge</v>
      </c>
      <c r="F2514" s="3" t="str">
        <f>VLOOKUP(B2514,[1]LifeList!$E$2:$G$2036,3)</f>
        <v>Melanerpes rubricapillus</v>
      </c>
      <c r="G2514" s="3" t="str">
        <f>VLOOKUP(B2514,[1]LifeList!$E$2:$I$2036,4)</f>
        <v>Piciformes</v>
      </c>
      <c r="H2514" s="3" t="str">
        <f>VLOOKUP(B2514,[1]LifeList!$E$2:$I$2036,5)</f>
        <v>Picidae (Woodpeckers)</v>
      </c>
    </row>
    <row r="2515" spans="1:8" x14ac:dyDescent="0.15">
      <c r="A2515" s="3" t="s">
        <v>2398</v>
      </c>
      <c r="B2515" s="3" t="s">
        <v>4763</v>
      </c>
      <c r="C2515" s="3">
        <v>2050</v>
      </c>
      <c r="D2515" s="3" t="str">
        <f>VLOOKUP(B2515,[1]LifeList!$E$2:$G$2036,1)</f>
        <v>Red-eyed Dove</v>
      </c>
      <c r="E2515" s="3" t="str">
        <f>VLOOKUP(B2515,[1]LifeList!$E$2:$G$2036,2)</f>
        <v>Tourterelle à collier</v>
      </c>
      <c r="F2515" s="3" t="str">
        <f>VLOOKUP(B2515,[1]LifeList!$E$2:$G$2036,3)</f>
        <v>Streptopelia semitorquata</v>
      </c>
      <c r="G2515" s="3" t="str">
        <f>VLOOKUP(B2515,[1]LifeList!$E$2:$I$2036,4)</f>
        <v>Columbiformes</v>
      </c>
      <c r="H2515" s="3" t="str">
        <f>VLOOKUP(B2515,[1]LifeList!$E$2:$I$2036,5)</f>
        <v>Columbidae (Pigeons and Doves)</v>
      </c>
    </row>
    <row r="2516" spans="1:8" x14ac:dyDescent="0.15">
      <c r="A2516" s="3" t="s">
        <v>2399</v>
      </c>
      <c r="B2516" s="3" t="s">
        <v>4763</v>
      </c>
      <c r="C2516" s="3">
        <v>2050</v>
      </c>
      <c r="D2516" s="3" t="str">
        <f>VLOOKUP(B2516,[1]LifeList!$E$2:$G$2036,1)</f>
        <v>Red-eyed Dove</v>
      </c>
      <c r="E2516" s="3" t="str">
        <f>VLOOKUP(B2516,[1]LifeList!$E$2:$G$2036,2)</f>
        <v>Tourterelle à collier</v>
      </c>
      <c r="F2516" s="3" t="str">
        <f>VLOOKUP(B2516,[1]LifeList!$E$2:$G$2036,3)</f>
        <v>Streptopelia semitorquata</v>
      </c>
      <c r="G2516" s="3" t="str">
        <f>VLOOKUP(B2516,[1]LifeList!$E$2:$I$2036,4)</f>
        <v>Columbiformes</v>
      </c>
      <c r="H2516" s="3" t="str">
        <f>VLOOKUP(B2516,[1]LifeList!$E$2:$I$2036,5)</f>
        <v>Columbidae (Pigeons and Doves)</v>
      </c>
    </row>
    <row r="2517" spans="1:8" x14ac:dyDescent="0.15">
      <c r="A2517" s="3" t="s">
        <v>2401</v>
      </c>
      <c r="B2517" s="3" t="s">
        <v>4764</v>
      </c>
      <c r="C2517" s="3">
        <v>19267</v>
      </c>
      <c r="D2517" s="3" t="str">
        <f>VLOOKUP(B2517,[1]LifeList!$E$2:$G$2036,1)</f>
        <v>Red-eyed Vireo</v>
      </c>
      <c r="E2517" s="3" t="str">
        <f>VLOOKUP(B2517,[1]LifeList!$E$2:$G$2036,2)</f>
        <v>Viréo aux yeux rouges</v>
      </c>
      <c r="F2517" s="3" t="str">
        <f>VLOOKUP(B2517,[1]LifeList!$E$2:$G$2036,3)</f>
        <v>Vireo olivaceus</v>
      </c>
      <c r="G2517" s="3" t="str">
        <f>VLOOKUP(B2517,[1]LifeList!$E$2:$I$2036,4)</f>
        <v>Passeriformes</v>
      </c>
      <c r="H2517" s="3" t="str">
        <f>VLOOKUP(B2517,[1]LifeList!$E$2:$I$2036,5)</f>
        <v>Vireonidae (Vireos, Shrike-Babblers, and Erpornis)</v>
      </c>
    </row>
    <row r="2518" spans="1:8" x14ac:dyDescent="0.15">
      <c r="A2518" s="3" t="s">
        <v>2402</v>
      </c>
      <c r="B2518" s="3" t="s">
        <v>4764</v>
      </c>
      <c r="C2518" s="3">
        <v>19267</v>
      </c>
      <c r="D2518" s="3" t="str">
        <f>VLOOKUP(B2518,[1]LifeList!$E$2:$G$2036,1)</f>
        <v>Red-eyed Vireo</v>
      </c>
      <c r="E2518" s="3" t="str">
        <f>VLOOKUP(B2518,[1]LifeList!$E$2:$G$2036,2)</f>
        <v>Viréo aux yeux rouges</v>
      </c>
      <c r="F2518" s="3" t="str">
        <f>VLOOKUP(B2518,[1]LifeList!$E$2:$G$2036,3)</f>
        <v>Vireo olivaceus</v>
      </c>
      <c r="G2518" s="3" t="str">
        <f>VLOOKUP(B2518,[1]LifeList!$E$2:$I$2036,4)</f>
        <v>Passeriformes</v>
      </c>
      <c r="H2518" s="3" t="str">
        <f>VLOOKUP(B2518,[1]LifeList!$E$2:$I$2036,5)</f>
        <v>Vireonidae (Vireos, Shrike-Babblers, and Erpornis)</v>
      </c>
    </row>
    <row r="2519" spans="1:8" x14ac:dyDescent="0.15">
      <c r="A2519" s="3" t="s">
        <v>2403</v>
      </c>
      <c r="B2519" s="3" t="s">
        <v>4764</v>
      </c>
      <c r="C2519" s="3">
        <v>19267</v>
      </c>
      <c r="D2519" s="3" t="str">
        <f>VLOOKUP(B2519,[1]LifeList!$E$2:$G$2036,1)</f>
        <v>Red-eyed Vireo</v>
      </c>
      <c r="E2519" s="3" t="str">
        <f>VLOOKUP(B2519,[1]LifeList!$E$2:$G$2036,2)</f>
        <v>Viréo aux yeux rouges</v>
      </c>
      <c r="F2519" s="3" t="str">
        <f>VLOOKUP(B2519,[1]LifeList!$E$2:$G$2036,3)</f>
        <v>Vireo olivaceus</v>
      </c>
      <c r="G2519" s="3" t="str">
        <f>VLOOKUP(B2519,[1]LifeList!$E$2:$I$2036,4)</f>
        <v>Passeriformes</v>
      </c>
      <c r="H2519" s="3" t="str">
        <f>VLOOKUP(B2519,[1]LifeList!$E$2:$I$2036,5)</f>
        <v>Vireonidae (Vireos, Shrike-Babblers, and Erpornis)</v>
      </c>
    </row>
    <row r="2520" spans="1:8" x14ac:dyDescent="0.15">
      <c r="A2520" s="3" t="s">
        <v>2404</v>
      </c>
      <c r="B2520" s="3" t="s">
        <v>4764</v>
      </c>
      <c r="C2520" s="3">
        <v>19267</v>
      </c>
      <c r="D2520" s="3" t="str">
        <f>VLOOKUP(B2520,[1]LifeList!$E$2:$G$2036,1)</f>
        <v>Red-eyed Vireo</v>
      </c>
      <c r="E2520" s="3" t="str">
        <f>VLOOKUP(B2520,[1]LifeList!$E$2:$G$2036,2)</f>
        <v>Viréo aux yeux rouges</v>
      </c>
      <c r="F2520" s="3" t="str">
        <f>VLOOKUP(B2520,[1]LifeList!$E$2:$G$2036,3)</f>
        <v>Vireo olivaceus</v>
      </c>
      <c r="G2520" s="3" t="str">
        <f>VLOOKUP(B2520,[1]LifeList!$E$2:$I$2036,4)</f>
        <v>Passeriformes</v>
      </c>
      <c r="H2520" s="3" t="str">
        <f>VLOOKUP(B2520,[1]LifeList!$E$2:$I$2036,5)</f>
        <v>Vireonidae (Vireos, Shrike-Babblers, and Erpornis)</v>
      </c>
    </row>
    <row r="2521" spans="1:8" x14ac:dyDescent="0.15">
      <c r="A2521" s="3" t="s">
        <v>2405</v>
      </c>
      <c r="B2521" s="3" t="s">
        <v>4764</v>
      </c>
      <c r="C2521" s="3">
        <v>19267</v>
      </c>
      <c r="D2521" s="3" t="str">
        <f>VLOOKUP(B2521,[1]LifeList!$E$2:$G$2036,1)</f>
        <v>Red-eyed Vireo</v>
      </c>
      <c r="E2521" s="3" t="str">
        <f>VLOOKUP(B2521,[1]LifeList!$E$2:$G$2036,2)</f>
        <v>Viréo aux yeux rouges</v>
      </c>
      <c r="F2521" s="3" t="str">
        <f>VLOOKUP(B2521,[1]LifeList!$E$2:$G$2036,3)</f>
        <v>Vireo olivaceus</v>
      </c>
      <c r="G2521" s="3" t="str">
        <f>VLOOKUP(B2521,[1]LifeList!$E$2:$I$2036,4)</f>
        <v>Passeriformes</v>
      </c>
      <c r="H2521" s="3" t="str">
        <f>VLOOKUP(B2521,[1]LifeList!$E$2:$I$2036,5)</f>
        <v>Vireonidae (Vireos, Shrike-Babblers, and Erpornis)</v>
      </c>
    </row>
    <row r="2522" spans="1:8" x14ac:dyDescent="0.15">
      <c r="A2522" s="3" t="s">
        <v>2406</v>
      </c>
      <c r="B2522" s="3" t="s">
        <v>4764</v>
      </c>
      <c r="C2522" s="3">
        <v>19267</v>
      </c>
      <c r="D2522" s="3" t="str">
        <f>VLOOKUP(B2522,[1]LifeList!$E$2:$G$2036,1)</f>
        <v>Red-eyed Vireo</v>
      </c>
      <c r="E2522" s="3" t="str">
        <f>VLOOKUP(B2522,[1]LifeList!$E$2:$G$2036,2)</f>
        <v>Viréo aux yeux rouges</v>
      </c>
      <c r="F2522" s="3" t="str">
        <f>VLOOKUP(B2522,[1]LifeList!$E$2:$G$2036,3)</f>
        <v>Vireo olivaceus</v>
      </c>
      <c r="G2522" s="3" t="str">
        <f>VLOOKUP(B2522,[1]LifeList!$E$2:$I$2036,4)</f>
        <v>Passeriformes</v>
      </c>
      <c r="H2522" s="3" t="str">
        <f>VLOOKUP(B2522,[1]LifeList!$E$2:$I$2036,5)</f>
        <v>Vireonidae (Vireos, Shrike-Babblers, and Erpornis)</v>
      </c>
    </row>
    <row r="2523" spans="1:8" x14ac:dyDescent="0.15">
      <c r="A2523" s="3" t="s">
        <v>2407</v>
      </c>
      <c r="B2523" s="3" t="s">
        <v>4764</v>
      </c>
      <c r="C2523" s="3">
        <v>19267</v>
      </c>
      <c r="D2523" s="3" t="str">
        <f>VLOOKUP(B2523,[1]LifeList!$E$2:$G$2036,1)</f>
        <v>Red-eyed Vireo</v>
      </c>
      <c r="E2523" s="3" t="str">
        <f>VLOOKUP(B2523,[1]LifeList!$E$2:$G$2036,2)</f>
        <v>Viréo aux yeux rouges</v>
      </c>
      <c r="F2523" s="3" t="str">
        <f>VLOOKUP(B2523,[1]LifeList!$E$2:$G$2036,3)</f>
        <v>Vireo olivaceus</v>
      </c>
      <c r="G2523" s="3" t="str">
        <f>VLOOKUP(B2523,[1]LifeList!$E$2:$I$2036,4)</f>
        <v>Passeriformes</v>
      </c>
      <c r="H2523" s="3" t="str">
        <f>VLOOKUP(B2523,[1]LifeList!$E$2:$I$2036,5)</f>
        <v>Vireonidae (Vireos, Shrike-Babblers, and Erpornis)</v>
      </c>
    </row>
    <row r="2524" spans="1:8" x14ac:dyDescent="0.15">
      <c r="A2524" s="3" t="s">
        <v>2408</v>
      </c>
      <c r="B2524" s="3" t="s">
        <v>4764</v>
      </c>
      <c r="C2524" s="3">
        <v>19267</v>
      </c>
      <c r="D2524" s="3" t="str">
        <f>VLOOKUP(B2524,[1]LifeList!$E$2:$G$2036,1)</f>
        <v>Red-eyed Vireo</v>
      </c>
      <c r="E2524" s="3" t="str">
        <f>VLOOKUP(B2524,[1]LifeList!$E$2:$G$2036,2)</f>
        <v>Viréo aux yeux rouges</v>
      </c>
      <c r="F2524" s="3" t="str">
        <f>VLOOKUP(B2524,[1]LifeList!$E$2:$G$2036,3)</f>
        <v>Vireo olivaceus</v>
      </c>
      <c r="G2524" s="3" t="str">
        <f>VLOOKUP(B2524,[1]LifeList!$E$2:$I$2036,4)</f>
        <v>Passeriformes</v>
      </c>
      <c r="H2524" s="3" t="str">
        <f>VLOOKUP(B2524,[1]LifeList!$E$2:$I$2036,5)</f>
        <v>Vireonidae (Vireos, Shrike-Babblers, and Erpornis)</v>
      </c>
    </row>
    <row r="2525" spans="1:8" x14ac:dyDescent="0.15">
      <c r="A2525" s="3" t="s">
        <v>2409</v>
      </c>
      <c r="B2525" s="3" t="s">
        <v>4764</v>
      </c>
      <c r="C2525" s="3">
        <v>19267</v>
      </c>
      <c r="D2525" s="3" t="str">
        <f>VLOOKUP(B2525,[1]LifeList!$E$2:$G$2036,1)</f>
        <v>Red-eyed Vireo</v>
      </c>
      <c r="E2525" s="3" t="str">
        <f>VLOOKUP(B2525,[1]LifeList!$E$2:$G$2036,2)</f>
        <v>Viréo aux yeux rouges</v>
      </c>
      <c r="F2525" s="3" t="str">
        <f>VLOOKUP(B2525,[1]LifeList!$E$2:$G$2036,3)</f>
        <v>Vireo olivaceus</v>
      </c>
      <c r="G2525" s="3" t="str">
        <f>VLOOKUP(B2525,[1]LifeList!$E$2:$I$2036,4)</f>
        <v>Passeriformes</v>
      </c>
      <c r="H2525" s="3" t="str">
        <f>VLOOKUP(B2525,[1]LifeList!$E$2:$I$2036,5)</f>
        <v>Vireonidae (Vireos, Shrike-Babblers, and Erpornis)</v>
      </c>
    </row>
    <row r="2526" spans="1:8" x14ac:dyDescent="0.15">
      <c r="A2526" s="3" t="s">
        <v>2410</v>
      </c>
      <c r="B2526" s="3" t="s">
        <v>4764</v>
      </c>
      <c r="C2526" s="3">
        <v>19267</v>
      </c>
      <c r="D2526" s="3" t="str">
        <f>VLOOKUP(B2526,[1]LifeList!$E$2:$G$2036,1)</f>
        <v>Red-eyed Vireo</v>
      </c>
      <c r="E2526" s="3" t="str">
        <f>VLOOKUP(B2526,[1]LifeList!$E$2:$G$2036,2)</f>
        <v>Viréo aux yeux rouges</v>
      </c>
      <c r="F2526" s="3" t="str">
        <f>VLOOKUP(B2526,[1]LifeList!$E$2:$G$2036,3)</f>
        <v>Vireo olivaceus</v>
      </c>
      <c r="G2526" s="3" t="str">
        <f>VLOOKUP(B2526,[1]LifeList!$E$2:$I$2036,4)</f>
        <v>Passeriformes</v>
      </c>
      <c r="H2526" s="3" t="str">
        <f>VLOOKUP(B2526,[1]LifeList!$E$2:$I$2036,5)</f>
        <v>Vireonidae (Vireos, Shrike-Babblers, and Erpornis)</v>
      </c>
    </row>
    <row r="2527" spans="1:8" x14ac:dyDescent="0.15">
      <c r="A2527" s="3" t="s">
        <v>2411</v>
      </c>
      <c r="B2527" s="3" t="s">
        <v>4764</v>
      </c>
      <c r="C2527" s="3">
        <v>19267</v>
      </c>
      <c r="D2527" s="3" t="str">
        <f>VLOOKUP(B2527,[1]LifeList!$E$2:$G$2036,1)</f>
        <v>Red-eyed Vireo</v>
      </c>
      <c r="E2527" s="3" t="str">
        <f>VLOOKUP(B2527,[1]LifeList!$E$2:$G$2036,2)</f>
        <v>Viréo aux yeux rouges</v>
      </c>
      <c r="F2527" s="3" t="str">
        <f>VLOOKUP(B2527,[1]LifeList!$E$2:$G$2036,3)</f>
        <v>Vireo olivaceus</v>
      </c>
      <c r="G2527" s="3" t="str">
        <f>VLOOKUP(B2527,[1]LifeList!$E$2:$I$2036,4)</f>
        <v>Passeriformes</v>
      </c>
      <c r="H2527" s="3" t="str">
        <f>VLOOKUP(B2527,[1]LifeList!$E$2:$I$2036,5)</f>
        <v>Vireonidae (Vireos, Shrike-Babblers, and Erpornis)</v>
      </c>
    </row>
    <row r="2528" spans="1:8" x14ac:dyDescent="0.15">
      <c r="A2528" s="3" t="s">
        <v>2412</v>
      </c>
      <c r="B2528" s="3" t="s">
        <v>4764</v>
      </c>
      <c r="C2528" s="3">
        <v>19267</v>
      </c>
      <c r="D2528" s="3" t="str">
        <f>VLOOKUP(B2528,[1]LifeList!$E$2:$G$2036,1)</f>
        <v>Red-eyed Vireo</v>
      </c>
      <c r="E2528" s="3" t="str">
        <f>VLOOKUP(B2528,[1]LifeList!$E$2:$G$2036,2)</f>
        <v>Viréo aux yeux rouges</v>
      </c>
      <c r="F2528" s="3" t="str">
        <f>VLOOKUP(B2528,[1]LifeList!$E$2:$G$2036,3)</f>
        <v>Vireo olivaceus</v>
      </c>
      <c r="G2528" s="3" t="str">
        <f>VLOOKUP(B2528,[1]LifeList!$E$2:$I$2036,4)</f>
        <v>Passeriformes</v>
      </c>
      <c r="H2528" s="3" t="str">
        <f>VLOOKUP(B2528,[1]LifeList!$E$2:$I$2036,5)</f>
        <v>Vireonidae (Vireos, Shrike-Babblers, and Erpornis)</v>
      </c>
    </row>
    <row r="2529" spans="1:8" x14ac:dyDescent="0.15">
      <c r="A2529" s="3" t="s">
        <v>2413</v>
      </c>
      <c r="B2529" s="3" t="s">
        <v>4764</v>
      </c>
      <c r="C2529" s="3">
        <v>19267</v>
      </c>
      <c r="D2529" s="3" t="str">
        <f>VLOOKUP(B2529,[1]LifeList!$E$2:$G$2036,1)</f>
        <v>Red-eyed Vireo</v>
      </c>
      <c r="E2529" s="3" t="str">
        <f>VLOOKUP(B2529,[1]LifeList!$E$2:$G$2036,2)</f>
        <v>Viréo aux yeux rouges</v>
      </c>
      <c r="F2529" s="3" t="str">
        <f>VLOOKUP(B2529,[1]LifeList!$E$2:$G$2036,3)</f>
        <v>Vireo olivaceus</v>
      </c>
      <c r="G2529" s="3" t="str">
        <f>VLOOKUP(B2529,[1]LifeList!$E$2:$I$2036,4)</f>
        <v>Passeriformes</v>
      </c>
      <c r="H2529" s="3" t="str">
        <f>VLOOKUP(B2529,[1]LifeList!$E$2:$I$2036,5)</f>
        <v>Vireonidae (Vireos, Shrike-Babblers, and Erpornis)</v>
      </c>
    </row>
    <row r="2530" spans="1:8" x14ac:dyDescent="0.15">
      <c r="A2530" s="3" t="s">
        <v>2400</v>
      </c>
      <c r="B2530" s="3" t="s">
        <v>4764</v>
      </c>
      <c r="C2530" s="3">
        <v>19267</v>
      </c>
      <c r="D2530" s="3" t="str">
        <f>VLOOKUP(B2530,[1]LifeList!$E$2:$G$2036,1)</f>
        <v>Red-eyed Vireo</v>
      </c>
      <c r="E2530" s="3" t="str">
        <f>VLOOKUP(B2530,[1]LifeList!$E$2:$G$2036,2)</f>
        <v>Viréo aux yeux rouges</v>
      </c>
      <c r="F2530" s="3" t="str">
        <f>VLOOKUP(B2530,[1]LifeList!$E$2:$G$2036,3)</f>
        <v>Vireo olivaceus</v>
      </c>
      <c r="G2530" s="3" t="str">
        <f>VLOOKUP(B2530,[1]LifeList!$E$2:$I$2036,4)</f>
        <v>Passeriformes</v>
      </c>
      <c r="H2530" s="3" t="str">
        <f>VLOOKUP(B2530,[1]LifeList!$E$2:$I$2036,5)</f>
        <v>Vireonidae (Vireos, Shrike-Babblers, and Erpornis)</v>
      </c>
    </row>
    <row r="2531" spans="1:8" x14ac:dyDescent="0.15">
      <c r="A2531" s="3" t="s">
        <v>2414</v>
      </c>
      <c r="B2531" s="3" t="s">
        <v>4765</v>
      </c>
      <c r="C2531" s="3">
        <v>15514</v>
      </c>
      <c r="D2531" s="3" t="str">
        <f>VLOOKUP(B2531,[1]LifeList!$E$2:$G$2036,1)</f>
        <v>Red-faced Spinetail</v>
      </c>
      <c r="E2531" s="3" t="str">
        <f>VLOOKUP(B2531,[1]LifeList!$E$2:$G$2036,2)</f>
        <v>Synallaxe à face rouge</v>
      </c>
      <c r="F2531" s="3" t="str">
        <f>VLOOKUP(B2531,[1]LifeList!$E$2:$G$2036,3)</f>
        <v>Cranioleuca erythrops</v>
      </c>
      <c r="G2531" s="3" t="str">
        <f>VLOOKUP(B2531,[1]LifeList!$E$2:$I$2036,4)</f>
        <v>Passeriformes</v>
      </c>
      <c r="H2531" s="3" t="str">
        <f>VLOOKUP(B2531,[1]LifeList!$E$2:$I$2036,5)</f>
        <v>Furnariidae (Ovenbirds and Woodcreepers)</v>
      </c>
    </row>
    <row r="2532" spans="1:8" x14ac:dyDescent="0.15">
      <c r="A2532" s="3" t="s">
        <v>2415</v>
      </c>
      <c r="B2532" s="3" t="s">
        <v>4766</v>
      </c>
      <c r="C2532" s="3">
        <v>7338</v>
      </c>
      <c r="D2532" s="3" t="str">
        <f>VLOOKUP(B2532,[1]LifeList!$E$2:$G$2036,1)</f>
        <v>Red-footed Booby</v>
      </c>
      <c r="E2532" s="3" t="str">
        <f>VLOOKUP(B2532,[1]LifeList!$E$2:$G$2036,2)</f>
        <v>Fou à pieds rouges</v>
      </c>
      <c r="F2532" s="3" t="str">
        <f>VLOOKUP(B2532,[1]LifeList!$E$2:$G$2036,3)</f>
        <v>Sula sula</v>
      </c>
      <c r="G2532" s="3" t="str">
        <f>VLOOKUP(B2532,[1]LifeList!$E$2:$I$2036,4)</f>
        <v>Suliformes</v>
      </c>
      <c r="H2532" s="3" t="str">
        <f>VLOOKUP(B2532,[1]LifeList!$E$2:$I$2036,5)</f>
        <v>Sulidae (Boobies and Gannets)</v>
      </c>
    </row>
    <row r="2533" spans="1:8" x14ac:dyDescent="0.15">
      <c r="A2533" s="3" t="s">
        <v>2416</v>
      </c>
      <c r="B2533" s="3" t="s">
        <v>4767</v>
      </c>
      <c r="C2533" s="3">
        <v>3069</v>
      </c>
      <c r="D2533" s="3" t="str">
        <f>VLOOKUP(B2533,[1]LifeList!$E$2:$G$2036,1)</f>
        <v>Red-fronted Coua</v>
      </c>
      <c r="E2533" s="3" t="str">
        <f>VLOOKUP(B2533,[1]LifeList!$E$2:$G$2036,2)</f>
        <v>Coua de Reynaud</v>
      </c>
      <c r="F2533" s="3" t="str">
        <f>VLOOKUP(B2533,[1]LifeList!$E$2:$G$2036,3)</f>
        <v>Coua reynaudii</v>
      </c>
      <c r="G2533" s="3" t="str">
        <f>VLOOKUP(B2533,[1]LifeList!$E$2:$I$2036,4)</f>
        <v>Cuculiformes</v>
      </c>
      <c r="H2533" s="3" t="str">
        <f>VLOOKUP(B2533,[1]LifeList!$E$2:$I$2036,5)</f>
        <v>Cuculidae (Cuckoos)</v>
      </c>
    </row>
    <row r="2534" spans="1:8" x14ac:dyDescent="0.15">
      <c r="A2534" s="3" t="s">
        <v>2417</v>
      </c>
      <c r="B2534" s="3" t="s">
        <v>4768</v>
      </c>
      <c r="C2534" s="3">
        <v>10818</v>
      </c>
      <c r="D2534" s="3" t="str">
        <f>VLOOKUP(B2534,[1]LifeList!$E$2:$G$2036,1)</f>
        <v>Red-headed Barbet</v>
      </c>
      <c r="E2534" s="3" t="str">
        <f>VLOOKUP(B2534,[1]LifeList!$E$2:$G$2036,2)</f>
        <v>Cabézon à tête rouge</v>
      </c>
      <c r="F2534" s="3" t="str">
        <f>VLOOKUP(B2534,[1]LifeList!$E$2:$G$2036,3)</f>
        <v>Eubucco bourcierii</v>
      </c>
      <c r="G2534" s="3" t="str">
        <f>VLOOKUP(B2534,[1]LifeList!$E$2:$I$2036,4)</f>
        <v>Piciformes</v>
      </c>
      <c r="H2534" s="3" t="str">
        <f>VLOOKUP(B2534,[1]LifeList!$E$2:$I$2036,5)</f>
        <v>Capitonidae (New World Barbets)</v>
      </c>
    </row>
    <row r="2535" spans="1:8" x14ac:dyDescent="0.15">
      <c r="A2535" s="3" t="s">
        <v>3907</v>
      </c>
      <c r="B2535" s="3" t="s">
        <v>4768</v>
      </c>
      <c r="C2535" s="3">
        <v>10818</v>
      </c>
      <c r="D2535" s="3" t="str">
        <f>VLOOKUP(B2535,[1]LifeList!$E$2:$G$2036,1)</f>
        <v>Red-headed Barbet</v>
      </c>
      <c r="E2535" s="3" t="str">
        <f>VLOOKUP(B2535,[1]LifeList!$E$2:$G$2036,2)</f>
        <v>Cabézon à tête rouge</v>
      </c>
      <c r="F2535" s="3" t="str">
        <f>VLOOKUP(B2535,[1]LifeList!$E$2:$G$2036,3)</f>
        <v>Eubucco bourcierii</v>
      </c>
      <c r="G2535" s="3" t="str">
        <f>VLOOKUP(B2535,[1]LifeList!$E$2:$I$2036,4)</f>
        <v>Piciformes</v>
      </c>
      <c r="H2535" s="3" t="str">
        <f>VLOOKUP(B2535,[1]LifeList!$E$2:$I$2036,5)</f>
        <v>Capitonidae (New World Barbets)</v>
      </c>
    </row>
    <row r="2536" spans="1:8" x14ac:dyDescent="0.15">
      <c r="A2536" s="3" t="s">
        <v>2418</v>
      </c>
      <c r="B2536" s="3" t="s">
        <v>4769</v>
      </c>
      <c r="C2536" s="3">
        <v>31344</v>
      </c>
      <c r="D2536" s="3" t="str">
        <f>VLOOKUP(B2536,[1]LifeList!$E$2:$G$2036,1)</f>
        <v>Red-headed Finch</v>
      </c>
      <c r="E2536" s="3" t="str">
        <f>VLOOKUP(B2536,[1]LifeList!$E$2:$G$2036,2)</f>
        <v>Amadine à tête rouge</v>
      </c>
      <c r="F2536" s="3" t="str">
        <f>VLOOKUP(B2536,[1]LifeList!$E$2:$G$2036,3)</f>
        <v>Amadina erythrocephala</v>
      </c>
      <c r="G2536" s="3" t="str">
        <f>VLOOKUP(B2536,[1]LifeList!$E$2:$I$2036,4)</f>
        <v>Passeriformes</v>
      </c>
      <c r="H2536" s="3" t="str">
        <f>VLOOKUP(B2536,[1]LifeList!$E$2:$I$2036,5)</f>
        <v>Estrildidae (Waxbills and Allies)</v>
      </c>
    </row>
    <row r="2537" spans="1:8" x14ac:dyDescent="0.15">
      <c r="A2537" s="3" t="s">
        <v>2419</v>
      </c>
      <c r="B2537" s="3" t="s">
        <v>4770</v>
      </c>
      <c r="C2537" s="3">
        <v>11145</v>
      </c>
      <c r="D2537" s="3" t="str">
        <f>VLOOKUP(B2537,[1]LifeList!$E$2:$G$2036,1)</f>
        <v>Red-headed Woodpecker</v>
      </c>
      <c r="E2537" s="3" t="str">
        <f>VLOOKUP(B2537,[1]LifeList!$E$2:$G$2036,2)</f>
        <v>Pic à tête rouge</v>
      </c>
      <c r="F2537" s="3" t="str">
        <f>VLOOKUP(B2537,[1]LifeList!$E$2:$G$2036,3)</f>
        <v>Melanerpes erythrocephalus</v>
      </c>
      <c r="G2537" s="3" t="str">
        <f>VLOOKUP(B2537,[1]LifeList!$E$2:$I$2036,4)</f>
        <v>Piciformes</v>
      </c>
      <c r="H2537" s="3" t="str">
        <f>VLOOKUP(B2537,[1]LifeList!$E$2:$I$2036,5)</f>
        <v>Picidae (Woodpeckers)</v>
      </c>
    </row>
    <row r="2538" spans="1:8" x14ac:dyDescent="0.15">
      <c r="A2538" s="3" t="s">
        <v>2420</v>
      </c>
      <c r="B2538" s="3" t="s">
        <v>4770</v>
      </c>
      <c r="C2538" s="3">
        <v>11145</v>
      </c>
      <c r="D2538" s="3" t="str">
        <f>VLOOKUP(B2538,[1]LifeList!$E$2:$G$2036,1)</f>
        <v>Red-headed Woodpecker</v>
      </c>
      <c r="E2538" s="3" t="str">
        <f>VLOOKUP(B2538,[1]LifeList!$E$2:$G$2036,2)</f>
        <v>Pic à tête rouge</v>
      </c>
      <c r="F2538" s="3" t="str">
        <f>VLOOKUP(B2538,[1]LifeList!$E$2:$G$2036,3)</f>
        <v>Melanerpes erythrocephalus</v>
      </c>
      <c r="G2538" s="3" t="str">
        <f>VLOOKUP(B2538,[1]LifeList!$E$2:$I$2036,4)</f>
        <v>Piciformes</v>
      </c>
      <c r="H2538" s="3" t="str">
        <f>VLOOKUP(B2538,[1]LifeList!$E$2:$I$2036,5)</f>
        <v>Picidae (Woodpeckers)</v>
      </c>
    </row>
    <row r="2539" spans="1:8" x14ac:dyDescent="0.15">
      <c r="A2539" s="3" t="s">
        <v>2421</v>
      </c>
      <c r="B2539" s="3" t="s">
        <v>4770</v>
      </c>
      <c r="C2539" s="3">
        <v>11145</v>
      </c>
      <c r="D2539" s="3" t="str">
        <f>VLOOKUP(B2539,[1]LifeList!$E$2:$G$2036,1)</f>
        <v>Red-headed Woodpecker</v>
      </c>
      <c r="E2539" s="3" t="str">
        <f>VLOOKUP(B2539,[1]LifeList!$E$2:$G$2036,2)</f>
        <v>Pic à tête rouge</v>
      </c>
      <c r="F2539" s="3" t="str">
        <f>VLOOKUP(B2539,[1]LifeList!$E$2:$G$2036,3)</f>
        <v>Melanerpes erythrocephalus</v>
      </c>
      <c r="G2539" s="3" t="str">
        <f>VLOOKUP(B2539,[1]LifeList!$E$2:$I$2036,4)</f>
        <v>Piciformes</v>
      </c>
      <c r="H2539" s="3" t="str">
        <f>VLOOKUP(B2539,[1]LifeList!$E$2:$I$2036,5)</f>
        <v>Picidae (Woodpeckers)</v>
      </c>
    </row>
    <row r="2540" spans="1:8" x14ac:dyDescent="0.15">
      <c r="A2540" s="3" t="s">
        <v>2422</v>
      </c>
      <c r="B2540" s="3" t="s">
        <v>4770</v>
      </c>
      <c r="C2540" s="3">
        <v>11145</v>
      </c>
      <c r="D2540" s="3" t="str">
        <f>VLOOKUP(B2540,[1]LifeList!$E$2:$G$2036,1)</f>
        <v>Red-headed Woodpecker</v>
      </c>
      <c r="E2540" s="3" t="str">
        <f>VLOOKUP(B2540,[1]LifeList!$E$2:$G$2036,2)</f>
        <v>Pic à tête rouge</v>
      </c>
      <c r="F2540" s="3" t="str">
        <f>VLOOKUP(B2540,[1]LifeList!$E$2:$G$2036,3)</f>
        <v>Melanerpes erythrocephalus</v>
      </c>
      <c r="G2540" s="3" t="str">
        <f>VLOOKUP(B2540,[1]LifeList!$E$2:$I$2036,4)</f>
        <v>Piciformes</v>
      </c>
      <c r="H2540" s="3" t="str">
        <f>VLOOKUP(B2540,[1]LifeList!$E$2:$I$2036,5)</f>
        <v>Picidae (Woodpeckers)</v>
      </c>
    </row>
    <row r="2541" spans="1:8" x14ac:dyDescent="0.15">
      <c r="A2541" s="3" t="s">
        <v>2423</v>
      </c>
      <c r="B2541" s="3" t="s">
        <v>4770</v>
      </c>
      <c r="C2541" s="3">
        <v>11145</v>
      </c>
      <c r="D2541" s="3" t="str">
        <f>VLOOKUP(B2541,[1]LifeList!$E$2:$G$2036,1)</f>
        <v>Red-headed Woodpecker</v>
      </c>
      <c r="E2541" s="3" t="str">
        <f>VLOOKUP(B2541,[1]LifeList!$E$2:$G$2036,2)</f>
        <v>Pic à tête rouge</v>
      </c>
      <c r="F2541" s="3" t="str">
        <f>VLOOKUP(B2541,[1]LifeList!$E$2:$G$2036,3)</f>
        <v>Melanerpes erythrocephalus</v>
      </c>
      <c r="G2541" s="3" t="str">
        <f>VLOOKUP(B2541,[1]LifeList!$E$2:$I$2036,4)</f>
        <v>Piciformes</v>
      </c>
      <c r="H2541" s="3" t="str">
        <f>VLOOKUP(B2541,[1]LifeList!$E$2:$I$2036,5)</f>
        <v>Picidae (Woodpeckers)</v>
      </c>
    </row>
    <row r="2542" spans="1:8" x14ac:dyDescent="0.15">
      <c r="A2542" s="3" t="s">
        <v>2424</v>
      </c>
      <c r="B2542" s="3" t="s">
        <v>4770</v>
      </c>
      <c r="C2542" s="3">
        <v>11145</v>
      </c>
      <c r="D2542" s="3" t="str">
        <f>VLOOKUP(B2542,[1]LifeList!$E$2:$G$2036,1)</f>
        <v>Red-headed Woodpecker</v>
      </c>
      <c r="E2542" s="3" t="str">
        <f>VLOOKUP(B2542,[1]LifeList!$E$2:$G$2036,2)</f>
        <v>Pic à tête rouge</v>
      </c>
      <c r="F2542" s="3" t="str">
        <f>VLOOKUP(B2542,[1]LifeList!$E$2:$G$2036,3)</f>
        <v>Melanerpes erythrocephalus</v>
      </c>
      <c r="G2542" s="3" t="str">
        <f>VLOOKUP(B2542,[1]LifeList!$E$2:$I$2036,4)</f>
        <v>Piciformes</v>
      </c>
      <c r="H2542" s="3" t="str">
        <f>VLOOKUP(B2542,[1]LifeList!$E$2:$I$2036,5)</f>
        <v>Picidae (Woodpeckers)</v>
      </c>
    </row>
    <row r="2543" spans="1:8" x14ac:dyDescent="0.15">
      <c r="A2543" s="3" t="s">
        <v>2425</v>
      </c>
      <c r="B2543" s="3" t="s">
        <v>4770</v>
      </c>
      <c r="C2543" s="3">
        <v>11145</v>
      </c>
      <c r="D2543" s="3" t="str">
        <f>VLOOKUP(B2543,[1]LifeList!$E$2:$G$2036,1)</f>
        <v>Red-headed Woodpecker</v>
      </c>
      <c r="E2543" s="3" t="str">
        <f>VLOOKUP(B2543,[1]LifeList!$E$2:$G$2036,2)</f>
        <v>Pic à tête rouge</v>
      </c>
      <c r="F2543" s="3" t="str">
        <f>VLOOKUP(B2543,[1]LifeList!$E$2:$G$2036,3)</f>
        <v>Melanerpes erythrocephalus</v>
      </c>
      <c r="G2543" s="3" t="str">
        <f>VLOOKUP(B2543,[1]LifeList!$E$2:$I$2036,4)</f>
        <v>Piciformes</v>
      </c>
      <c r="H2543" s="3" t="str">
        <f>VLOOKUP(B2543,[1]LifeList!$E$2:$I$2036,5)</f>
        <v>Picidae (Woodpeckers)</v>
      </c>
    </row>
    <row r="2544" spans="1:8" x14ac:dyDescent="0.15">
      <c r="A2544" s="3" t="s">
        <v>2426</v>
      </c>
      <c r="B2544" s="3" t="s">
        <v>4770</v>
      </c>
      <c r="C2544" s="3">
        <v>11145</v>
      </c>
      <c r="D2544" s="3" t="str">
        <f>VLOOKUP(B2544,[1]LifeList!$E$2:$G$2036,1)</f>
        <v>Red-headed Woodpecker</v>
      </c>
      <c r="E2544" s="3" t="str">
        <f>VLOOKUP(B2544,[1]LifeList!$E$2:$G$2036,2)</f>
        <v>Pic à tête rouge</v>
      </c>
      <c r="F2544" s="3" t="str">
        <f>VLOOKUP(B2544,[1]LifeList!$E$2:$G$2036,3)</f>
        <v>Melanerpes erythrocephalus</v>
      </c>
      <c r="G2544" s="3" t="str">
        <f>VLOOKUP(B2544,[1]LifeList!$E$2:$I$2036,4)</f>
        <v>Piciformes</v>
      </c>
      <c r="H2544" s="3" t="str">
        <f>VLOOKUP(B2544,[1]LifeList!$E$2:$I$2036,5)</f>
        <v>Picidae (Woodpeckers)</v>
      </c>
    </row>
    <row r="2545" spans="1:8" x14ac:dyDescent="0.15">
      <c r="A2545" s="3" t="s">
        <v>2427</v>
      </c>
      <c r="B2545" s="3" t="s">
        <v>4770</v>
      </c>
      <c r="C2545" s="3">
        <v>11145</v>
      </c>
      <c r="D2545" s="3" t="str">
        <f>VLOOKUP(B2545,[1]LifeList!$E$2:$G$2036,1)</f>
        <v>Red-headed Woodpecker</v>
      </c>
      <c r="E2545" s="3" t="str">
        <f>VLOOKUP(B2545,[1]LifeList!$E$2:$G$2036,2)</f>
        <v>Pic à tête rouge</v>
      </c>
      <c r="F2545" s="3" t="str">
        <f>VLOOKUP(B2545,[1]LifeList!$E$2:$G$2036,3)</f>
        <v>Melanerpes erythrocephalus</v>
      </c>
      <c r="G2545" s="3" t="str">
        <f>VLOOKUP(B2545,[1]LifeList!$E$2:$I$2036,4)</f>
        <v>Piciformes</v>
      </c>
      <c r="H2545" s="3" t="str">
        <f>VLOOKUP(B2545,[1]LifeList!$E$2:$I$2036,5)</f>
        <v>Picidae (Woodpeckers)</v>
      </c>
    </row>
    <row r="2546" spans="1:8" x14ac:dyDescent="0.15">
      <c r="A2546" s="3" t="s">
        <v>2428</v>
      </c>
      <c r="B2546" s="3" t="s">
        <v>4770</v>
      </c>
      <c r="C2546" s="3">
        <v>11145</v>
      </c>
      <c r="D2546" s="3" t="str">
        <f>VLOOKUP(B2546,[1]LifeList!$E$2:$G$2036,1)</f>
        <v>Red-headed Woodpecker</v>
      </c>
      <c r="E2546" s="3" t="str">
        <f>VLOOKUP(B2546,[1]LifeList!$E$2:$G$2036,2)</f>
        <v>Pic à tête rouge</v>
      </c>
      <c r="F2546" s="3" t="str">
        <f>VLOOKUP(B2546,[1]LifeList!$E$2:$G$2036,3)</f>
        <v>Melanerpes erythrocephalus</v>
      </c>
      <c r="G2546" s="3" t="str">
        <f>VLOOKUP(B2546,[1]LifeList!$E$2:$I$2036,4)</f>
        <v>Piciformes</v>
      </c>
      <c r="H2546" s="3" t="str">
        <f>VLOOKUP(B2546,[1]LifeList!$E$2:$I$2036,5)</f>
        <v>Picidae (Woodpeckers)</v>
      </c>
    </row>
    <row r="2547" spans="1:8" x14ac:dyDescent="0.15">
      <c r="A2547" s="3" t="s">
        <v>2429</v>
      </c>
      <c r="B2547" s="3" t="s">
        <v>4770</v>
      </c>
      <c r="C2547" s="3">
        <v>11145</v>
      </c>
      <c r="D2547" s="3" t="str">
        <f>VLOOKUP(B2547,[1]LifeList!$E$2:$G$2036,1)</f>
        <v>Red-headed Woodpecker</v>
      </c>
      <c r="E2547" s="3" t="str">
        <f>VLOOKUP(B2547,[1]LifeList!$E$2:$G$2036,2)</f>
        <v>Pic à tête rouge</v>
      </c>
      <c r="F2547" s="3" t="str">
        <f>VLOOKUP(B2547,[1]LifeList!$E$2:$G$2036,3)</f>
        <v>Melanerpes erythrocephalus</v>
      </c>
      <c r="G2547" s="3" t="str">
        <f>VLOOKUP(B2547,[1]LifeList!$E$2:$I$2036,4)</f>
        <v>Piciformes</v>
      </c>
      <c r="H2547" s="3" t="str">
        <f>VLOOKUP(B2547,[1]LifeList!$E$2:$I$2036,5)</f>
        <v>Picidae (Woodpeckers)</v>
      </c>
    </row>
    <row r="2548" spans="1:8" x14ac:dyDescent="0.15">
      <c r="A2548" s="3" t="s">
        <v>2430</v>
      </c>
      <c r="B2548" s="3" t="s">
        <v>4770</v>
      </c>
      <c r="C2548" s="3">
        <v>11145</v>
      </c>
      <c r="D2548" s="3" t="str">
        <f>VLOOKUP(B2548,[1]LifeList!$E$2:$G$2036,1)</f>
        <v>Red-headed Woodpecker</v>
      </c>
      <c r="E2548" s="3" t="str">
        <f>VLOOKUP(B2548,[1]LifeList!$E$2:$G$2036,2)</f>
        <v>Pic à tête rouge</v>
      </c>
      <c r="F2548" s="3" t="str">
        <f>VLOOKUP(B2548,[1]LifeList!$E$2:$G$2036,3)</f>
        <v>Melanerpes erythrocephalus</v>
      </c>
      <c r="G2548" s="3" t="str">
        <f>VLOOKUP(B2548,[1]LifeList!$E$2:$I$2036,4)</f>
        <v>Piciformes</v>
      </c>
      <c r="H2548" s="3" t="str">
        <f>VLOOKUP(B2548,[1]LifeList!$E$2:$I$2036,5)</f>
        <v>Picidae (Woodpeckers)</v>
      </c>
    </row>
    <row r="2549" spans="1:8" x14ac:dyDescent="0.15">
      <c r="A2549" s="3" t="s">
        <v>2431</v>
      </c>
      <c r="B2549" s="3" t="s">
        <v>4770</v>
      </c>
      <c r="C2549" s="3">
        <v>11145</v>
      </c>
      <c r="D2549" s="3" t="str">
        <f>VLOOKUP(B2549,[1]LifeList!$E$2:$G$2036,1)</f>
        <v>Red-headed Woodpecker</v>
      </c>
      <c r="E2549" s="3" t="str">
        <f>VLOOKUP(B2549,[1]LifeList!$E$2:$G$2036,2)</f>
        <v>Pic à tête rouge</v>
      </c>
      <c r="F2549" s="3" t="str">
        <f>VLOOKUP(B2549,[1]LifeList!$E$2:$G$2036,3)</f>
        <v>Melanerpes erythrocephalus</v>
      </c>
      <c r="G2549" s="3" t="str">
        <f>VLOOKUP(B2549,[1]LifeList!$E$2:$I$2036,4)</f>
        <v>Piciformes</v>
      </c>
      <c r="H2549" s="3" t="str">
        <f>VLOOKUP(B2549,[1]LifeList!$E$2:$I$2036,5)</f>
        <v>Picidae (Woodpeckers)</v>
      </c>
    </row>
    <row r="2550" spans="1:8" x14ac:dyDescent="0.15">
      <c r="A2550" s="3" t="s">
        <v>2432</v>
      </c>
      <c r="B2550" s="3" t="s">
        <v>4771</v>
      </c>
      <c r="C2550" s="3">
        <v>35174</v>
      </c>
      <c r="D2550" s="3" t="str">
        <f>VLOOKUP(B2550,[1]LifeList!$E$2:$G$2036,1)</f>
        <v>Red-legged Honeycreeper</v>
      </c>
      <c r="E2550" s="3" t="str">
        <f>VLOOKUP(B2550,[1]LifeList!$E$2:$G$2036,2)</f>
        <v>Guit-guit saï</v>
      </c>
      <c r="F2550" s="3" t="str">
        <f>VLOOKUP(B2550,[1]LifeList!$E$2:$G$2036,3)</f>
        <v>Cyanerpes cyaneus</v>
      </c>
      <c r="G2550" s="3" t="str">
        <f>VLOOKUP(B2550,[1]LifeList!$E$2:$I$2036,4)</f>
        <v>Passeriformes</v>
      </c>
      <c r="H2550" s="3" t="str">
        <f>VLOOKUP(B2550,[1]LifeList!$E$2:$I$2036,5)</f>
        <v>Thraupidae (Tanagers and Allies)</v>
      </c>
    </row>
    <row r="2551" spans="1:8" x14ac:dyDescent="0.15">
      <c r="A2551" s="3" t="s">
        <v>2433</v>
      </c>
      <c r="B2551" s="3" t="s">
        <v>4771</v>
      </c>
      <c r="C2551" s="3">
        <v>35174</v>
      </c>
      <c r="D2551" s="3" t="str">
        <f>VLOOKUP(B2551,[1]LifeList!$E$2:$G$2036,1)</f>
        <v>Red-legged Honeycreeper</v>
      </c>
      <c r="E2551" s="3" t="str">
        <f>VLOOKUP(B2551,[1]LifeList!$E$2:$G$2036,2)</f>
        <v>Guit-guit saï</v>
      </c>
      <c r="F2551" s="3" t="str">
        <f>VLOOKUP(B2551,[1]LifeList!$E$2:$G$2036,3)</f>
        <v>Cyanerpes cyaneus</v>
      </c>
      <c r="G2551" s="3" t="str">
        <f>VLOOKUP(B2551,[1]LifeList!$E$2:$I$2036,4)</f>
        <v>Passeriformes</v>
      </c>
      <c r="H2551" s="3" t="str">
        <f>VLOOKUP(B2551,[1]LifeList!$E$2:$I$2036,5)</f>
        <v>Thraupidae (Tanagers and Allies)</v>
      </c>
    </row>
    <row r="2552" spans="1:8" x14ac:dyDescent="0.15">
      <c r="A2552" s="3" t="s">
        <v>2434</v>
      </c>
      <c r="B2552" s="3" t="s">
        <v>4771</v>
      </c>
      <c r="C2552" s="3">
        <v>35174</v>
      </c>
      <c r="D2552" s="3" t="str">
        <f>VLOOKUP(B2552,[1]LifeList!$E$2:$G$2036,1)</f>
        <v>Red-legged Honeycreeper</v>
      </c>
      <c r="E2552" s="3" t="str">
        <f>VLOOKUP(B2552,[1]LifeList!$E$2:$G$2036,2)</f>
        <v>Guit-guit saï</v>
      </c>
      <c r="F2552" s="3" t="str">
        <f>VLOOKUP(B2552,[1]LifeList!$E$2:$G$2036,3)</f>
        <v>Cyanerpes cyaneus</v>
      </c>
      <c r="G2552" s="3" t="str">
        <f>VLOOKUP(B2552,[1]LifeList!$E$2:$I$2036,4)</f>
        <v>Passeriformes</v>
      </c>
      <c r="H2552" s="3" t="str">
        <f>VLOOKUP(B2552,[1]LifeList!$E$2:$I$2036,5)</f>
        <v>Thraupidae (Tanagers and Allies)</v>
      </c>
    </row>
    <row r="2553" spans="1:8" x14ac:dyDescent="0.15">
      <c r="A2553" s="3" t="s">
        <v>2435</v>
      </c>
      <c r="B2553" s="3" t="s">
        <v>4772</v>
      </c>
      <c r="C2553" s="3">
        <v>12909</v>
      </c>
      <c r="D2553" s="3" t="str">
        <f>VLOOKUP(B2553,[1]LifeList!$E$2:$G$2036,1)</f>
        <v>Red-lored Amazon</v>
      </c>
      <c r="E2553" s="3" t="str">
        <f>VLOOKUP(B2553,[1]LifeList!$E$2:$G$2036,2)</f>
        <v>Amazone diadème [autumnalis ou salvini]</v>
      </c>
      <c r="F2553" s="3" t="str">
        <f>VLOOKUP(B2553,[1]LifeList!$E$2:$G$2036,3)</f>
        <v>Amazona autumnalis</v>
      </c>
      <c r="G2553" s="3" t="str">
        <f>VLOOKUP(B2553,[1]LifeList!$E$2:$I$2036,4)</f>
        <v>Psittaciformes</v>
      </c>
      <c r="H2553" s="3" t="str">
        <f>VLOOKUP(B2553,[1]LifeList!$E$2:$I$2036,5)</f>
        <v>Psittacidae (New World and African Parrots)</v>
      </c>
    </row>
    <row r="2554" spans="1:8" x14ac:dyDescent="0.15">
      <c r="A2554" s="3" t="s">
        <v>2436</v>
      </c>
      <c r="B2554" s="3" t="s">
        <v>4772</v>
      </c>
      <c r="C2554" s="3">
        <v>12909</v>
      </c>
      <c r="D2554" s="3" t="str">
        <f>VLOOKUP(B2554,[1]LifeList!$E$2:$G$2036,1)</f>
        <v>Red-lored Amazon</v>
      </c>
      <c r="E2554" s="3" t="str">
        <f>VLOOKUP(B2554,[1]LifeList!$E$2:$G$2036,2)</f>
        <v>Amazone diadème [autumnalis ou salvini]</v>
      </c>
      <c r="F2554" s="3" t="str">
        <f>VLOOKUP(B2554,[1]LifeList!$E$2:$G$2036,3)</f>
        <v>Amazona autumnalis</v>
      </c>
      <c r="G2554" s="3" t="str">
        <f>VLOOKUP(B2554,[1]LifeList!$E$2:$I$2036,4)</f>
        <v>Psittaciformes</v>
      </c>
      <c r="H2554" s="3" t="str">
        <f>VLOOKUP(B2554,[1]LifeList!$E$2:$I$2036,5)</f>
        <v>Psittacidae (New World and African Parrots)</v>
      </c>
    </row>
    <row r="2555" spans="1:8" x14ac:dyDescent="0.15">
      <c r="A2555" s="3" t="s">
        <v>2437</v>
      </c>
      <c r="B2555" s="3" t="s">
        <v>4772</v>
      </c>
      <c r="C2555" s="3">
        <v>12909</v>
      </c>
      <c r="D2555" s="3" t="str">
        <f>VLOOKUP(B2555,[1]LifeList!$E$2:$G$2036,1)</f>
        <v>Red-lored Amazon</v>
      </c>
      <c r="E2555" s="3" t="str">
        <f>VLOOKUP(B2555,[1]LifeList!$E$2:$G$2036,2)</f>
        <v>Amazone diadème [autumnalis ou salvini]</v>
      </c>
      <c r="F2555" s="3" t="str">
        <f>VLOOKUP(B2555,[1]LifeList!$E$2:$G$2036,3)</f>
        <v>Amazona autumnalis</v>
      </c>
      <c r="G2555" s="3" t="str">
        <f>VLOOKUP(B2555,[1]LifeList!$E$2:$I$2036,4)</f>
        <v>Psittaciformes</v>
      </c>
      <c r="H2555" s="3" t="str">
        <f>VLOOKUP(B2555,[1]LifeList!$E$2:$I$2036,5)</f>
        <v>Psittacidae (New World and African Parrots)</v>
      </c>
    </row>
    <row r="2556" spans="1:8" x14ac:dyDescent="0.15">
      <c r="A2556" s="3" t="s">
        <v>2438</v>
      </c>
      <c r="B2556" s="3" t="s">
        <v>4772</v>
      </c>
      <c r="C2556" s="3">
        <v>12909</v>
      </c>
      <c r="D2556" s="3" t="str">
        <f>VLOOKUP(B2556,[1]LifeList!$E$2:$G$2036,1)</f>
        <v>Red-lored Amazon</v>
      </c>
      <c r="E2556" s="3" t="str">
        <f>VLOOKUP(B2556,[1]LifeList!$E$2:$G$2036,2)</f>
        <v>Amazone diadème [autumnalis ou salvini]</v>
      </c>
      <c r="F2556" s="3" t="str">
        <f>VLOOKUP(B2556,[1]LifeList!$E$2:$G$2036,3)</f>
        <v>Amazona autumnalis</v>
      </c>
      <c r="G2556" s="3" t="str">
        <f>VLOOKUP(B2556,[1]LifeList!$E$2:$I$2036,4)</f>
        <v>Psittaciformes</v>
      </c>
      <c r="H2556" s="3" t="str">
        <f>VLOOKUP(B2556,[1]LifeList!$E$2:$I$2036,5)</f>
        <v>Psittacidae (New World and African Parrots)</v>
      </c>
    </row>
    <row r="2557" spans="1:8" x14ac:dyDescent="0.15">
      <c r="A2557" s="3" t="s">
        <v>2439</v>
      </c>
      <c r="B2557" s="3" t="s">
        <v>4772</v>
      </c>
      <c r="C2557" s="3">
        <v>12909</v>
      </c>
      <c r="D2557" s="3" t="str">
        <f>VLOOKUP(B2557,[1]LifeList!$E$2:$G$2036,1)</f>
        <v>Red-lored Amazon</v>
      </c>
      <c r="E2557" s="3" t="str">
        <f>VLOOKUP(B2557,[1]LifeList!$E$2:$G$2036,2)</f>
        <v>Amazone diadème [autumnalis ou salvini]</v>
      </c>
      <c r="F2557" s="3" t="str">
        <f>VLOOKUP(B2557,[1]LifeList!$E$2:$G$2036,3)</f>
        <v>Amazona autumnalis</v>
      </c>
      <c r="G2557" s="3" t="str">
        <f>VLOOKUP(B2557,[1]LifeList!$E$2:$I$2036,4)</f>
        <v>Psittaciformes</v>
      </c>
      <c r="H2557" s="3" t="str">
        <f>VLOOKUP(B2557,[1]LifeList!$E$2:$I$2036,5)</f>
        <v>Psittacidae (New World and African Parrots)</v>
      </c>
    </row>
    <row r="2558" spans="1:8" x14ac:dyDescent="0.15">
      <c r="A2558" s="3" t="s">
        <v>2440</v>
      </c>
      <c r="B2558" s="3" t="s">
        <v>4772</v>
      </c>
      <c r="C2558" s="3">
        <v>12909</v>
      </c>
      <c r="D2558" s="3" t="str">
        <f>VLOOKUP(B2558,[1]LifeList!$E$2:$G$2036,1)</f>
        <v>Red-lored Amazon</v>
      </c>
      <c r="E2558" s="3" t="str">
        <f>VLOOKUP(B2558,[1]LifeList!$E$2:$G$2036,2)</f>
        <v>Amazone diadème [autumnalis ou salvini]</v>
      </c>
      <c r="F2558" s="3" t="str">
        <f>VLOOKUP(B2558,[1]LifeList!$E$2:$G$2036,3)</f>
        <v>Amazona autumnalis</v>
      </c>
      <c r="G2558" s="3" t="str">
        <f>VLOOKUP(B2558,[1]LifeList!$E$2:$I$2036,4)</f>
        <v>Psittaciformes</v>
      </c>
      <c r="H2558" s="3" t="str">
        <f>VLOOKUP(B2558,[1]LifeList!$E$2:$I$2036,5)</f>
        <v>Psittacidae (New World and African Parrots)</v>
      </c>
    </row>
    <row r="2559" spans="1:8" x14ac:dyDescent="0.15">
      <c r="A2559" s="3" t="s">
        <v>2441</v>
      </c>
      <c r="B2559" s="3" t="s">
        <v>4773</v>
      </c>
      <c r="C2559" s="3">
        <v>5778</v>
      </c>
      <c r="D2559" s="3" t="str">
        <f>VLOOKUP(B2559,[1]LifeList!$E$2:$G$2036,1)</f>
        <v>Red-necked Avocet</v>
      </c>
      <c r="E2559" s="3" t="str">
        <f>VLOOKUP(B2559,[1]LifeList!$E$2:$G$2036,2)</f>
        <v>Avocette d'Australie</v>
      </c>
      <c r="F2559" s="3" t="str">
        <f>VLOOKUP(B2559,[1]LifeList!$E$2:$G$2036,3)</f>
        <v>Recurvirostra novaehollandiae</v>
      </c>
      <c r="G2559" s="3" t="str">
        <f>VLOOKUP(B2559,[1]LifeList!$E$2:$I$2036,4)</f>
        <v>Charadriiformes</v>
      </c>
      <c r="H2559" s="3" t="str">
        <f>VLOOKUP(B2559,[1]LifeList!$E$2:$I$2036,5)</f>
        <v>Recurvirostridae (Stilts and Avocets)</v>
      </c>
    </row>
    <row r="2560" spans="1:8" x14ac:dyDescent="0.15">
      <c r="A2560" s="3" t="s">
        <v>2442</v>
      </c>
      <c r="B2560" s="3" t="s">
        <v>4774</v>
      </c>
      <c r="C2560" s="3">
        <v>12052</v>
      </c>
      <c r="D2560" s="3" t="str">
        <f>VLOOKUP(B2560,[1]LifeList!$E$2:$G$2036,1)</f>
        <v>Red-necked Falcon</v>
      </c>
      <c r="E2560" s="3" t="str">
        <f>VLOOKUP(B2560,[1]LifeList!$E$2:$G$2036,2)</f>
        <v>Faucon chicquera</v>
      </c>
      <c r="F2560" s="3" t="str">
        <f>VLOOKUP(B2560,[1]LifeList!$E$2:$G$2036,3)</f>
        <v>Falco chicquera</v>
      </c>
      <c r="G2560" s="3" t="str">
        <f>VLOOKUP(B2560,[1]LifeList!$E$2:$I$2036,4)</f>
        <v>Falconiformes</v>
      </c>
      <c r="H2560" s="3" t="str">
        <f>VLOOKUP(B2560,[1]LifeList!$E$2:$I$2036,5)</f>
        <v>Falconidae (Falcons and Caracaras)</v>
      </c>
    </row>
    <row r="2561" spans="1:8" x14ac:dyDescent="0.15">
      <c r="A2561" s="3" t="s">
        <v>2443</v>
      </c>
      <c r="B2561" s="3" t="s">
        <v>4775</v>
      </c>
      <c r="C2561" s="3">
        <v>6121</v>
      </c>
      <c r="D2561" s="3" t="str">
        <f>VLOOKUP(B2561,[1]LifeList!$E$2:$G$2036,1)</f>
        <v>Red-necked Phalarope</v>
      </c>
      <c r="E2561" s="3" t="str">
        <f>VLOOKUP(B2561,[1]LifeList!$E$2:$G$2036,2)</f>
        <v>Phalarope à bec étroit</v>
      </c>
      <c r="F2561" s="3" t="str">
        <f>VLOOKUP(B2561,[1]LifeList!$E$2:$G$2036,3)</f>
        <v>Phalaropus lobatus</v>
      </c>
      <c r="G2561" s="3" t="str">
        <f>VLOOKUP(B2561,[1]LifeList!$E$2:$I$2036,4)</f>
        <v>Charadriiformes</v>
      </c>
      <c r="H2561" s="3" t="str">
        <f>VLOOKUP(B2561,[1]LifeList!$E$2:$I$2036,5)</f>
        <v>Scolopacidae (Sandpipers and Allies)</v>
      </c>
    </row>
    <row r="2562" spans="1:8" x14ac:dyDescent="0.15">
      <c r="A2562" s="3" t="s">
        <v>2444</v>
      </c>
      <c r="B2562" s="3" t="s">
        <v>4775</v>
      </c>
      <c r="C2562" s="3">
        <v>6121</v>
      </c>
      <c r="D2562" s="3" t="str">
        <f>VLOOKUP(B2562,[1]LifeList!$E$2:$G$2036,1)</f>
        <v>Red-necked Phalarope</v>
      </c>
      <c r="E2562" s="3" t="str">
        <f>VLOOKUP(B2562,[1]LifeList!$E$2:$G$2036,2)</f>
        <v>Phalarope à bec étroit</v>
      </c>
      <c r="F2562" s="3" t="str">
        <f>VLOOKUP(B2562,[1]LifeList!$E$2:$G$2036,3)</f>
        <v>Phalaropus lobatus</v>
      </c>
      <c r="G2562" s="3" t="str">
        <f>VLOOKUP(B2562,[1]LifeList!$E$2:$I$2036,4)</f>
        <v>Charadriiformes</v>
      </c>
      <c r="H2562" s="3" t="str">
        <f>VLOOKUP(B2562,[1]LifeList!$E$2:$I$2036,5)</f>
        <v>Scolopacidae (Sandpipers and Allies)</v>
      </c>
    </row>
    <row r="2563" spans="1:8" x14ac:dyDescent="0.15">
      <c r="A2563" s="3" t="s">
        <v>2445</v>
      </c>
      <c r="B2563" s="3" t="s">
        <v>4776</v>
      </c>
      <c r="C2563" s="3">
        <v>1841</v>
      </c>
      <c r="D2563" s="3" t="str">
        <f>VLOOKUP(B2563,[1]LifeList!$E$2:$G$2036,1)</f>
        <v>Red-necked Spurfowl</v>
      </c>
      <c r="E2563" s="3" t="str">
        <f>VLOOKUP(B2563,[1]LifeList!$E$2:$G$2036,2)</f>
        <v>Francolin à gorge rouge</v>
      </c>
      <c r="F2563" s="3" t="str">
        <f>VLOOKUP(B2563,[1]LifeList!$E$2:$G$2036,3)</f>
        <v>Pternistis afer</v>
      </c>
      <c r="G2563" s="3" t="str">
        <f>VLOOKUP(B2563,[1]LifeList!$E$2:$I$2036,4)</f>
        <v>Galliformes</v>
      </c>
      <c r="H2563" s="3" t="str">
        <f>VLOOKUP(B2563,[1]LifeList!$E$2:$I$2036,5)</f>
        <v>Phasianidae (Pheasants, Grouse, and Allies)</v>
      </c>
    </row>
    <row r="2564" spans="1:8" x14ac:dyDescent="0.15">
      <c r="A2564" s="3" t="s">
        <v>2446</v>
      </c>
      <c r="B2564" s="3" t="s">
        <v>4777</v>
      </c>
      <c r="C2564" s="3">
        <v>6186</v>
      </c>
      <c r="D2564" s="3" t="str">
        <f>VLOOKUP(B2564,[1]LifeList!$E$2:$G$2036,1)</f>
        <v>Red-necked Stint</v>
      </c>
      <c r="E2564" s="3" t="str">
        <f>VLOOKUP(B2564,[1]LifeList!$E$2:$G$2036,2)</f>
        <v>Bécasseau à col roux</v>
      </c>
      <c r="F2564" s="3" t="str">
        <f>VLOOKUP(B2564,[1]LifeList!$E$2:$G$2036,3)</f>
        <v>Calidris ruficollis</v>
      </c>
      <c r="G2564" s="3" t="str">
        <f>VLOOKUP(B2564,[1]LifeList!$E$2:$I$2036,4)</f>
        <v>Charadriiformes</v>
      </c>
      <c r="H2564" s="3" t="str">
        <f>VLOOKUP(B2564,[1]LifeList!$E$2:$I$2036,5)</f>
        <v>Scolopacidae (Sandpipers and Allies)</v>
      </c>
    </row>
    <row r="2565" spans="1:8" x14ac:dyDescent="0.15">
      <c r="A2565" s="3" t="s">
        <v>2447</v>
      </c>
      <c r="B2565" s="3" t="s">
        <v>4777</v>
      </c>
      <c r="C2565" s="3">
        <v>6186</v>
      </c>
      <c r="D2565" s="3" t="str">
        <f>VLOOKUP(B2565,[1]LifeList!$E$2:$G$2036,1)</f>
        <v>Red-necked Stint</v>
      </c>
      <c r="E2565" s="3" t="str">
        <f>VLOOKUP(B2565,[1]LifeList!$E$2:$G$2036,2)</f>
        <v>Bécasseau à col roux</v>
      </c>
      <c r="F2565" s="3" t="str">
        <f>VLOOKUP(B2565,[1]LifeList!$E$2:$G$2036,3)</f>
        <v>Calidris ruficollis</v>
      </c>
      <c r="G2565" s="3" t="str">
        <f>VLOOKUP(B2565,[1]LifeList!$E$2:$I$2036,4)</f>
        <v>Charadriiformes</v>
      </c>
      <c r="H2565" s="3" t="str">
        <f>VLOOKUP(B2565,[1]LifeList!$E$2:$I$2036,5)</f>
        <v>Scolopacidae (Sandpipers and Allies)</v>
      </c>
    </row>
    <row r="2566" spans="1:8" x14ac:dyDescent="0.15">
      <c r="A2566" s="3" t="s">
        <v>2449</v>
      </c>
      <c r="B2566" s="3" t="s">
        <v>4778</v>
      </c>
      <c r="C2566" s="3">
        <v>12514</v>
      </c>
      <c r="D2566" s="3" t="str">
        <f>VLOOKUP(B2566,[1]LifeList!$E$2:$G$2036,1)</f>
        <v>Red-rumped Parrot</v>
      </c>
      <c r="E2566" s="3" t="str">
        <f>VLOOKUP(B2566,[1]LifeList!$E$2:$G$2036,2)</f>
        <v>Perruche à croupion rouge</v>
      </c>
      <c r="F2566" s="3" t="str">
        <f>VLOOKUP(B2566,[1]LifeList!$E$2:$G$2036,3)</f>
        <v>Psephotus haematonotus</v>
      </c>
      <c r="G2566" s="3" t="str">
        <f>VLOOKUP(B2566,[1]LifeList!$E$2:$I$2036,4)</f>
        <v>Psittaciformes</v>
      </c>
      <c r="H2566" s="3" t="str">
        <f>VLOOKUP(B2566,[1]LifeList!$E$2:$I$2036,5)</f>
        <v>Psittaculidae (Old World Parrots)</v>
      </c>
    </row>
    <row r="2567" spans="1:8" x14ac:dyDescent="0.15">
      <c r="A2567" s="3" t="s">
        <v>2448</v>
      </c>
      <c r="B2567" s="3" t="s">
        <v>4778</v>
      </c>
      <c r="C2567" s="3">
        <v>12514</v>
      </c>
      <c r="D2567" s="3" t="str">
        <f>VLOOKUP(B2567,[1]LifeList!$E$2:$G$2036,1)</f>
        <v>Red-rumped Parrot</v>
      </c>
      <c r="E2567" s="3" t="str">
        <f>VLOOKUP(B2567,[1]LifeList!$E$2:$G$2036,2)</f>
        <v>Perruche à croupion rouge</v>
      </c>
      <c r="F2567" s="3" t="str">
        <f>VLOOKUP(B2567,[1]LifeList!$E$2:$G$2036,3)</f>
        <v>Psephotus haematonotus</v>
      </c>
      <c r="G2567" s="3" t="str">
        <f>VLOOKUP(B2567,[1]LifeList!$E$2:$I$2036,4)</f>
        <v>Psittaciformes</v>
      </c>
      <c r="H2567" s="3" t="str">
        <f>VLOOKUP(B2567,[1]LifeList!$E$2:$I$2036,5)</f>
        <v>Psittaculidae (Old World Parrots)</v>
      </c>
    </row>
    <row r="2568" spans="1:8" x14ac:dyDescent="0.15">
      <c r="A2568" s="3" t="s">
        <v>2451</v>
      </c>
      <c r="B2568" s="3" t="s">
        <v>4779</v>
      </c>
      <c r="C2568" s="3">
        <v>11467</v>
      </c>
      <c r="D2568" s="3" t="str">
        <f>VLOOKUP(B2568,[1]LifeList!$E$2:$G$2036,1)</f>
        <v>Red-rumped Woodpecker</v>
      </c>
      <c r="E2568" s="3" t="str">
        <f>VLOOKUP(B2568,[1]LifeList!$E$2:$G$2036,2)</f>
        <v>Pic à croupion rouge</v>
      </c>
      <c r="F2568" s="3" t="str">
        <f>VLOOKUP(B2568,[1]LifeList!$E$2:$G$2036,3)</f>
        <v>Veniliornis kirkii</v>
      </c>
      <c r="G2568" s="3" t="str">
        <f>VLOOKUP(B2568,[1]LifeList!$E$2:$I$2036,4)</f>
        <v>Piciformes</v>
      </c>
      <c r="H2568" s="3" t="str">
        <f>VLOOKUP(B2568,[1]LifeList!$E$2:$I$2036,5)</f>
        <v>Picidae (Woodpeckers)</v>
      </c>
    </row>
    <row r="2569" spans="1:8" x14ac:dyDescent="0.15">
      <c r="A2569" s="3" t="s">
        <v>2452</v>
      </c>
      <c r="B2569" s="3" t="s">
        <v>4779</v>
      </c>
      <c r="C2569" s="3">
        <v>11467</v>
      </c>
      <c r="D2569" s="3" t="str">
        <f>VLOOKUP(B2569,[1]LifeList!$E$2:$G$2036,1)</f>
        <v>Red-rumped Woodpecker</v>
      </c>
      <c r="E2569" s="3" t="str">
        <f>VLOOKUP(B2569,[1]LifeList!$E$2:$G$2036,2)</f>
        <v>Pic à croupion rouge</v>
      </c>
      <c r="F2569" s="3" t="str">
        <f>VLOOKUP(B2569,[1]LifeList!$E$2:$G$2036,3)</f>
        <v>Veniliornis kirkii</v>
      </c>
      <c r="G2569" s="3" t="str">
        <f>VLOOKUP(B2569,[1]LifeList!$E$2:$I$2036,4)</f>
        <v>Piciformes</v>
      </c>
      <c r="H2569" s="3" t="str">
        <f>VLOOKUP(B2569,[1]LifeList!$E$2:$I$2036,5)</f>
        <v>Picidae (Woodpeckers)</v>
      </c>
    </row>
    <row r="2570" spans="1:8" x14ac:dyDescent="0.15">
      <c r="A2570" s="3" t="s">
        <v>2453</v>
      </c>
      <c r="B2570" s="3" t="s">
        <v>4779</v>
      </c>
      <c r="C2570" s="3">
        <v>11467</v>
      </c>
      <c r="D2570" s="3" t="str">
        <f>VLOOKUP(B2570,[1]LifeList!$E$2:$G$2036,1)</f>
        <v>Red-rumped Woodpecker</v>
      </c>
      <c r="E2570" s="3" t="str">
        <f>VLOOKUP(B2570,[1]LifeList!$E$2:$G$2036,2)</f>
        <v>Pic à croupion rouge</v>
      </c>
      <c r="F2570" s="3" t="str">
        <f>VLOOKUP(B2570,[1]LifeList!$E$2:$G$2036,3)</f>
        <v>Veniliornis kirkii</v>
      </c>
      <c r="G2570" s="3" t="str">
        <f>VLOOKUP(B2570,[1]LifeList!$E$2:$I$2036,4)</f>
        <v>Piciformes</v>
      </c>
      <c r="H2570" s="3" t="str">
        <f>VLOOKUP(B2570,[1]LifeList!$E$2:$I$2036,5)</f>
        <v>Picidae (Woodpeckers)</v>
      </c>
    </row>
    <row r="2571" spans="1:8" x14ac:dyDescent="0.15">
      <c r="A2571" s="3" t="s">
        <v>2450</v>
      </c>
      <c r="B2571" s="3" t="s">
        <v>4779</v>
      </c>
      <c r="C2571" s="3">
        <v>11467</v>
      </c>
      <c r="D2571" s="3" t="str">
        <f>VLOOKUP(B2571,[1]LifeList!$E$2:$G$2036,1)</f>
        <v>Red-rumped Woodpecker</v>
      </c>
      <c r="E2571" s="3" t="str">
        <f>VLOOKUP(B2571,[1]LifeList!$E$2:$G$2036,2)</f>
        <v>Pic à croupion rouge</v>
      </c>
      <c r="F2571" s="3" t="str">
        <f>VLOOKUP(B2571,[1]LifeList!$E$2:$G$2036,3)</f>
        <v>Veniliornis kirkii</v>
      </c>
      <c r="G2571" s="3" t="str">
        <f>VLOOKUP(B2571,[1]LifeList!$E$2:$I$2036,4)</f>
        <v>Piciformes</v>
      </c>
      <c r="H2571" s="3" t="str">
        <f>VLOOKUP(B2571,[1]LifeList!$E$2:$I$2036,5)</f>
        <v>Picidae (Woodpeckers)</v>
      </c>
    </row>
    <row r="2572" spans="1:8" x14ac:dyDescent="0.15">
      <c r="A2572" s="3" t="s">
        <v>2454</v>
      </c>
      <c r="B2572" s="3" t="s">
        <v>4780</v>
      </c>
      <c r="C2572" s="3">
        <v>8487</v>
      </c>
      <c r="D2572" s="3" t="str">
        <f>VLOOKUP(B2572,[1]LifeList!$E$2:$G$2036,1)</f>
        <v>Red-shouldered Hawk</v>
      </c>
      <c r="E2572" s="3" t="str">
        <f>VLOOKUP(B2572,[1]LifeList!$E$2:$G$2036,2)</f>
        <v>Buse à épaulettes</v>
      </c>
      <c r="F2572" s="3" t="str">
        <f>VLOOKUP(B2572,[1]LifeList!$E$2:$G$2036,3)</f>
        <v>Buteo lineatus</v>
      </c>
      <c r="G2572" s="3" t="str">
        <f>VLOOKUP(B2572,[1]LifeList!$E$2:$I$2036,4)</f>
        <v>Accipitriformes</v>
      </c>
      <c r="H2572" s="3" t="str">
        <f>VLOOKUP(B2572,[1]LifeList!$E$2:$I$2036,5)</f>
        <v>Accipitridae (Hawks, Eagles, and Kites)</v>
      </c>
    </row>
    <row r="2573" spans="1:8" x14ac:dyDescent="0.15">
      <c r="A2573" s="3" t="s">
        <v>2455</v>
      </c>
      <c r="B2573" s="3" t="s">
        <v>4780</v>
      </c>
      <c r="C2573" s="3">
        <v>8487</v>
      </c>
      <c r="D2573" s="3" t="str">
        <f>VLOOKUP(B2573,[1]LifeList!$E$2:$G$2036,1)</f>
        <v>Red-shouldered Hawk</v>
      </c>
      <c r="E2573" s="3" t="str">
        <f>VLOOKUP(B2573,[1]LifeList!$E$2:$G$2036,2)</f>
        <v>Buse à épaulettes</v>
      </c>
      <c r="F2573" s="3" t="str">
        <f>VLOOKUP(B2573,[1]LifeList!$E$2:$G$2036,3)</f>
        <v>Buteo lineatus</v>
      </c>
      <c r="G2573" s="3" t="str">
        <f>VLOOKUP(B2573,[1]LifeList!$E$2:$I$2036,4)</f>
        <v>Accipitriformes</v>
      </c>
      <c r="H2573" s="3" t="str">
        <f>VLOOKUP(B2573,[1]LifeList!$E$2:$I$2036,5)</f>
        <v>Accipitridae (Hawks, Eagles, and Kites)</v>
      </c>
    </row>
    <row r="2574" spans="1:8" x14ac:dyDescent="0.15">
      <c r="A2574" s="3" t="s">
        <v>2456</v>
      </c>
      <c r="B2574" s="3" t="s">
        <v>4780</v>
      </c>
      <c r="C2574" s="3">
        <v>8487</v>
      </c>
      <c r="D2574" s="3" t="str">
        <f>VLOOKUP(B2574,[1]LifeList!$E$2:$G$2036,1)</f>
        <v>Red-shouldered Hawk</v>
      </c>
      <c r="E2574" s="3" t="str">
        <f>VLOOKUP(B2574,[1]LifeList!$E$2:$G$2036,2)</f>
        <v>Buse à épaulettes</v>
      </c>
      <c r="F2574" s="3" t="str">
        <f>VLOOKUP(B2574,[1]LifeList!$E$2:$G$2036,3)</f>
        <v>Buteo lineatus</v>
      </c>
      <c r="G2574" s="3" t="str">
        <f>VLOOKUP(B2574,[1]LifeList!$E$2:$I$2036,4)</f>
        <v>Accipitriformes</v>
      </c>
      <c r="H2574" s="3" t="str">
        <f>VLOOKUP(B2574,[1]LifeList!$E$2:$I$2036,5)</f>
        <v>Accipitridae (Hawks, Eagles, and Kites)</v>
      </c>
    </row>
    <row r="2575" spans="1:8" x14ac:dyDescent="0.15">
      <c r="A2575" s="3" t="s">
        <v>2457</v>
      </c>
      <c r="B2575" s="3" t="s">
        <v>4780</v>
      </c>
      <c r="C2575" s="3">
        <v>8487</v>
      </c>
      <c r="D2575" s="3" t="str">
        <f>VLOOKUP(B2575,[1]LifeList!$E$2:$G$2036,1)</f>
        <v>Red-shouldered Hawk</v>
      </c>
      <c r="E2575" s="3" t="str">
        <f>VLOOKUP(B2575,[1]LifeList!$E$2:$G$2036,2)</f>
        <v>Buse à épaulettes</v>
      </c>
      <c r="F2575" s="3" t="str">
        <f>VLOOKUP(B2575,[1]LifeList!$E$2:$G$2036,3)</f>
        <v>Buteo lineatus</v>
      </c>
      <c r="G2575" s="3" t="str">
        <f>VLOOKUP(B2575,[1]LifeList!$E$2:$I$2036,4)</f>
        <v>Accipitriformes</v>
      </c>
      <c r="H2575" s="3" t="str">
        <f>VLOOKUP(B2575,[1]LifeList!$E$2:$I$2036,5)</f>
        <v>Accipitridae (Hawks, Eagles, and Kites)</v>
      </c>
    </row>
    <row r="2576" spans="1:8" x14ac:dyDescent="0.15">
      <c r="A2576" s="3" t="s">
        <v>2458</v>
      </c>
      <c r="B2576" s="3" t="s">
        <v>4780</v>
      </c>
      <c r="C2576" s="3">
        <v>8487</v>
      </c>
      <c r="D2576" s="3" t="str">
        <f>VLOOKUP(B2576,[1]LifeList!$E$2:$G$2036,1)</f>
        <v>Red-shouldered Hawk</v>
      </c>
      <c r="E2576" s="3" t="str">
        <f>VLOOKUP(B2576,[1]LifeList!$E$2:$G$2036,2)</f>
        <v>Buse à épaulettes</v>
      </c>
      <c r="F2576" s="3" t="str">
        <f>VLOOKUP(B2576,[1]LifeList!$E$2:$G$2036,3)</f>
        <v>Buteo lineatus</v>
      </c>
      <c r="G2576" s="3" t="str">
        <f>VLOOKUP(B2576,[1]LifeList!$E$2:$I$2036,4)</f>
        <v>Accipitriformes</v>
      </c>
      <c r="H2576" s="3" t="str">
        <f>VLOOKUP(B2576,[1]LifeList!$E$2:$I$2036,5)</f>
        <v>Accipitridae (Hawks, Eagles, and Kites)</v>
      </c>
    </row>
    <row r="2577" spans="1:8" x14ac:dyDescent="0.15">
      <c r="A2577" s="3" t="s">
        <v>2459</v>
      </c>
      <c r="B2577" s="3" t="s">
        <v>4780</v>
      </c>
      <c r="C2577" s="3">
        <v>8487</v>
      </c>
      <c r="D2577" s="3" t="str">
        <f>VLOOKUP(B2577,[1]LifeList!$E$2:$G$2036,1)</f>
        <v>Red-shouldered Hawk</v>
      </c>
      <c r="E2577" s="3" t="str">
        <f>VLOOKUP(B2577,[1]LifeList!$E$2:$G$2036,2)</f>
        <v>Buse à épaulettes</v>
      </c>
      <c r="F2577" s="3" t="str">
        <f>VLOOKUP(B2577,[1]LifeList!$E$2:$G$2036,3)</f>
        <v>Buteo lineatus</v>
      </c>
      <c r="G2577" s="3" t="str">
        <f>VLOOKUP(B2577,[1]LifeList!$E$2:$I$2036,4)</f>
        <v>Accipitriformes</v>
      </c>
      <c r="H2577" s="3" t="str">
        <f>VLOOKUP(B2577,[1]LifeList!$E$2:$I$2036,5)</f>
        <v>Accipitridae (Hawks, Eagles, and Kites)</v>
      </c>
    </row>
    <row r="2578" spans="1:8" x14ac:dyDescent="0.15">
      <c r="A2578" s="3" t="s">
        <v>2460</v>
      </c>
      <c r="B2578" s="3" t="s">
        <v>4780</v>
      </c>
      <c r="C2578" s="3">
        <v>8487</v>
      </c>
      <c r="D2578" s="3" t="str">
        <f>VLOOKUP(B2578,[1]LifeList!$E$2:$G$2036,1)</f>
        <v>Red-shouldered Hawk</v>
      </c>
      <c r="E2578" s="3" t="str">
        <f>VLOOKUP(B2578,[1]LifeList!$E$2:$G$2036,2)</f>
        <v>Buse à épaulettes</v>
      </c>
      <c r="F2578" s="3" t="str">
        <f>VLOOKUP(B2578,[1]LifeList!$E$2:$G$2036,3)</f>
        <v>Buteo lineatus</v>
      </c>
      <c r="G2578" s="3" t="str">
        <f>VLOOKUP(B2578,[1]LifeList!$E$2:$I$2036,4)</f>
        <v>Accipitriformes</v>
      </c>
      <c r="H2578" s="3" t="str">
        <f>VLOOKUP(B2578,[1]LifeList!$E$2:$I$2036,5)</f>
        <v>Accipitridae (Hawks, Eagles, and Kites)</v>
      </c>
    </row>
    <row r="2579" spans="1:8" x14ac:dyDescent="0.15">
      <c r="A2579" s="3" t="s">
        <v>2461</v>
      </c>
      <c r="B2579" s="3" t="s">
        <v>4780</v>
      </c>
      <c r="C2579" s="3">
        <v>8487</v>
      </c>
      <c r="D2579" s="3" t="str">
        <f>VLOOKUP(B2579,[1]LifeList!$E$2:$G$2036,1)</f>
        <v>Red-shouldered Hawk</v>
      </c>
      <c r="E2579" s="3" t="str">
        <f>VLOOKUP(B2579,[1]LifeList!$E$2:$G$2036,2)</f>
        <v>Buse à épaulettes</v>
      </c>
      <c r="F2579" s="3" t="str">
        <f>VLOOKUP(B2579,[1]LifeList!$E$2:$G$2036,3)</f>
        <v>Buteo lineatus</v>
      </c>
      <c r="G2579" s="3" t="str">
        <f>VLOOKUP(B2579,[1]LifeList!$E$2:$I$2036,4)</f>
        <v>Accipitriformes</v>
      </c>
      <c r="H2579" s="3" t="str">
        <f>VLOOKUP(B2579,[1]LifeList!$E$2:$I$2036,5)</f>
        <v>Accipitridae (Hawks, Eagles, and Kites)</v>
      </c>
    </row>
    <row r="2580" spans="1:8" x14ac:dyDescent="0.15">
      <c r="A2580" s="3" t="s">
        <v>2462</v>
      </c>
      <c r="B2580" s="3" t="s">
        <v>4780</v>
      </c>
      <c r="C2580" s="3">
        <v>8487</v>
      </c>
      <c r="D2580" s="3" t="str">
        <f>VLOOKUP(B2580,[1]LifeList!$E$2:$G$2036,1)</f>
        <v>Red-shouldered Hawk</v>
      </c>
      <c r="E2580" s="3" t="str">
        <f>VLOOKUP(B2580,[1]LifeList!$E$2:$G$2036,2)</f>
        <v>Buse à épaulettes</v>
      </c>
      <c r="F2580" s="3" t="str">
        <f>VLOOKUP(B2580,[1]LifeList!$E$2:$G$2036,3)</f>
        <v>Buteo lineatus</v>
      </c>
      <c r="G2580" s="3" t="str">
        <f>VLOOKUP(B2580,[1]LifeList!$E$2:$I$2036,4)</f>
        <v>Accipitriformes</v>
      </c>
      <c r="H2580" s="3" t="str">
        <f>VLOOKUP(B2580,[1]LifeList!$E$2:$I$2036,5)</f>
        <v>Accipitridae (Hawks, Eagles, and Kites)</v>
      </c>
    </row>
    <row r="2581" spans="1:8" x14ac:dyDescent="0.15">
      <c r="A2581" s="3" t="s">
        <v>2466</v>
      </c>
      <c r="B2581" s="3" t="s">
        <v>4780</v>
      </c>
      <c r="C2581" s="3">
        <v>8487</v>
      </c>
      <c r="D2581" s="3" t="str">
        <f>VLOOKUP(B2581,[1]LifeList!$E$2:$G$2036,1)</f>
        <v>Red-shouldered Hawk</v>
      </c>
      <c r="E2581" s="3" t="str">
        <f>VLOOKUP(B2581,[1]LifeList!$E$2:$G$2036,2)</f>
        <v>Buse à épaulettes</v>
      </c>
      <c r="F2581" s="3" t="str">
        <f>VLOOKUP(B2581,[1]LifeList!$E$2:$G$2036,3)</f>
        <v>Buteo lineatus</v>
      </c>
      <c r="G2581" s="3" t="str">
        <f>VLOOKUP(B2581,[1]LifeList!$E$2:$I$2036,4)</f>
        <v>Accipitriformes</v>
      </c>
      <c r="H2581" s="3" t="str">
        <f>VLOOKUP(B2581,[1]LifeList!$E$2:$I$2036,5)</f>
        <v>Accipitridae (Hawks, Eagles, and Kites)</v>
      </c>
    </row>
    <row r="2582" spans="1:8" x14ac:dyDescent="0.15">
      <c r="A2582" s="3" t="s">
        <v>2463</v>
      </c>
      <c r="B2582" s="3" t="s">
        <v>4780</v>
      </c>
      <c r="C2582" s="3">
        <v>8487</v>
      </c>
      <c r="D2582" s="3" t="str">
        <f>VLOOKUP(B2582,[1]LifeList!$E$2:$G$2036,1)</f>
        <v>Red-shouldered Hawk</v>
      </c>
      <c r="E2582" s="3" t="str">
        <f>VLOOKUP(B2582,[1]LifeList!$E$2:$G$2036,2)</f>
        <v>Buse à épaulettes</v>
      </c>
      <c r="F2582" s="3" t="str">
        <f>VLOOKUP(B2582,[1]LifeList!$E$2:$G$2036,3)</f>
        <v>Buteo lineatus</v>
      </c>
      <c r="G2582" s="3" t="str">
        <f>VLOOKUP(B2582,[1]LifeList!$E$2:$I$2036,4)</f>
        <v>Accipitriformes</v>
      </c>
      <c r="H2582" s="3" t="str">
        <f>VLOOKUP(B2582,[1]LifeList!$E$2:$I$2036,5)</f>
        <v>Accipitridae (Hawks, Eagles, and Kites)</v>
      </c>
    </row>
    <row r="2583" spans="1:8" x14ac:dyDescent="0.15">
      <c r="A2583" s="3" t="s">
        <v>3908</v>
      </c>
      <c r="B2583" s="3" t="s">
        <v>4780</v>
      </c>
      <c r="C2583" s="3">
        <v>8487</v>
      </c>
      <c r="D2583" s="3" t="str">
        <f>VLOOKUP(B2583,[1]LifeList!$E$2:$G$2036,1)</f>
        <v>Red-shouldered Hawk</v>
      </c>
      <c r="E2583" s="3" t="str">
        <f>VLOOKUP(B2583,[1]LifeList!$E$2:$G$2036,2)</f>
        <v>Buse à épaulettes</v>
      </c>
      <c r="F2583" s="3" t="str">
        <f>VLOOKUP(B2583,[1]LifeList!$E$2:$G$2036,3)</f>
        <v>Buteo lineatus</v>
      </c>
      <c r="G2583" s="3" t="str">
        <f>VLOOKUP(B2583,[1]LifeList!$E$2:$I$2036,4)</f>
        <v>Accipitriformes</v>
      </c>
      <c r="H2583" s="3" t="str">
        <f>VLOOKUP(B2583,[1]LifeList!$E$2:$I$2036,5)</f>
        <v>Accipitridae (Hawks, Eagles, and Kites)</v>
      </c>
    </row>
    <row r="2584" spans="1:8" x14ac:dyDescent="0.15">
      <c r="A2584" s="3" t="s">
        <v>2464</v>
      </c>
      <c r="B2584" s="3" t="s">
        <v>4781</v>
      </c>
      <c r="C2584" s="3">
        <v>19981</v>
      </c>
      <c r="D2584" s="3" t="str">
        <f>VLOOKUP(B2584,[1]LifeList!$E$2:$G$2036,1)</f>
        <v>Red-shouldered Vanga</v>
      </c>
      <c r="E2584" s="3" t="str">
        <f>VLOOKUP(B2584,[1]LifeList!$E$2:$G$2036,2)</f>
        <v>Calicalic à épaulettes</v>
      </c>
      <c r="F2584" s="3" t="str">
        <f>VLOOKUP(B2584,[1]LifeList!$E$2:$G$2036,3)</f>
        <v>Calicalicus rufocarpalis</v>
      </c>
      <c r="G2584" s="3" t="str">
        <f>VLOOKUP(B2584,[1]LifeList!$E$2:$I$2036,4)</f>
        <v>Passeriformes</v>
      </c>
      <c r="H2584" s="3" t="str">
        <f>VLOOKUP(B2584,[1]LifeList!$E$2:$I$2036,5)</f>
        <v>Vangidae (Vangas, Helmetshrikes, and Allies)</v>
      </c>
    </row>
    <row r="2585" spans="1:8" x14ac:dyDescent="0.15">
      <c r="A2585" s="3" t="s">
        <v>2465</v>
      </c>
      <c r="B2585" s="3" t="s">
        <v>4781</v>
      </c>
      <c r="C2585" s="3">
        <v>19981</v>
      </c>
      <c r="D2585" s="3" t="str">
        <f>VLOOKUP(B2585,[1]LifeList!$E$2:$G$2036,1)</f>
        <v>Red-shouldered Vanga</v>
      </c>
      <c r="E2585" s="3" t="str">
        <f>VLOOKUP(B2585,[1]LifeList!$E$2:$G$2036,2)</f>
        <v>Calicalic à épaulettes</v>
      </c>
      <c r="F2585" s="3" t="str">
        <f>VLOOKUP(B2585,[1]LifeList!$E$2:$G$2036,3)</f>
        <v>Calicalicus rufocarpalis</v>
      </c>
      <c r="G2585" s="3" t="str">
        <f>VLOOKUP(B2585,[1]LifeList!$E$2:$I$2036,4)</f>
        <v>Passeriformes</v>
      </c>
      <c r="H2585" s="3" t="str">
        <f>VLOOKUP(B2585,[1]LifeList!$E$2:$I$2036,5)</f>
        <v>Vangidae (Vangas, Helmetshrikes, and Allies)</v>
      </c>
    </row>
    <row r="2586" spans="1:8" x14ac:dyDescent="0.15">
      <c r="A2586" s="3" t="s">
        <v>2467</v>
      </c>
      <c r="B2586" s="3" t="s">
        <v>4782</v>
      </c>
      <c r="C2586" s="3">
        <v>8506</v>
      </c>
      <c r="D2586" s="3" t="str">
        <f>VLOOKUP(B2586,[1]LifeList!$E$2:$G$2036,1)</f>
        <v>Red-tailed Hawk</v>
      </c>
      <c r="E2586" s="3" t="str">
        <f>VLOOKUP(B2586,[1]LifeList!$E$2:$G$2036,2)</f>
        <v>Buse à queue rousse</v>
      </c>
      <c r="F2586" s="3" t="str">
        <f>VLOOKUP(B2586,[1]LifeList!$E$2:$G$2036,3)</f>
        <v>Buteo jamaicensis</v>
      </c>
      <c r="G2586" s="3" t="str">
        <f>VLOOKUP(B2586,[1]LifeList!$E$2:$I$2036,4)</f>
        <v>Accipitriformes</v>
      </c>
      <c r="H2586" s="3" t="str">
        <f>VLOOKUP(B2586,[1]LifeList!$E$2:$I$2036,5)</f>
        <v>Accipitridae (Hawks, Eagles, and Kites)</v>
      </c>
    </row>
    <row r="2587" spans="1:8" x14ac:dyDescent="0.15">
      <c r="A2587" s="3" t="s">
        <v>2468</v>
      </c>
      <c r="B2587" s="3" t="s">
        <v>4782</v>
      </c>
      <c r="C2587" s="3">
        <v>8506</v>
      </c>
      <c r="D2587" s="3" t="str">
        <f>VLOOKUP(B2587,[1]LifeList!$E$2:$G$2036,1)</f>
        <v>Red-tailed Hawk</v>
      </c>
      <c r="E2587" s="3" t="str">
        <f>VLOOKUP(B2587,[1]LifeList!$E$2:$G$2036,2)</f>
        <v>Buse à queue rousse</v>
      </c>
      <c r="F2587" s="3" t="str">
        <f>VLOOKUP(B2587,[1]LifeList!$E$2:$G$2036,3)</f>
        <v>Buteo jamaicensis</v>
      </c>
      <c r="G2587" s="3" t="str">
        <f>VLOOKUP(B2587,[1]LifeList!$E$2:$I$2036,4)</f>
        <v>Accipitriformes</v>
      </c>
      <c r="H2587" s="3" t="str">
        <f>VLOOKUP(B2587,[1]LifeList!$E$2:$I$2036,5)</f>
        <v>Accipitridae (Hawks, Eagles, and Kites)</v>
      </c>
    </row>
    <row r="2588" spans="1:8" x14ac:dyDescent="0.15">
      <c r="A2588" s="3" t="s">
        <v>2469</v>
      </c>
      <c r="B2588" s="3" t="s">
        <v>4782</v>
      </c>
      <c r="C2588" s="3">
        <v>8506</v>
      </c>
      <c r="D2588" s="3" t="str">
        <f>VLOOKUP(B2588,[1]LifeList!$E$2:$G$2036,1)</f>
        <v>Red-tailed Hawk</v>
      </c>
      <c r="E2588" s="3" t="str">
        <f>VLOOKUP(B2588,[1]LifeList!$E$2:$G$2036,2)</f>
        <v>Buse à queue rousse</v>
      </c>
      <c r="F2588" s="3" t="str">
        <f>VLOOKUP(B2588,[1]LifeList!$E$2:$G$2036,3)</f>
        <v>Buteo jamaicensis</v>
      </c>
      <c r="G2588" s="3" t="str">
        <f>VLOOKUP(B2588,[1]LifeList!$E$2:$I$2036,4)</f>
        <v>Accipitriformes</v>
      </c>
      <c r="H2588" s="3" t="str">
        <f>VLOOKUP(B2588,[1]LifeList!$E$2:$I$2036,5)</f>
        <v>Accipitridae (Hawks, Eagles, and Kites)</v>
      </c>
    </row>
    <row r="2589" spans="1:8" x14ac:dyDescent="0.15">
      <c r="A2589" s="3" t="s">
        <v>2470</v>
      </c>
      <c r="B2589" s="3" t="s">
        <v>4783</v>
      </c>
      <c r="C2589" s="3">
        <v>6919</v>
      </c>
      <c r="D2589" s="3" t="str">
        <f>VLOOKUP(B2589,[1]LifeList!$E$2:$G$2036,1)</f>
        <v>Red-tailed Tropicbird</v>
      </c>
      <c r="E2589" s="3" t="str">
        <f>VLOOKUP(B2589,[1]LifeList!$E$2:$G$2036,2)</f>
        <v>Phaéton à brins rouges</v>
      </c>
      <c r="F2589" s="3" t="str">
        <f>VLOOKUP(B2589,[1]LifeList!$E$2:$G$2036,3)</f>
        <v>Phaethon rubricauda</v>
      </c>
      <c r="G2589" s="3" t="str">
        <f>VLOOKUP(B2589,[1]LifeList!$E$2:$I$2036,4)</f>
        <v>Phaethontiformes</v>
      </c>
      <c r="H2589" s="3" t="str">
        <f>VLOOKUP(B2589,[1]LifeList!$E$2:$I$2036,5)</f>
        <v>Phaethontidae (Tropicbirds)</v>
      </c>
    </row>
    <row r="2590" spans="1:8" x14ac:dyDescent="0.15">
      <c r="A2590" s="3" t="s">
        <v>2471</v>
      </c>
      <c r="B2590" s="3" t="s">
        <v>4783</v>
      </c>
      <c r="C2590" s="3">
        <v>6919</v>
      </c>
      <c r="D2590" s="3" t="str">
        <f>VLOOKUP(B2590,[1]LifeList!$E$2:$G$2036,1)</f>
        <v>Red-tailed Tropicbird</v>
      </c>
      <c r="E2590" s="3" t="str">
        <f>VLOOKUP(B2590,[1]LifeList!$E$2:$G$2036,2)</f>
        <v>Phaéton à brins rouges</v>
      </c>
      <c r="F2590" s="3" t="str">
        <f>VLOOKUP(B2590,[1]LifeList!$E$2:$G$2036,3)</f>
        <v>Phaethon rubricauda</v>
      </c>
      <c r="G2590" s="3" t="str">
        <f>VLOOKUP(B2590,[1]LifeList!$E$2:$I$2036,4)</f>
        <v>Phaethontiformes</v>
      </c>
      <c r="H2590" s="3" t="str">
        <f>VLOOKUP(B2590,[1]LifeList!$E$2:$I$2036,5)</f>
        <v>Phaethontidae (Tropicbirds)</v>
      </c>
    </row>
    <row r="2591" spans="1:8" x14ac:dyDescent="0.15">
      <c r="A2591" s="3" t="s">
        <v>2472</v>
      </c>
      <c r="B2591" s="3" t="s">
        <v>4783</v>
      </c>
      <c r="C2591" s="3">
        <v>6919</v>
      </c>
      <c r="D2591" s="3" t="str">
        <f>VLOOKUP(B2591,[1]LifeList!$E$2:$G$2036,1)</f>
        <v>Red-tailed Tropicbird</v>
      </c>
      <c r="E2591" s="3" t="str">
        <f>VLOOKUP(B2591,[1]LifeList!$E$2:$G$2036,2)</f>
        <v>Phaéton à brins rouges</v>
      </c>
      <c r="F2591" s="3" t="str">
        <f>VLOOKUP(B2591,[1]LifeList!$E$2:$G$2036,3)</f>
        <v>Phaethon rubricauda</v>
      </c>
      <c r="G2591" s="3" t="str">
        <f>VLOOKUP(B2591,[1]LifeList!$E$2:$I$2036,4)</f>
        <v>Phaethontiformes</v>
      </c>
      <c r="H2591" s="3" t="str">
        <f>VLOOKUP(B2591,[1]LifeList!$E$2:$I$2036,5)</f>
        <v>Phaethontidae (Tropicbirds)</v>
      </c>
    </row>
    <row r="2592" spans="1:8" x14ac:dyDescent="0.15">
      <c r="A2592" s="3" t="s">
        <v>2474</v>
      </c>
      <c r="B2592" s="3" t="s">
        <v>4784</v>
      </c>
      <c r="C2592" s="3">
        <v>19980</v>
      </c>
      <c r="D2592" s="3" t="str">
        <f>VLOOKUP(B2592,[1]LifeList!$E$2:$G$2036,1)</f>
        <v>Red-tailed Vanga</v>
      </c>
      <c r="E2592" s="3" t="str">
        <f>VLOOKUP(B2592,[1]LifeList!$E$2:$G$2036,2)</f>
        <v>Calicalic malgache</v>
      </c>
      <c r="F2592" s="3" t="str">
        <f>VLOOKUP(B2592,[1]LifeList!$E$2:$G$2036,3)</f>
        <v>Calicalicus madagascariensis</v>
      </c>
      <c r="G2592" s="3" t="str">
        <f>VLOOKUP(B2592,[1]LifeList!$E$2:$I$2036,4)</f>
        <v>Passeriformes</v>
      </c>
      <c r="H2592" s="3" t="str">
        <f>VLOOKUP(B2592,[1]LifeList!$E$2:$I$2036,5)</f>
        <v>Vangidae (Vangas, Helmetshrikes, and Allies)</v>
      </c>
    </row>
    <row r="2593" spans="1:8" x14ac:dyDescent="0.15">
      <c r="A2593" s="3" t="s">
        <v>2473</v>
      </c>
      <c r="B2593" s="3" t="s">
        <v>4784</v>
      </c>
      <c r="C2593" s="3">
        <v>19980</v>
      </c>
      <c r="D2593" s="3" t="str">
        <f>VLOOKUP(B2593,[1]LifeList!$E$2:$G$2036,1)</f>
        <v>Red-tailed Vanga</v>
      </c>
      <c r="E2593" s="3" t="str">
        <f>VLOOKUP(B2593,[1]LifeList!$E$2:$G$2036,2)</f>
        <v>Calicalic malgache</v>
      </c>
      <c r="F2593" s="3" t="str">
        <f>VLOOKUP(B2593,[1]LifeList!$E$2:$G$2036,3)</f>
        <v>Calicalicus madagascariensis</v>
      </c>
      <c r="G2593" s="3" t="str">
        <f>VLOOKUP(B2593,[1]LifeList!$E$2:$I$2036,4)</f>
        <v>Passeriformes</v>
      </c>
      <c r="H2593" s="3" t="str">
        <f>VLOOKUP(B2593,[1]LifeList!$E$2:$I$2036,5)</f>
        <v>Vangidae (Vangas, Helmetshrikes, and Allies)</v>
      </c>
    </row>
    <row r="2594" spans="1:8" x14ac:dyDescent="0.15">
      <c r="A2594" s="3" t="s">
        <v>2478</v>
      </c>
      <c r="B2594" s="3" t="s">
        <v>4785</v>
      </c>
      <c r="C2594" s="3">
        <v>34480</v>
      </c>
      <c r="D2594" s="3" t="str">
        <f>VLOOKUP(B2594,[1]LifeList!$E$2:$G$2036,1)</f>
        <v>Red-throated Ant-Tanager</v>
      </c>
      <c r="E2594" s="3" t="str">
        <f>VLOOKUP(B2594,[1]LifeList!$E$2:$G$2036,2)</f>
        <v>Habia à gorge rouge</v>
      </c>
      <c r="F2594" s="3" t="str">
        <f>VLOOKUP(B2594,[1]LifeList!$E$2:$G$2036,3)</f>
        <v>Driophlox fuscicauda</v>
      </c>
      <c r="G2594" s="3" t="str">
        <f>VLOOKUP(B2594,[1]LifeList!$E$2:$I$2036,4)</f>
        <v>Passeriformes</v>
      </c>
      <c r="H2594" s="3" t="str">
        <f>VLOOKUP(B2594,[1]LifeList!$E$2:$I$2036,5)</f>
        <v>Cardinalidae (Cardinals and Allies)</v>
      </c>
    </row>
    <row r="2595" spans="1:8" x14ac:dyDescent="0.15">
      <c r="A2595" s="3" t="s">
        <v>2475</v>
      </c>
      <c r="B2595" s="3" t="s">
        <v>4785</v>
      </c>
      <c r="C2595" s="3">
        <v>34480</v>
      </c>
      <c r="D2595" s="3" t="str">
        <f>VLOOKUP(B2595,[1]LifeList!$E$2:$G$2036,1)</f>
        <v>Red-throated Ant-Tanager</v>
      </c>
      <c r="E2595" s="3" t="str">
        <f>VLOOKUP(B2595,[1]LifeList!$E$2:$G$2036,2)</f>
        <v>Habia à gorge rouge</v>
      </c>
      <c r="F2595" s="3" t="str">
        <f>VLOOKUP(B2595,[1]LifeList!$E$2:$G$2036,3)</f>
        <v>Driophlox fuscicauda</v>
      </c>
      <c r="G2595" s="3" t="str">
        <f>VLOOKUP(B2595,[1]LifeList!$E$2:$I$2036,4)</f>
        <v>Passeriformes</v>
      </c>
      <c r="H2595" s="3" t="str">
        <f>VLOOKUP(B2595,[1]LifeList!$E$2:$I$2036,5)</f>
        <v>Cardinalidae (Cardinals and Allies)</v>
      </c>
    </row>
    <row r="2596" spans="1:8" x14ac:dyDescent="0.15">
      <c r="A2596" s="3" t="s">
        <v>2476</v>
      </c>
      <c r="B2596" s="3" t="s">
        <v>4785</v>
      </c>
      <c r="C2596" s="3">
        <v>34480</v>
      </c>
      <c r="D2596" s="3" t="str">
        <f>VLOOKUP(B2596,[1]LifeList!$E$2:$G$2036,1)</f>
        <v>Red-throated Ant-Tanager</v>
      </c>
      <c r="E2596" s="3" t="str">
        <f>VLOOKUP(B2596,[1]LifeList!$E$2:$G$2036,2)</f>
        <v>Habia à gorge rouge</v>
      </c>
      <c r="F2596" s="3" t="str">
        <f>VLOOKUP(B2596,[1]LifeList!$E$2:$G$2036,3)</f>
        <v>Driophlox fuscicauda</v>
      </c>
      <c r="G2596" s="3" t="str">
        <f>VLOOKUP(B2596,[1]LifeList!$E$2:$I$2036,4)</f>
        <v>Passeriformes</v>
      </c>
      <c r="H2596" s="3" t="str">
        <f>VLOOKUP(B2596,[1]LifeList!$E$2:$I$2036,5)</f>
        <v>Cardinalidae (Cardinals and Allies)</v>
      </c>
    </row>
    <row r="2597" spans="1:8" x14ac:dyDescent="0.15">
      <c r="A2597" s="3" t="s">
        <v>2477</v>
      </c>
      <c r="B2597" s="3" t="s">
        <v>4785</v>
      </c>
      <c r="C2597" s="3">
        <v>34480</v>
      </c>
      <c r="D2597" s="3" t="str">
        <f>VLOOKUP(B2597,[1]LifeList!$E$2:$G$2036,1)</f>
        <v>Red-throated Ant-Tanager</v>
      </c>
      <c r="E2597" s="3" t="str">
        <f>VLOOKUP(B2597,[1]LifeList!$E$2:$G$2036,2)</f>
        <v>Habia à gorge rouge</v>
      </c>
      <c r="F2597" s="3" t="str">
        <f>VLOOKUP(B2597,[1]LifeList!$E$2:$G$2036,3)</f>
        <v>Driophlox fuscicauda</v>
      </c>
      <c r="G2597" s="3" t="str">
        <f>VLOOKUP(B2597,[1]LifeList!$E$2:$I$2036,4)</f>
        <v>Passeriformes</v>
      </c>
      <c r="H2597" s="3" t="str">
        <f>VLOOKUP(B2597,[1]LifeList!$E$2:$I$2036,5)</f>
        <v>Cardinalidae (Cardinals and Allies)</v>
      </c>
    </row>
    <row r="2598" spans="1:8" x14ac:dyDescent="0.15">
      <c r="A2598" s="3" t="s">
        <v>2479</v>
      </c>
      <c r="B2598" s="3" t="s">
        <v>4786</v>
      </c>
      <c r="C2598" s="3">
        <v>6927</v>
      </c>
      <c r="D2598" s="3" t="str">
        <f>VLOOKUP(B2598,[1]LifeList!$E$2:$G$2036,1)</f>
        <v>Red-throated Loon</v>
      </c>
      <c r="E2598" s="3" t="str">
        <f>VLOOKUP(B2598,[1]LifeList!$E$2:$G$2036,2)</f>
        <v>Plongeon catmarin</v>
      </c>
      <c r="F2598" s="3" t="str">
        <f>VLOOKUP(B2598,[1]LifeList!$E$2:$G$2036,3)</f>
        <v>Gavia stellata</v>
      </c>
      <c r="G2598" s="3" t="str">
        <f>VLOOKUP(B2598,[1]LifeList!$E$2:$I$2036,4)</f>
        <v>Gaviiformes</v>
      </c>
      <c r="H2598" s="3" t="str">
        <f>VLOOKUP(B2598,[1]LifeList!$E$2:$I$2036,5)</f>
        <v>Gaviidae (Loons)</v>
      </c>
    </row>
    <row r="2599" spans="1:8" x14ac:dyDescent="0.15">
      <c r="A2599" s="3" t="s">
        <v>2480</v>
      </c>
      <c r="B2599" s="3" t="s">
        <v>4786</v>
      </c>
      <c r="C2599" s="3">
        <v>6927</v>
      </c>
      <c r="D2599" s="3" t="str">
        <f>VLOOKUP(B2599,[1]LifeList!$E$2:$G$2036,1)</f>
        <v>Red-throated Loon</v>
      </c>
      <c r="E2599" s="3" t="str">
        <f>VLOOKUP(B2599,[1]LifeList!$E$2:$G$2036,2)</f>
        <v>Plongeon catmarin</v>
      </c>
      <c r="F2599" s="3" t="str">
        <f>VLOOKUP(B2599,[1]LifeList!$E$2:$G$2036,3)</f>
        <v>Gavia stellata</v>
      </c>
      <c r="G2599" s="3" t="str">
        <f>VLOOKUP(B2599,[1]LifeList!$E$2:$I$2036,4)</f>
        <v>Gaviiformes</v>
      </c>
      <c r="H2599" s="3" t="str">
        <f>VLOOKUP(B2599,[1]LifeList!$E$2:$I$2036,5)</f>
        <v>Gaviidae (Loons)</v>
      </c>
    </row>
    <row r="2600" spans="1:8" x14ac:dyDescent="0.15">
      <c r="A2600" s="3" t="s">
        <v>2481</v>
      </c>
      <c r="B2600" s="3" t="s">
        <v>4787</v>
      </c>
      <c r="C2600" s="3">
        <v>11010</v>
      </c>
      <c r="D2600" s="3" t="str">
        <f>VLOOKUP(B2600,[1]LifeList!$E$2:$G$2036,1)</f>
        <v>Red-throated Wryneck</v>
      </c>
      <c r="E2600" s="3" t="str">
        <f>VLOOKUP(B2600,[1]LifeList!$E$2:$G$2036,2)</f>
        <v>Torcol à gorge rousse</v>
      </c>
      <c r="F2600" s="3" t="str">
        <f>VLOOKUP(B2600,[1]LifeList!$E$2:$G$2036,3)</f>
        <v>Jynx ruficollis</v>
      </c>
      <c r="G2600" s="3" t="str">
        <f>VLOOKUP(B2600,[1]LifeList!$E$2:$I$2036,4)</f>
        <v>Piciformes</v>
      </c>
      <c r="H2600" s="3" t="str">
        <f>VLOOKUP(B2600,[1]LifeList!$E$2:$I$2036,5)</f>
        <v>Picidae (Woodpeckers)</v>
      </c>
    </row>
    <row r="2601" spans="1:8" x14ac:dyDescent="0.15">
      <c r="A2601" s="3" t="s">
        <v>2482</v>
      </c>
      <c r="B2601" s="3" t="s">
        <v>4788</v>
      </c>
      <c r="C2601" s="3">
        <v>33779</v>
      </c>
      <c r="D2601" s="3" t="str">
        <f>VLOOKUP(B2601,[1]LifeList!$E$2:$G$2036,1)</f>
        <v>Red-winged Blackbird</v>
      </c>
      <c r="E2601" s="3" t="str">
        <f>VLOOKUP(B2601,[1]LifeList!$E$2:$G$2036,2)</f>
        <v>Carouge à épaulettes</v>
      </c>
      <c r="F2601" s="3" t="str">
        <f>VLOOKUP(B2601,[1]LifeList!$E$2:$G$2036,3)</f>
        <v>Agelaius phoeniceus</v>
      </c>
      <c r="G2601" s="3" t="str">
        <f>VLOOKUP(B2601,[1]LifeList!$E$2:$I$2036,4)</f>
        <v>Passeriformes</v>
      </c>
      <c r="H2601" s="3" t="str">
        <f>VLOOKUP(B2601,[1]LifeList!$E$2:$I$2036,5)</f>
        <v>Icteridae (Troupials and Allies)</v>
      </c>
    </row>
    <row r="2602" spans="1:8" x14ac:dyDescent="0.15">
      <c r="A2602" s="3" t="s">
        <v>2483</v>
      </c>
      <c r="B2602" s="3" t="s">
        <v>4788</v>
      </c>
      <c r="C2602" s="3">
        <v>33779</v>
      </c>
      <c r="D2602" s="3" t="str">
        <f>VLOOKUP(B2602,[1]LifeList!$E$2:$G$2036,1)</f>
        <v>Red-winged Blackbird</v>
      </c>
      <c r="E2602" s="3" t="str">
        <f>VLOOKUP(B2602,[1]LifeList!$E$2:$G$2036,2)</f>
        <v>Carouge à épaulettes</v>
      </c>
      <c r="F2602" s="3" t="str">
        <f>VLOOKUP(B2602,[1]LifeList!$E$2:$G$2036,3)</f>
        <v>Agelaius phoeniceus</v>
      </c>
      <c r="G2602" s="3" t="str">
        <f>VLOOKUP(B2602,[1]LifeList!$E$2:$I$2036,4)</f>
        <v>Passeriformes</v>
      </c>
      <c r="H2602" s="3" t="str">
        <f>VLOOKUP(B2602,[1]LifeList!$E$2:$I$2036,5)</f>
        <v>Icteridae (Troupials and Allies)</v>
      </c>
    </row>
    <row r="2603" spans="1:8" x14ac:dyDescent="0.15">
      <c r="A2603" s="3" t="s">
        <v>2484</v>
      </c>
      <c r="B2603" s="3" t="s">
        <v>4788</v>
      </c>
      <c r="C2603" s="3">
        <v>33779</v>
      </c>
      <c r="D2603" s="3" t="str">
        <f>VLOOKUP(B2603,[1]LifeList!$E$2:$G$2036,1)</f>
        <v>Red-winged Blackbird</v>
      </c>
      <c r="E2603" s="3" t="str">
        <f>VLOOKUP(B2603,[1]LifeList!$E$2:$G$2036,2)</f>
        <v>Carouge à épaulettes</v>
      </c>
      <c r="F2603" s="3" t="str">
        <f>VLOOKUP(B2603,[1]LifeList!$E$2:$G$2036,3)</f>
        <v>Agelaius phoeniceus</v>
      </c>
      <c r="G2603" s="3" t="str">
        <f>VLOOKUP(B2603,[1]LifeList!$E$2:$I$2036,4)</f>
        <v>Passeriformes</v>
      </c>
      <c r="H2603" s="3" t="str">
        <f>VLOOKUP(B2603,[1]LifeList!$E$2:$I$2036,5)</f>
        <v>Icteridae (Troupials and Allies)</v>
      </c>
    </row>
    <row r="2604" spans="1:8" x14ac:dyDescent="0.15">
      <c r="A2604" s="3" t="s">
        <v>2485</v>
      </c>
      <c r="B2604" s="3" t="s">
        <v>4788</v>
      </c>
      <c r="C2604" s="3">
        <v>33779</v>
      </c>
      <c r="D2604" s="3" t="str">
        <f>VLOOKUP(B2604,[1]LifeList!$E$2:$G$2036,1)</f>
        <v>Red-winged Blackbird</v>
      </c>
      <c r="E2604" s="3" t="str">
        <f>VLOOKUP(B2604,[1]LifeList!$E$2:$G$2036,2)</f>
        <v>Carouge à épaulettes</v>
      </c>
      <c r="F2604" s="3" t="str">
        <f>VLOOKUP(B2604,[1]LifeList!$E$2:$G$2036,3)</f>
        <v>Agelaius phoeniceus</v>
      </c>
      <c r="G2604" s="3" t="str">
        <f>VLOOKUP(B2604,[1]LifeList!$E$2:$I$2036,4)</f>
        <v>Passeriformes</v>
      </c>
      <c r="H2604" s="3" t="str">
        <f>VLOOKUP(B2604,[1]LifeList!$E$2:$I$2036,5)</f>
        <v>Icteridae (Troupials and Allies)</v>
      </c>
    </row>
    <row r="2605" spans="1:8" x14ac:dyDescent="0.15">
      <c r="A2605" s="3" t="s">
        <v>2486</v>
      </c>
      <c r="B2605" s="3" t="s">
        <v>4788</v>
      </c>
      <c r="C2605" s="3">
        <v>33779</v>
      </c>
      <c r="D2605" s="3" t="str">
        <f>VLOOKUP(B2605,[1]LifeList!$E$2:$G$2036,1)</f>
        <v>Red-winged Blackbird</v>
      </c>
      <c r="E2605" s="3" t="str">
        <f>VLOOKUP(B2605,[1]LifeList!$E$2:$G$2036,2)</f>
        <v>Carouge à épaulettes</v>
      </c>
      <c r="F2605" s="3" t="str">
        <f>VLOOKUP(B2605,[1]LifeList!$E$2:$G$2036,3)</f>
        <v>Agelaius phoeniceus</v>
      </c>
      <c r="G2605" s="3" t="str">
        <f>VLOOKUP(B2605,[1]LifeList!$E$2:$I$2036,4)</f>
        <v>Passeriformes</v>
      </c>
      <c r="H2605" s="3" t="str">
        <f>VLOOKUP(B2605,[1]LifeList!$E$2:$I$2036,5)</f>
        <v>Icteridae (Troupials and Allies)</v>
      </c>
    </row>
    <row r="2606" spans="1:8" x14ac:dyDescent="0.15">
      <c r="A2606" s="3" t="s">
        <v>2487</v>
      </c>
      <c r="B2606" s="3" t="s">
        <v>4788</v>
      </c>
      <c r="C2606" s="3">
        <v>33779</v>
      </c>
      <c r="D2606" s="3" t="str">
        <f>VLOOKUP(B2606,[1]LifeList!$E$2:$G$2036,1)</f>
        <v>Red-winged Blackbird</v>
      </c>
      <c r="E2606" s="3" t="str">
        <f>VLOOKUP(B2606,[1]LifeList!$E$2:$G$2036,2)</f>
        <v>Carouge à épaulettes</v>
      </c>
      <c r="F2606" s="3" t="str">
        <f>VLOOKUP(B2606,[1]LifeList!$E$2:$G$2036,3)</f>
        <v>Agelaius phoeniceus</v>
      </c>
      <c r="G2606" s="3" t="str">
        <f>VLOOKUP(B2606,[1]LifeList!$E$2:$I$2036,4)</f>
        <v>Passeriformes</v>
      </c>
      <c r="H2606" s="3" t="str">
        <f>VLOOKUP(B2606,[1]LifeList!$E$2:$I$2036,5)</f>
        <v>Icteridae (Troupials and Allies)</v>
      </c>
    </row>
    <row r="2607" spans="1:8" x14ac:dyDescent="0.15">
      <c r="A2607" s="3" t="s">
        <v>2488</v>
      </c>
      <c r="B2607" s="3" t="s">
        <v>4788</v>
      </c>
      <c r="C2607" s="3">
        <v>33779</v>
      </c>
      <c r="D2607" s="3" t="str">
        <f>VLOOKUP(B2607,[1]LifeList!$E$2:$G$2036,1)</f>
        <v>Red-winged Blackbird</v>
      </c>
      <c r="E2607" s="3" t="str">
        <f>VLOOKUP(B2607,[1]LifeList!$E$2:$G$2036,2)</f>
        <v>Carouge à épaulettes</v>
      </c>
      <c r="F2607" s="3" t="str">
        <f>VLOOKUP(B2607,[1]LifeList!$E$2:$G$2036,3)</f>
        <v>Agelaius phoeniceus</v>
      </c>
      <c r="G2607" s="3" t="str">
        <f>VLOOKUP(B2607,[1]LifeList!$E$2:$I$2036,4)</f>
        <v>Passeriformes</v>
      </c>
      <c r="H2607" s="3" t="str">
        <f>VLOOKUP(B2607,[1]LifeList!$E$2:$I$2036,5)</f>
        <v>Icteridae (Troupials and Allies)</v>
      </c>
    </row>
    <row r="2608" spans="1:8" x14ac:dyDescent="0.15">
      <c r="A2608" s="3" t="s">
        <v>2489</v>
      </c>
      <c r="B2608" s="3" t="s">
        <v>4788</v>
      </c>
      <c r="C2608" s="3">
        <v>33779</v>
      </c>
      <c r="D2608" s="3" t="str">
        <f>VLOOKUP(B2608,[1]LifeList!$E$2:$G$2036,1)</f>
        <v>Red-winged Blackbird</v>
      </c>
      <c r="E2608" s="3" t="str">
        <f>VLOOKUP(B2608,[1]LifeList!$E$2:$G$2036,2)</f>
        <v>Carouge à épaulettes</v>
      </c>
      <c r="F2608" s="3" t="str">
        <f>VLOOKUP(B2608,[1]LifeList!$E$2:$G$2036,3)</f>
        <v>Agelaius phoeniceus</v>
      </c>
      <c r="G2608" s="3" t="str">
        <f>VLOOKUP(B2608,[1]LifeList!$E$2:$I$2036,4)</f>
        <v>Passeriformes</v>
      </c>
      <c r="H2608" s="3" t="str">
        <f>VLOOKUP(B2608,[1]LifeList!$E$2:$I$2036,5)</f>
        <v>Icteridae (Troupials and Allies)</v>
      </c>
    </row>
    <row r="2609" spans="1:8" x14ac:dyDescent="0.15">
      <c r="A2609" s="3" t="s">
        <v>2490</v>
      </c>
      <c r="B2609" s="3" t="s">
        <v>4788</v>
      </c>
      <c r="C2609" s="3">
        <v>33779</v>
      </c>
      <c r="D2609" s="3" t="str">
        <f>VLOOKUP(B2609,[1]LifeList!$E$2:$G$2036,1)</f>
        <v>Red-winged Blackbird</v>
      </c>
      <c r="E2609" s="3" t="str">
        <f>VLOOKUP(B2609,[1]LifeList!$E$2:$G$2036,2)</f>
        <v>Carouge à épaulettes</v>
      </c>
      <c r="F2609" s="3" t="str">
        <f>VLOOKUP(B2609,[1]LifeList!$E$2:$G$2036,3)</f>
        <v>Agelaius phoeniceus</v>
      </c>
      <c r="G2609" s="3" t="str">
        <f>VLOOKUP(B2609,[1]LifeList!$E$2:$I$2036,4)</f>
        <v>Passeriformes</v>
      </c>
      <c r="H2609" s="3" t="str">
        <f>VLOOKUP(B2609,[1]LifeList!$E$2:$I$2036,5)</f>
        <v>Icteridae (Troupials and Allies)</v>
      </c>
    </row>
    <row r="2610" spans="1:8" x14ac:dyDescent="0.15">
      <c r="A2610" s="3" t="s">
        <v>2491</v>
      </c>
      <c r="B2610" s="3" t="s">
        <v>4788</v>
      </c>
      <c r="C2610" s="3">
        <v>33779</v>
      </c>
      <c r="D2610" s="3" t="str">
        <f>VLOOKUP(B2610,[1]LifeList!$E$2:$G$2036,1)</f>
        <v>Red-winged Blackbird</v>
      </c>
      <c r="E2610" s="3" t="str">
        <f>VLOOKUP(B2610,[1]LifeList!$E$2:$G$2036,2)</f>
        <v>Carouge à épaulettes</v>
      </c>
      <c r="F2610" s="3" t="str">
        <f>VLOOKUP(B2610,[1]LifeList!$E$2:$G$2036,3)</f>
        <v>Agelaius phoeniceus</v>
      </c>
      <c r="G2610" s="3" t="str">
        <f>VLOOKUP(B2610,[1]LifeList!$E$2:$I$2036,4)</f>
        <v>Passeriformes</v>
      </c>
      <c r="H2610" s="3" t="str">
        <f>VLOOKUP(B2610,[1]LifeList!$E$2:$I$2036,5)</f>
        <v>Icteridae (Troupials and Allies)</v>
      </c>
    </row>
    <row r="2611" spans="1:8" x14ac:dyDescent="0.15">
      <c r="A2611" s="3" t="s">
        <v>2492</v>
      </c>
      <c r="B2611" s="3" t="s">
        <v>4788</v>
      </c>
      <c r="C2611" s="3">
        <v>33779</v>
      </c>
      <c r="D2611" s="3" t="str">
        <f>VLOOKUP(B2611,[1]LifeList!$E$2:$G$2036,1)</f>
        <v>Red-winged Blackbird</v>
      </c>
      <c r="E2611" s="3" t="str">
        <f>VLOOKUP(B2611,[1]LifeList!$E$2:$G$2036,2)</f>
        <v>Carouge à épaulettes</v>
      </c>
      <c r="F2611" s="3" t="str">
        <f>VLOOKUP(B2611,[1]LifeList!$E$2:$G$2036,3)</f>
        <v>Agelaius phoeniceus</v>
      </c>
      <c r="G2611" s="3" t="str">
        <f>VLOOKUP(B2611,[1]LifeList!$E$2:$I$2036,4)</f>
        <v>Passeriformes</v>
      </c>
      <c r="H2611" s="3" t="str">
        <f>VLOOKUP(B2611,[1]LifeList!$E$2:$I$2036,5)</f>
        <v>Icteridae (Troupials and Allies)</v>
      </c>
    </row>
    <row r="2612" spans="1:8" x14ac:dyDescent="0.15">
      <c r="A2612" s="3" t="s">
        <v>2493</v>
      </c>
      <c r="B2612" s="3" t="s">
        <v>4788</v>
      </c>
      <c r="C2612" s="3">
        <v>33779</v>
      </c>
      <c r="D2612" s="3" t="str">
        <f>VLOOKUP(B2612,[1]LifeList!$E$2:$G$2036,1)</f>
        <v>Red-winged Blackbird</v>
      </c>
      <c r="E2612" s="3" t="str">
        <f>VLOOKUP(B2612,[1]LifeList!$E$2:$G$2036,2)</f>
        <v>Carouge à épaulettes</v>
      </c>
      <c r="F2612" s="3" t="str">
        <f>VLOOKUP(B2612,[1]LifeList!$E$2:$G$2036,3)</f>
        <v>Agelaius phoeniceus</v>
      </c>
      <c r="G2612" s="3" t="str">
        <f>VLOOKUP(B2612,[1]LifeList!$E$2:$I$2036,4)</f>
        <v>Passeriformes</v>
      </c>
      <c r="H2612" s="3" t="str">
        <f>VLOOKUP(B2612,[1]LifeList!$E$2:$I$2036,5)</f>
        <v>Icteridae (Troupials and Allies)</v>
      </c>
    </row>
    <row r="2613" spans="1:8" x14ac:dyDescent="0.15">
      <c r="A2613" s="3" t="s">
        <v>3909</v>
      </c>
      <c r="B2613" s="3" t="s">
        <v>4788</v>
      </c>
      <c r="C2613" s="3">
        <v>33779</v>
      </c>
      <c r="D2613" s="3" t="str">
        <f>VLOOKUP(B2613,[1]LifeList!$E$2:$G$2036,1)</f>
        <v>Red-winged Blackbird</v>
      </c>
      <c r="E2613" s="3" t="str">
        <f>VLOOKUP(B2613,[1]LifeList!$E$2:$G$2036,2)</f>
        <v>Carouge à épaulettes</v>
      </c>
      <c r="F2613" s="3" t="str">
        <f>VLOOKUP(B2613,[1]LifeList!$E$2:$G$2036,3)</f>
        <v>Agelaius phoeniceus</v>
      </c>
      <c r="G2613" s="3" t="str">
        <f>VLOOKUP(B2613,[1]LifeList!$E$2:$I$2036,4)</f>
        <v>Passeriformes</v>
      </c>
      <c r="H2613" s="3" t="str">
        <f>VLOOKUP(B2613,[1]LifeList!$E$2:$I$2036,5)</f>
        <v>Icteridae (Troupials and Allies)</v>
      </c>
    </row>
    <row r="2614" spans="1:8" x14ac:dyDescent="0.15">
      <c r="A2614" s="3" t="s">
        <v>2506</v>
      </c>
      <c r="B2614" s="3" t="s">
        <v>4789</v>
      </c>
      <c r="C2614" s="3">
        <v>7634</v>
      </c>
      <c r="D2614" s="3" t="str">
        <f>VLOOKUP(B2614,[1]LifeList!$E$2:$G$2036,1)</f>
        <v>Reddish Egret</v>
      </c>
      <c r="E2614" s="3" t="str">
        <f>VLOOKUP(B2614,[1]LifeList!$E$2:$G$2036,2)</f>
        <v>Aigrette roussâtre</v>
      </c>
      <c r="F2614" s="3" t="str">
        <f>VLOOKUP(B2614,[1]LifeList!$E$2:$G$2036,3)</f>
        <v>Egretta rufescens</v>
      </c>
      <c r="G2614" s="3" t="str">
        <f>VLOOKUP(B2614,[1]LifeList!$E$2:$I$2036,4)</f>
        <v>Pelecaniformes</v>
      </c>
      <c r="H2614" s="3" t="str">
        <f>VLOOKUP(B2614,[1]LifeList!$E$2:$I$2036,5)</f>
        <v>Ardeidae (Herons, Egrets, and Bitterns)</v>
      </c>
    </row>
    <row r="2615" spans="1:8" x14ac:dyDescent="0.15">
      <c r="A2615" s="3" t="s">
        <v>2507</v>
      </c>
      <c r="B2615" s="3" t="s">
        <v>4789</v>
      </c>
      <c r="C2615" s="3">
        <v>7634</v>
      </c>
      <c r="D2615" s="3" t="str">
        <f>VLOOKUP(B2615,[1]LifeList!$E$2:$G$2036,1)</f>
        <v>Reddish Egret</v>
      </c>
      <c r="E2615" s="3" t="str">
        <f>VLOOKUP(B2615,[1]LifeList!$E$2:$G$2036,2)</f>
        <v>Aigrette roussâtre</v>
      </c>
      <c r="F2615" s="3" t="str">
        <f>VLOOKUP(B2615,[1]LifeList!$E$2:$G$2036,3)</f>
        <v>Egretta rufescens</v>
      </c>
      <c r="G2615" s="3" t="str">
        <f>VLOOKUP(B2615,[1]LifeList!$E$2:$I$2036,4)</f>
        <v>Pelecaniformes</v>
      </c>
      <c r="H2615" s="3" t="str">
        <f>VLOOKUP(B2615,[1]LifeList!$E$2:$I$2036,5)</f>
        <v>Ardeidae (Herons, Egrets, and Bitterns)</v>
      </c>
    </row>
    <row r="2616" spans="1:8" x14ac:dyDescent="0.15">
      <c r="A2616" s="3" t="s">
        <v>2508</v>
      </c>
      <c r="B2616" s="3" t="s">
        <v>4789</v>
      </c>
      <c r="C2616" s="3">
        <v>7634</v>
      </c>
      <c r="D2616" s="3" t="str">
        <f>VLOOKUP(B2616,[1]LifeList!$E$2:$G$2036,1)</f>
        <v>Reddish Egret</v>
      </c>
      <c r="E2616" s="3" t="str">
        <f>VLOOKUP(B2616,[1]LifeList!$E$2:$G$2036,2)</f>
        <v>Aigrette roussâtre</v>
      </c>
      <c r="F2616" s="3" t="str">
        <f>VLOOKUP(B2616,[1]LifeList!$E$2:$G$2036,3)</f>
        <v>Egretta rufescens</v>
      </c>
      <c r="G2616" s="3" t="str">
        <f>VLOOKUP(B2616,[1]LifeList!$E$2:$I$2036,4)</f>
        <v>Pelecaniformes</v>
      </c>
      <c r="H2616" s="3" t="str">
        <f>VLOOKUP(B2616,[1]LifeList!$E$2:$I$2036,5)</f>
        <v>Ardeidae (Herons, Egrets, and Bitterns)</v>
      </c>
    </row>
    <row r="2617" spans="1:8" x14ac:dyDescent="0.15">
      <c r="A2617" s="3" t="s">
        <v>2509</v>
      </c>
      <c r="B2617" s="3" t="s">
        <v>4789</v>
      </c>
      <c r="C2617" s="3">
        <v>7634</v>
      </c>
      <c r="D2617" s="3" t="str">
        <f>VLOOKUP(B2617,[1]LifeList!$E$2:$G$2036,1)</f>
        <v>Reddish Egret</v>
      </c>
      <c r="E2617" s="3" t="str">
        <f>VLOOKUP(B2617,[1]LifeList!$E$2:$G$2036,2)</f>
        <v>Aigrette roussâtre</v>
      </c>
      <c r="F2617" s="3" t="str">
        <f>VLOOKUP(B2617,[1]LifeList!$E$2:$G$2036,3)</f>
        <v>Egretta rufescens</v>
      </c>
      <c r="G2617" s="3" t="str">
        <f>VLOOKUP(B2617,[1]LifeList!$E$2:$I$2036,4)</f>
        <v>Pelecaniformes</v>
      </c>
      <c r="H2617" s="3" t="str">
        <f>VLOOKUP(B2617,[1]LifeList!$E$2:$I$2036,5)</f>
        <v>Ardeidae (Herons, Egrets, and Bitterns)</v>
      </c>
    </row>
    <row r="2618" spans="1:8" x14ac:dyDescent="0.15">
      <c r="A2618" s="3" t="s">
        <v>2510</v>
      </c>
      <c r="B2618" s="3" t="s">
        <v>4789</v>
      </c>
      <c r="C2618" s="3">
        <v>7634</v>
      </c>
      <c r="D2618" s="3" t="str">
        <f>VLOOKUP(B2618,[1]LifeList!$E$2:$G$2036,1)</f>
        <v>Reddish Egret</v>
      </c>
      <c r="E2618" s="3" t="str">
        <f>VLOOKUP(B2618,[1]LifeList!$E$2:$G$2036,2)</f>
        <v>Aigrette roussâtre</v>
      </c>
      <c r="F2618" s="3" t="str">
        <f>VLOOKUP(B2618,[1]LifeList!$E$2:$G$2036,3)</f>
        <v>Egretta rufescens</v>
      </c>
      <c r="G2618" s="3" t="str">
        <f>VLOOKUP(B2618,[1]LifeList!$E$2:$I$2036,4)</f>
        <v>Pelecaniformes</v>
      </c>
      <c r="H2618" s="3" t="str">
        <f>VLOOKUP(B2618,[1]LifeList!$E$2:$I$2036,5)</f>
        <v>Ardeidae (Herons, Egrets, and Bitterns)</v>
      </c>
    </row>
    <row r="2619" spans="1:8" x14ac:dyDescent="0.15">
      <c r="A2619" s="3" t="s">
        <v>2511</v>
      </c>
      <c r="B2619" s="3" t="s">
        <v>4789</v>
      </c>
      <c r="C2619" s="3">
        <v>7634</v>
      </c>
      <c r="D2619" s="3" t="str">
        <f>VLOOKUP(B2619,[1]LifeList!$E$2:$G$2036,1)</f>
        <v>Reddish Egret</v>
      </c>
      <c r="E2619" s="3" t="str">
        <f>VLOOKUP(B2619,[1]LifeList!$E$2:$G$2036,2)</f>
        <v>Aigrette roussâtre</v>
      </c>
      <c r="F2619" s="3" t="str">
        <f>VLOOKUP(B2619,[1]LifeList!$E$2:$G$2036,3)</f>
        <v>Egretta rufescens</v>
      </c>
      <c r="G2619" s="3" t="str">
        <f>VLOOKUP(B2619,[1]LifeList!$E$2:$I$2036,4)</f>
        <v>Pelecaniformes</v>
      </c>
      <c r="H2619" s="3" t="str">
        <f>VLOOKUP(B2619,[1]LifeList!$E$2:$I$2036,5)</f>
        <v>Ardeidae (Herons, Egrets, and Bitterns)</v>
      </c>
    </row>
    <row r="2620" spans="1:8" x14ac:dyDescent="0.15">
      <c r="A2620" s="3" t="s">
        <v>2512</v>
      </c>
      <c r="B2620" s="3" t="s">
        <v>4789</v>
      </c>
      <c r="C2620" s="3">
        <v>7634</v>
      </c>
      <c r="D2620" s="3" t="str">
        <f>VLOOKUP(B2620,[1]LifeList!$E$2:$G$2036,1)</f>
        <v>Reddish Egret</v>
      </c>
      <c r="E2620" s="3" t="str">
        <f>VLOOKUP(B2620,[1]LifeList!$E$2:$G$2036,2)</f>
        <v>Aigrette roussâtre</v>
      </c>
      <c r="F2620" s="3" t="str">
        <f>VLOOKUP(B2620,[1]LifeList!$E$2:$G$2036,3)</f>
        <v>Egretta rufescens</v>
      </c>
      <c r="G2620" s="3" t="str">
        <f>VLOOKUP(B2620,[1]LifeList!$E$2:$I$2036,4)</f>
        <v>Pelecaniformes</v>
      </c>
      <c r="H2620" s="3" t="str">
        <f>VLOOKUP(B2620,[1]LifeList!$E$2:$I$2036,5)</f>
        <v>Ardeidae (Herons, Egrets, and Bitterns)</v>
      </c>
    </row>
    <row r="2621" spans="1:8" x14ac:dyDescent="0.15">
      <c r="A2621" s="3" t="s">
        <v>2513</v>
      </c>
      <c r="B2621" s="3" t="s">
        <v>4789</v>
      </c>
      <c r="C2621" s="3">
        <v>7634</v>
      </c>
      <c r="D2621" s="3" t="str">
        <f>VLOOKUP(B2621,[1]LifeList!$E$2:$G$2036,1)</f>
        <v>Reddish Egret</v>
      </c>
      <c r="E2621" s="3" t="str">
        <f>VLOOKUP(B2621,[1]LifeList!$E$2:$G$2036,2)</f>
        <v>Aigrette roussâtre</v>
      </c>
      <c r="F2621" s="3" t="str">
        <f>VLOOKUP(B2621,[1]LifeList!$E$2:$G$2036,3)</f>
        <v>Egretta rufescens</v>
      </c>
      <c r="G2621" s="3" t="str">
        <f>VLOOKUP(B2621,[1]LifeList!$E$2:$I$2036,4)</f>
        <v>Pelecaniformes</v>
      </c>
      <c r="H2621" s="3" t="str">
        <f>VLOOKUP(B2621,[1]LifeList!$E$2:$I$2036,5)</f>
        <v>Ardeidae (Herons, Egrets, and Bitterns)</v>
      </c>
    </row>
    <row r="2622" spans="1:8" x14ac:dyDescent="0.15">
      <c r="A2622" s="3" t="s">
        <v>2514</v>
      </c>
      <c r="B2622" s="3" t="s">
        <v>4789</v>
      </c>
      <c r="C2622" s="3">
        <v>7634</v>
      </c>
      <c r="D2622" s="3" t="str">
        <f>VLOOKUP(B2622,[1]LifeList!$E$2:$G$2036,1)</f>
        <v>Reddish Egret</v>
      </c>
      <c r="E2622" s="3" t="str">
        <f>VLOOKUP(B2622,[1]LifeList!$E$2:$G$2036,2)</f>
        <v>Aigrette roussâtre</v>
      </c>
      <c r="F2622" s="3" t="str">
        <f>VLOOKUP(B2622,[1]LifeList!$E$2:$G$2036,3)</f>
        <v>Egretta rufescens</v>
      </c>
      <c r="G2622" s="3" t="str">
        <f>VLOOKUP(B2622,[1]LifeList!$E$2:$I$2036,4)</f>
        <v>Pelecaniformes</v>
      </c>
      <c r="H2622" s="3" t="str">
        <f>VLOOKUP(B2622,[1]LifeList!$E$2:$I$2036,5)</f>
        <v>Ardeidae (Herons, Egrets, and Bitterns)</v>
      </c>
    </row>
    <row r="2623" spans="1:8" x14ac:dyDescent="0.15">
      <c r="A2623" s="3" t="s">
        <v>2516</v>
      </c>
      <c r="B2623" s="3" t="s">
        <v>4790</v>
      </c>
      <c r="C2623" s="3">
        <v>667</v>
      </c>
      <c r="D2623" s="3" t="str">
        <f>VLOOKUP(B2623,[1]LifeList!$E$2:$G$2036,1)</f>
        <v>Redhead</v>
      </c>
      <c r="E2623" s="3" t="str">
        <f>VLOOKUP(B2623,[1]LifeList!$E$2:$G$2036,2)</f>
        <v>Fuligule à tête rouge</v>
      </c>
      <c r="F2623" s="3" t="str">
        <f>VLOOKUP(B2623,[1]LifeList!$E$2:$G$2036,3)</f>
        <v>Aythya americana</v>
      </c>
      <c r="G2623" s="3" t="str">
        <f>VLOOKUP(B2623,[1]LifeList!$E$2:$I$2036,4)</f>
        <v>Anseriformes</v>
      </c>
      <c r="H2623" s="3" t="str">
        <f>VLOOKUP(B2623,[1]LifeList!$E$2:$I$2036,5)</f>
        <v>Anatidae (Ducks, Geese, and Waterfowl)</v>
      </c>
    </row>
    <row r="2624" spans="1:8" x14ac:dyDescent="0.15">
      <c r="A2624" s="3" t="s">
        <v>2517</v>
      </c>
      <c r="B2624" s="3" t="s">
        <v>4790</v>
      </c>
      <c r="C2624" s="3">
        <v>667</v>
      </c>
      <c r="D2624" s="3" t="str">
        <f>VLOOKUP(B2624,[1]LifeList!$E$2:$G$2036,1)</f>
        <v>Redhead</v>
      </c>
      <c r="E2624" s="3" t="str">
        <f>VLOOKUP(B2624,[1]LifeList!$E$2:$G$2036,2)</f>
        <v>Fuligule à tête rouge</v>
      </c>
      <c r="F2624" s="3" t="str">
        <f>VLOOKUP(B2624,[1]LifeList!$E$2:$G$2036,3)</f>
        <v>Aythya americana</v>
      </c>
      <c r="G2624" s="3" t="str">
        <f>VLOOKUP(B2624,[1]LifeList!$E$2:$I$2036,4)</f>
        <v>Anseriformes</v>
      </c>
      <c r="H2624" s="3" t="str">
        <f>VLOOKUP(B2624,[1]LifeList!$E$2:$I$2036,5)</f>
        <v>Anatidae (Ducks, Geese, and Waterfowl)</v>
      </c>
    </row>
    <row r="2625" spans="1:8" x14ac:dyDescent="0.15">
      <c r="A2625" s="3" t="s">
        <v>2518</v>
      </c>
      <c r="B2625" s="3" t="s">
        <v>4790</v>
      </c>
      <c r="C2625" s="3">
        <v>667</v>
      </c>
      <c r="D2625" s="3" t="str">
        <f>VLOOKUP(B2625,[1]LifeList!$E$2:$G$2036,1)</f>
        <v>Redhead</v>
      </c>
      <c r="E2625" s="3" t="str">
        <f>VLOOKUP(B2625,[1]LifeList!$E$2:$G$2036,2)</f>
        <v>Fuligule à tête rouge</v>
      </c>
      <c r="F2625" s="3" t="str">
        <f>VLOOKUP(B2625,[1]LifeList!$E$2:$G$2036,3)</f>
        <v>Aythya americana</v>
      </c>
      <c r="G2625" s="3" t="str">
        <f>VLOOKUP(B2625,[1]LifeList!$E$2:$I$2036,4)</f>
        <v>Anseriformes</v>
      </c>
      <c r="H2625" s="3" t="str">
        <f>VLOOKUP(B2625,[1]LifeList!$E$2:$I$2036,5)</f>
        <v>Anatidae (Ducks, Geese, and Waterfowl)</v>
      </c>
    </row>
    <row r="2626" spans="1:8" x14ac:dyDescent="0.15">
      <c r="A2626" s="3" t="s">
        <v>2519</v>
      </c>
      <c r="B2626" s="3" t="s">
        <v>4790</v>
      </c>
      <c r="C2626" s="3">
        <v>667</v>
      </c>
      <c r="D2626" s="3" t="str">
        <f>VLOOKUP(B2626,[1]LifeList!$E$2:$G$2036,1)</f>
        <v>Redhead</v>
      </c>
      <c r="E2626" s="3" t="str">
        <f>VLOOKUP(B2626,[1]LifeList!$E$2:$G$2036,2)</f>
        <v>Fuligule à tête rouge</v>
      </c>
      <c r="F2626" s="3" t="str">
        <f>VLOOKUP(B2626,[1]LifeList!$E$2:$G$2036,3)</f>
        <v>Aythya americana</v>
      </c>
      <c r="G2626" s="3" t="str">
        <f>VLOOKUP(B2626,[1]LifeList!$E$2:$I$2036,4)</f>
        <v>Anseriformes</v>
      </c>
      <c r="H2626" s="3" t="str">
        <f>VLOOKUP(B2626,[1]LifeList!$E$2:$I$2036,5)</f>
        <v>Anatidae (Ducks, Geese, and Waterfowl)</v>
      </c>
    </row>
    <row r="2627" spans="1:8" x14ac:dyDescent="0.15">
      <c r="A2627" s="3" t="s">
        <v>2520</v>
      </c>
      <c r="B2627" s="3" t="s">
        <v>4790</v>
      </c>
      <c r="C2627" s="3">
        <v>667</v>
      </c>
      <c r="D2627" s="3" t="str">
        <f>VLOOKUP(B2627,[1]LifeList!$E$2:$G$2036,1)</f>
        <v>Redhead</v>
      </c>
      <c r="E2627" s="3" t="str">
        <f>VLOOKUP(B2627,[1]LifeList!$E$2:$G$2036,2)</f>
        <v>Fuligule à tête rouge</v>
      </c>
      <c r="F2627" s="3" t="str">
        <f>VLOOKUP(B2627,[1]LifeList!$E$2:$G$2036,3)</f>
        <v>Aythya americana</v>
      </c>
      <c r="G2627" s="3" t="str">
        <f>VLOOKUP(B2627,[1]LifeList!$E$2:$I$2036,4)</f>
        <v>Anseriformes</v>
      </c>
      <c r="H2627" s="3" t="str">
        <f>VLOOKUP(B2627,[1]LifeList!$E$2:$I$2036,5)</f>
        <v>Anatidae (Ducks, Geese, and Waterfowl)</v>
      </c>
    </row>
    <row r="2628" spans="1:8" x14ac:dyDescent="0.15">
      <c r="A2628" s="3" t="s">
        <v>2521</v>
      </c>
      <c r="B2628" s="3" t="s">
        <v>4790</v>
      </c>
      <c r="C2628" s="3">
        <v>667</v>
      </c>
      <c r="D2628" s="3" t="str">
        <f>VLOOKUP(B2628,[1]LifeList!$E$2:$G$2036,1)</f>
        <v>Redhead</v>
      </c>
      <c r="E2628" s="3" t="str">
        <f>VLOOKUP(B2628,[1]LifeList!$E$2:$G$2036,2)</f>
        <v>Fuligule à tête rouge</v>
      </c>
      <c r="F2628" s="3" t="str">
        <f>VLOOKUP(B2628,[1]LifeList!$E$2:$G$2036,3)</f>
        <v>Aythya americana</v>
      </c>
      <c r="G2628" s="3" t="str">
        <f>VLOOKUP(B2628,[1]LifeList!$E$2:$I$2036,4)</f>
        <v>Anseriformes</v>
      </c>
      <c r="H2628" s="3" t="str">
        <f>VLOOKUP(B2628,[1]LifeList!$E$2:$I$2036,5)</f>
        <v>Anatidae (Ducks, Geese, and Waterfowl)</v>
      </c>
    </row>
    <row r="2629" spans="1:8" x14ac:dyDescent="0.15">
      <c r="A2629" s="3" t="s">
        <v>2515</v>
      </c>
      <c r="B2629" s="3" t="s">
        <v>4790</v>
      </c>
      <c r="C2629" s="3">
        <v>667</v>
      </c>
      <c r="D2629" s="3" t="str">
        <f>VLOOKUP(B2629,[1]LifeList!$E$2:$G$2036,1)</f>
        <v>Redhead</v>
      </c>
      <c r="E2629" s="3" t="str">
        <f>VLOOKUP(B2629,[1]LifeList!$E$2:$G$2036,2)</f>
        <v>Fuligule à tête rouge</v>
      </c>
      <c r="F2629" s="3" t="str">
        <f>VLOOKUP(B2629,[1]LifeList!$E$2:$G$2036,3)</f>
        <v>Aythya americana</v>
      </c>
      <c r="G2629" s="3" t="str">
        <f>VLOOKUP(B2629,[1]LifeList!$E$2:$I$2036,4)</f>
        <v>Anseriformes</v>
      </c>
      <c r="H2629" s="3" t="str">
        <f>VLOOKUP(B2629,[1]LifeList!$E$2:$I$2036,5)</f>
        <v>Anatidae (Ducks, Geese, and Waterfowl)</v>
      </c>
    </row>
    <row r="2630" spans="1:8" x14ac:dyDescent="0.15">
      <c r="A2630" s="3" t="s">
        <v>2522</v>
      </c>
      <c r="B2630" s="3" t="s">
        <v>4791</v>
      </c>
      <c r="C2630" s="3">
        <v>32483</v>
      </c>
      <c r="D2630" s="3" t="str">
        <f>VLOOKUP(B2630,[1]LifeList!$E$2:$G$2036,1)</f>
        <v>Redpoll</v>
      </c>
      <c r="E2630" s="3" t="str">
        <f>VLOOKUP(B2630,[1]LifeList!$E$2:$G$2036,2)</f>
        <v>Sizerin flammé</v>
      </c>
      <c r="F2630" s="3" t="str">
        <f>VLOOKUP(B2630,[1]LifeList!$E$2:$G$2036,3)</f>
        <v>Acanthis flammea</v>
      </c>
      <c r="G2630" s="3" t="str">
        <f>VLOOKUP(B2630,[1]LifeList!$E$2:$I$2036,4)</f>
        <v>Passeriformes</v>
      </c>
      <c r="H2630" s="3" t="str">
        <f>VLOOKUP(B2630,[1]LifeList!$E$2:$I$2036,5)</f>
        <v>Fringillidae (Finches, Euphonias, and Allies)</v>
      </c>
    </row>
    <row r="2631" spans="1:8" x14ac:dyDescent="0.15">
      <c r="A2631" s="3" t="s">
        <v>2523</v>
      </c>
      <c r="B2631" s="3" t="s">
        <v>4791</v>
      </c>
      <c r="C2631" s="3">
        <v>32483</v>
      </c>
      <c r="D2631" s="3" t="str">
        <f>VLOOKUP(B2631,[1]LifeList!$E$2:$G$2036,1)</f>
        <v>Redpoll</v>
      </c>
      <c r="E2631" s="3" t="str">
        <f>VLOOKUP(B2631,[1]LifeList!$E$2:$G$2036,2)</f>
        <v>Sizerin flammé</v>
      </c>
      <c r="F2631" s="3" t="str">
        <f>VLOOKUP(B2631,[1]LifeList!$E$2:$G$2036,3)</f>
        <v>Acanthis flammea</v>
      </c>
      <c r="G2631" s="3" t="str">
        <f>VLOOKUP(B2631,[1]LifeList!$E$2:$I$2036,4)</f>
        <v>Passeriformes</v>
      </c>
      <c r="H2631" s="3" t="str">
        <f>VLOOKUP(B2631,[1]LifeList!$E$2:$I$2036,5)</f>
        <v>Fringillidae (Finches, Euphonias, and Allies)</v>
      </c>
    </row>
    <row r="2632" spans="1:8" x14ac:dyDescent="0.15">
      <c r="A2632" s="3" t="s">
        <v>2524</v>
      </c>
      <c r="B2632" s="3" t="s">
        <v>4792</v>
      </c>
      <c r="C2632" s="3">
        <v>7381</v>
      </c>
      <c r="D2632" s="3" t="str">
        <f>VLOOKUP(B2632,[1]LifeList!$E$2:$G$2036,1)</f>
        <v>Reed Cormorant</v>
      </c>
      <c r="E2632" s="3" t="str">
        <f>VLOOKUP(B2632,[1]LifeList!$E$2:$G$2036,2)</f>
        <v>Cormoran africain</v>
      </c>
      <c r="F2632" s="3" t="str">
        <f>VLOOKUP(B2632,[1]LifeList!$E$2:$G$2036,3)</f>
        <v>Microcarbo africanus</v>
      </c>
      <c r="G2632" s="3" t="str">
        <f>VLOOKUP(B2632,[1]LifeList!$E$2:$I$2036,4)</f>
        <v>Suliformes</v>
      </c>
      <c r="H2632" s="3" t="str">
        <f>VLOOKUP(B2632,[1]LifeList!$E$2:$I$2036,5)</f>
        <v>Phalacrocoracidae (Cormorants and Shags)</v>
      </c>
    </row>
    <row r="2633" spans="1:8" x14ac:dyDescent="0.15">
      <c r="A2633" s="3" t="s">
        <v>2526</v>
      </c>
      <c r="B2633" s="3" t="s">
        <v>4793</v>
      </c>
      <c r="C2633" s="3">
        <v>9508</v>
      </c>
      <c r="D2633" s="3" t="str">
        <f>VLOOKUP(B2633,[1]LifeList!$E$2:$G$2036,1)</f>
        <v>Resplendent Quetzal</v>
      </c>
      <c r="E2633" s="3" t="str">
        <f>VLOOKUP(B2633,[1]LifeList!$E$2:$G$2036,2)</f>
        <v>Quetzal resplendissant</v>
      </c>
      <c r="F2633" s="3" t="str">
        <f>VLOOKUP(B2633,[1]LifeList!$E$2:$G$2036,3)</f>
        <v>Pharomachrus mocinno</v>
      </c>
      <c r="G2633" s="3" t="str">
        <f>VLOOKUP(B2633,[1]LifeList!$E$2:$I$2036,4)</f>
        <v>Trogoniformes</v>
      </c>
      <c r="H2633" s="3" t="str">
        <f>VLOOKUP(B2633,[1]LifeList!$E$2:$I$2036,5)</f>
        <v>Trogonidae (Trogons)</v>
      </c>
    </row>
    <row r="2634" spans="1:8" x14ac:dyDescent="0.15">
      <c r="A2634" s="3" t="s">
        <v>2527</v>
      </c>
      <c r="B2634" s="3" t="s">
        <v>4793</v>
      </c>
      <c r="C2634" s="3">
        <v>9508</v>
      </c>
      <c r="D2634" s="3" t="str">
        <f>VLOOKUP(B2634,[1]LifeList!$E$2:$G$2036,1)</f>
        <v>Resplendent Quetzal</v>
      </c>
      <c r="E2634" s="3" t="str">
        <f>VLOOKUP(B2634,[1]LifeList!$E$2:$G$2036,2)</f>
        <v>Quetzal resplendissant</v>
      </c>
      <c r="F2634" s="3" t="str">
        <f>VLOOKUP(B2634,[1]LifeList!$E$2:$G$2036,3)</f>
        <v>Pharomachrus mocinno</v>
      </c>
      <c r="G2634" s="3" t="str">
        <f>VLOOKUP(B2634,[1]LifeList!$E$2:$I$2036,4)</f>
        <v>Trogoniformes</v>
      </c>
      <c r="H2634" s="3" t="str">
        <f>VLOOKUP(B2634,[1]LifeList!$E$2:$I$2036,5)</f>
        <v>Trogonidae (Trogons)</v>
      </c>
    </row>
    <row r="2635" spans="1:8" x14ac:dyDescent="0.15">
      <c r="A2635" s="3" t="s">
        <v>2528</v>
      </c>
      <c r="B2635" s="3" t="s">
        <v>4793</v>
      </c>
      <c r="C2635" s="3">
        <v>9508</v>
      </c>
      <c r="D2635" s="3" t="str">
        <f>VLOOKUP(B2635,[1]LifeList!$E$2:$G$2036,1)</f>
        <v>Resplendent Quetzal</v>
      </c>
      <c r="E2635" s="3" t="str">
        <f>VLOOKUP(B2635,[1]LifeList!$E$2:$G$2036,2)</f>
        <v>Quetzal resplendissant</v>
      </c>
      <c r="F2635" s="3" t="str">
        <f>VLOOKUP(B2635,[1]LifeList!$E$2:$G$2036,3)</f>
        <v>Pharomachrus mocinno</v>
      </c>
      <c r="G2635" s="3" t="str">
        <f>VLOOKUP(B2635,[1]LifeList!$E$2:$I$2036,4)</f>
        <v>Trogoniformes</v>
      </c>
      <c r="H2635" s="3" t="str">
        <f>VLOOKUP(B2635,[1]LifeList!$E$2:$I$2036,5)</f>
        <v>Trogonidae (Trogons)</v>
      </c>
    </row>
    <row r="2636" spans="1:8" x14ac:dyDescent="0.15">
      <c r="A2636" s="3" t="s">
        <v>2529</v>
      </c>
      <c r="B2636" s="3" t="s">
        <v>4793</v>
      </c>
      <c r="C2636" s="3">
        <v>9508</v>
      </c>
      <c r="D2636" s="3" t="str">
        <f>VLOOKUP(B2636,[1]LifeList!$E$2:$G$2036,1)</f>
        <v>Resplendent Quetzal</v>
      </c>
      <c r="E2636" s="3" t="str">
        <f>VLOOKUP(B2636,[1]LifeList!$E$2:$G$2036,2)</f>
        <v>Quetzal resplendissant</v>
      </c>
      <c r="F2636" s="3" t="str">
        <f>VLOOKUP(B2636,[1]LifeList!$E$2:$G$2036,3)</f>
        <v>Pharomachrus mocinno</v>
      </c>
      <c r="G2636" s="3" t="str">
        <f>VLOOKUP(B2636,[1]LifeList!$E$2:$I$2036,4)</f>
        <v>Trogoniformes</v>
      </c>
      <c r="H2636" s="3" t="str">
        <f>VLOOKUP(B2636,[1]LifeList!$E$2:$I$2036,5)</f>
        <v>Trogonidae (Trogons)</v>
      </c>
    </row>
    <row r="2637" spans="1:8" x14ac:dyDescent="0.15">
      <c r="A2637" s="3" t="s">
        <v>2525</v>
      </c>
      <c r="B2637" s="3" t="s">
        <v>4793</v>
      </c>
      <c r="C2637" s="3">
        <v>9508</v>
      </c>
      <c r="D2637" s="3" t="str">
        <f>VLOOKUP(B2637,[1]LifeList!$E$2:$G$2036,1)</f>
        <v>Resplendent Quetzal</v>
      </c>
      <c r="E2637" s="3" t="str">
        <f>VLOOKUP(B2637,[1]LifeList!$E$2:$G$2036,2)</f>
        <v>Quetzal resplendissant</v>
      </c>
      <c r="F2637" s="3" t="str">
        <f>VLOOKUP(B2637,[1]LifeList!$E$2:$G$2036,3)</f>
        <v>Pharomachrus mocinno</v>
      </c>
      <c r="G2637" s="3" t="str">
        <f>VLOOKUP(B2637,[1]LifeList!$E$2:$I$2036,4)</f>
        <v>Trogoniformes</v>
      </c>
      <c r="H2637" s="3" t="str">
        <f>VLOOKUP(B2637,[1]LifeList!$E$2:$I$2036,5)</f>
        <v>Trogonidae (Trogons)</v>
      </c>
    </row>
    <row r="2638" spans="1:8" x14ac:dyDescent="0.15">
      <c r="A2638" s="3" t="s">
        <v>2531</v>
      </c>
      <c r="B2638" s="3" t="s">
        <v>4794</v>
      </c>
      <c r="C2638" s="3">
        <v>6521</v>
      </c>
      <c r="D2638" s="3" t="str">
        <f>VLOOKUP(B2638,[1]LifeList!$E$2:$G$2036,1)</f>
        <v>Ring-billed Gull</v>
      </c>
      <c r="E2638" s="3" t="str">
        <f>VLOOKUP(B2638,[1]LifeList!$E$2:$G$2036,2)</f>
        <v>Goéland à bec cerclé</v>
      </c>
      <c r="F2638" s="3" t="str">
        <f>VLOOKUP(B2638,[1]LifeList!$E$2:$G$2036,3)</f>
        <v>Larus delawarensis</v>
      </c>
      <c r="G2638" s="3" t="str">
        <f>VLOOKUP(B2638,[1]LifeList!$E$2:$I$2036,4)</f>
        <v>Charadriiformes</v>
      </c>
      <c r="H2638" s="3" t="str">
        <f>VLOOKUP(B2638,[1]LifeList!$E$2:$I$2036,5)</f>
        <v>Laridae (Gulls, Terns, and Skimmers)</v>
      </c>
    </row>
    <row r="2639" spans="1:8" x14ac:dyDescent="0.15">
      <c r="A2639" s="3" t="s">
        <v>2532</v>
      </c>
      <c r="B2639" s="3" t="s">
        <v>4794</v>
      </c>
      <c r="C2639" s="3">
        <v>6521</v>
      </c>
      <c r="D2639" s="3" t="str">
        <f>VLOOKUP(B2639,[1]LifeList!$E$2:$G$2036,1)</f>
        <v>Ring-billed Gull</v>
      </c>
      <c r="E2639" s="3" t="str">
        <f>VLOOKUP(B2639,[1]LifeList!$E$2:$G$2036,2)</f>
        <v>Goéland à bec cerclé</v>
      </c>
      <c r="F2639" s="3" t="str">
        <f>VLOOKUP(B2639,[1]LifeList!$E$2:$G$2036,3)</f>
        <v>Larus delawarensis</v>
      </c>
      <c r="G2639" s="3" t="str">
        <f>VLOOKUP(B2639,[1]LifeList!$E$2:$I$2036,4)</f>
        <v>Charadriiformes</v>
      </c>
      <c r="H2639" s="3" t="str">
        <f>VLOOKUP(B2639,[1]LifeList!$E$2:$I$2036,5)</f>
        <v>Laridae (Gulls, Terns, and Skimmers)</v>
      </c>
    </row>
    <row r="2640" spans="1:8" x14ac:dyDescent="0.15">
      <c r="A2640" s="3" t="s">
        <v>2533</v>
      </c>
      <c r="B2640" s="3" t="s">
        <v>4794</v>
      </c>
      <c r="C2640" s="3">
        <v>6521</v>
      </c>
      <c r="D2640" s="3" t="str">
        <f>VLOOKUP(B2640,[1]LifeList!$E$2:$G$2036,1)</f>
        <v>Ring-billed Gull</v>
      </c>
      <c r="E2640" s="3" t="str">
        <f>VLOOKUP(B2640,[1]LifeList!$E$2:$G$2036,2)</f>
        <v>Goéland à bec cerclé</v>
      </c>
      <c r="F2640" s="3" t="str">
        <f>VLOOKUP(B2640,[1]LifeList!$E$2:$G$2036,3)</f>
        <v>Larus delawarensis</v>
      </c>
      <c r="G2640" s="3" t="str">
        <f>VLOOKUP(B2640,[1]LifeList!$E$2:$I$2036,4)</f>
        <v>Charadriiformes</v>
      </c>
      <c r="H2640" s="3" t="str">
        <f>VLOOKUP(B2640,[1]LifeList!$E$2:$I$2036,5)</f>
        <v>Laridae (Gulls, Terns, and Skimmers)</v>
      </c>
    </row>
    <row r="2641" spans="1:8" x14ac:dyDescent="0.15">
      <c r="A2641" s="3" t="s">
        <v>2534</v>
      </c>
      <c r="B2641" s="3" t="s">
        <v>4794</v>
      </c>
      <c r="C2641" s="3">
        <v>6521</v>
      </c>
      <c r="D2641" s="3" t="str">
        <f>VLOOKUP(B2641,[1]LifeList!$E$2:$G$2036,1)</f>
        <v>Ring-billed Gull</v>
      </c>
      <c r="E2641" s="3" t="str">
        <f>VLOOKUP(B2641,[1]LifeList!$E$2:$G$2036,2)</f>
        <v>Goéland à bec cerclé</v>
      </c>
      <c r="F2641" s="3" t="str">
        <f>VLOOKUP(B2641,[1]LifeList!$E$2:$G$2036,3)</f>
        <v>Larus delawarensis</v>
      </c>
      <c r="G2641" s="3" t="str">
        <f>VLOOKUP(B2641,[1]LifeList!$E$2:$I$2036,4)</f>
        <v>Charadriiformes</v>
      </c>
      <c r="H2641" s="3" t="str">
        <f>VLOOKUP(B2641,[1]LifeList!$E$2:$I$2036,5)</f>
        <v>Laridae (Gulls, Terns, and Skimmers)</v>
      </c>
    </row>
    <row r="2642" spans="1:8" x14ac:dyDescent="0.15">
      <c r="A2642" s="3" t="s">
        <v>2530</v>
      </c>
      <c r="B2642" s="3" t="s">
        <v>4794</v>
      </c>
      <c r="C2642" s="3">
        <v>6521</v>
      </c>
      <c r="D2642" s="3" t="str">
        <f>VLOOKUP(B2642,[1]LifeList!$E$2:$G$2036,1)</f>
        <v>Ring-billed Gull</v>
      </c>
      <c r="E2642" s="3" t="str">
        <f>VLOOKUP(B2642,[1]LifeList!$E$2:$G$2036,2)</f>
        <v>Goéland à bec cerclé</v>
      </c>
      <c r="F2642" s="3" t="str">
        <f>VLOOKUP(B2642,[1]LifeList!$E$2:$G$2036,3)</f>
        <v>Larus delawarensis</v>
      </c>
      <c r="G2642" s="3" t="str">
        <f>VLOOKUP(B2642,[1]LifeList!$E$2:$I$2036,4)</f>
        <v>Charadriiformes</v>
      </c>
      <c r="H2642" s="3" t="str">
        <f>VLOOKUP(B2642,[1]LifeList!$E$2:$I$2036,5)</f>
        <v>Laridae (Gulls, Terns, and Skimmers)</v>
      </c>
    </row>
    <row r="2643" spans="1:8" x14ac:dyDescent="0.15">
      <c r="A2643" s="3" t="s">
        <v>2536</v>
      </c>
      <c r="B2643" s="3" t="s">
        <v>4795</v>
      </c>
      <c r="C2643" s="3">
        <v>673</v>
      </c>
      <c r="D2643" s="3" t="str">
        <f>VLOOKUP(B2643,[1]LifeList!$E$2:$G$2036,1)</f>
        <v>Ring-necked Duck</v>
      </c>
      <c r="E2643" s="3" t="str">
        <f>VLOOKUP(B2643,[1]LifeList!$E$2:$G$2036,2)</f>
        <v>Fuligule à collier</v>
      </c>
      <c r="F2643" s="3" t="str">
        <f>VLOOKUP(B2643,[1]LifeList!$E$2:$G$2036,3)</f>
        <v>Aythya collaris</v>
      </c>
      <c r="G2643" s="3" t="str">
        <f>VLOOKUP(B2643,[1]LifeList!$E$2:$I$2036,4)</f>
        <v>Anseriformes</v>
      </c>
      <c r="H2643" s="3" t="str">
        <f>VLOOKUP(B2643,[1]LifeList!$E$2:$I$2036,5)</f>
        <v>Anatidae (Ducks, Geese, and Waterfowl)</v>
      </c>
    </row>
    <row r="2644" spans="1:8" x14ac:dyDescent="0.15">
      <c r="A2644" s="3" t="s">
        <v>2537</v>
      </c>
      <c r="B2644" s="3" t="s">
        <v>4795</v>
      </c>
      <c r="C2644" s="3">
        <v>673</v>
      </c>
      <c r="D2644" s="3" t="str">
        <f>VLOOKUP(B2644,[1]LifeList!$E$2:$G$2036,1)</f>
        <v>Ring-necked Duck</v>
      </c>
      <c r="E2644" s="3" t="str">
        <f>VLOOKUP(B2644,[1]LifeList!$E$2:$G$2036,2)</f>
        <v>Fuligule à collier</v>
      </c>
      <c r="F2644" s="3" t="str">
        <f>VLOOKUP(B2644,[1]LifeList!$E$2:$G$2036,3)</f>
        <v>Aythya collaris</v>
      </c>
      <c r="G2644" s="3" t="str">
        <f>VLOOKUP(B2644,[1]LifeList!$E$2:$I$2036,4)</f>
        <v>Anseriformes</v>
      </c>
      <c r="H2644" s="3" t="str">
        <f>VLOOKUP(B2644,[1]LifeList!$E$2:$I$2036,5)</f>
        <v>Anatidae (Ducks, Geese, and Waterfowl)</v>
      </c>
    </row>
    <row r="2645" spans="1:8" x14ac:dyDescent="0.15">
      <c r="A2645" s="3" t="s">
        <v>2538</v>
      </c>
      <c r="B2645" s="3" t="s">
        <v>4795</v>
      </c>
      <c r="C2645" s="3">
        <v>673</v>
      </c>
      <c r="D2645" s="3" t="str">
        <f>VLOOKUP(B2645,[1]LifeList!$E$2:$G$2036,1)</f>
        <v>Ring-necked Duck</v>
      </c>
      <c r="E2645" s="3" t="str">
        <f>VLOOKUP(B2645,[1]LifeList!$E$2:$G$2036,2)</f>
        <v>Fuligule à collier</v>
      </c>
      <c r="F2645" s="3" t="str">
        <f>VLOOKUP(B2645,[1]LifeList!$E$2:$G$2036,3)</f>
        <v>Aythya collaris</v>
      </c>
      <c r="G2645" s="3" t="str">
        <f>VLOOKUP(B2645,[1]LifeList!$E$2:$I$2036,4)</f>
        <v>Anseriformes</v>
      </c>
      <c r="H2645" s="3" t="str">
        <f>VLOOKUP(B2645,[1]LifeList!$E$2:$I$2036,5)</f>
        <v>Anatidae (Ducks, Geese, and Waterfowl)</v>
      </c>
    </row>
    <row r="2646" spans="1:8" x14ac:dyDescent="0.15">
      <c r="A2646" s="3" t="s">
        <v>2539</v>
      </c>
      <c r="B2646" s="3" t="s">
        <v>4795</v>
      </c>
      <c r="C2646" s="3">
        <v>673</v>
      </c>
      <c r="D2646" s="3" t="str">
        <f>VLOOKUP(B2646,[1]LifeList!$E$2:$G$2036,1)</f>
        <v>Ring-necked Duck</v>
      </c>
      <c r="E2646" s="3" t="str">
        <f>VLOOKUP(B2646,[1]LifeList!$E$2:$G$2036,2)</f>
        <v>Fuligule à collier</v>
      </c>
      <c r="F2646" s="3" t="str">
        <f>VLOOKUP(B2646,[1]LifeList!$E$2:$G$2036,3)</f>
        <v>Aythya collaris</v>
      </c>
      <c r="G2646" s="3" t="str">
        <f>VLOOKUP(B2646,[1]LifeList!$E$2:$I$2036,4)</f>
        <v>Anseriformes</v>
      </c>
      <c r="H2646" s="3" t="str">
        <f>VLOOKUP(B2646,[1]LifeList!$E$2:$I$2036,5)</f>
        <v>Anatidae (Ducks, Geese, and Waterfowl)</v>
      </c>
    </row>
    <row r="2647" spans="1:8" x14ac:dyDescent="0.15">
      <c r="A2647" s="3" t="s">
        <v>2540</v>
      </c>
      <c r="B2647" s="3" t="s">
        <v>4795</v>
      </c>
      <c r="C2647" s="3">
        <v>673</v>
      </c>
      <c r="D2647" s="3" t="str">
        <f>VLOOKUP(B2647,[1]LifeList!$E$2:$G$2036,1)</f>
        <v>Ring-necked Duck</v>
      </c>
      <c r="E2647" s="3" t="str">
        <f>VLOOKUP(B2647,[1]LifeList!$E$2:$G$2036,2)</f>
        <v>Fuligule à collier</v>
      </c>
      <c r="F2647" s="3" t="str">
        <f>VLOOKUP(B2647,[1]LifeList!$E$2:$G$2036,3)</f>
        <v>Aythya collaris</v>
      </c>
      <c r="G2647" s="3" t="str">
        <f>VLOOKUP(B2647,[1]LifeList!$E$2:$I$2036,4)</f>
        <v>Anseriformes</v>
      </c>
      <c r="H2647" s="3" t="str">
        <f>VLOOKUP(B2647,[1]LifeList!$E$2:$I$2036,5)</f>
        <v>Anatidae (Ducks, Geese, and Waterfowl)</v>
      </c>
    </row>
    <row r="2648" spans="1:8" x14ac:dyDescent="0.15">
      <c r="A2648" s="3" t="s">
        <v>2535</v>
      </c>
      <c r="B2648" s="3" t="s">
        <v>4795</v>
      </c>
      <c r="C2648" s="3">
        <v>673</v>
      </c>
      <c r="D2648" s="3" t="str">
        <f>VLOOKUP(B2648,[1]LifeList!$E$2:$G$2036,1)</f>
        <v>Ring-necked Duck</v>
      </c>
      <c r="E2648" s="3" t="str">
        <f>VLOOKUP(B2648,[1]LifeList!$E$2:$G$2036,2)</f>
        <v>Fuligule à collier</v>
      </c>
      <c r="F2648" s="3" t="str">
        <f>VLOOKUP(B2648,[1]LifeList!$E$2:$G$2036,3)</f>
        <v>Aythya collaris</v>
      </c>
      <c r="G2648" s="3" t="str">
        <f>VLOOKUP(B2648,[1]LifeList!$E$2:$I$2036,4)</f>
        <v>Anseriformes</v>
      </c>
      <c r="H2648" s="3" t="str">
        <f>VLOOKUP(B2648,[1]LifeList!$E$2:$I$2036,5)</f>
        <v>Anatidae (Ducks, Geese, and Waterfowl)</v>
      </c>
    </row>
    <row r="2649" spans="1:8" x14ac:dyDescent="0.15">
      <c r="A2649" s="3" t="s">
        <v>2542</v>
      </c>
      <c r="B2649" s="3" t="s">
        <v>4796</v>
      </c>
      <c r="C2649" s="3">
        <v>10301</v>
      </c>
      <c r="D2649" s="3" t="str">
        <f>VLOOKUP(B2649,[1]LifeList!$E$2:$G$2036,1)</f>
        <v>Ringed Kingfisher</v>
      </c>
      <c r="E2649" s="3" t="str">
        <f>VLOOKUP(B2649,[1]LifeList!$E$2:$G$2036,2)</f>
        <v>Martin-pêcheur à ventre roux</v>
      </c>
      <c r="F2649" s="3" t="str">
        <f>VLOOKUP(B2649,[1]LifeList!$E$2:$G$2036,3)</f>
        <v>Megaceryle torquata</v>
      </c>
      <c r="G2649" s="3" t="str">
        <f>VLOOKUP(B2649,[1]LifeList!$E$2:$I$2036,4)</f>
        <v>Coraciiformes</v>
      </c>
      <c r="H2649" s="3" t="str">
        <f>VLOOKUP(B2649,[1]LifeList!$E$2:$I$2036,5)</f>
        <v>Alcedinidae (Kingfishers)</v>
      </c>
    </row>
    <row r="2650" spans="1:8" x14ac:dyDescent="0.15">
      <c r="A2650" s="3" t="s">
        <v>2543</v>
      </c>
      <c r="B2650" s="3" t="s">
        <v>4796</v>
      </c>
      <c r="C2650" s="3">
        <v>10301</v>
      </c>
      <c r="D2650" s="3" t="str">
        <f>VLOOKUP(B2650,[1]LifeList!$E$2:$G$2036,1)</f>
        <v>Ringed Kingfisher</v>
      </c>
      <c r="E2650" s="3" t="str">
        <f>VLOOKUP(B2650,[1]LifeList!$E$2:$G$2036,2)</f>
        <v>Martin-pêcheur à ventre roux</v>
      </c>
      <c r="F2650" s="3" t="str">
        <f>VLOOKUP(B2650,[1]LifeList!$E$2:$G$2036,3)</f>
        <v>Megaceryle torquata</v>
      </c>
      <c r="G2650" s="3" t="str">
        <f>VLOOKUP(B2650,[1]LifeList!$E$2:$I$2036,4)</f>
        <v>Coraciiformes</v>
      </c>
      <c r="H2650" s="3" t="str">
        <f>VLOOKUP(B2650,[1]LifeList!$E$2:$I$2036,5)</f>
        <v>Alcedinidae (Kingfishers)</v>
      </c>
    </row>
    <row r="2651" spans="1:8" x14ac:dyDescent="0.15">
      <c r="A2651" s="3" t="s">
        <v>2544</v>
      </c>
      <c r="B2651" s="3" t="s">
        <v>4796</v>
      </c>
      <c r="C2651" s="3">
        <v>10301</v>
      </c>
      <c r="D2651" s="3" t="str">
        <f>VLOOKUP(B2651,[1]LifeList!$E$2:$G$2036,1)</f>
        <v>Ringed Kingfisher</v>
      </c>
      <c r="E2651" s="3" t="str">
        <f>VLOOKUP(B2651,[1]LifeList!$E$2:$G$2036,2)</f>
        <v>Martin-pêcheur à ventre roux</v>
      </c>
      <c r="F2651" s="3" t="str">
        <f>VLOOKUP(B2651,[1]LifeList!$E$2:$G$2036,3)</f>
        <v>Megaceryle torquata</v>
      </c>
      <c r="G2651" s="3" t="str">
        <f>VLOOKUP(B2651,[1]LifeList!$E$2:$I$2036,4)</f>
        <v>Coraciiformes</v>
      </c>
      <c r="H2651" s="3" t="str">
        <f>VLOOKUP(B2651,[1]LifeList!$E$2:$I$2036,5)</f>
        <v>Alcedinidae (Kingfishers)</v>
      </c>
    </row>
    <row r="2652" spans="1:8" x14ac:dyDescent="0.15">
      <c r="A2652" s="3" t="s">
        <v>2541</v>
      </c>
      <c r="B2652" s="3" t="s">
        <v>4796</v>
      </c>
      <c r="C2652" s="3">
        <v>10301</v>
      </c>
      <c r="D2652" s="3" t="str">
        <f>VLOOKUP(B2652,[1]LifeList!$E$2:$G$2036,1)</f>
        <v>Ringed Kingfisher</v>
      </c>
      <c r="E2652" s="3" t="str">
        <f>VLOOKUP(B2652,[1]LifeList!$E$2:$G$2036,2)</f>
        <v>Martin-pêcheur à ventre roux</v>
      </c>
      <c r="F2652" s="3" t="str">
        <f>VLOOKUP(B2652,[1]LifeList!$E$2:$G$2036,3)</f>
        <v>Megaceryle torquata</v>
      </c>
      <c r="G2652" s="3" t="str">
        <f>VLOOKUP(B2652,[1]LifeList!$E$2:$I$2036,4)</f>
        <v>Coraciiformes</v>
      </c>
      <c r="H2652" s="3" t="str">
        <f>VLOOKUP(B2652,[1]LifeList!$E$2:$I$2036,5)</f>
        <v>Alcedinidae (Kingfishers)</v>
      </c>
    </row>
    <row r="2653" spans="1:8" x14ac:dyDescent="0.15">
      <c r="A2653" s="3" t="s">
        <v>2545</v>
      </c>
      <c r="B2653" s="3" t="s">
        <v>4797</v>
      </c>
      <c r="C2653" s="3">
        <v>8430</v>
      </c>
      <c r="D2653" s="3" t="str">
        <f>VLOOKUP(B2653,[1]LifeList!$E$2:$G$2036,1)</f>
        <v>Roadside Hawk</v>
      </c>
      <c r="E2653" s="3" t="str">
        <f>VLOOKUP(B2653,[1]LifeList!$E$2:$G$2036,2)</f>
        <v>Buse à gros bec</v>
      </c>
      <c r="F2653" s="3" t="str">
        <f>VLOOKUP(B2653,[1]LifeList!$E$2:$G$2036,3)</f>
        <v>Rupornis magnirostris</v>
      </c>
      <c r="G2653" s="3" t="str">
        <f>VLOOKUP(B2653,[1]LifeList!$E$2:$I$2036,4)</f>
        <v>Accipitriformes</v>
      </c>
      <c r="H2653" s="3" t="str">
        <f>VLOOKUP(B2653,[1]LifeList!$E$2:$I$2036,5)</f>
        <v>Accipitridae (Hawks, Eagles, and Kites)</v>
      </c>
    </row>
    <row r="2654" spans="1:8" x14ac:dyDescent="0.15">
      <c r="A2654" s="3" t="s">
        <v>2546</v>
      </c>
      <c r="B2654" s="3" t="s">
        <v>4797</v>
      </c>
      <c r="C2654" s="3">
        <v>8430</v>
      </c>
      <c r="D2654" s="3" t="str">
        <f>VLOOKUP(B2654,[1]LifeList!$E$2:$G$2036,1)</f>
        <v>Roadside Hawk</v>
      </c>
      <c r="E2654" s="3" t="str">
        <f>VLOOKUP(B2654,[1]LifeList!$E$2:$G$2036,2)</f>
        <v>Buse à gros bec</v>
      </c>
      <c r="F2654" s="3" t="str">
        <f>VLOOKUP(B2654,[1]LifeList!$E$2:$G$2036,3)</f>
        <v>Rupornis magnirostris</v>
      </c>
      <c r="G2654" s="3" t="str">
        <f>VLOOKUP(B2654,[1]LifeList!$E$2:$I$2036,4)</f>
        <v>Accipitriformes</v>
      </c>
      <c r="H2654" s="3" t="str">
        <f>VLOOKUP(B2654,[1]LifeList!$E$2:$I$2036,5)</f>
        <v>Accipitridae (Hawks, Eagles, and Kites)</v>
      </c>
    </row>
    <row r="2655" spans="1:8" x14ac:dyDescent="0.15">
      <c r="A2655" s="3" t="s">
        <v>2547</v>
      </c>
      <c r="B2655" s="3" t="s">
        <v>4797</v>
      </c>
      <c r="C2655" s="3">
        <v>8430</v>
      </c>
      <c r="D2655" s="3" t="str">
        <f>VLOOKUP(B2655,[1]LifeList!$E$2:$G$2036,1)</f>
        <v>Roadside Hawk</v>
      </c>
      <c r="E2655" s="3" t="str">
        <f>VLOOKUP(B2655,[1]LifeList!$E$2:$G$2036,2)</f>
        <v>Buse à gros bec</v>
      </c>
      <c r="F2655" s="3" t="str">
        <f>VLOOKUP(B2655,[1]LifeList!$E$2:$G$2036,3)</f>
        <v>Rupornis magnirostris</v>
      </c>
      <c r="G2655" s="3" t="str">
        <f>VLOOKUP(B2655,[1]LifeList!$E$2:$I$2036,4)</f>
        <v>Accipitriformes</v>
      </c>
      <c r="H2655" s="3" t="str">
        <f>VLOOKUP(B2655,[1]LifeList!$E$2:$I$2036,5)</f>
        <v>Accipitridae (Hawks, Eagles, and Kites)</v>
      </c>
    </row>
    <row r="2656" spans="1:8" x14ac:dyDescent="0.15">
      <c r="A2656" s="3" t="s">
        <v>2548</v>
      </c>
      <c r="B2656" s="3" t="s">
        <v>4797</v>
      </c>
      <c r="C2656" s="3">
        <v>8430</v>
      </c>
      <c r="D2656" s="3" t="str">
        <f>VLOOKUP(B2656,[1]LifeList!$E$2:$G$2036,1)</f>
        <v>Roadside Hawk</v>
      </c>
      <c r="E2656" s="3" t="str">
        <f>VLOOKUP(B2656,[1]LifeList!$E$2:$G$2036,2)</f>
        <v>Buse à gros bec</v>
      </c>
      <c r="F2656" s="3" t="str">
        <f>VLOOKUP(B2656,[1]LifeList!$E$2:$G$2036,3)</f>
        <v>Rupornis magnirostris</v>
      </c>
      <c r="G2656" s="3" t="str">
        <f>VLOOKUP(B2656,[1]LifeList!$E$2:$I$2036,4)</f>
        <v>Accipitriformes</v>
      </c>
      <c r="H2656" s="3" t="str">
        <f>VLOOKUP(B2656,[1]LifeList!$E$2:$I$2036,5)</f>
        <v>Accipitridae (Hawks, Eagles, and Kites)</v>
      </c>
    </row>
    <row r="2657" spans="1:8" x14ac:dyDescent="0.15">
      <c r="A2657" s="3" t="s">
        <v>2549</v>
      </c>
      <c r="B2657" s="3" t="s">
        <v>4798</v>
      </c>
      <c r="C2657" s="3">
        <v>12009</v>
      </c>
      <c r="D2657" s="3" t="str">
        <f>VLOOKUP(B2657,[1]LifeList!$E$2:$G$2036,1)</f>
        <v>Rock Kestrel</v>
      </c>
      <c r="E2657" s="3" t="str">
        <f>VLOOKUP(B2657,[1]LifeList!$E$2:$G$2036,2)</f>
        <v>Crécerelle des rochers</v>
      </c>
      <c r="F2657" s="3" t="str">
        <f>VLOOKUP(B2657,[1]LifeList!$E$2:$G$2036,3)</f>
        <v>Falco rupicolus</v>
      </c>
      <c r="G2657" s="3" t="str">
        <f>VLOOKUP(B2657,[1]LifeList!$E$2:$I$2036,4)</f>
        <v>Falconiformes</v>
      </c>
      <c r="H2657" s="3" t="str">
        <f>VLOOKUP(B2657,[1]LifeList!$E$2:$I$2036,5)</f>
        <v>Falconidae (Falcons and Caracaras)</v>
      </c>
    </row>
    <row r="2658" spans="1:8" x14ac:dyDescent="0.15">
      <c r="A2658" s="3" t="s">
        <v>2550</v>
      </c>
      <c r="B2658" s="3" t="s">
        <v>4799</v>
      </c>
      <c r="C2658" s="3">
        <v>6340</v>
      </c>
      <c r="D2658" s="3" t="str">
        <f>VLOOKUP(B2658,[1]LifeList!$E$2:$G$2036,1)</f>
        <v>Rock Pratincole</v>
      </c>
      <c r="E2658" s="3" t="str">
        <f>VLOOKUP(B2658,[1]LifeList!$E$2:$G$2036,2)</f>
        <v>Glaréole auréolée</v>
      </c>
      <c r="F2658" s="3" t="str">
        <f>VLOOKUP(B2658,[1]LifeList!$E$2:$G$2036,3)</f>
        <v>Glareola nuchalis</v>
      </c>
      <c r="G2658" s="3" t="str">
        <f>VLOOKUP(B2658,[1]LifeList!$E$2:$I$2036,4)</f>
        <v>Charadriiformes</v>
      </c>
      <c r="H2658" s="3" t="str">
        <f>VLOOKUP(B2658,[1]LifeList!$E$2:$I$2036,5)</f>
        <v>Glareolidae (Pratincoles and Coursers)</v>
      </c>
    </row>
    <row r="2659" spans="1:8" x14ac:dyDescent="0.15">
      <c r="A2659" s="3" t="s">
        <v>2551</v>
      </c>
      <c r="B2659" s="3" t="s">
        <v>4800</v>
      </c>
      <c r="C2659" s="3">
        <v>34557</v>
      </c>
      <c r="D2659" s="3" t="str">
        <f>VLOOKUP(B2659,[1]LifeList!$E$2:$G$2036,1)</f>
        <v>Rose-breasted Grosbeak</v>
      </c>
      <c r="E2659" s="3" t="str">
        <f>VLOOKUP(B2659,[1]LifeList!$E$2:$G$2036,2)</f>
        <v>Cardinal à poitrine rose</v>
      </c>
      <c r="F2659" s="3" t="str">
        <f>VLOOKUP(B2659,[1]LifeList!$E$2:$G$2036,3)</f>
        <v>Pheucticus ludovicianus</v>
      </c>
      <c r="G2659" s="3" t="str">
        <f>VLOOKUP(B2659,[1]LifeList!$E$2:$I$2036,4)</f>
        <v>Passeriformes</v>
      </c>
      <c r="H2659" s="3" t="str">
        <f>VLOOKUP(B2659,[1]LifeList!$E$2:$I$2036,5)</f>
        <v>Cardinalidae (Cardinals and Allies)</v>
      </c>
    </row>
    <row r="2660" spans="1:8" x14ac:dyDescent="0.15">
      <c r="A2660" s="3" t="s">
        <v>2552</v>
      </c>
      <c r="B2660" s="3" t="s">
        <v>4800</v>
      </c>
      <c r="C2660" s="3">
        <v>34557</v>
      </c>
      <c r="D2660" s="3" t="str">
        <f>VLOOKUP(B2660,[1]LifeList!$E$2:$G$2036,1)</f>
        <v>Rose-breasted Grosbeak</v>
      </c>
      <c r="E2660" s="3" t="str">
        <f>VLOOKUP(B2660,[1]LifeList!$E$2:$G$2036,2)</f>
        <v>Cardinal à poitrine rose</v>
      </c>
      <c r="F2660" s="3" t="str">
        <f>VLOOKUP(B2660,[1]LifeList!$E$2:$G$2036,3)</f>
        <v>Pheucticus ludovicianus</v>
      </c>
      <c r="G2660" s="3" t="str">
        <f>VLOOKUP(B2660,[1]LifeList!$E$2:$I$2036,4)</f>
        <v>Passeriformes</v>
      </c>
      <c r="H2660" s="3" t="str">
        <f>VLOOKUP(B2660,[1]LifeList!$E$2:$I$2036,5)</f>
        <v>Cardinalidae (Cardinals and Allies)</v>
      </c>
    </row>
    <row r="2661" spans="1:8" x14ac:dyDescent="0.15">
      <c r="A2661" s="3" t="s">
        <v>2557</v>
      </c>
      <c r="B2661" s="3" t="s">
        <v>4800</v>
      </c>
      <c r="C2661" s="3">
        <v>34557</v>
      </c>
      <c r="D2661" s="3" t="str">
        <f>VLOOKUP(B2661,[1]LifeList!$E$2:$G$2036,1)</f>
        <v>Rose-breasted Grosbeak</v>
      </c>
      <c r="E2661" s="3" t="str">
        <f>VLOOKUP(B2661,[1]LifeList!$E$2:$G$2036,2)</f>
        <v>Cardinal à poitrine rose</v>
      </c>
      <c r="F2661" s="3" t="str">
        <f>VLOOKUP(B2661,[1]LifeList!$E$2:$G$2036,3)</f>
        <v>Pheucticus ludovicianus</v>
      </c>
      <c r="G2661" s="3" t="str">
        <f>VLOOKUP(B2661,[1]LifeList!$E$2:$I$2036,4)</f>
        <v>Passeriformes</v>
      </c>
      <c r="H2661" s="3" t="str">
        <f>VLOOKUP(B2661,[1]LifeList!$E$2:$I$2036,5)</f>
        <v>Cardinalidae (Cardinals and Allies)</v>
      </c>
    </row>
    <row r="2662" spans="1:8" x14ac:dyDescent="0.15">
      <c r="A2662" s="3" t="s">
        <v>2553</v>
      </c>
      <c r="B2662" s="3" t="s">
        <v>4800</v>
      </c>
      <c r="C2662" s="3">
        <v>34557</v>
      </c>
      <c r="D2662" s="3" t="str">
        <f>VLOOKUP(B2662,[1]LifeList!$E$2:$G$2036,1)</f>
        <v>Rose-breasted Grosbeak</v>
      </c>
      <c r="E2662" s="3" t="str">
        <f>VLOOKUP(B2662,[1]LifeList!$E$2:$G$2036,2)</f>
        <v>Cardinal à poitrine rose</v>
      </c>
      <c r="F2662" s="3" t="str">
        <f>VLOOKUP(B2662,[1]LifeList!$E$2:$G$2036,3)</f>
        <v>Pheucticus ludovicianus</v>
      </c>
      <c r="G2662" s="3" t="str">
        <f>VLOOKUP(B2662,[1]LifeList!$E$2:$I$2036,4)</f>
        <v>Passeriformes</v>
      </c>
      <c r="H2662" s="3" t="str">
        <f>VLOOKUP(B2662,[1]LifeList!$E$2:$I$2036,5)</f>
        <v>Cardinalidae (Cardinals and Allies)</v>
      </c>
    </row>
    <row r="2663" spans="1:8" x14ac:dyDescent="0.15">
      <c r="A2663" s="3" t="s">
        <v>2554</v>
      </c>
      <c r="B2663" s="3" t="s">
        <v>4800</v>
      </c>
      <c r="C2663" s="3">
        <v>34557</v>
      </c>
      <c r="D2663" s="3" t="str">
        <f>VLOOKUP(B2663,[1]LifeList!$E$2:$G$2036,1)</f>
        <v>Rose-breasted Grosbeak</v>
      </c>
      <c r="E2663" s="3" t="str">
        <f>VLOOKUP(B2663,[1]LifeList!$E$2:$G$2036,2)</f>
        <v>Cardinal à poitrine rose</v>
      </c>
      <c r="F2663" s="3" t="str">
        <f>VLOOKUP(B2663,[1]LifeList!$E$2:$G$2036,3)</f>
        <v>Pheucticus ludovicianus</v>
      </c>
      <c r="G2663" s="3" t="str">
        <f>VLOOKUP(B2663,[1]LifeList!$E$2:$I$2036,4)</f>
        <v>Passeriformes</v>
      </c>
      <c r="H2663" s="3" t="str">
        <f>VLOOKUP(B2663,[1]LifeList!$E$2:$I$2036,5)</f>
        <v>Cardinalidae (Cardinals and Allies)</v>
      </c>
    </row>
    <row r="2664" spans="1:8" x14ac:dyDescent="0.15">
      <c r="A2664" s="3" t="s">
        <v>2555</v>
      </c>
      <c r="B2664" s="3" t="s">
        <v>4800</v>
      </c>
      <c r="C2664" s="3">
        <v>34557</v>
      </c>
      <c r="D2664" s="3" t="str">
        <f>VLOOKUP(B2664,[1]LifeList!$E$2:$G$2036,1)</f>
        <v>Rose-breasted Grosbeak</v>
      </c>
      <c r="E2664" s="3" t="str">
        <f>VLOOKUP(B2664,[1]LifeList!$E$2:$G$2036,2)</f>
        <v>Cardinal à poitrine rose</v>
      </c>
      <c r="F2664" s="3" t="str">
        <f>VLOOKUP(B2664,[1]LifeList!$E$2:$G$2036,3)</f>
        <v>Pheucticus ludovicianus</v>
      </c>
      <c r="G2664" s="3" t="str">
        <f>VLOOKUP(B2664,[1]LifeList!$E$2:$I$2036,4)</f>
        <v>Passeriformes</v>
      </c>
      <c r="H2664" s="3" t="str">
        <f>VLOOKUP(B2664,[1]LifeList!$E$2:$I$2036,5)</f>
        <v>Cardinalidae (Cardinals and Allies)</v>
      </c>
    </row>
    <row r="2665" spans="1:8" x14ac:dyDescent="0.15">
      <c r="A2665" s="3" t="s">
        <v>2556</v>
      </c>
      <c r="B2665" s="3" t="s">
        <v>4800</v>
      </c>
      <c r="C2665" s="3">
        <v>34557</v>
      </c>
      <c r="D2665" s="3" t="str">
        <f>VLOOKUP(B2665,[1]LifeList!$E$2:$G$2036,1)</f>
        <v>Rose-breasted Grosbeak</v>
      </c>
      <c r="E2665" s="3" t="str">
        <f>VLOOKUP(B2665,[1]LifeList!$E$2:$G$2036,2)</f>
        <v>Cardinal à poitrine rose</v>
      </c>
      <c r="F2665" s="3" t="str">
        <f>VLOOKUP(B2665,[1]LifeList!$E$2:$G$2036,3)</f>
        <v>Pheucticus ludovicianus</v>
      </c>
      <c r="G2665" s="3" t="str">
        <f>VLOOKUP(B2665,[1]LifeList!$E$2:$I$2036,4)</f>
        <v>Passeriformes</v>
      </c>
      <c r="H2665" s="3" t="str">
        <f>VLOOKUP(B2665,[1]LifeList!$E$2:$I$2036,5)</f>
        <v>Cardinalidae (Cardinals and Allies)</v>
      </c>
    </row>
    <row r="2666" spans="1:8" x14ac:dyDescent="0.15">
      <c r="A2666" s="3" t="s">
        <v>2558</v>
      </c>
      <c r="B2666" s="3" t="s">
        <v>4801</v>
      </c>
      <c r="C2666" s="3">
        <v>16073</v>
      </c>
      <c r="D2666" s="3" t="str">
        <f>VLOOKUP(B2666,[1]LifeList!$E$2:$G$2036,1)</f>
        <v>Rose-throated Becard</v>
      </c>
      <c r="E2666" s="3" t="str">
        <f>VLOOKUP(B2666,[1]LifeList!$E$2:$G$2036,2)</f>
        <v>Bécarde à gorge rose</v>
      </c>
      <c r="F2666" s="3" t="str">
        <f>VLOOKUP(B2666,[1]LifeList!$E$2:$G$2036,3)</f>
        <v>Pachyramphus aglaiae</v>
      </c>
      <c r="G2666" s="3" t="str">
        <f>VLOOKUP(B2666,[1]LifeList!$E$2:$I$2036,4)</f>
        <v>Passeriformes</v>
      </c>
      <c r="H2666" s="3" t="str">
        <f>VLOOKUP(B2666,[1]LifeList!$E$2:$I$2036,5)</f>
        <v>Tityridae (Tityras and Allies)</v>
      </c>
    </row>
    <row r="2667" spans="1:8" x14ac:dyDescent="0.15">
      <c r="A2667" s="3" t="s">
        <v>2559</v>
      </c>
      <c r="B2667" s="3" t="s">
        <v>4801</v>
      </c>
      <c r="C2667" s="3">
        <v>16073</v>
      </c>
      <c r="D2667" s="3" t="str">
        <f>VLOOKUP(B2667,[1]LifeList!$E$2:$G$2036,1)</f>
        <v>Rose-throated Becard</v>
      </c>
      <c r="E2667" s="3" t="str">
        <f>VLOOKUP(B2667,[1]LifeList!$E$2:$G$2036,2)</f>
        <v>Bécarde à gorge rose</v>
      </c>
      <c r="F2667" s="3" t="str">
        <f>VLOOKUP(B2667,[1]LifeList!$E$2:$G$2036,3)</f>
        <v>Pachyramphus aglaiae</v>
      </c>
      <c r="G2667" s="3" t="str">
        <f>VLOOKUP(B2667,[1]LifeList!$E$2:$I$2036,4)</f>
        <v>Passeriformes</v>
      </c>
      <c r="H2667" s="3" t="str">
        <f>VLOOKUP(B2667,[1]LifeList!$E$2:$I$2036,5)</f>
        <v>Tityridae (Tityras and Allies)</v>
      </c>
    </row>
    <row r="2668" spans="1:8" x14ac:dyDescent="0.15">
      <c r="A2668" s="3" t="s">
        <v>2560</v>
      </c>
      <c r="B2668" s="3" t="s">
        <v>4802</v>
      </c>
      <c r="C2668" s="3">
        <v>7533</v>
      </c>
      <c r="D2668" s="3" t="str">
        <f>VLOOKUP(B2668,[1]LifeList!$E$2:$G$2036,1)</f>
        <v>Roseate Spoonbill</v>
      </c>
      <c r="E2668" s="3" t="str">
        <f>VLOOKUP(B2668,[1]LifeList!$E$2:$G$2036,2)</f>
        <v>Spatule rosée</v>
      </c>
      <c r="F2668" s="3" t="str">
        <f>VLOOKUP(B2668,[1]LifeList!$E$2:$G$2036,3)</f>
        <v>Platalea ajaja</v>
      </c>
      <c r="G2668" s="3" t="str">
        <f>VLOOKUP(B2668,[1]LifeList!$E$2:$I$2036,4)</f>
        <v>Pelecaniformes</v>
      </c>
      <c r="H2668" s="3" t="str">
        <f>VLOOKUP(B2668,[1]LifeList!$E$2:$I$2036,5)</f>
        <v>Threskiornithidae (Ibises and Spoonbills)</v>
      </c>
    </row>
    <row r="2669" spans="1:8" x14ac:dyDescent="0.15">
      <c r="A2669" s="3" t="s">
        <v>2561</v>
      </c>
      <c r="B2669" s="3" t="s">
        <v>4802</v>
      </c>
      <c r="C2669" s="3">
        <v>7533</v>
      </c>
      <c r="D2669" s="3" t="str">
        <f>VLOOKUP(B2669,[1]LifeList!$E$2:$G$2036,1)</f>
        <v>Roseate Spoonbill</v>
      </c>
      <c r="E2669" s="3" t="str">
        <f>VLOOKUP(B2669,[1]LifeList!$E$2:$G$2036,2)</f>
        <v>Spatule rosée</v>
      </c>
      <c r="F2669" s="3" t="str">
        <f>VLOOKUP(B2669,[1]LifeList!$E$2:$G$2036,3)</f>
        <v>Platalea ajaja</v>
      </c>
      <c r="G2669" s="3" t="str">
        <f>VLOOKUP(B2669,[1]LifeList!$E$2:$I$2036,4)</f>
        <v>Pelecaniformes</v>
      </c>
      <c r="H2669" s="3" t="str">
        <f>VLOOKUP(B2669,[1]LifeList!$E$2:$I$2036,5)</f>
        <v>Threskiornithidae (Ibises and Spoonbills)</v>
      </c>
    </row>
    <row r="2670" spans="1:8" x14ac:dyDescent="0.15">
      <c r="A2670" s="3" t="s">
        <v>2562</v>
      </c>
      <c r="B2670" s="3" t="s">
        <v>4802</v>
      </c>
      <c r="C2670" s="3">
        <v>7533</v>
      </c>
      <c r="D2670" s="3" t="str">
        <f>VLOOKUP(B2670,[1]LifeList!$E$2:$G$2036,1)</f>
        <v>Roseate Spoonbill</v>
      </c>
      <c r="E2670" s="3" t="str">
        <f>VLOOKUP(B2670,[1]LifeList!$E$2:$G$2036,2)</f>
        <v>Spatule rosée</v>
      </c>
      <c r="F2670" s="3" t="str">
        <f>VLOOKUP(B2670,[1]LifeList!$E$2:$G$2036,3)</f>
        <v>Platalea ajaja</v>
      </c>
      <c r="G2670" s="3" t="str">
        <f>VLOOKUP(B2670,[1]LifeList!$E$2:$I$2036,4)</f>
        <v>Pelecaniformes</v>
      </c>
      <c r="H2670" s="3" t="str">
        <f>VLOOKUP(B2670,[1]LifeList!$E$2:$I$2036,5)</f>
        <v>Threskiornithidae (Ibises and Spoonbills)</v>
      </c>
    </row>
    <row r="2671" spans="1:8" x14ac:dyDescent="0.15">
      <c r="A2671" s="3" t="s">
        <v>2563</v>
      </c>
      <c r="B2671" s="3" t="s">
        <v>4802</v>
      </c>
      <c r="C2671" s="3">
        <v>7533</v>
      </c>
      <c r="D2671" s="3" t="str">
        <f>VLOOKUP(B2671,[1]LifeList!$E$2:$G$2036,1)</f>
        <v>Roseate Spoonbill</v>
      </c>
      <c r="E2671" s="3" t="str">
        <f>VLOOKUP(B2671,[1]LifeList!$E$2:$G$2036,2)</f>
        <v>Spatule rosée</v>
      </c>
      <c r="F2671" s="3" t="str">
        <f>VLOOKUP(B2671,[1]LifeList!$E$2:$G$2036,3)</f>
        <v>Platalea ajaja</v>
      </c>
      <c r="G2671" s="3" t="str">
        <f>VLOOKUP(B2671,[1]LifeList!$E$2:$I$2036,4)</f>
        <v>Pelecaniformes</v>
      </c>
      <c r="H2671" s="3" t="str">
        <f>VLOOKUP(B2671,[1]LifeList!$E$2:$I$2036,5)</f>
        <v>Threskiornithidae (Ibises and Spoonbills)</v>
      </c>
    </row>
    <row r="2672" spans="1:8" x14ac:dyDescent="0.15">
      <c r="A2672" s="3" t="s">
        <v>2564</v>
      </c>
      <c r="B2672" s="3" t="s">
        <v>4802</v>
      </c>
      <c r="C2672" s="3">
        <v>7533</v>
      </c>
      <c r="D2672" s="3" t="str">
        <f>VLOOKUP(B2672,[1]LifeList!$E$2:$G$2036,1)</f>
        <v>Roseate Spoonbill</v>
      </c>
      <c r="E2672" s="3" t="str">
        <f>VLOOKUP(B2672,[1]LifeList!$E$2:$G$2036,2)</f>
        <v>Spatule rosée</v>
      </c>
      <c r="F2672" s="3" t="str">
        <f>VLOOKUP(B2672,[1]LifeList!$E$2:$G$2036,3)</f>
        <v>Platalea ajaja</v>
      </c>
      <c r="G2672" s="3" t="str">
        <f>VLOOKUP(B2672,[1]LifeList!$E$2:$I$2036,4)</f>
        <v>Pelecaniformes</v>
      </c>
      <c r="H2672" s="3" t="str">
        <f>VLOOKUP(B2672,[1]LifeList!$E$2:$I$2036,5)</f>
        <v>Threskiornithidae (Ibises and Spoonbills)</v>
      </c>
    </row>
    <row r="2673" spans="1:8" x14ac:dyDescent="0.15">
      <c r="A2673" s="3" t="s">
        <v>2565</v>
      </c>
      <c r="B2673" s="3" t="s">
        <v>4802</v>
      </c>
      <c r="C2673" s="3">
        <v>7533</v>
      </c>
      <c r="D2673" s="3" t="str">
        <f>VLOOKUP(B2673,[1]LifeList!$E$2:$G$2036,1)</f>
        <v>Roseate Spoonbill</v>
      </c>
      <c r="E2673" s="3" t="str">
        <f>VLOOKUP(B2673,[1]LifeList!$E$2:$G$2036,2)</f>
        <v>Spatule rosée</v>
      </c>
      <c r="F2673" s="3" t="str">
        <f>VLOOKUP(B2673,[1]LifeList!$E$2:$G$2036,3)</f>
        <v>Platalea ajaja</v>
      </c>
      <c r="G2673" s="3" t="str">
        <f>VLOOKUP(B2673,[1]LifeList!$E$2:$I$2036,4)</f>
        <v>Pelecaniformes</v>
      </c>
      <c r="H2673" s="3" t="str">
        <f>VLOOKUP(B2673,[1]LifeList!$E$2:$I$2036,5)</f>
        <v>Threskiornithidae (Ibises and Spoonbills)</v>
      </c>
    </row>
    <row r="2674" spans="1:8" x14ac:dyDescent="0.15">
      <c r="A2674" s="3" t="s">
        <v>2566</v>
      </c>
      <c r="B2674" s="3" t="s">
        <v>4802</v>
      </c>
      <c r="C2674" s="3">
        <v>7533</v>
      </c>
      <c r="D2674" s="3" t="str">
        <f>VLOOKUP(B2674,[1]LifeList!$E$2:$G$2036,1)</f>
        <v>Roseate Spoonbill</v>
      </c>
      <c r="E2674" s="3" t="str">
        <f>VLOOKUP(B2674,[1]LifeList!$E$2:$G$2036,2)</f>
        <v>Spatule rosée</v>
      </c>
      <c r="F2674" s="3" t="str">
        <f>VLOOKUP(B2674,[1]LifeList!$E$2:$G$2036,3)</f>
        <v>Platalea ajaja</v>
      </c>
      <c r="G2674" s="3" t="str">
        <f>VLOOKUP(B2674,[1]LifeList!$E$2:$I$2036,4)</f>
        <v>Pelecaniformes</v>
      </c>
      <c r="H2674" s="3" t="str">
        <f>VLOOKUP(B2674,[1]LifeList!$E$2:$I$2036,5)</f>
        <v>Threskiornithidae (Ibises and Spoonbills)</v>
      </c>
    </row>
    <row r="2675" spans="1:8" x14ac:dyDescent="0.15">
      <c r="A2675" s="3" t="s">
        <v>2567</v>
      </c>
      <c r="B2675" s="3" t="s">
        <v>4802</v>
      </c>
      <c r="C2675" s="3">
        <v>7533</v>
      </c>
      <c r="D2675" s="3" t="str">
        <f>VLOOKUP(B2675,[1]LifeList!$E$2:$G$2036,1)</f>
        <v>Roseate Spoonbill</v>
      </c>
      <c r="E2675" s="3" t="str">
        <f>VLOOKUP(B2675,[1]LifeList!$E$2:$G$2036,2)</f>
        <v>Spatule rosée</v>
      </c>
      <c r="F2675" s="3" t="str">
        <f>VLOOKUP(B2675,[1]LifeList!$E$2:$G$2036,3)</f>
        <v>Platalea ajaja</v>
      </c>
      <c r="G2675" s="3" t="str">
        <f>VLOOKUP(B2675,[1]LifeList!$E$2:$I$2036,4)</f>
        <v>Pelecaniformes</v>
      </c>
      <c r="H2675" s="3" t="str">
        <f>VLOOKUP(B2675,[1]LifeList!$E$2:$I$2036,5)</f>
        <v>Threskiornithidae (Ibises and Spoonbills)</v>
      </c>
    </row>
    <row r="2676" spans="1:8" x14ac:dyDescent="0.15">
      <c r="A2676" s="3" t="s">
        <v>2568</v>
      </c>
      <c r="B2676" s="3" t="s">
        <v>4802</v>
      </c>
      <c r="C2676" s="3">
        <v>7533</v>
      </c>
      <c r="D2676" s="3" t="str">
        <f>VLOOKUP(B2676,[1]LifeList!$E$2:$G$2036,1)</f>
        <v>Roseate Spoonbill</v>
      </c>
      <c r="E2676" s="3" t="str">
        <f>VLOOKUP(B2676,[1]LifeList!$E$2:$G$2036,2)</f>
        <v>Spatule rosée</v>
      </c>
      <c r="F2676" s="3" t="str">
        <f>VLOOKUP(B2676,[1]LifeList!$E$2:$G$2036,3)</f>
        <v>Platalea ajaja</v>
      </c>
      <c r="G2676" s="3" t="str">
        <f>VLOOKUP(B2676,[1]LifeList!$E$2:$I$2036,4)</f>
        <v>Pelecaniformes</v>
      </c>
      <c r="H2676" s="3" t="str">
        <f>VLOOKUP(B2676,[1]LifeList!$E$2:$I$2036,5)</f>
        <v>Threskiornithidae (Ibises and Spoonbills)</v>
      </c>
    </row>
    <row r="2677" spans="1:8" x14ac:dyDescent="0.15">
      <c r="A2677" s="3" t="s">
        <v>2569</v>
      </c>
      <c r="B2677" s="3" t="s">
        <v>4802</v>
      </c>
      <c r="C2677" s="3">
        <v>7533</v>
      </c>
      <c r="D2677" s="3" t="str">
        <f>VLOOKUP(B2677,[1]LifeList!$E$2:$G$2036,1)</f>
        <v>Roseate Spoonbill</v>
      </c>
      <c r="E2677" s="3" t="str">
        <f>VLOOKUP(B2677,[1]LifeList!$E$2:$G$2036,2)</f>
        <v>Spatule rosée</v>
      </c>
      <c r="F2677" s="3" t="str">
        <f>VLOOKUP(B2677,[1]LifeList!$E$2:$G$2036,3)</f>
        <v>Platalea ajaja</v>
      </c>
      <c r="G2677" s="3" t="str">
        <f>VLOOKUP(B2677,[1]LifeList!$E$2:$I$2036,4)</f>
        <v>Pelecaniformes</v>
      </c>
      <c r="H2677" s="3" t="str">
        <f>VLOOKUP(B2677,[1]LifeList!$E$2:$I$2036,5)</f>
        <v>Threskiornithidae (Ibises and Spoonbills)</v>
      </c>
    </row>
    <row r="2678" spans="1:8" x14ac:dyDescent="0.15">
      <c r="A2678" s="3" t="s">
        <v>2570</v>
      </c>
      <c r="B2678" s="3" t="s">
        <v>4802</v>
      </c>
      <c r="C2678" s="3">
        <v>7533</v>
      </c>
      <c r="D2678" s="3" t="str">
        <f>VLOOKUP(B2678,[1]LifeList!$E$2:$G$2036,1)</f>
        <v>Roseate Spoonbill</v>
      </c>
      <c r="E2678" s="3" t="str">
        <f>VLOOKUP(B2678,[1]LifeList!$E$2:$G$2036,2)</f>
        <v>Spatule rosée</v>
      </c>
      <c r="F2678" s="3" t="str">
        <f>VLOOKUP(B2678,[1]LifeList!$E$2:$G$2036,3)</f>
        <v>Platalea ajaja</v>
      </c>
      <c r="G2678" s="3" t="str">
        <f>VLOOKUP(B2678,[1]LifeList!$E$2:$I$2036,4)</f>
        <v>Pelecaniformes</v>
      </c>
      <c r="H2678" s="3" t="str">
        <f>VLOOKUP(B2678,[1]LifeList!$E$2:$I$2036,5)</f>
        <v>Threskiornithidae (Ibises and Spoonbills)</v>
      </c>
    </row>
    <row r="2679" spans="1:8" x14ac:dyDescent="0.15">
      <c r="A2679" s="3" t="s">
        <v>2573</v>
      </c>
      <c r="B2679" s="3" t="s">
        <v>4803</v>
      </c>
      <c r="C2679" s="3">
        <v>32684</v>
      </c>
      <c r="D2679" s="3" t="str">
        <f>VLOOKUP(B2679,[1]LifeList!$E$2:$G$2036,1)</f>
        <v>Rosy Thrush-Tanager</v>
      </c>
      <c r="E2679" s="3" t="str">
        <f>VLOOKUP(B2679,[1]LifeList!$E$2:$G$2036,2)</f>
        <v>Quéo rosalbin</v>
      </c>
      <c r="F2679" s="3" t="str">
        <f>VLOOKUP(B2679,[1]LifeList!$E$2:$G$2036,3)</f>
        <v>Rhodinocichla rosea</v>
      </c>
      <c r="G2679" s="3" t="str">
        <f>VLOOKUP(B2679,[1]LifeList!$E$2:$I$2036,4)</f>
        <v>Passeriformes</v>
      </c>
      <c r="H2679" s="3" t="str">
        <f>VLOOKUP(B2679,[1]LifeList!$E$2:$I$2036,5)</f>
        <v>Rhodinocichlidae (Thrush-Tanager)</v>
      </c>
    </row>
    <row r="2680" spans="1:8" x14ac:dyDescent="0.15">
      <c r="A2680" s="3" t="s">
        <v>2571</v>
      </c>
      <c r="B2680" s="3" t="s">
        <v>4804</v>
      </c>
      <c r="C2680" s="3">
        <v>12744</v>
      </c>
      <c r="D2680" s="3" t="str">
        <f>VLOOKUP(B2680,[1]LifeList!$E$2:$G$2036,1)</f>
        <v>Rosy-faced Lovebird</v>
      </c>
      <c r="E2680" s="3" t="str">
        <f>VLOOKUP(B2680,[1]LifeList!$E$2:$G$2036,2)</f>
        <v>Inséparable rosegorge</v>
      </c>
      <c r="F2680" s="3" t="str">
        <f>VLOOKUP(B2680,[1]LifeList!$E$2:$G$2036,3)</f>
        <v>Agapornis roseicollis</v>
      </c>
      <c r="G2680" s="3" t="str">
        <f>VLOOKUP(B2680,[1]LifeList!$E$2:$I$2036,4)</f>
        <v>Psittaciformes</v>
      </c>
      <c r="H2680" s="3" t="str">
        <f>VLOOKUP(B2680,[1]LifeList!$E$2:$I$2036,5)</f>
        <v>Psittaculidae (Old World Parrots)</v>
      </c>
    </row>
    <row r="2681" spans="1:8" x14ac:dyDescent="0.15">
      <c r="A2681" s="3" t="s">
        <v>2572</v>
      </c>
      <c r="B2681" s="3" t="s">
        <v>4804</v>
      </c>
      <c r="C2681" s="3">
        <v>12744</v>
      </c>
      <c r="D2681" s="3" t="str">
        <f>VLOOKUP(B2681,[1]LifeList!$E$2:$G$2036,1)</f>
        <v>Rosy-faced Lovebird</v>
      </c>
      <c r="E2681" s="3" t="str">
        <f>VLOOKUP(B2681,[1]LifeList!$E$2:$G$2036,2)</f>
        <v>Inséparable rosegorge</v>
      </c>
      <c r="F2681" s="3" t="str">
        <f>VLOOKUP(B2681,[1]LifeList!$E$2:$G$2036,3)</f>
        <v>Agapornis roseicollis</v>
      </c>
      <c r="G2681" s="3" t="str">
        <f>VLOOKUP(B2681,[1]LifeList!$E$2:$I$2036,4)</f>
        <v>Psittaciformes</v>
      </c>
      <c r="H2681" s="3" t="str">
        <f>VLOOKUP(B2681,[1]LifeList!$E$2:$I$2036,5)</f>
        <v>Psittaculidae (Old World Parrots)</v>
      </c>
    </row>
    <row r="2682" spans="1:8" x14ac:dyDescent="0.15">
      <c r="A2682" s="3" t="s">
        <v>2575</v>
      </c>
      <c r="B2682" s="3" t="s">
        <v>4805</v>
      </c>
      <c r="C2682" s="3">
        <v>8528</v>
      </c>
      <c r="D2682" s="3" t="str">
        <f>VLOOKUP(B2682,[1]LifeList!$E$2:$G$2036,1)</f>
        <v>Rough-legged Hawk</v>
      </c>
      <c r="E2682" s="3" t="str">
        <f>VLOOKUP(B2682,[1]LifeList!$E$2:$G$2036,2)</f>
        <v>Buse pattue</v>
      </c>
      <c r="F2682" s="3" t="str">
        <f>VLOOKUP(B2682,[1]LifeList!$E$2:$G$2036,3)</f>
        <v>Buteo lagopus</v>
      </c>
      <c r="G2682" s="3" t="str">
        <f>VLOOKUP(B2682,[1]LifeList!$E$2:$I$2036,4)</f>
        <v>Accipitriformes</v>
      </c>
      <c r="H2682" s="3" t="str">
        <f>VLOOKUP(B2682,[1]LifeList!$E$2:$I$2036,5)</f>
        <v>Accipitridae (Hawks, Eagles, and Kites)</v>
      </c>
    </row>
    <row r="2683" spans="1:8" x14ac:dyDescent="0.15">
      <c r="A2683" s="3" t="s">
        <v>2574</v>
      </c>
      <c r="B2683" s="3" t="s">
        <v>4805</v>
      </c>
      <c r="C2683" s="3">
        <v>8528</v>
      </c>
      <c r="D2683" s="3" t="str">
        <f>VLOOKUP(B2683,[1]LifeList!$E$2:$G$2036,1)</f>
        <v>Rough-legged Hawk</v>
      </c>
      <c r="E2683" s="3" t="str">
        <f>VLOOKUP(B2683,[1]LifeList!$E$2:$G$2036,2)</f>
        <v>Buse pattue</v>
      </c>
      <c r="F2683" s="3" t="str">
        <f>VLOOKUP(B2683,[1]LifeList!$E$2:$G$2036,3)</f>
        <v>Buteo lagopus</v>
      </c>
      <c r="G2683" s="3" t="str">
        <f>VLOOKUP(B2683,[1]LifeList!$E$2:$I$2036,4)</f>
        <v>Accipitriformes</v>
      </c>
      <c r="H2683" s="3" t="str">
        <f>VLOOKUP(B2683,[1]LifeList!$E$2:$I$2036,5)</f>
        <v>Accipitridae (Hawks, Eagles, and Kites)</v>
      </c>
    </row>
    <row r="2684" spans="1:8" x14ac:dyDescent="0.15">
      <c r="A2684" s="3" t="s">
        <v>2576</v>
      </c>
      <c r="B2684" s="3" t="s">
        <v>4806</v>
      </c>
      <c r="C2684" s="3">
        <v>7528</v>
      </c>
      <c r="D2684" s="3" t="str">
        <f>VLOOKUP(B2684,[1]LifeList!$E$2:$G$2036,1)</f>
        <v>Royal Spoonbill</v>
      </c>
      <c r="E2684" s="3" t="str">
        <f>VLOOKUP(B2684,[1]LifeList!$E$2:$G$2036,2)</f>
        <v>Spatule royale</v>
      </c>
      <c r="F2684" s="3" t="str">
        <f>VLOOKUP(B2684,[1]LifeList!$E$2:$G$2036,3)</f>
        <v>Platalea regia</v>
      </c>
      <c r="G2684" s="3" t="str">
        <f>VLOOKUP(B2684,[1]LifeList!$E$2:$I$2036,4)</f>
        <v>Pelecaniformes</v>
      </c>
      <c r="H2684" s="3" t="str">
        <f>VLOOKUP(B2684,[1]LifeList!$E$2:$I$2036,5)</f>
        <v>Threskiornithidae (Ibises and Spoonbills)</v>
      </c>
    </row>
    <row r="2685" spans="1:8" x14ac:dyDescent="0.15">
      <c r="A2685" s="3" t="s">
        <v>2577</v>
      </c>
      <c r="B2685" s="3" t="s">
        <v>4806</v>
      </c>
      <c r="C2685" s="3">
        <v>7528</v>
      </c>
      <c r="D2685" s="3" t="str">
        <f>VLOOKUP(B2685,[1]LifeList!$E$2:$G$2036,1)</f>
        <v>Royal Spoonbill</v>
      </c>
      <c r="E2685" s="3" t="str">
        <f>VLOOKUP(B2685,[1]LifeList!$E$2:$G$2036,2)</f>
        <v>Spatule royale</v>
      </c>
      <c r="F2685" s="3" t="str">
        <f>VLOOKUP(B2685,[1]LifeList!$E$2:$G$2036,3)</f>
        <v>Platalea regia</v>
      </c>
      <c r="G2685" s="3" t="str">
        <f>VLOOKUP(B2685,[1]LifeList!$E$2:$I$2036,4)</f>
        <v>Pelecaniformes</v>
      </c>
      <c r="H2685" s="3" t="str">
        <f>VLOOKUP(B2685,[1]LifeList!$E$2:$I$2036,5)</f>
        <v>Threskiornithidae (Ibises and Spoonbills)</v>
      </c>
    </row>
    <row r="2686" spans="1:8" x14ac:dyDescent="0.15">
      <c r="A2686" s="3" t="s">
        <v>2578</v>
      </c>
      <c r="B2686" s="3" t="s">
        <v>4807</v>
      </c>
      <c r="C2686" s="3">
        <v>6789</v>
      </c>
      <c r="D2686" s="3" t="str">
        <f>VLOOKUP(B2686,[1]LifeList!$E$2:$G$2036,1)</f>
        <v>Royal Tern</v>
      </c>
      <c r="E2686" s="3" t="str">
        <f>VLOOKUP(B2686,[1]LifeList!$E$2:$G$2036,2)</f>
        <v>Sterne royale</v>
      </c>
      <c r="F2686" s="3" t="str">
        <f>VLOOKUP(B2686,[1]LifeList!$E$2:$G$2036,3)</f>
        <v>Thalasseus maximus</v>
      </c>
      <c r="G2686" s="3" t="str">
        <f>VLOOKUP(B2686,[1]LifeList!$E$2:$I$2036,4)</f>
        <v>Charadriiformes</v>
      </c>
      <c r="H2686" s="3" t="str">
        <f>VLOOKUP(B2686,[1]LifeList!$E$2:$I$2036,5)</f>
        <v>Laridae (Gulls, Terns, and Skimmers)</v>
      </c>
    </row>
    <row r="2687" spans="1:8" x14ac:dyDescent="0.15">
      <c r="A2687" s="3" t="s">
        <v>2579</v>
      </c>
      <c r="B2687" s="3" t="s">
        <v>4807</v>
      </c>
      <c r="C2687" s="3">
        <v>6789</v>
      </c>
      <c r="D2687" s="3" t="str">
        <f>VLOOKUP(B2687,[1]LifeList!$E$2:$G$2036,1)</f>
        <v>Royal Tern</v>
      </c>
      <c r="E2687" s="3" t="str">
        <f>VLOOKUP(B2687,[1]LifeList!$E$2:$G$2036,2)</f>
        <v>Sterne royale</v>
      </c>
      <c r="F2687" s="3" t="str">
        <f>VLOOKUP(B2687,[1]LifeList!$E$2:$G$2036,3)</f>
        <v>Thalasseus maximus</v>
      </c>
      <c r="G2687" s="3" t="str">
        <f>VLOOKUP(B2687,[1]LifeList!$E$2:$I$2036,4)</f>
        <v>Charadriiformes</v>
      </c>
      <c r="H2687" s="3" t="str">
        <f>VLOOKUP(B2687,[1]LifeList!$E$2:$I$2036,5)</f>
        <v>Laridae (Gulls, Terns, and Skimmers)</v>
      </c>
    </row>
    <row r="2688" spans="1:8" x14ac:dyDescent="0.15">
      <c r="A2688" s="3" t="s">
        <v>2580</v>
      </c>
      <c r="B2688" s="3" t="s">
        <v>4807</v>
      </c>
      <c r="C2688" s="3">
        <v>6789</v>
      </c>
      <c r="D2688" s="3" t="str">
        <f>VLOOKUP(B2688,[1]LifeList!$E$2:$G$2036,1)</f>
        <v>Royal Tern</v>
      </c>
      <c r="E2688" s="3" t="str">
        <f>VLOOKUP(B2688,[1]LifeList!$E$2:$G$2036,2)</f>
        <v>Sterne royale</v>
      </c>
      <c r="F2688" s="3" t="str">
        <f>VLOOKUP(B2688,[1]LifeList!$E$2:$G$2036,3)</f>
        <v>Thalasseus maximus</v>
      </c>
      <c r="G2688" s="3" t="str">
        <f>VLOOKUP(B2688,[1]LifeList!$E$2:$I$2036,4)</f>
        <v>Charadriiformes</v>
      </c>
      <c r="H2688" s="3" t="str">
        <f>VLOOKUP(B2688,[1]LifeList!$E$2:$I$2036,5)</f>
        <v>Laridae (Gulls, Terns, and Skimmers)</v>
      </c>
    </row>
    <row r="2689" spans="1:8" x14ac:dyDescent="0.15">
      <c r="A2689" s="3" t="s">
        <v>2581</v>
      </c>
      <c r="B2689" s="3" t="s">
        <v>4807</v>
      </c>
      <c r="C2689" s="3">
        <v>6789</v>
      </c>
      <c r="D2689" s="3" t="str">
        <f>VLOOKUP(B2689,[1]LifeList!$E$2:$G$2036,1)</f>
        <v>Royal Tern</v>
      </c>
      <c r="E2689" s="3" t="str">
        <f>VLOOKUP(B2689,[1]LifeList!$E$2:$G$2036,2)</f>
        <v>Sterne royale</v>
      </c>
      <c r="F2689" s="3" t="str">
        <f>VLOOKUP(B2689,[1]LifeList!$E$2:$G$2036,3)</f>
        <v>Thalasseus maximus</v>
      </c>
      <c r="G2689" s="3" t="str">
        <f>VLOOKUP(B2689,[1]LifeList!$E$2:$I$2036,4)</f>
        <v>Charadriiformes</v>
      </c>
      <c r="H2689" s="3" t="str">
        <f>VLOOKUP(B2689,[1]LifeList!$E$2:$I$2036,5)</f>
        <v>Laridae (Gulls, Terns, and Skimmers)</v>
      </c>
    </row>
    <row r="2690" spans="1:8" x14ac:dyDescent="0.15">
      <c r="A2690" s="3" t="s">
        <v>2582</v>
      </c>
      <c r="B2690" s="3" t="s">
        <v>4807</v>
      </c>
      <c r="C2690" s="3">
        <v>6789</v>
      </c>
      <c r="D2690" s="3" t="str">
        <f>VLOOKUP(B2690,[1]LifeList!$E$2:$G$2036,1)</f>
        <v>Royal Tern</v>
      </c>
      <c r="E2690" s="3" t="str">
        <f>VLOOKUP(B2690,[1]LifeList!$E$2:$G$2036,2)</f>
        <v>Sterne royale</v>
      </c>
      <c r="F2690" s="3" t="str">
        <f>VLOOKUP(B2690,[1]LifeList!$E$2:$G$2036,3)</f>
        <v>Thalasseus maximus</v>
      </c>
      <c r="G2690" s="3" t="str">
        <f>VLOOKUP(B2690,[1]LifeList!$E$2:$I$2036,4)</f>
        <v>Charadriiformes</v>
      </c>
      <c r="H2690" s="3" t="str">
        <f>VLOOKUP(B2690,[1]LifeList!$E$2:$I$2036,5)</f>
        <v>Laridae (Gulls, Terns, and Skimmers)</v>
      </c>
    </row>
    <row r="2691" spans="1:8" x14ac:dyDescent="0.15">
      <c r="A2691" s="3" t="s">
        <v>2584</v>
      </c>
      <c r="B2691" s="3" t="s">
        <v>4808</v>
      </c>
      <c r="C2691" s="3">
        <v>26844</v>
      </c>
      <c r="D2691" s="3" t="str">
        <f>VLOOKUP(B2691,[1]LifeList!$E$2:$G$2036,1)</f>
        <v>Ruby-crowned Kinglet</v>
      </c>
      <c r="E2691" s="3" t="str">
        <f>VLOOKUP(B2691,[1]LifeList!$E$2:$G$2036,2)</f>
        <v>Roitelet à couronne rubis</v>
      </c>
      <c r="F2691" s="3" t="str">
        <f>VLOOKUP(B2691,[1]LifeList!$E$2:$G$2036,3)</f>
        <v>Corthylio calendula</v>
      </c>
      <c r="G2691" s="3" t="str">
        <f>VLOOKUP(B2691,[1]LifeList!$E$2:$I$2036,4)</f>
        <v>Passeriformes</v>
      </c>
      <c r="H2691" s="3" t="str">
        <f>VLOOKUP(B2691,[1]LifeList!$E$2:$I$2036,5)</f>
        <v>Regulidae (Kinglets)</v>
      </c>
    </row>
    <row r="2692" spans="1:8" x14ac:dyDescent="0.15">
      <c r="A2692" s="3" t="s">
        <v>2585</v>
      </c>
      <c r="B2692" s="3" t="s">
        <v>4808</v>
      </c>
      <c r="C2692" s="3">
        <v>26844</v>
      </c>
      <c r="D2692" s="3" t="str">
        <f>VLOOKUP(B2692,[1]LifeList!$E$2:$G$2036,1)</f>
        <v>Ruby-crowned Kinglet</v>
      </c>
      <c r="E2692" s="3" t="str">
        <f>VLOOKUP(B2692,[1]LifeList!$E$2:$G$2036,2)</f>
        <v>Roitelet à couronne rubis</v>
      </c>
      <c r="F2692" s="3" t="str">
        <f>VLOOKUP(B2692,[1]LifeList!$E$2:$G$2036,3)</f>
        <v>Corthylio calendula</v>
      </c>
      <c r="G2692" s="3" t="str">
        <f>VLOOKUP(B2692,[1]LifeList!$E$2:$I$2036,4)</f>
        <v>Passeriformes</v>
      </c>
      <c r="H2692" s="3" t="str">
        <f>VLOOKUP(B2692,[1]LifeList!$E$2:$I$2036,5)</f>
        <v>Regulidae (Kinglets)</v>
      </c>
    </row>
    <row r="2693" spans="1:8" x14ac:dyDescent="0.15">
      <c r="A2693" s="3" t="s">
        <v>2586</v>
      </c>
      <c r="B2693" s="3" t="s">
        <v>4808</v>
      </c>
      <c r="C2693" s="3">
        <v>26844</v>
      </c>
      <c r="D2693" s="3" t="str">
        <f>VLOOKUP(B2693,[1]LifeList!$E$2:$G$2036,1)</f>
        <v>Ruby-crowned Kinglet</v>
      </c>
      <c r="E2693" s="3" t="str">
        <f>VLOOKUP(B2693,[1]LifeList!$E$2:$G$2036,2)</f>
        <v>Roitelet à couronne rubis</v>
      </c>
      <c r="F2693" s="3" t="str">
        <f>VLOOKUP(B2693,[1]LifeList!$E$2:$G$2036,3)</f>
        <v>Corthylio calendula</v>
      </c>
      <c r="G2693" s="3" t="str">
        <f>VLOOKUP(B2693,[1]LifeList!$E$2:$I$2036,4)</f>
        <v>Passeriformes</v>
      </c>
      <c r="H2693" s="3" t="str">
        <f>VLOOKUP(B2693,[1]LifeList!$E$2:$I$2036,5)</f>
        <v>Regulidae (Kinglets)</v>
      </c>
    </row>
    <row r="2694" spans="1:8" x14ac:dyDescent="0.15">
      <c r="A2694" s="3" t="s">
        <v>2587</v>
      </c>
      <c r="B2694" s="3" t="s">
        <v>4808</v>
      </c>
      <c r="C2694" s="3">
        <v>26844</v>
      </c>
      <c r="D2694" s="3" t="str">
        <f>VLOOKUP(B2694,[1]LifeList!$E$2:$G$2036,1)</f>
        <v>Ruby-crowned Kinglet</v>
      </c>
      <c r="E2694" s="3" t="str">
        <f>VLOOKUP(B2694,[1]LifeList!$E$2:$G$2036,2)</f>
        <v>Roitelet à couronne rubis</v>
      </c>
      <c r="F2694" s="3" t="str">
        <f>VLOOKUP(B2694,[1]LifeList!$E$2:$G$2036,3)</f>
        <v>Corthylio calendula</v>
      </c>
      <c r="G2694" s="3" t="str">
        <f>VLOOKUP(B2694,[1]LifeList!$E$2:$I$2036,4)</f>
        <v>Passeriformes</v>
      </c>
      <c r="H2694" s="3" t="str">
        <f>VLOOKUP(B2694,[1]LifeList!$E$2:$I$2036,5)</f>
        <v>Regulidae (Kinglets)</v>
      </c>
    </row>
    <row r="2695" spans="1:8" x14ac:dyDescent="0.15">
      <c r="A2695" s="3" t="s">
        <v>2588</v>
      </c>
      <c r="B2695" s="3" t="s">
        <v>4808</v>
      </c>
      <c r="C2695" s="3">
        <v>26844</v>
      </c>
      <c r="D2695" s="3" t="str">
        <f>VLOOKUP(B2695,[1]LifeList!$E$2:$G$2036,1)</f>
        <v>Ruby-crowned Kinglet</v>
      </c>
      <c r="E2695" s="3" t="str">
        <f>VLOOKUP(B2695,[1]LifeList!$E$2:$G$2036,2)</f>
        <v>Roitelet à couronne rubis</v>
      </c>
      <c r="F2695" s="3" t="str">
        <f>VLOOKUP(B2695,[1]LifeList!$E$2:$G$2036,3)</f>
        <v>Corthylio calendula</v>
      </c>
      <c r="G2695" s="3" t="str">
        <f>VLOOKUP(B2695,[1]LifeList!$E$2:$I$2036,4)</f>
        <v>Passeriformes</v>
      </c>
      <c r="H2695" s="3" t="str">
        <f>VLOOKUP(B2695,[1]LifeList!$E$2:$I$2036,5)</f>
        <v>Regulidae (Kinglets)</v>
      </c>
    </row>
    <row r="2696" spans="1:8" x14ac:dyDescent="0.15">
      <c r="A2696" s="3" t="s">
        <v>2589</v>
      </c>
      <c r="B2696" s="3" t="s">
        <v>4808</v>
      </c>
      <c r="C2696" s="3">
        <v>26844</v>
      </c>
      <c r="D2696" s="3" t="str">
        <f>VLOOKUP(B2696,[1]LifeList!$E$2:$G$2036,1)</f>
        <v>Ruby-crowned Kinglet</v>
      </c>
      <c r="E2696" s="3" t="str">
        <f>VLOOKUP(B2696,[1]LifeList!$E$2:$G$2036,2)</f>
        <v>Roitelet à couronne rubis</v>
      </c>
      <c r="F2696" s="3" t="str">
        <f>VLOOKUP(B2696,[1]LifeList!$E$2:$G$2036,3)</f>
        <v>Corthylio calendula</v>
      </c>
      <c r="G2696" s="3" t="str">
        <f>VLOOKUP(B2696,[1]LifeList!$E$2:$I$2036,4)</f>
        <v>Passeriformes</v>
      </c>
      <c r="H2696" s="3" t="str">
        <f>VLOOKUP(B2696,[1]LifeList!$E$2:$I$2036,5)</f>
        <v>Regulidae (Kinglets)</v>
      </c>
    </row>
    <row r="2697" spans="1:8" x14ac:dyDescent="0.15">
      <c r="A2697" s="3" t="s">
        <v>2583</v>
      </c>
      <c r="B2697" s="3" t="s">
        <v>4808</v>
      </c>
      <c r="C2697" s="3">
        <v>26844</v>
      </c>
      <c r="D2697" s="3" t="str">
        <f>VLOOKUP(B2697,[1]LifeList!$E$2:$G$2036,1)</f>
        <v>Ruby-crowned Kinglet</v>
      </c>
      <c r="E2697" s="3" t="str">
        <f>VLOOKUP(B2697,[1]LifeList!$E$2:$G$2036,2)</f>
        <v>Roitelet à couronne rubis</v>
      </c>
      <c r="F2697" s="3" t="str">
        <f>VLOOKUP(B2697,[1]LifeList!$E$2:$G$2036,3)</f>
        <v>Corthylio calendula</v>
      </c>
      <c r="G2697" s="3" t="str">
        <f>VLOOKUP(B2697,[1]LifeList!$E$2:$I$2036,4)</f>
        <v>Passeriformes</v>
      </c>
      <c r="H2697" s="3" t="str">
        <f>VLOOKUP(B2697,[1]LifeList!$E$2:$I$2036,5)</f>
        <v>Regulidae (Kinglets)</v>
      </c>
    </row>
    <row r="2698" spans="1:8" x14ac:dyDescent="0.15">
      <c r="A2698" s="3" t="s">
        <v>2590</v>
      </c>
      <c r="B2698" s="3" t="s">
        <v>4809</v>
      </c>
      <c r="C2698" s="3">
        <v>4802</v>
      </c>
      <c r="D2698" s="3" t="str">
        <f>VLOOKUP(B2698,[1]LifeList!$E$2:$G$2036,1)</f>
        <v>Ruby-throated Hummingbird</v>
      </c>
      <c r="E2698" s="3" t="str">
        <f>VLOOKUP(B2698,[1]LifeList!$E$2:$G$2036,2)</f>
        <v>Colibri à gorge rubis</v>
      </c>
      <c r="F2698" s="3" t="str">
        <f>VLOOKUP(B2698,[1]LifeList!$E$2:$G$2036,3)</f>
        <v>Archilochus colubris</v>
      </c>
      <c r="G2698" s="3" t="str">
        <f>VLOOKUP(B2698,[1]LifeList!$E$2:$I$2036,4)</f>
        <v>Apodiformes</v>
      </c>
      <c r="H2698" s="3" t="str">
        <f>VLOOKUP(B2698,[1]LifeList!$E$2:$I$2036,5)</f>
        <v>Trochilidae (Hummingbirds)</v>
      </c>
    </row>
    <row r="2699" spans="1:8" x14ac:dyDescent="0.15">
      <c r="A2699" s="3" t="s">
        <v>2591</v>
      </c>
      <c r="B2699" s="3" t="s">
        <v>4809</v>
      </c>
      <c r="C2699" s="3">
        <v>4802</v>
      </c>
      <c r="D2699" s="3" t="str">
        <f>VLOOKUP(B2699,[1]LifeList!$E$2:$G$2036,1)</f>
        <v>Ruby-throated Hummingbird</v>
      </c>
      <c r="E2699" s="3" t="str">
        <f>VLOOKUP(B2699,[1]LifeList!$E$2:$G$2036,2)</f>
        <v>Colibri à gorge rubis</v>
      </c>
      <c r="F2699" s="3" t="str">
        <f>VLOOKUP(B2699,[1]LifeList!$E$2:$G$2036,3)</f>
        <v>Archilochus colubris</v>
      </c>
      <c r="G2699" s="3" t="str">
        <f>VLOOKUP(B2699,[1]LifeList!$E$2:$I$2036,4)</f>
        <v>Apodiformes</v>
      </c>
      <c r="H2699" s="3" t="str">
        <f>VLOOKUP(B2699,[1]LifeList!$E$2:$I$2036,5)</f>
        <v>Trochilidae (Hummingbirds)</v>
      </c>
    </row>
    <row r="2700" spans="1:8" x14ac:dyDescent="0.15">
      <c r="A2700" s="3" t="s">
        <v>2592</v>
      </c>
      <c r="B2700" s="3" t="s">
        <v>4809</v>
      </c>
      <c r="C2700" s="3">
        <v>4802</v>
      </c>
      <c r="D2700" s="3" t="str">
        <f>VLOOKUP(B2700,[1]LifeList!$E$2:$G$2036,1)</f>
        <v>Ruby-throated Hummingbird</v>
      </c>
      <c r="E2700" s="3" t="str">
        <f>VLOOKUP(B2700,[1]LifeList!$E$2:$G$2036,2)</f>
        <v>Colibri à gorge rubis</v>
      </c>
      <c r="F2700" s="3" t="str">
        <f>VLOOKUP(B2700,[1]LifeList!$E$2:$G$2036,3)</f>
        <v>Archilochus colubris</v>
      </c>
      <c r="G2700" s="3" t="str">
        <f>VLOOKUP(B2700,[1]LifeList!$E$2:$I$2036,4)</f>
        <v>Apodiformes</v>
      </c>
      <c r="H2700" s="3" t="str">
        <f>VLOOKUP(B2700,[1]LifeList!$E$2:$I$2036,5)</f>
        <v>Trochilidae (Hummingbirds)</v>
      </c>
    </row>
    <row r="2701" spans="1:8" x14ac:dyDescent="0.15">
      <c r="A2701" s="3" t="s">
        <v>2593</v>
      </c>
      <c r="B2701" s="3" t="s">
        <v>4809</v>
      </c>
      <c r="C2701" s="3">
        <v>4802</v>
      </c>
      <c r="D2701" s="3" t="str">
        <f>VLOOKUP(B2701,[1]LifeList!$E$2:$G$2036,1)</f>
        <v>Ruby-throated Hummingbird</v>
      </c>
      <c r="E2701" s="3" t="str">
        <f>VLOOKUP(B2701,[1]LifeList!$E$2:$G$2036,2)</f>
        <v>Colibri à gorge rubis</v>
      </c>
      <c r="F2701" s="3" t="str">
        <f>VLOOKUP(B2701,[1]LifeList!$E$2:$G$2036,3)</f>
        <v>Archilochus colubris</v>
      </c>
      <c r="G2701" s="3" t="str">
        <f>VLOOKUP(B2701,[1]LifeList!$E$2:$I$2036,4)</f>
        <v>Apodiformes</v>
      </c>
      <c r="H2701" s="3" t="str">
        <f>VLOOKUP(B2701,[1]LifeList!$E$2:$I$2036,5)</f>
        <v>Trochilidae (Hummingbirds)</v>
      </c>
    </row>
    <row r="2702" spans="1:8" x14ac:dyDescent="0.15">
      <c r="A2702" s="3" t="s">
        <v>2594</v>
      </c>
      <c r="B2702" s="3" t="s">
        <v>4810</v>
      </c>
      <c r="C2702" s="3">
        <v>4382</v>
      </c>
      <c r="D2702" s="3" t="str">
        <f>VLOOKUP(B2702,[1]LifeList!$E$2:$G$2036,1)</f>
        <v>Ruby-topaz Hummingbird</v>
      </c>
      <c r="E2702" s="3" t="str">
        <f>VLOOKUP(B2702,[1]LifeList!$E$2:$G$2036,2)</f>
        <v>Colibri rubis-topaze</v>
      </c>
      <c r="F2702" s="3" t="str">
        <f>VLOOKUP(B2702,[1]LifeList!$E$2:$G$2036,3)</f>
        <v>Chrysolampis mosquitus</v>
      </c>
      <c r="G2702" s="3" t="str">
        <f>VLOOKUP(B2702,[1]LifeList!$E$2:$I$2036,4)</f>
        <v>Apodiformes</v>
      </c>
      <c r="H2702" s="3" t="str">
        <f>VLOOKUP(B2702,[1]LifeList!$E$2:$I$2036,5)</f>
        <v>Trochilidae (Hummingbirds)</v>
      </c>
    </row>
    <row r="2703" spans="1:8" x14ac:dyDescent="0.15">
      <c r="A2703" s="3" t="s">
        <v>2595</v>
      </c>
      <c r="B2703" s="3" t="s">
        <v>4810</v>
      </c>
      <c r="C2703" s="3">
        <v>4382</v>
      </c>
      <c r="D2703" s="3" t="str">
        <f>VLOOKUP(B2703,[1]LifeList!$E$2:$G$2036,1)</f>
        <v>Ruby-topaz Hummingbird</v>
      </c>
      <c r="E2703" s="3" t="str">
        <f>VLOOKUP(B2703,[1]LifeList!$E$2:$G$2036,2)</f>
        <v>Colibri rubis-topaze</v>
      </c>
      <c r="F2703" s="3" t="str">
        <f>VLOOKUP(B2703,[1]LifeList!$E$2:$G$2036,3)</f>
        <v>Chrysolampis mosquitus</v>
      </c>
      <c r="G2703" s="3" t="str">
        <f>VLOOKUP(B2703,[1]LifeList!$E$2:$I$2036,4)</f>
        <v>Apodiformes</v>
      </c>
      <c r="H2703" s="3" t="str">
        <f>VLOOKUP(B2703,[1]LifeList!$E$2:$I$2036,5)</f>
        <v>Trochilidae (Hummingbirds)</v>
      </c>
    </row>
    <row r="2704" spans="1:8" x14ac:dyDescent="0.15">
      <c r="A2704" s="3" t="s">
        <v>2602</v>
      </c>
      <c r="B2704" s="3" t="s">
        <v>4811</v>
      </c>
      <c r="C2704" s="3">
        <v>778</v>
      </c>
      <c r="D2704" s="3" t="str">
        <f>VLOOKUP(B2704,[1]LifeList!$E$2:$G$2036,1)</f>
        <v>Ruddy Duck</v>
      </c>
      <c r="E2704" s="3" t="str">
        <f>VLOOKUP(B2704,[1]LifeList!$E$2:$G$2036,2)</f>
        <v>Érismature rousse</v>
      </c>
      <c r="F2704" s="3" t="str">
        <f>VLOOKUP(B2704,[1]LifeList!$E$2:$G$2036,3)</f>
        <v>Oxyura jamaicensis</v>
      </c>
      <c r="G2704" s="3" t="str">
        <f>VLOOKUP(B2704,[1]LifeList!$E$2:$I$2036,4)</f>
        <v>Anseriformes</v>
      </c>
      <c r="H2704" s="3" t="str">
        <f>VLOOKUP(B2704,[1]LifeList!$E$2:$I$2036,5)</f>
        <v>Anatidae (Ducks, Geese, and Waterfowl)</v>
      </c>
    </row>
    <row r="2705" spans="1:8" x14ac:dyDescent="0.15">
      <c r="A2705" s="3" t="s">
        <v>2603</v>
      </c>
      <c r="B2705" s="3" t="s">
        <v>4811</v>
      </c>
      <c r="C2705" s="3">
        <v>778</v>
      </c>
      <c r="D2705" s="3" t="str">
        <f>VLOOKUP(B2705,[1]LifeList!$E$2:$G$2036,1)</f>
        <v>Ruddy Duck</v>
      </c>
      <c r="E2705" s="3" t="str">
        <f>VLOOKUP(B2705,[1]LifeList!$E$2:$G$2036,2)</f>
        <v>Érismature rousse</v>
      </c>
      <c r="F2705" s="3" t="str">
        <f>VLOOKUP(B2705,[1]LifeList!$E$2:$G$2036,3)</f>
        <v>Oxyura jamaicensis</v>
      </c>
      <c r="G2705" s="3" t="str">
        <f>VLOOKUP(B2705,[1]LifeList!$E$2:$I$2036,4)</f>
        <v>Anseriformes</v>
      </c>
      <c r="H2705" s="3" t="str">
        <f>VLOOKUP(B2705,[1]LifeList!$E$2:$I$2036,5)</f>
        <v>Anatidae (Ducks, Geese, and Waterfowl)</v>
      </c>
    </row>
    <row r="2706" spans="1:8" x14ac:dyDescent="0.15">
      <c r="A2706" s="3" t="s">
        <v>2604</v>
      </c>
      <c r="B2706" s="3" t="s">
        <v>3785</v>
      </c>
      <c r="C2706" s="3">
        <v>2268</v>
      </c>
      <c r="D2706" s="3" t="str">
        <f>VLOOKUP(B2706,[1]LifeList!$E$2:$G$2036,1)</f>
        <v>Ruddy Ground Dove</v>
      </c>
      <c r="E2706" s="3" t="str">
        <f>VLOOKUP(B2706,[1]LifeList!$E$2:$G$2036,2)</f>
        <v>Colombe rousse</v>
      </c>
      <c r="F2706" s="3" t="str">
        <f>VLOOKUP(B2706,[1]LifeList!$E$2:$G$2036,3)</f>
        <v>Columbina talpacoti</v>
      </c>
      <c r="G2706" s="3" t="str">
        <f>VLOOKUP(B2706,[1]LifeList!$E$2:$I$2036,4)</f>
        <v>Columbiformes</v>
      </c>
      <c r="H2706" s="3" t="str">
        <f>VLOOKUP(B2706,[1]LifeList!$E$2:$I$2036,5)</f>
        <v>Columbidae (Pigeons and Doves)</v>
      </c>
    </row>
    <row r="2707" spans="1:8" x14ac:dyDescent="0.15">
      <c r="A2707" s="3" t="s">
        <v>2605</v>
      </c>
      <c r="B2707" s="3" t="s">
        <v>3785</v>
      </c>
      <c r="C2707" s="3">
        <v>2268</v>
      </c>
      <c r="D2707" s="3" t="str">
        <f>VLOOKUP(B2707,[1]LifeList!$E$2:$G$2036,1)</f>
        <v>Ruddy Ground Dove</v>
      </c>
      <c r="E2707" s="3" t="str">
        <f>VLOOKUP(B2707,[1]LifeList!$E$2:$G$2036,2)</f>
        <v>Colombe rousse</v>
      </c>
      <c r="F2707" s="3" t="str">
        <f>VLOOKUP(B2707,[1]LifeList!$E$2:$G$2036,3)</f>
        <v>Columbina talpacoti</v>
      </c>
      <c r="G2707" s="3" t="str">
        <f>VLOOKUP(B2707,[1]LifeList!$E$2:$I$2036,4)</f>
        <v>Columbiformes</v>
      </c>
      <c r="H2707" s="3" t="str">
        <f>VLOOKUP(B2707,[1]LifeList!$E$2:$I$2036,5)</f>
        <v>Columbidae (Pigeons and Doves)</v>
      </c>
    </row>
    <row r="2708" spans="1:8" x14ac:dyDescent="0.15">
      <c r="A2708" s="3" t="s">
        <v>2606</v>
      </c>
      <c r="B2708" s="3" t="s">
        <v>4812</v>
      </c>
      <c r="C2708" s="3">
        <v>15300</v>
      </c>
      <c r="D2708" s="3" t="str">
        <f>VLOOKUP(B2708,[1]LifeList!$E$2:$G$2036,1)</f>
        <v>Ruddy Treerunner</v>
      </c>
      <c r="E2708" s="3" t="str">
        <f>VLOOKUP(B2708,[1]LifeList!$E$2:$G$2036,2)</f>
        <v>Anabasitte rousse</v>
      </c>
      <c r="F2708" s="3" t="str">
        <f>VLOOKUP(B2708,[1]LifeList!$E$2:$G$2036,3)</f>
        <v>Margarornis rubiginosus</v>
      </c>
      <c r="G2708" s="3" t="str">
        <f>VLOOKUP(B2708,[1]LifeList!$E$2:$I$2036,4)</f>
        <v>Passeriformes</v>
      </c>
      <c r="H2708" s="3" t="str">
        <f>VLOOKUP(B2708,[1]LifeList!$E$2:$I$2036,5)</f>
        <v>Furnariidae (Ovenbirds and Woodcreepers)</v>
      </c>
    </row>
    <row r="2709" spans="1:8" x14ac:dyDescent="0.15">
      <c r="A2709" s="3" t="s">
        <v>2607</v>
      </c>
      <c r="B2709" s="3" t="s">
        <v>4813</v>
      </c>
      <c r="C2709" s="3">
        <v>6161</v>
      </c>
      <c r="D2709" s="3" t="str">
        <f>VLOOKUP(B2709,[1]LifeList!$E$2:$G$2036,1)</f>
        <v>Ruddy Turnstone</v>
      </c>
      <c r="E2709" s="3" t="str">
        <f>VLOOKUP(B2709,[1]LifeList!$E$2:$G$2036,2)</f>
        <v>Tournepierre à collier</v>
      </c>
      <c r="F2709" s="3" t="str">
        <f>VLOOKUP(B2709,[1]LifeList!$E$2:$G$2036,3)</f>
        <v>Arenaria interpres</v>
      </c>
      <c r="G2709" s="3" t="str">
        <f>VLOOKUP(B2709,[1]LifeList!$E$2:$I$2036,4)</f>
        <v>Charadriiformes</v>
      </c>
      <c r="H2709" s="3" t="str">
        <f>VLOOKUP(B2709,[1]LifeList!$E$2:$I$2036,5)</f>
        <v>Scolopacidae (Sandpipers and Allies)</v>
      </c>
    </row>
    <row r="2710" spans="1:8" x14ac:dyDescent="0.15">
      <c r="A2710" s="3" t="s">
        <v>2608</v>
      </c>
      <c r="B2710" s="3" t="s">
        <v>4813</v>
      </c>
      <c r="C2710" s="3">
        <v>6161</v>
      </c>
      <c r="D2710" s="3" t="str">
        <f>VLOOKUP(B2710,[1]LifeList!$E$2:$G$2036,1)</f>
        <v>Ruddy Turnstone</v>
      </c>
      <c r="E2710" s="3" t="str">
        <f>VLOOKUP(B2710,[1]LifeList!$E$2:$G$2036,2)</f>
        <v>Tournepierre à collier</v>
      </c>
      <c r="F2710" s="3" t="str">
        <f>VLOOKUP(B2710,[1]LifeList!$E$2:$G$2036,3)</f>
        <v>Arenaria interpres</v>
      </c>
      <c r="G2710" s="3" t="str">
        <f>VLOOKUP(B2710,[1]LifeList!$E$2:$I$2036,4)</f>
        <v>Charadriiformes</v>
      </c>
      <c r="H2710" s="3" t="str">
        <f>VLOOKUP(B2710,[1]LifeList!$E$2:$I$2036,5)</f>
        <v>Scolopacidae (Sandpipers and Allies)</v>
      </c>
    </row>
    <row r="2711" spans="1:8" x14ac:dyDescent="0.15">
      <c r="A2711" s="3" t="s">
        <v>2609</v>
      </c>
      <c r="B2711" s="3" t="s">
        <v>4813</v>
      </c>
      <c r="C2711" s="3">
        <v>6161</v>
      </c>
      <c r="D2711" s="3" t="str">
        <f>VLOOKUP(B2711,[1]LifeList!$E$2:$G$2036,1)</f>
        <v>Ruddy Turnstone</v>
      </c>
      <c r="E2711" s="3" t="str">
        <f>VLOOKUP(B2711,[1]LifeList!$E$2:$G$2036,2)</f>
        <v>Tournepierre à collier</v>
      </c>
      <c r="F2711" s="3" t="str">
        <f>VLOOKUP(B2711,[1]LifeList!$E$2:$G$2036,3)</f>
        <v>Arenaria interpres</v>
      </c>
      <c r="G2711" s="3" t="str">
        <f>VLOOKUP(B2711,[1]LifeList!$E$2:$I$2036,4)</f>
        <v>Charadriiformes</v>
      </c>
      <c r="H2711" s="3" t="str">
        <f>VLOOKUP(B2711,[1]LifeList!$E$2:$I$2036,5)</f>
        <v>Scolopacidae (Sandpipers and Allies)</v>
      </c>
    </row>
    <row r="2712" spans="1:8" x14ac:dyDescent="0.15">
      <c r="A2712" s="3" t="s">
        <v>2610</v>
      </c>
      <c r="B2712" s="3" t="s">
        <v>4813</v>
      </c>
      <c r="C2712" s="3">
        <v>6161</v>
      </c>
      <c r="D2712" s="3" t="str">
        <f>VLOOKUP(B2712,[1]LifeList!$E$2:$G$2036,1)</f>
        <v>Ruddy Turnstone</v>
      </c>
      <c r="E2712" s="3" t="str">
        <f>VLOOKUP(B2712,[1]LifeList!$E$2:$G$2036,2)</f>
        <v>Tournepierre à collier</v>
      </c>
      <c r="F2712" s="3" t="str">
        <f>VLOOKUP(B2712,[1]LifeList!$E$2:$G$2036,3)</f>
        <v>Arenaria interpres</v>
      </c>
      <c r="G2712" s="3" t="str">
        <f>VLOOKUP(B2712,[1]LifeList!$E$2:$I$2036,4)</f>
        <v>Charadriiformes</v>
      </c>
      <c r="H2712" s="3" t="str">
        <f>VLOOKUP(B2712,[1]LifeList!$E$2:$I$2036,5)</f>
        <v>Scolopacidae (Sandpipers and Allies)</v>
      </c>
    </row>
    <row r="2713" spans="1:8" x14ac:dyDescent="0.15">
      <c r="A2713" s="3" t="s">
        <v>2611</v>
      </c>
      <c r="B2713" s="3" t="s">
        <v>4813</v>
      </c>
      <c r="C2713" s="3">
        <v>6161</v>
      </c>
      <c r="D2713" s="3" t="str">
        <f>VLOOKUP(B2713,[1]LifeList!$E$2:$G$2036,1)</f>
        <v>Ruddy Turnstone</v>
      </c>
      <c r="E2713" s="3" t="str">
        <f>VLOOKUP(B2713,[1]LifeList!$E$2:$G$2036,2)</f>
        <v>Tournepierre à collier</v>
      </c>
      <c r="F2713" s="3" t="str">
        <f>VLOOKUP(B2713,[1]LifeList!$E$2:$G$2036,3)</f>
        <v>Arenaria interpres</v>
      </c>
      <c r="G2713" s="3" t="str">
        <f>VLOOKUP(B2713,[1]LifeList!$E$2:$I$2036,4)</f>
        <v>Charadriiformes</v>
      </c>
      <c r="H2713" s="3" t="str">
        <f>VLOOKUP(B2713,[1]LifeList!$E$2:$I$2036,5)</f>
        <v>Scolopacidae (Sandpipers and Allies)</v>
      </c>
    </row>
    <row r="2714" spans="1:8" x14ac:dyDescent="0.15">
      <c r="A2714" s="3" t="s">
        <v>2612</v>
      </c>
      <c r="B2714" s="3" t="s">
        <v>4813</v>
      </c>
      <c r="C2714" s="3">
        <v>6161</v>
      </c>
      <c r="D2714" s="3" t="str">
        <f>VLOOKUP(B2714,[1]LifeList!$E$2:$G$2036,1)</f>
        <v>Ruddy Turnstone</v>
      </c>
      <c r="E2714" s="3" t="str">
        <f>VLOOKUP(B2714,[1]LifeList!$E$2:$G$2036,2)</f>
        <v>Tournepierre à collier</v>
      </c>
      <c r="F2714" s="3" t="str">
        <f>VLOOKUP(B2714,[1]LifeList!$E$2:$G$2036,3)</f>
        <v>Arenaria interpres</v>
      </c>
      <c r="G2714" s="3" t="str">
        <f>VLOOKUP(B2714,[1]LifeList!$E$2:$I$2036,4)</f>
        <v>Charadriiformes</v>
      </c>
      <c r="H2714" s="3" t="str">
        <f>VLOOKUP(B2714,[1]LifeList!$E$2:$I$2036,5)</f>
        <v>Scolopacidae (Sandpipers and Allies)</v>
      </c>
    </row>
    <row r="2715" spans="1:8" x14ac:dyDescent="0.15">
      <c r="A2715" s="3" t="s">
        <v>2613</v>
      </c>
      <c r="B2715" s="3" t="s">
        <v>4813</v>
      </c>
      <c r="C2715" s="3">
        <v>6161</v>
      </c>
      <c r="D2715" s="3" t="str">
        <f>VLOOKUP(B2715,[1]LifeList!$E$2:$G$2036,1)</f>
        <v>Ruddy Turnstone</v>
      </c>
      <c r="E2715" s="3" t="str">
        <f>VLOOKUP(B2715,[1]LifeList!$E$2:$G$2036,2)</f>
        <v>Tournepierre à collier</v>
      </c>
      <c r="F2715" s="3" t="str">
        <f>VLOOKUP(B2715,[1]LifeList!$E$2:$G$2036,3)</f>
        <v>Arenaria interpres</v>
      </c>
      <c r="G2715" s="3" t="str">
        <f>VLOOKUP(B2715,[1]LifeList!$E$2:$I$2036,4)</f>
        <v>Charadriiformes</v>
      </c>
      <c r="H2715" s="3" t="str">
        <f>VLOOKUP(B2715,[1]LifeList!$E$2:$I$2036,5)</f>
        <v>Scolopacidae (Sandpipers and Allies)</v>
      </c>
    </row>
    <row r="2716" spans="1:8" x14ac:dyDescent="0.15">
      <c r="A2716" s="3" t="s">
        <v>2614</v>
      </c>
      <c r="B2716" s="3" t="s">
        <v>4813</v>
      </c>
      <c r="C2716" s="3">
        <v>6161</v>
      </c>
      <c r="D2716" s="3" t="str">
        <f>VLOOKUP(B2716,[1]LifeList!$E$2:$G$2036,1)</f>
        <v>Ruddy Turnstone</v>
      </c>
      <c r="E2716" s="3" t="str">
        <f>VLOOKUP(B2716,[1]LifeList!$E$2:$G$2036,2)</f>
        <v>Tournepierre à collier</v>
      </c>
      <c r="F2716" s="3" t="str">
        <f>VLOOKUP(B2716,[1]LifeList!$E$2:$G$2036,3)</f>
        <v>Arenaria interpres</v>
      </c>
      <c r="G2716" s="3" t="str">
        <f>VLOOKUP(B2716,[1]LifeList!$E$2:$I$2036,4)</f>
        <v>Charadriiformes</v>
      </c>
      <c r="H2716" s="3" t="str">
        <f>VLOOKUP(B2716,[1]LifeList!$E$2:$I$2036,5)</f>
        <v>Scolopacidae (Sandpipers and Allies)</v>
      </c>
    </row>
    <row r="2717" spans="1:8" x14ac:dyDescent="0.15">
      <c r="A2717" s="3" t="s">
        <v>2615</v>
      </c>
      <c r="B2717" s="3" t="s">
        <v>4814</v>
      </c>
      <c r="C2717" s="3">
        <v>14655</v>
      </c>
      <c r="D2717" s="3" t="str">
        <f>VLOOKUP(B2717,[1]LifeList!$E$2:$G$2036,1)</f>
        <v>Ruddy Woodcreeper</v>
      </c>
      <c r="E2717" s="3" t="str">
        <f>VLOOKUP(B2717,[1]LifeList!$E$2:$G$2036,2)</f>
        <v>Grimpar roux</v>
      </c>
      <c r="F2717" s="3" t="str">
        <f>VLOOKUP(B2717,[1]LifeList!$E$2:$G$2036,3)</f>
        <v>Dendrocincla homochroa</v>
      </c>
      <c r="G2717" s="3" t="str">
        <f>VLOOKUP(B2717,[1]LifeList!$E$2:$I$2036,4)</f>
        <v>Passeriformes</v>
      </c>
      <c r="H2717" s="3" t="str">
        <f>VLOOKUP(B2717,[1]LifeList!$E$2:$I$2036,5)</f>
        <v>Furnariidae (Ovenbirds and Woodcreepers)</v>
      </c>
    </row>
    <row r="2718" spans="1:8" x14ac:dyDescent="0.15">
      <c r="A2718" s="3" t="s">
        <v>2596</v>
      </c>
      <c r="B2718" s="3" t="s">
        <v>4815</v>
      </c>
      <c r="C2718" s="3">
        <v>28294</v>
      </c>
      <c r="D2718" s="3" t="str">
        <f>VLOOKUP(B2718,[1]LifeList!$E$2:$G$2036,1)</f>
        <v>Ruddy-capped Nightingale-Thrush</v>
      </c>
      <c r="E2718" s="3" t="str">
        <f>VLOOKUP(B2718,[1]LifeList!$E$2:$G$2036,2)</f>
        <v>Grive à calotte rousse</v>
      </c>
      <c r="F2718" s="3" t="str">
        <f>VLOOKUP(B2718,[1]LifeList!$E$2:$G$2036,3)</f>
        <v>Catharus frantzii</v>
      </c>
      <c r="G2718" s="3" t="str">
        <f>VLOOKUP(B2718,[1]LifeList!$E$2:$I$2036,4)</f>
        <v>Passeriformes</v>
      </c>
      <c r="H2718" s="3" t="str">
        <f>VLOOKUP(B2718,[1]LifeList!$E$2:$I$2036,5)</f>
        <v>Turdidae (Thrushes and Allies)</v>
      </c>
    </row>
    <row r="2719" spans="1:8" x14ac:dyDescent="0.15">
      <c r="A2719" s="3" t="s">
        <v>2597</v>
      </c>
      <c r="B2719" s="3" t="s">
        <v>4815</v>
      </c>
      <c r="C2719" s="3">
        <v>28294</v>
      </c>
      <c r="D2719" s="3" t="str">
        <f>VLOOKUP(B2719,[1]LifeList!$E$2:$G$2036,1)</f>
        <v>Ruddy-capped Nightingale-Thrush</v>
      </c>
      <c r="E2719" s="3" t="str">
        <f>VLOOKUP(B2719,[1]LifeList!$E$2:$G$2036,2)</f>
        <v>Grive à calotte rousse</v>
      </c>
      <c r="F2719" s="3" t="str">
        <f>VLOOKUP(B2719,[1]LifeList!$E$2:$G$2036,3)</f>
        <v>Catharus frantzii</v>
      </c>
      <c r="G2719" s="3" t="str">
        <f>VLOOKUP(B2719,[1]LifeList!$E$2:$I$2036,4)</f>
        <v>Passeriformes</v>
      </c>
      <c r="H2719" s="3" t="str">
        <f>VLOOKUP(B2719,[1]LifeList!$E$2:$I$2036,5)</f>
        <v>Turdidae (Thrushes and Allies)</v>
      </c>
    </row>
    <row r="2720" spans="1:8" x14ac:dyDescent="0.15">
      <c r="A2720" s="3" t="s">
        <v>2598</v>
      </c>
      <c r="B2720" s="3" t="s">
        <v>4815</v>
      </c>
      <c r="C2720" s="3">
        <v>28294</v>
      </c>
      <c r="D2720" s="3" t="str">
        <f>VLOOKUP(B2720,[1]LifeList!$E$2:$G$2036,1)</f>
        <v>Ruddy-capped Nightingale-Thrush</v>
      </c>
      <c r="E2720" s="3" t="str">
        <f>VLOOKUP(B2720,[1]LifeList!$E$2:$G$2036,2)</f>
        <v>Grive à calotte rousse</v>
      </c>
      <c r="F2720" s="3" t="str">
        <f>VLOOKUP(B2720,[1]LifeList!$E$2:$G$2036,3)</f>
        <v>Catharus frantzii</v>
      </c>
      <c r="G2720" s="3" t="str">
        <f>VLOOKUP(B2720,[1]LifeList!$E$2:$I$2036,4)</f>
        <v>Passeriformes</v>
      </c>
      <c r="H2720" s="3" t="str">
        <f>VLOOKUP(B2720,[1]LifeList!$E$2:$I$2036,5)</f>
        <v>Turdidae (Thrushes and Allies)</v>
      </c>
    </row>
    <row r="2721" spans="1:8" x14ac:dyDescent="0.15">
      <c r="A2721" s="3" t="s">
        <v>2599</v>
      </c>
      <c r="B2721" s="3" t="s">
        <v>4816</v>
      </c>
      <c r="C2721" s="3">
        <v>16110</v>
      </c>
      <c r="D2721" s="3" t="str">
        <f>VLOOKUP(B2721,[1]LifeList!$E$2:$G$2036,1)</f>
        <v>Ruddy-tailed Flycatcher</v>
      </c>
      <c r="E2721" s="3" t="str">
        <f>VLOOKUP(B2721,[1]LifeList!$E$2:$G$2036,2)</f>
        <v>Barbichon rougequeue</v>
      </c>
      <c r="F2721" s="3" t="str">
        <f>VLOOKUP(B2721,[1]LifeList!$E$2:$G$2036,3)</f>
        <v>Terenotriccus erythrurus</v>
      </c>
      <c r="G2721" s="3" t="str">
        <f>VLOOKUP(B2721,[1]LifeList!$E$2:$I$2036,4)</f>
        <v>Passeriformes</v>
      </c>
      <c r="H2721" s="3" t="str">
        <f>VLOOKUP(B2721,[1]LifeList!$E$2:$I$2036,5)</f>
        <v>Onychorhynchidae (Royal Flycatchers and Allies)</v>
      </c>
    </row>
    <row r="2722" spans="1:8" x14ac:dyDescent="0.15">
      <c r="A2722" s="3" t="s">
        <v>2600</v>
      </c>
      <c r="B2722" s="3" t="s">
        <v>4816</v>
      </c>
      <c r="C2722" s="3">
        <v>16110</v>
      </c>
      <c r="D2722" s="3" t="str">
        <f>VLOOKUP(B2722,[1]LifeList!$E$2:$G$2036,1)</f>
        <v>Ruddy-tailed Flycatcher</v>
      </c>
      <c r="E2722" s="3" t="str">
        <f>VLOOKUP(B2722,[1]LifeList!$E$2:$G$2036,2)</f>
        <v>Barbichon rougequeue</v>
      </c>
      <c r="F2722" s="3" t="str">
        <f>VLOOKUP(B2722,[1]LifeList!$E$2:$G$2036,3)</f>
        <v>Terenotriccus erythrurus</v>
      </c>
      <c r="G2722" s="3" t="str">
        <f>VLOOKUP(B2722,[1]LifeList!$E$2:$I$2036,4)</f>
        <v>Passeriformes</v>
      </c>
      <c r="H2722" s="3" t="str">
        <f>VLOOKUP(B2722,[1]LifeList!$E$2:$I$2036,5)</f>
        <v>Onychorhynchidae (Royal Flycatchers and Allies)</v>
      </c>
    </row>
    <row r="2723" spans="1:8" x14ac:dyDescent="0.15">
      <c r="A2723" s="3" t="s">
        <v>2601</v>
      </c>
      <c r="B2723" s="3" t="s">
        <v>4816</v>
      </c>
      <c r="C2723" s="3">
        <v>16110</v>
      </c>
      <c r="D2723" s="3" t="str">
        <f>VLOOKUP(B2723,[1]LifeList!$E$2:$G$2036,1)</f>
        <v>Ruddy-tailed Flycatcher</v>
      </c>
      <c r="E2723" s="3" t="str">
        <f>VLOOKUP(B2723,[1]LifeList!$E$2:$G$2036,2)</f>
        <v>Barbichon rougequeue</v>
      </c>
      <c r="F2723" s="3" t="str">
        <f>VLOOKUP(B2723,[1]LifeList!$E$2:$G$2036,3)</f>
        <v>Terenotriccus erythrurus</v>
      </c>
      <c r="G2723" s="3" t="str">
        <f>VLOOKUP(B2723,[1]LifeList!$E$2:$I$2036,4)</f>
        <v>Passeriformes</v>
      </c>
      <c r="H2723" s="3" t="str">
        <f>VLOOKUP(B2723,[1]LifeList!$E$2:$I$2036,5)</f>
        <v>Onychorhynchidae (Royal Flycatchers and Allies)</v>
      </c>
    </row>
    <row r="2724" spans="1:8" x14ac:dyDescent="0.15">
      <c r="A2724" s="3" t="s">
        <v>2616</v>
      </c>
      <c r="B2724" s="3" t="s">
        <v>4817</v>
      </c>
      <c r="C2724" s="3">
        <v>7537</v>
      </c>
      <c r="D2724" s="3" t="str">
        <f>VLOOKUP(B2724,[1]LifeList!$E$2:$G$2036,1)</f>
        <v>Rufescent Tiger-Heron</v>
      </c>
      <c r="E2724" s="3" t="str">
        <f>VLOOKUP(B2724,[1]LifeList!$E$2:$G$2036,2)</f>
        <v>Onoré rayé</v>
      </c>
      <c r="F2724" s="3" t="str">
        <f>VLOOKUP(B2724,[1]LifeList!$E$2:$G$2036,3)</f>
        <v>Tigrisoma lineatum</v>
      </c>
      <c r="G2724" s="3" t="str">
        <f>VLOOKUP(B2724,[1]LifeList!$E$2:$I$2036,4)</f>
        <v>Pelecaniformes</v>
      </c>
      <c r="H2724" s="3" t="str">
        <f>VLOOKUP(B2724,[1]LifeList!$E$2:$I$2036,5)</f>
        <v>Ardeidae (Herons, Egrets, and Bitterns)</v>
      </c>
    </row>
    <row r="2725" spans="1:8" x14ac:dyDescent="0.15">
      <c r="A2725" s="3" t="s">
        <v>2617</v>
      </c>
      <c r="B2725" s="3" t="s">
        <v>4817</v>
      </c>
      <c r="C2725" s="3">
        <v>7537</v>
      </c>
      <c r="D2725" s="3" t="str">
        <f>VLOOKUP(B2725,[1]LifeList!$E$2:$G$2036,1)</f>
        <v>Rufescent Tiger-Heron</v>
      </c>
      <c r="E2725" s="3" t="str">
        <f>VLOOKUP(B2725,[1]LifeList!$E$2:$G$2036,2)</f>
        <v>Onoré rayé</v>
      </c>
      <c r="F2725" s="3" t="str">
        <f>VLOOKUP(B2725,[1]LifeList!$E$2:$G$2036,3)</f>
        <v>Tigrisoma lineatum</v>
      </c>
      <c r="G2725" s="3" t="str">
        <f>VLOOKUP(B2725,[1]LifeList!$E$2:$I$2036,4)</f>
        <v>Pelecaniformes</v>
      </c>
      <c r="H2725" s="3" t="str">
        <f>VLOOKUP(B2725,[1]LifeList!$E$2:$I$2036,5)</f>
        <v>Ardeidae (Herons, Egrets, and Bitterns)</v>
      </c>
    </row>
    <row r="2726" spans="1:8" x14ac:dyDescent="0.15">
      <c r="A2726" s="3" t="s">
        <v>2618</v>
      </c>
      <c r="B2726" s="3" t="s">
        <v>4817</v>
      </c>
      <c r="C2726" s="3">
        <v>7537</v>
      </c>
      <c r="D2726" s="3" t="str">
        <f>VLOOKUP(B2726,[1]LifeList!$E$2:$G$2036,1)</f>
        <v>Rufescent Tiger-Heron</v>
      </c>
      <c r="E2726" s="3" t="str">
        <f>VLOOKUP(B2726,[1]LifeList!$E$2:$G$2036,2)</f>
        <v>Onoré rayé</v>
      </c>
      <c r="F2726" s="3" t="str">
        <f>VLOOKUP(B2726,[1]LifeList!$E$2:$G$2036,3)</f>
        <v>Tigrisoma lineatum</v>
      </c>
      <c r="G2726" s="3" t="str">
        <f>VLOOKUP(B2726,[1]LifeList!$E$2:$I$2036,4)</f>
        <v>Pelecaniformes</v>
      </c>
      <c r="H2726" s="3" t="str">
        <f>VLOOKUP(B2726,[1]LifeList!$E$2:$I$2036,5)</f>
        <v>Ardeidae (Herons, Egrets, and Bitterns)</v>
      </c>
    </row>
    <row r="2727" spans="1:8" x14ac:dyDescent="0.15">
      <c r="A2727" s="3" t="s">
        <v>2619</v>
      </c>
      <c r="B2727" s="3" t="s">
        <v>4817</v>
      </c>
      <c r="C2727" s="3">
        <v>7537</v>
      </c>
      <c r="D2727" s="3" t="str">
        <f>VLOOKUP(B2727,[1]LifeList!$E$2:$G$2036,1)</f>
        <v>Rufescent Tiger-Heron</v>
      </c>
      <c r="E2727" s="3" t="str">
        <f>VLOOKUP(B2727,[1]LifeList!$E$2:$G$2036,2)</f>
        <v>Onoré rayé</v>
      </c>
      <c r="F2727" s="3" t="str">
        <f>VLOOKUP(B2727,[1]LifeList!$E$2:$G$2036,3)</f>
        <v>Tigrisoma lineatum</v>
      </c>
      <c r="G2727" s="3" t="str">
        <f>VLOOKUP(B2727,[1]LifeList!$E$2:$I$2036,4)</f>
        <v>Pelecaniformes</v>
      </c>
      <c r="H2727" s="3" t="str">
        <f>VLOOKUP(B2727,[1]LifeList!$E$2:$I$2036,5)</f>
        <v>Ardeidae (Herons, Egrets, and Bitterns)</v>
      </c>
    </row>
    <row r="2728" spans="1:8" x14ac:dyDescent="0.15">
      <c r="A2728" s="3" t="s">
        <v>2621</v>
      </c>
      <c r="B2728" s="3" t="s">
        <v>4818</v>
      </c>
      <c r="C2728" s="3">
        <v>1283</v>
      </c>
      <c r="D2728" s="3" t="str">
        <f>VLOOKUP(B2728,[1]LifeList!$E$2:$G$2036,1)</f>
        <v>Ruffed Grouse</v>
      </c>
      <c r="E2728" s="3" t="str">
        <f>VLOOKUP(B2728,[1]LifeList!$E$2:$G$2036,2)</f>
        <v>Gélinotte huppée</v>
      </c>
      <c r="F2728" s="3" t="str">
        <f>VLOOKUP(B2728,[1]LifeList!$E$2:$G$2036,3)</f>
        <v>Bonasa umbellus</v>
      </c>
      <c r="G2728" s="3" t="str">
        <f>VLOOKUP(B2728,[1]LifeList!$E$2:$I$2036,4)</f>
        <v>Galliformes</v>
      </c>
      <c r="H2728" s="3" t="str">
        <f>VLOOKUP(B2728,[1]LifeList!$E$2:$I$2036,5)</f>
        <v>Phasianidae (Pheasants, Grouse, and Allies)</v>
      </c>
    </row>
    <row r="2729" spans="1:8" x14ac:dyDescent="0.15">
      <c r="A2729" s="3" t="s">
        <v>2620</v>
      </c>
      <c r="B2729" s="3" t="s">
        <v>4818</v>
      </c>
      <c r="C2729" s="3">
        <v>1283</v>
      </c>
      <c r="D2729" s="3" t="str">
        <f>VLOOKUP(B2729,[1]LifeList!$E$2:$G$2036,1)</f>
        <v>Ruffed Grouse</v>
      </c>
      <c r="E2729" s="3" t="str">
        <f>VLOOKUP(B2729,[1]LifeList!$E$2:$G$2036,2)</f>
        <v>Gélinotte huppée</v>
      </c>
      <c r="F2729" s="3" t="str">
        <f>VLOOKUP(B2729,[1]LifeList!$E$2:$G$2036,3)</f>
        <v>Bonasa umbellus</v>
      </c>
      <c r="G2729" s="3" t="str">
        <f>VLOOKUP(B2729,[1]LifeList!$E$2:$I$2036,4)</f>
        <v>Galliformes</v>
      </c>
      <c r="H2729" s="3" t="str">
        <f>VLOOKUP(B2729,[1]LifeList!$E$2:$I$2036,5)</f>
        <v>Phasianidae (Pheasants, Grouse, and Allies)</v>
      </c>
    </row>
    <row r="2730" spans="1:8" x14ac:dyDescent="0.15">
      <c r="A2730" s="3" t="s">
        <v>2665</v>
      </c>
      <c r="B2730" s="3" t="s">
        <v>4819</v>
      </c>
      <c r="C2730" s="3">
        <v>18222</v>
      </c>
      <c r="D2730" s="3" t="str">
        <f>VLOOKUP(B2730,[1]LifeList!$E$2:$G$2036,1)</f>
        <v>Rufous Bristlebird</v>
      </c>
      <c r="E2730" s="3" t="str">
        <f>VLOOKUP(B2730,[1]LifeList!$E$2:$G$2036,2)</f>
        <v>Dasyorne roux</v>
      </c>
      <c r="F2730" s="3" t="str">
        <f>VLOOKUP(B2730,[1]LifeList!$E$2:$G$2036,3)</f>
        <v>Dasyornis broadbenti</v>
      </c>
      <c r="G2730" s="3" t="str">
        <f>VLOOKUP(B2730,[1]LifeList!$E$2:$I$2036,4)</f>
        <v>Passeriformes</v>
      </c>
      <c r="H2730" s="3" t="str">
        <f>VLOOKUP(B2730,[1]LifeList!$E$2:$I$2036,5)</f>
        <v>Dasyornithidae (Bristlebirds)</v>
      </c>
    </row>
    <row r="2731" spans="1:8" x14ac:dyDescent="0.15">
      <c r="A2731" s="3" t="s">
        <v>2664</v>
      </c>
      <c r="B2731" s="3" t="s">
        <v>4819</v>
      </c>
      <c r="C2731" s="3">
        <v>18222</v>
      </c>
      <c r="D2731" s="3" t="str">
        <f>VLOOKUP(B2731,[1]LifeList!$E$2:$G$2036,1)</f>
        <v>Rufous Bristlebird</v>
      </c>
      <c r="E2731" s="3" t="str">
        <f>VLOOKUP(B2731,[1]LifeList!$E$2:$G$2036,2)</f>
        <v>Dasyorne roux</v>
      </c>
      <c r="F2731" s="3" t="str">
        <f>VLOOKUP(B2731,[1]LifeList!$E$2:$G$2036,3)</f>
        <v>Dasyornis broadbenti</v>
      </c>
      <c r="G2731" s="3" t="str">
        <f>VLOOKUP(B2731,[1]LifeList!$E$2:$I$2036,4)</f>
        <v>Passeriformes</v>
      </c>
      <c r="H2731" s="3" t="str">
        <f>VLOOKUP(B2731,[1]LifeList!$E$2:$I$2036,5)</f>
        <v>Dasyornithidae (Bristlebirds)</v>
      </c>
    </row>
    <row r="2732" spans="1:8" x14ac:dyDescent="0.15">
      <c r="A2732" s="3" t="s">
        <v>2662</v>
      </c>
      <c r="B2732" s="3" t="s">
        <v>4820</v>
      </c>
      <c r="C2732" s="3">
        <v>9883</v>
      </c>
      <c r="D2732" s="3" t="str">
        <f>VLOOKUP(B2732,[1]LifeList!$E$2:$G$2036,1)</f>
        <v>Rufous Motmot</v>
      </c>
      <c r="E2732" s="3" t="str">
        <f>VLOOKUP(B2732,[1]LifeList!$E$2:$G$2036,2)</f>
        <v>Motmot roux</v>
      </c>
      <c r="F2732" s="3" t="str">
        <f>VLOOKUP(B2732,[1]LifeList!$E$2:$G$2036,3)</f>
        <v>Baryphthengus martii</v>
      </c>
      <c r="G2732" s="3" t="str">
        <f>VLOOKUP(B2732,[1]LifeList!$E$2:$I$2036,4)</f>
        <v>Coraciiformes</v>
      </c>
      <c r="H2732" s="3" t="str">
        <f>VLOOKUP(B2732,[1]LifeList!$E$2:$I$2036,5)</f>
        <v>Momotidae (Motmots)</v>
      </c>
    </row>
    <row r="2733" spans="1:8" x14ac:dyDescent="0.15">
      <c r="A2733" s="3" t="s">
        <v>2663</v>
      </c>
      <c r="B2733" s="3" t="s">
        <v>4820</v>
      </c>
      <c r="C2733" s="3">
        <v>9883</v>
      </c>
      <c r="D2733" s="3" t="str">
        <f>VLOOKUP(B2733,[1]LifeList!$E$2:$G$2036,1)</f>
        <v>Rufous Motmot</v>
      </c>
      <c r="E2733" s="3" t="str">
        <f>VLOOKUP(B2733,[1]LifeList!$E$2:$G$2036,2)</f>
        <v>Motmot roux</v>
      </c>
      <c r="F2733" s="3" t="str">
        <f>VLOOKUP(B2733,[1]LifeList!$E$2:$G$2036,3)</f>
        <v>Baryphthengus martii</v>
      </c>
      <c r="G2733" s="3" t="str">
        <f>VLOOKUP(B2733,[1]LifeList!$E$2:$I$2036,4)</f>
        <v>Coraciiformes</v>
      </c>
      <c r="H2733" s="3" t="str">
        <f>VLOOKUP(B2733,[1]LifeList!$E$2:$I$2036,5)</f>
        <v>Momotidae (Motmots)</v>
      </c>
    </row>
    <row r="2734" spans="1:8" x14ac:dyDescent="0.15">
      <c r="A2734" s="3" t="s">
        <v>2622</v>
      </c>
      <c r="B2734" s="3" t="s">
        <v>4821</v>
      </c>
      <c r="C2734" s="3">
        <v>27401</v>
      </c>
      <c r="D2734" s="3" t="str">
        <f>VLOOKUP(B2734,[1]LifeList!$E$2:$G$2036,1)</f>
        <v>Rufous-backed Wren</v>
      </c>
      <c r="E2734" s="3" t="str">
        <f>VLOOKUP(B2734,[1]LifeList!$E$2:$G$2036,2)</f>
        <v>Troglodyte à dos roux</v>
      </c>
      <c r="F2734" s="3" t="str">
        <f>VLOOKUP(B2734,[1]LifeList!$E$2:$G$2036,3)</f>
        <v>Campylorhynchus capistratus</v>
      </c>
      <c r="G2734" s="3" t="str">
        <f>VLOOKUP(B2734,[1]LifeList!$E$2:$I$2036,4)</f>
        <v>Passeriformes</v>
      </c>
      <c r="H2734" s="3" t="str">
        <f>VLOOKUP(B2734,[1]LifeList!$E$2:$I$2036,5)</f>
        <v>Troglodytidae (Wrens)</v>
      </c>
    </row>
    <row r="2735" spans="1:8" x14ac:dyDescent="0.15">
      <c r="A2735" s="3" t="s">
        <v>2623</v>
      </c>
      <c r="B2735" s="3" t="s">
        <v>4821</v>
      </c>
      <c r="C2735" s="3">
        <v>27401</v>
      </c>
      <c r="D2735" s="3" t="str">
        <f>VLOOKUP(B2735,[1]LifeList!$E$2:$G$2036,1)</f>
        <v>Rufous-backed Wren</v>
      </c>
      <c r="E2735" s="3" t="str">
        <f>VLOOKUP(B2735,[1]LifeList!$E$2:$G$2036,2)</f>
        <v>Troglodyte à dos roux</v>
      </c>
      <c r="F2735" s="3" t="str">
        <f>VLOOKUP(B2735,[1]LifeList!$E$2:$G$2036,3)</f>
        <v>Campylorhynchus capistratus</v>
      </c>
      <c r="G2735" s="3" t="str">
        <f>VLOOKUP(B2735,[1]LifeList!$E$2:$I$2036,4)</f>
        <v>Passeriformes</v>
      </c>
      <c r="H2735" s="3" t="str">
        <f>VLOOKUP(B2735,[1]LifeList!$E$2:$I$2036,5)</f>
        <v>Troglodytidae (Wrens)</v>
      </c>
    </row>
    <row r="2736" spans="1:8" x14ac:dyDescent="0.15">
      <c r="A2736" s="3" t="s">
        <v>2624</v>
      </c>
      <c r="B2736" s="3" t="s">
        <v>4821</v>
      </c>
      <c r="C2736" s="3">
        <v>27401</v>
      </c>
      <c r="D2736" s="3" t="str">
        <f>VLOOKUP(B2736,[1]LifeList!$E$2:$G$2036,1)</f>
        <v>Rufous-backed Wren</v>
      </c>
      <c r="E2736" s="3" t="str">
        <f>VLOOKUP(B2736,[1]LifeList!$E$2:$G$2036,2)</f>
        <v>Troglodyte à dos roux</v>
      </c>
      <c r="F2736" s="3" t="str">
        <f>VLOOKUP(B2736,[1]LifeList!$E$2:$G$2036,3)</f>
        <v>Campylorhynchus capistratus</v>
      </c>
      <c r="G2736" s="3" t="str">
        <f>VLOOKUP(B2736,[1]LifeList!$E$2:$I$2036,4)</f>
        <v>Passeriformes</v>
      </c>
      <c r="H2736" s="3" t="str">
        <f>VLOOKUP(B2736,[1]LifeList!$E$2:$I$2036,5)</f>
        <v>Troglodytidae (Wrens)</v>
      </c>
    </row>
    <row r="2737" spans="1:8" x14ac:dyDescent="0.15">
      <c r="A2737" s="3" t="s">
        <v>2625</v>
      </c>
      <c r="B2737" s="3" t="s">
        <v>4821</v>
      </c>
      <c r="C2737" s="3">
        <v>27401</v>
      </c>
      <c r="D2737" s="3" t="str">
        <f>VLOOKUP(B2737,[1]LifeList!$E$2:$G$2036,1)</f>
        <v>Rufous-backed Wren</v>
      </c>
      <c r="E2737" s="3" t="str">
        <f>VLOOKUP(B2737,[1]LifeList!$E$2:$G$2036,2)</f>
        <v>Troglodyte à dos roux</v>
      </c>
      <c r="F2737" s="3" t="str">
        <f>VLOOKUP(B2737,[1]LifeList!$E$2:$G$2036,3)</f>
        <v>Campylorhynchus capistratus</v>
      </c>
      <c r="G2737" s="3" t="str">
        <f>VLOOKUP(B2737,[1]LifeList!$E$2:$I$2036,4)</f>
        <v>Passeriformes</v>
      </c>
      <c r="H2737" s="3" t="str">
        <f>VLOOKUP(B2737,[1]LifeList!$E$2:$I$2036,5)</f>
        <v>Troglodytidae (Wrens)</v>
      </c>
    </row>
    <row r="2738" spans="1:8" x14ac:dyDescent="0.15">
      <c r="A2738" s="3" t="s">
        <v>2626</v>
      </c>
      <c r="B2738" s="3" t="s">
        <v>4822</v>
      </c>
      <c r="C2738" s="3">
        <v>35264</v>
      </c>
      <c r="D2738" s="3" t="str">
        <f>VLOOKUP(B2738,[1]LifeList!$E$2:$G$2036,1)</f>
        <v>Rufous-browed Conebill</v>
      </c>
      <c r="E2738" s="3" t="str">
        <f>VLOOKUP(B2738,[1]LifeList!$E$2:$G$2036,2)</f>
        <v>Conirostre roux</v>
      </c>
      <c r="F2738" s="3" t="str">
        <f>VLOOKUP(B2738,[1]LifeList!$E$2:$G$2036,3)</f>
        <v>Conirostrum rufum</v>
      </c>
      <c r="G2738" s="3" t="str">
        <f>VLOOKUP(B2738,[1]LifeList!$E$2:$I$2036,4)</f>
        <v>Passeriformes</v>
      </c>
      <c r="H2738" s="3" t="str">
        <f>VLOOKUP(B2738,[1]LifeList!$E$2:$I$2036,5)</f>
        <v>Thraupidae (Tanagers and Allies)</v>
      </c>
    </row>
    <row r="2739" spans="1:8" x14ac:dyDescent="0.15">
      <c r="A2739" s="3" t="s">
        <v>2627</v>
      </c>
      <c r="B2739" s="3" t="s">
        <v>4822</v>
      </c>
      <c r="C2739" s="3">
        <v>35264</v>
      </c>
      <c r="D2739" s="3" t="str">
        <f>VLOOKUP(B2739,[1]LifeList!$E$2:$G$2036,1)</f>
        <v>Rufous-browed Conebill</v>
      </c>
      <c r="E2739" s="3" t="str">
        <f>VLOOKUP(B2739,[1]LifeList!$E$2:$G$2036,2)</f>
        <v>Conirostre roux</v>
      </c>
      <c r="F2739" s="3" t="str">
        <f>VLOOKUP(B2739,[1]LifeList!$E$2:$G$2036,3)</f>
        <v>Conirostrum rufum</v>
      </c>
      <c r="G2739" s="3" t="str">
        <f>VLOOKUP(B2739,[1]LifeList!$E$2:$I$2036,4)</f>
        <v>Passeriformes</v>
      </c>
      <c r="H2739" s="3" t="str">
        <f>VLOOKUP(B2739,[1]LifeList!$E$2:$I$2036,5)</f>
        <v>Thraupidae (Tanagers and Allies)</v>
      </c>
    </row>
    <row r="2740" spans="1:8" x14ac:dyDescent="0.15">
      <c r="A2740" s="3" t="s">
        <v>2629</v>
      </c>
      <c r="B2740" s="3" t="s">
        <v>4823</v>
      </c>
      <c r="C2740" s="3">
        <v>19051</v>
      </c>
      <c r="D2740" s="3" t="str">
        <f>VLOOKUP(B2740,[1]LifeList!$E$2:$G$2036,1)</f>
        <v>Rufous-browed Peppershrike</v>
      </c>
      <c r="E2740" s="3" t="str">
        <f>VLOOKUP(B2740,[1]LifeList!$E$2:$G$2036,2)</f>
        <v>Sourciroux mélodieux</v>
      </c>
      <c r="F2740" s="3" t="str">
        <f>VLOOKUP(B2740,[1]LifeList!$E$2:$G$2036,3)</f>
        <v>Cyclarhis gujanensis</v>
      </c>
      <c r="G2740" s="3" t="str">
        <f>VLOOKUP(B2740,[1]LifeList!$E$2:$I$2036,4)</f>
        <v>Passeriformes</v>
      </c>
      <c r="H2740" s="3" t="str">
        <f>VLOOKUP(B2740,[1]LifeList!$E$2:$I$2036,5)</f>
        <v>Vireonidae (Vireos, Shrike-Babblers, and Erpornis)</v>
      </c>
    </row>
    <row r="2741" spans="1:8" x14ac:dyDescent="0.15">
      <c r="A2741" s="3" t="s">
        <v>2628</v>
      </c>
      <c r="B2741" s="3" t="s">
        <v>4823</v>
      </c>
      <c r="C2741" s="3">
        <v>19051</v>
      </c>
      <c r="D2741" s="3" t="str">
        <f>VLOOKUP(B2741,[1]LifeList!$E$2:$G$2036,1)</f>
        <v>Rufous-browed Peppershrike</v>
      </c>
      <c r="E2741" s="3" t="str">
        <f>VLOOKUP(B2741,[1]LifeList!$E$2:$G$2036,2)</f>
        <v>Sourciroux mélodieux</v>
      </c>
      <c r="F2741" s="3" t="str">
        <f>VLOOKUP(B2741,[1]LifeList!$E$2:$G$2036,3)</f>
        <v>Cyclarhis gujanensis</v>
      </c>
      <c r="G2741" s="3" t="str">
        <f>VLOOKUP(B2741,[1]LifeList!$E$2:$I$2036,4)</f>
        <v>Passeriformes</v>
      </c>
      <c r="H2741" s="3" t="str">
        <f>VLOOKUP(B2741,[1]LifeList!$E$2:$I$2036,5)</f>
        <v>Vireonidae (Vireos, Shrike-Babblers, and Erpornis)</v>
      </c>
    </row>
    <row r="2742" spans="1:8" x14ac:dyDescent="0.15">
      <c r="A2742" s="3" t="s">
        <v>2630</v>
      </c>
      <c r="B2742" s="3" t="s">
        <v>4824</v>
      </c>
      <c r="C2742" s="3">
        <v>33158</v>
      </c>
      <c r="D2742" s="3" t="str">
        <f>VLOOKUP(B2742,[1]LifeList!$E$2:$G$2036,1)</f>
        <v>Rufous-collared Sparrow</v>
      </c>
      <c r="E2742" s="3" t="str">
        <f>VLOOKUP(B2742,[1]LifeList!$E$2:$G$2036,2)</f>
        <v>Bruant chingolo</v>
      </c>
      <c r="F2742" s="3" t="str">
        <f>VLOOKUP(B2742,[1]LifeList!$E$2:$G$2036,3)</f>
        <v>Zonotrichia capensis</v>
      </c>
      <c r="G2742" s="3" t="str">
        <f>VLOOKUP(B2742,[1]LifeList!$E$2:$I$2036,4)</f>
        <v>Passeriformes</v>
      </c>
      <c r="H2742" s="3" t="str">
        <f>VLOOKUP(B2742,[1]LifeList!$E$2:$I$2036,5)</f>
        <v>Passerellidae (New World Sparrows)</v>
      </c>
    </row>
    <row r="2743" spans="1:8" x14ac:dyDescent="0.15">
      <c r="A2743" s="3" t="s">
        <v>2631</v>
      </c>
      <c r="B2743" s="3" t="s">
        <v>4824</v>
      </c>
      <c r="C2743" s="3">
        <v>33158</v>
      </c>
      <c r="D2743" s="3" t="str">
        <f>VLOOKUP(B2743,[1]LifeList!$E$2:$G$2036,1)</f>
        <v>Rufous-collared Sparrow</v>
      </c>
      <c r="E2743" s="3" t="str">
        <f>VLOOKUP(B2743,[1]LifeList!$E$2:$G$2036,2)</f>
        <v>Bruant chingolo</v>
      </c>
      <c r="F2743" s="3" t="str">
        <f>VLOOKUP(B2743,[1]LifeList!$E$2:$G$2036,3)</f>
        <v>Zonotrichia capensis</v>
      </c>
      <c r="G2743" s="3" t="str">
        <f>VLOOKUP(B2743,[1]LifeList!$E$2:$I$2036,4)</f>
        <v>Passeriformes</v>
      </c>
      <c r="H2743" s="3" t="str">
        <f>VLOOKUP(B2743,[1]LifeList!$E$2:$I$2036,5)</f>
        <v>Passerellidae (New World Sparrows)</v>
      </c>
    </row>
    <row r="2744" spans="1:8" x14ac:dyDescent="0.15">
      <c r="A2744" s="3" t="s">
        <v>2632</v>
      </c>
      <c r="B2744" s="3" t="s">
        <v>4824</v>
      </c>
      <c r="C2744" s="3">
        <v>33158</v>
      </c>
      <c r="D2744" s="3" t="str">
        <f>VLOOKUP(B2744,[1]LifeList!$E$2:$G$2036,1)</f>
        <v>Rufous-collared Sparrow</v>
      </c>
      <c r="E2744" s="3" t="str">
        <f>VLOOKUP(B2744,[1]LifeList!$E$2:$G$2036,2)</f>
        <v>Bruant chingolo</v>
      </c>
      <c r="F2744" s="3" t="str">
        <f>VLOOKUP(B2744,[1]LifeList!$E$2:$G$2036,3)</f>
        <v>Zonotrichia capensis</v>
      </c>
      <c r="G2744" s="3" t="str">
        <f>VLOOKUP(B2744,[1]LifeList!$E$2:$I$2036,4)</f>
        <v>Passeriformes</v>
      </c>
      <c r="H2744" s="3" t="str">
        <f>VLOOKUP(B2744,[1]LifeList!$E$2:$I$2036,5)</f>
        <v>Passerellidae (New World Sparrows)</v>
      </c>
    </row>
    <row r="2745" spans="1:8" x14ac:dyDescent="0.15">
      <c r="A2745" s="3" t="s">
        <v>2633</v>
      </c>
      <c r="B2745" s="3" t="s">
        <v>4824</v>
      </c>
      <c r="C2745" s="3">
        <v>33158</v>
      </c>
      <c r="D2745" s="3" t="str">
        <f>VLOOKUP(B2745,[1]LifeList!$E$2:$G$2036,1)</f>
        <v>Rufous-collared Sparrow</v>
      </c>
      <c r="E2745" s="3" t="str">
        <f>VLOOKUP(B2745,[1]LifeList!$E$2:$G$2036,2)</f>
        <v>Bruant chingolo</v>
      </c>
      <c r="F2745" s="3" t="str">
        <f>VLOOKUP(B2745,[1]LifeList!$E$2:$G$2036,3)</f>
        <v>Zonotrichia capensis</v>
      </c>
      <c r="G2745" s="3" t="str">
        <f>VLOOKUP(B2745,[1]LifeList!$E$2:$I$2036,4)</f>
        <v>Passeriformes</v>
      </c>
      <c r="H2745" s="3" t="str">
        <f>VLOOKUP(B2745,[1]LifeList!$E$2:$I$2036,5)</f>
        <v>Passerellidae (New World Sparrows)</v>
      </c>
    </row>
    <row r="2746" spans="1:8" x14ac:dyDescent="0.15">
      <c r="A2746" s="3" t="s">
        <v>2634</v>
      </c>
      <c r="B2746" s="3" t="s">
        <v>4824</v>
      </c>
      <c r="C2746" s="3">
        <v>33158</v>
      </c>
      <c r="D2746" s="3" t="str">
        <f>VLOOKUP(B2746,[1]LifeList!$E$2:$G$2036,1)</f>
        <v>Rufous-collared Sparrow</v>
      </c>
      <c r="E2746" s="3" t="str">
        <f>VLOOKUP(B2746,[1]LifeList!$E$2:$G$2036,2)</f>
        <v>Bruant chingolo</v>
      </c>
      <c r="F2746" s="3" t="str">
        <f>VLOOKUP(B2746,[1]LifeList!$E$2:$G$2036,3)</f>
        <v>Zonotrichia capensis</v>
      </c>
      <c r="G2746" s="3" t="str">
        <f>VLOOKUP(B2746,[1]LifeList!$E$2:$I$2036,4)</f>
        <v>Passeriformes</v>
      </c>
      <c r="H2746" s="3" t="str">
        <f>VLOOKUP(B2746,[1]LifeList!$E$2:$I$2036,5)</f>
        <v>Passerellidae (New World Sparrows)</v>
      </c>
    </row>
    <row r="2747" spans="1:8" x14ac:dyDescent="0.15">
      <c r="A2747" s="3" t="s">
        <v>2635</v>
      </c>
      <c r="B2747" s="3" t="s">
        <v>4824</v>
      </c>
      <c r="C2747" s="3">
        <v>33158</v>
      </c>
      <c r="D2747" s="3" t="str">
        <f>VLOOKUP(B2747,[1]LifeList!$E$2:$G$2036,1)</f>
        <v>Rufous-collared Sparrow</v>
      </c>
      <c r="E2747" s="3" t="str">
        <f>VLOOKUP(B2747,[1]LifeList!$E$2:$G$2036,2)</f>
        <v>Bruant chingolo</v>
      </c>
      <c r="F2747" s="3" t="str">
        <f>VLOOKUP(B2747,[1]LifeList!$E$2:$G$2036,3)</f>
        <v>Zonotrichia capensis</v>
      </c>
      <c r="G2747" s="3" t="str">
        <f>VLOOKUP(B2747,[1]LifeList!$E$2:$I$2036,4)</f>
        <v>Passeriformes</v>
      </c>
      <c r="H2747" s="3" t="str">
        <f>VLOOKUP(B2747,[1]LifeList!$E$2:$I$2036,5)</f>
        <v>Passerellidae (New World Sparrows)</v>
      </c>
    </row>
    <row r="2748" spans="1:8" x14ac:dyDescent="0.15">
      <c r="A2748" s="3" t="s">
        <v>2636</v>
      </c>
      <c r="B2748" s="3" t="s">
        <v>4824</v>
      </c>
      <c r="C2748" s="3">
        <v>33158</v>
      </c>
      <c r="D2748" s="3" t="str">
        <f>VLOOKUP(B2748,[1]LifeList!$E$2:$G$2036,1)</f>
        <v>Rufous-collared Sparrow</v>
      </c>
      <c r="E2748" s="3" t="str">
        <f>VLOOKUP(B2748,[1]LifeList!$E$2:$G$2036,2)</f>
        <v>Bruant chingolo</v>
      </c>
      <c r="F2748" s="3" t="str">
        <f>VLOOKUP(B2748,[1]LifeList!$E$2:$G$2036,3)</f>
        <v>Zonotrichia capensis</v>
      </c>
      <c r="G2748" s="3" t="str">
        <f>VLOOKUP(B2748,[1]LifeList!$E$2:$I$2036,4)</f>
        <v>Passeriformes</v>
      </c>
      <c r="H2748" s="3" t="str">
        <f>VLOOKUP(B2748,[1]LifeList!$E$2:$I$2036,5)</f>
        <v>Passerellidae (New World Sparrows)</v>
      </c>
    </row>
    <row r="2749" spans="1:8" x14ac:dyDescent="0.15">
      <c r="A2749" s="3" t="s">
        <v>2637</v>
      </c>
      <c r="B2749" s="3" t="s">
        <v>4824</v>
      </c>
      <c r="C2749" s="3">
        <v>33158</v>
      </c>
      <c r="D2749" s="3" t="str">
        <f>VLOOKUP(B2749,[1]LifeList!$E$2:$G$2036,1)</f>
        <v>Rufous-collared Sparrow</v>
      </c>
      <c r="E2749" s="3" t="str">
        <f>VLOOKUP(B2749,[1]LifeList!$E$2:$G$2036,2)</f>
        <v>Bruant chingolo</v>
      </c>
      <c r="F2749" s="3" t="str">
        <f>VLOOKUP(B2749,[1]LifeList!$E$2:$G$2036,3)</f>
        <v>Zonotrichia capensis</v>
      </c>
      <c r="G2749" s="3" t="str">
        <f>VLOOKUP(B2749,[1]LifeList!$E$2:$I$2036,4)</f>
        <v>Passeriformes</v>
      </c>
      <c r="H2749" s="3" t="str">
        <f>VLOOKUP(B2749,[1]LifeList!$E$2:$I$2036,5)</f>
        <v>Passerellidae (New World Sparrows)</v>
      </c>
    </row>
    <row r="2750" spans="1:8" x14ac:dyDescent="0.15">
      <c r="A2750" s="3" t="s">
        <v>2638</v>
      </c>
      <c r="B2750" s="3" t="s">
        <v>4825</v>
      </c>
      <c r="C2750" s="3">
        <v>16384</v>
      </c>
      <c r="D2750" s="3" t="str">
        <f>VLOOKUP(B2750,[1]LifeList!$E$2:$G$2036,1)</f>
        <v>Rufous-crowned Tody-Flycatcher</v>
      </c>
      <c r="E2750" s="3" t="str">
        <f>VLOOKUP(B2750,[1]LifeList!$E$2:$G$2036,2)</f>
        <v>Todirostre bariolé</v>
      </c>
      <c r="F2750" s="3" t="str">
        <f>VLOOKUP(B2750,[1]LifeList!$E$2:$G$2036,3)</f>
        <v>Poecilotriccus ruficeps</v>
      </c>
      <c r="G2750" s="3" t="str">
        <f>VLOOKUP(B2750,[1]LifeList!$E$2:$I$2036,4)</f>
        <v>Passeriformes</v>
      </c>
      <c r="H2750" s="3" t="str">
        <f>VLOOKUP(B2750,[1]LifeList!$E$2:$I$2036,5)</f>
        <v>Tyrannidae (Tyrant Flycatchers)</v>
      </c>
    </row>
    <row r="2751" spans="1:8" x14ac:dyDescent="0.15">
      <c r="A2751" s="3" t="s">
        <v>2639</v>
      </c>
      <c r="B2751" s="3" t="s">
        <v>4826</v>
      </c>
      <c r="C2751" s="3">
        <v>1154</v>
      </c>
      <c r="D2751" s="3" t="str">
        <f>VLOOKUP(B2751,[1]LifeList!$E$2:$G$2036,1)</f>
        <v>Rufous-fronted Wood-Quail</v>
      </c>
      <c r="E2751" s="3" t="str">
        <f>VLOOKUP(B2751,[1]LifeList!$E$2:$G$2036,2)</f>
        <v>Tocro à front roux</v>
      </c>
      <c r="F2751" s="3" t="str">
        <f>VLOOKUP(B2751,[1]LifeList!$E$2:$G$2036,3)</f>
        <v>Odontophorus erythrops</v>
      </c>
      <c r="G2751" s="3" t="str">
        <f>VLOOKUP(B2751,[1]LifeList!$E$2:$I$2036,4)</f>
        <v>Galliformes</v>
      </c>
      <c r="H2751" s="3" t="str">
        <f>VLOOKUP(B2751,[1]LifeList!$E$2:$I$2036,5)</f>
        <v>Odontophoridae (New World Quail)</v>
      </c>
    </row>
    <row r="2752" spans="1:8" x14ac:dyDescent="0.15">
      <c r="A2752" s="3" t="s">
        <v>2640</v>
      </c>
      <c r="B2752" s="3" t="s">
        <v>4827</v>
      </c>
      <c r="C2752" s="3">
        <v>10375</v>
      </c>
      <c r="D2752" s="3" t="str">
        <f>VLOOKUP(B2752,[1]LifeList!$E$2:$G$2036,1)</f>
        <v>Rufous-headed Ground-Roller</v>
      </c>
      <c r="E2752" s="3" t="str">
        <f>VLOOKUP(B2752,[1]LifeList!$E$2:$G$2036,2)</f>
        <v>Brachyptérolle de Crossley</v>
      </c>
      <c r="F2752" s="3" t="str">
        <f>VLOOKUP(B2752,[1]LifeList!$E$2:$G$2036,3)</f>
        <v>Atelornis crossleyi</v>
      </c>
      <c r="G2752" s="3" t="str">
        <f>VLOOKUP(B2752,[1]LifeList!$E$2:$I$2036,4)</f>
        <v>Coraciiformes</v>
      </c>
      <c r="H2752" s="3" t="str">
        <f>VLOOKUP(B2752,[1]LifeList!$E$2:$I$2036,5)</f>
        <v>Brachypteraciidae (Ground-Rollers)</v>
      </c>
    </row>
    <row r="2753" spans="1:8" x14ac:dyDescent="0.15">
      <c r="A2753" s="3" t="s">
        <v>2641</v>
      </c>
      <c r="B2753" s="3" t="s">
        <v>4827</v>
      </c>
      <c r="C2753" s="3">
        <v>10375</v>
      </c>
      <c r="D2753" s="3" t="str">
        <f>VLOOKUP(B2753,[1]LifeList!$E$2:$G$2036,1)</f>
        <v>Rufous-headed Ground-Roller</v>
      </c>
      <c r="E2753" s="3" t="str">
        <f>VLOOKUP(B2753,[1]LifeList!$E$2:$G$2036,2)</f>
        <v>Brachyptérolle de Crossley</v>
      </c>
      <c r="F2753" s="3" t="str">
        <f>VLOOKUP(B2753,[1]LifeList!$E$2:$G$2036,3)</f>
        <v>Atelornis crossleyi</v>
      </c>
      <c r="G2753" s="3" t="str">
        <f>VLOOKUP(B2753,[1]LifeList!$E$2:$I$2036,4)</f>
        <v>Coraciiformes</v>
      </c>
      <c r="H2753" s="3" t="str">
        <f>VLOOKUP(B2753,[1]LifeList!$E$2:$I$2036,5)</f>
        <v>Brachypteraciidae (Ground-Rollers)</v>
      </c>
    </row>
    <row r="2754" spans="1:8" x14ac:dyDescent="0.15">
      <c r="A2754" s="3" t="s">
        <v>2642</v>
      </c>
      <c r="B2754" s="3" t="s">
        <v>4828</v>
      </c>
      <c r="C2754" s="3">
        <v>22558</v>
      </c>
      <c r="D2754" s="3" t="str">
        <f>VLOOKUP(B2754,[1]LifeList!$E$2:$G$2036,1)</f>
        <v>Rufous-naped Lark</v>
      </c>
      <c r="E2754" s="3" t="str">
        <f>VLOOKUP(B2754,[1]LifeList!$E$2:$G$2036,2)</f>
        <v>Alouette à nuque rousse</v>
      </c>
      <c r="F2754" s="3" t="str">
        <f>VLOOKUP(B2754,[1]LifeList!$E$2:$G$2036,3)</f>
        <v>Corypha africana</v>
      </c>
      <c r="G2754" s="3" t="str">
        <f>VLOOKUP(B2754,[1]LifeList!$E$2:$I$2036,4)</f>
        <v>Passeriformes</v>
      </c>
      <c r="H2754" s="3" t="str">
        <f>VLOOKUP(B2754,[1]LifeList!$E$2:$I$2036,5)</f>
        <v>Alaudidae (Larks)</v>
      </c>
    </row>
    <row r="2755" spans="1:8" x14ac:dyDescent="0.15">
      <c r="A2755" s="3" t="s">
        <v>2643</v>
      </c>
      <c r="B2755" s="3" t="s">
        <v>4828</v>
      </c>
      <c r="C2755" s="3">
        <v>22558</v>
      </c>
      <c r="D2755" s="3" t="str">
        <f>VLOOKUP(B2755,[1]LifeList!$E$2:$G$2036,1)</f>
        <v>Rufous-naped Lark</v>
      </c>
      <c r="E2755" s="3" t="str">
        <f>VLOOKUP(B2755,[1]LifeList!$E$2:$G$2036,2)</f>
        <v>Alouette à nuque rousse</v>
      </c>
      <c r="F2755" s="3" t="str">
        <f>VLOOKUP(B2755,[1]LifeList!$E$2:$G$2036,3)</f>
        <v>Corypha africana</v>
      </c>
      <c r="G2755" s="3" t="str">
        <f>VLOOKUP(B2755,[1]LifeList!$E$2:$I$2036,4)</f>
        <v>Passeriformes</v>
      </c>
      <c r="H2755" s="3" t="str">
        <f>VLOOKUP(B2755,[1]LifeList!$E$2:$I$2036,5)</f>
        <v>Alaudidae (Larks)</v>
      </c>
    </row>
    <row r="2756" spans="1:8" x14ac:dyDescent="0.15">
      <c r="A2756" s="3" t="s">
        <v>2644</v>
      </c>
      <c r="B2756" s="3" t="s">
        <v>4829</v>
      </c>
      <c r="C2756" s="3">
        <v>5111</v>
      </c>
      <c r="D2756" s="3" t="str">
        <f>VLOOKUP(B2756,[1]LifeList!$E$2:$G$2036,1)</f>
        <v>Rufous-tailed Hummingbird</v>
      </c>
      <c r="E2756" s="3" t="str">
        <f>VLOOKUP(B2756,[1]LifeList!$E$2:$G$2036,2)</f>
        <v>Ariane à ventre gris</v>
      </c>
      <c r="F2756" s="3" t="str">
        <f>VLOOKUP(B2756,[1]LifeList!$E$2:$G$2036,3)</f>
        <v>Amazilia tzacatl</v>
      </c>
      <c r="G2756" s="3" t="str">
        <f>VLOOKUP(B2756,[1]LifeList!$E$2:$I$2036,4)</f>
        <v>Apodiformes</v>
      </c>
      <c r="H2756" s="3" t="str">
        <f>VLOOKUP(B2756,[1]LifeList!$E$2:$I$2036,5)</f>
        <v>Trochilidae (Hummingbirds)</v>
      </c>
    </row>
    <row r="2757" spans="1:8" x14ac:dyDescent="0.15">
      <c r="A2757" s="3" t="s">
        <v>2645</v>
      </c>
      <c r="B2757" s="3" t="s">
        <v>4829</v>
      </c>
      <c r="C2757" s="3">
        <v>5111</v>
      </c>
      <c r="D2757" s="3" t="str">
        <f>VLOOKUP(B2757,[1]LifeList!$E$2:$G$2036,1)</f>
        <v>Rufous-tailed Hummingbird</v>
      </c>
      <c r="E2757" s="3" t="str">
        <f>VLOOKUP(B2757,[1]LifeList!$E$2:$G$2036,2)</f>
        <v>Ariane à ventre gris</v>
      </c>
      <c r="F2757" s="3" t="str">
        <f>VLOOKUP(B2757,[1]LifeList!$E$2:$G$2036,3)</f>
        <v>Amazilia tzacatl</v>
      </c>
      <c r="G2757" s="3" t="str">
        <f>VLOOKUP(B2757,[1]LifeList!$E$2:$I$2036,4)</f>
        <v>Apodiformes</v>
      </c>
      <c r="H2757" s="3" t="str">
        <f>VLOOKUP(B2757,[1]LifeList!$E$2:$I$2036,5)</f>
        <v>Trochilidae (Hummingbirds)</v>
      </c>
    </row>
    <row r="2758" spans="1:8" x14ac:dyDescent="0.15">
      <c r="A2758" s="3" t="s">
        <v>2646</v>
      </c>
      <c r="B2758" s="3" t="s">
        <v>4829</v>
      </c>
      <c r="C2758" s="3">
        <v>5111</v>
      </c>
      <c r="D2758" s="3" t="str">
        <f>VLOOKUP(B2758,[1]LifeList!$E$2:$G$2036,1)</f>
        <v>Rufous-tailed Hummingbird</v>
      </c>
      <c r="E2758" s="3" t="str">
        <f>VLOOKUP(B2758,[1]LifeList!$E$2:$G$2036,2)</f>
        <v>Ariane à ventre gris</v>
      </c>
      <c r="F2758" s="3" t="str">
        <f>VLOOKUP(B2758,[1]LifeList!$E$2:$G$2036,3)</f>
        <v>Amazilia tzacatl</v>
      </c>
      <c r="G2758" s="3" t="str">
        <f>VLOOKUP(B2758,[1]LifeList!$E$2:$I$2036,4)</f>
        <v>Apodiformes</v>
      </c>
      <c r="H2758" s="3" t="str">
        <f>VLOOKUP(B2758,[1]LifeList!$E$2:$I$2036,5)</f>
        <v>Trochilidae (Hummingbirds)</v>
      </c>
    </row>
    <row r="2759" spans="1:8" x14ac:dyDescent="0.15">
      <c r="A2759" s="3" t="s">
        <v>2647</v>
      </c>
      <c r="B2759" s="3" t="s">
        <v>4829</v>
      </c>
      <c r="C2759" s="3">
        <v>5111</v>
      </c>
      <c r="D2759" s="3" t="str">
        <f>VLOOKUP(B2759,[1]LifeList!$E$2:$G$2036,1)</f>
        <v>Rufous-tailed Hummingbird</v>
      </c>
      <c r="E2759" s="3" t="str">
        <f>VLOOKUP(B2759,[1]LifeList!$E$2:$G$2036,2)</f>
        <v>Ariane à ventre gris</v>
      </c>
      <c r="F2759" s="3" t="str">
        <f>VLOOKUP(B2759,[1]LifeList!$E$2:$G$2036,3)</f>
        <v>Amazilia tzacatl</v>
      </c>
      <c r="G2759" s="3" t="str">
        <f>VLOOKUP(B2759,[1]LifeList!$E$2:$I$2036,4)</f>
        <v>Apodiformes</v>
      </c>
      <c r="H2759" s="3" t="str">
        <f>VLOOKUP(B2759,[1]LifeList!$E$2:$I$2036,5)</f>
        <v>Trochilidae (Hummingbirds)</v>
      </c>
    </row>
    <row r="2760" spans="1:8" x14ac:dyDescent="0.15">
      <c r="A2760" s="3" t="s">
        <v>2648</v>
      </c>
      <c r="B2760" s="3" t="s">
        <v>4829</v>
      </c>
      <c r="C2760" s="3">
        <v>5111</v>
      </c>
      <c r="D2760" s="3" t="str">
        <f>VLOOKUP(B2760,[1]LifeList!$E$2:$G$2036,1)</f>
        <v>Rufous-tailed Hummingbird</v>
      </c>
      <c r="E2760" s="3" t="str">
        <f>VLOOKUP(B2760,[1]LifeList!$E$2:$G$2036,2)</f>
        <v>Ariane à ventre gris</v>
      </c>
      <c r="F2760" s="3" t="str">
        <f>VLOOKUP(B2760,[1]LifeList!$E$2:$G$2036,3)</f>
        <v>Amazilia tzacatl</v>
      </c>
      <c r="G2760" s="3" t="str">
        <f>VLOOKUP(B2760,[1]LifeList!$E$2:$I$2036,4)</f>
        <v>Apodiformes</v>
      </c>
      <c r="H2760" s="3" t="str">
        <f>VLOOKUP(B2760,[1]LifeList!$E$2:$I$2036,5)</f>
        <v>Trochilidae (Hummingbirds)</v>
      </c>
    </row>
    <row r="2761" spans="1:8" x14ac:dyDescent="0.15">
      <c r="A2761" s="3" t="s">
        <v>2649</v>
      </c>
      <c r="B2761" s="3" t="s">
        <v>4829</v>
      </c>
      <c r="C2761" s="3">
        <v>5111</v>
      </c>
      <c r="D2761" s="3" t="str">
        <f>VLOOKUP(B2761,[1]LifeList!$E$2:$G$2036,1)</f>
        <v>Rufous-tailed Hummingbird</v>
      </c>
      <c r="E2761" s="3" t="str">
        <f>VLOOKUP(B2761,[1]LifeList!$E$2:$G$2036,2)</f>
        <v>Ariane à ventre gris</v>
      </c>
      <c r="F2761" s="3" t="str">
        <f>VLOOKUP(B2761,[1]LifeList!$E$2:$G$2036,3)</f>
        <v>Amazilia tzacatl</v>
      </c>
      <c r="G2761" s="3" t="str">
        <f>VLOOKUP(B2761,[1]LifeList!$E$2:$I$2036,4)</f>
        <v>Apodiformes</v>
      </c>
      <c r="H2761" s="3" t="str">
        <f>VLOOKUP(B2761,[1]LifeList!$E$2:$I$2036,5)</f>
        <v>Trochilidae (Hummingbirds)</v>
      </c>
    </row>
    <row r="2762" spans="1:8" x14ac:dyDescent="0.15">
      <c r="A2762" s="3" t="s">
        <v>2650</v>
      </c>
      <c r="B2762" s="3" t="s">
        <v>4829</v>
      </c>
      <c r="C2762" s="3">
        <v>5111</v>
      </c>
      <c r="D2762" s="3" t="str">
        <f>VLOOKUP(B2762,[1]LifeList!$E$2:$G$2036,1)</f>
        <v>Rufous-tailed Hummingbird</v>
      </c>
      <c r="E2762" s="3" t="str">
        <f>VLOOKUP(B2762,[1]LifeList!$E$2:$G$2036,2)</f>
        <v>Ariane à ventre gris</v>
      </c>
      <c r="F2762" s="3" t="str">
        <f>VLOOKUP(B2762,[1]LifeList!$E$2:$G$2036,3)</f>
        <v>Amazilia tzacatl</v>
      </c>
      <c r="G2762" s="3" t="str">
        <f>VLOOKUP(B2762,[1]LifeList!$E$2:$I$2036,4)</f>
        <v>Apodiformes</v>
      </c>
      <c r="H2762" s="3" t="str">
        <f>VLOOKUP(B2762,[1]LifeList!$E$2:$I$2036,5)</f>
        <v>Trochilidae (Hummingbirds)</v>
      </c>
    </row>
    <row r="2763" spans="1:8" x14ac:dyDescent="0.15">
      <c r="A2763" s="3" t="s">
        <v>2651</v>
      </c>
      <c r="B2763" s="3" t="s">
        <v>4829</v>
      </c>
      <c r="C2763" s="3">
        <v>5111</v>
      </c>
      <c r="D2763" s="3" t="str">
        <f>VLOOKUP(B2763,[1]LifeList!$E$2:$G$2036,1)</f>
        <v>Rufous-tailed Hummingbird</v>
      </c>
      <c r="E2763" s="3" t="str">
        <f>VLOOKUP(B2763,[1]LifeList!$E$2:$G$2036,2)</f>
        <v>Ariane à ventre gris</v>
      </c>
      <c r="F2763" s="3" t="str">
        <f>VLOOKUP(B2763,[1]LifeList!$E$2:$G$2036,3)</f>
        <v>Amazilia tzacatl</v>
      </c>
      <c r="G2763" s="3" t="str">
        <f>VLOOKUP(B2763,[1]LifeList!$E$2:$I$2036,4)</f>
        <v>Apodiformes</v>
      </c>
      <c r="H2763" s="3" t="str">
        <f>VLOOKUP(B2763,[1]LifeList!$E$2:$I$2036,5)</f>
        <v>Trochilidae (Hummingbirds)</v>
      </c>
    </row>
    <row r="2764" spans="1:8" x14ac:dyDescent="0.15">
      <c r="A2764" s="3" t="s">
        <v>2652</v>
      </c>
      <c r="B2764" s="3" t="s">
        <v>4830</v>
      </c>
      <c r="C2764" s="3">
        <v>10499</v>
      </c>
      <c r="D2764" s="3" t="str">
        <f>VLOOKUP(B2764,[1]LifeList!$E$2:$G$2036,1)</f>
        <v>Rufous-tailed Jacamar</v>
      </c>
      <c r="E2764" s="3" t="str">
        <f>VLOOKUP(B2764,[1]LifeList!$E$2:$G$2036,2)</f>
        <v>Jacamar à queue rousse</v>
      </c>
      <c r="F2764" s="3" t="str">
        <f>VLOOKUP(B2764,[1]LifeList!$E$2:$G$2036,3)</f>
        <v>Galbula ruficauda</v>
      </c>
      <c r="G2764" s="3" t="str">
        <f>VLOOKUP(B2764,[1]LifeList!$E$2:$I$2036,4)</f>
        <v>Piciformes</v>
      </c>
      <c r="H2764" s="3" t="str">
        <f>VLOOKUP(B2764,[1]LifeList!$E$2:$I$2036,5)</f>
        <v>Galbulidae (Jacamars)</v>
      </c>
    </row>
    <row r="2765" spans="1:8" x14ac:dyDescent="0.15">
      <c r="A2765" s="3" t="s">
        <v>2653</v>
      </c>
      <c r="B2765" s="3" t="s">
        <v>4830</v>
      </c>
      <c r="C2765" s="3">
        <v>10499</v>
      </c>
      <c r="D2765" s="3" t="str">
        <f>VLOOKUP(B2765,[1]LifeList!$E$2:$G$2036,1)</f>
        <v>Rufous-tailed Jacamar</v>
      </c>
      <c r="E2765" s="3" t="str">
        <f>VLOOKUP(B2765,[1]LifeList!$E$2:$G$2036,2)</f>
        <v>Jacamar à queue rousse</v>
      </c>
      <c r="F2765" s="3" t="str">
        <f>VLOOKUP(B2765,[1]LifeList!$E$2:$G$2036,3)</f>
        <v>Galbula ruficauda</v>
      </c>
      <c r="G2765" s="3" t="str">
        <f>VLOOKUP(B2765,[1]LifeList!$E$2:$I$2036,4)</f>
        <v>Piciformes</v>
      </c>
      <c r="H2765" s="3" t="str">
        <f>VLOOKUP(B2765,[1]LifeList!$E$2:$I$2036,5)</f>
        <v>Galbulidae (Jacamars)</v>
      </c>
    </row>
    <row r="2766" spans="1:8" x14ac:dyDescent="0.15">
      <c r="A2766" s="3" t="s">
        <v>2654</v>
      </c>
      <c r="B2766" s="3" t="s">
        <v>4830</v>
      </c>
      <c r="C2766" s="3">
        <v>10499</v>
      </c>
      <c r="D2766" s="3" t="str">
        <f>VLOOKUP(B2766,[1]LifeList!$E$2:$G$2036,1)</f>
        <v>Rufous-tailed Jacamar</v>
      </c>
      <c r="E2766" s="3" t="str">
        <f>VLOOKUP(B2766,[1]LifeList!$E$2:$G$2036,2)</f>
        <v>Jacamar à queue rousse</v>
      </c>
      <c r="F2766" s="3" t="str">
        <f>VLOOKUP(B2766,[1]LifeList!$E$2:$G$2036,3)</f>
        <v>Galbula ruficauda</v>
      </c>
      <c r="G2766" s="3" t="str">
        <f>VLOOKUP(B2766,[1]LifeList!$E$2:$I$2036,4)</f>
        <v>Piciformes</v>
      </c>
      <c r="H2766" s="3" t="str">
        <f>VLOOKUP(B2766,[1]LifeList!$E$2:$I$2036,5)</f>
        <v>Galbulidae (Jacamars)</v>
      </c>
    </row>
    <row r="2767" spans="1:8" x14ac:dyDescent="0.15">
      <c r="A2767" s="3" t="s">
        <v>2655</v>
      </c>
      <c r="B2767" s="3" t="s">
        <v>4830</v>
      </c>
      <c r="C2767" s="3">
        <v>10499</v>
      </c>
      <c r="D2767" s="3" t="str">
        <f>VLOOKUP(B2767,[1]LifeList!$E$2:$G$2036,1)</f>
        <v>Rufous-tailed Jacamar</v>
      </c>
      <c r="E2767" s="3" t="str">
        <f>VLOOKUP(B2767,[1]LifeList!$E$2:$G$2036,2)</f>
        <v>Jacamar à queue rousse</v>
      </c>
      <c r="F2767" s="3" t="str">
        <f>VLOOKUP(B2767,[1]LifeList!$E$2:$G$2036,3)</f>
        <v>Galbula ruficauda</v>
      </c>
      <c r="G2767" s="3" t="str">
        <f>VLOOKUP(B2767,[1]LifeList!$E$2:$I$2036,4)</f>
        <v>Piciformes</v>
      </c>
      <c r="H2767" s="3" t="str">
        <f>VLOOKUP(B2767,[1]LifeList!$E$2:$I$2036,5)</f>
        <v>Galbulidae (Jacamars)</v>
      </c>
    </row>
    <row r="2768" spans="1:8" x14ac:dyDescent="0.15">
      <c r="A2768" s="3" t="s">
        <v>2656</v>
      </c>
      <c r="B2768" s="3" t="s">
        <v>4830</v>
      </c>
      <c r="C2768" s="3">
        <v>10499</v>
      </c>
      <c r="D2768" s="3" t="str">
        <f>VLOOKUP(B2768,[1]LifeList!$E$2:$G$2036,1)</f>
        <v>Rufous-tailed Jacamar</v>
      </c>
      <c r="E2768" s="3" t="str">
        <f>VLOOKUP(B2768,[1]LifeList!$E$2:$G$2036,2)</f>
        <v>Jacamar à queue rousse</v>
      </c>
      <c r="F2768" s="3" t="str">
        <f>VLOOKUP(B2768,[1]LifeList!$E$2:$G$2036,3)</f>
        <v>Galbula ruficauda</v>
      </c>
      <c r="G2768" s="3" t="str">
        <f>VLOOKUP(B2768,[1]LifeList!$E$2:$I$2036,4)</f>
        <v>Piciformes</v>
      </c>
      <c r="H2768" s="3" t="str">
        <f>VLOOKUP(B2768,[1]LifeList!$E$2:$I$2036,5)</f>
        <v>Galbulidae (Jacamars)</v>
      </c>
    </row>
    <row r="2769" spans="1:8" x14ac:dyDescent="0.15">
      <c r="A2769" s="3" t="s">
        <v>2657</v>
      </c>
      <c r="B2769" s="3" t="s">
        <v>4830</v>
      </c>
      <c r="C2769" s="3">
        <v>10499</v>
      </c>
      <c r="D2769" s="3" t="str">
        <f>VLOOKUP(B2769,[1]LifeList!$E$2:$G$2036,1)</f>
        <v>Rufous-tailed Jacamar</v>
      </c>
      <c r="E2769" s="3" t="str">
        <f>VLOOKUP(B2769,[1]LifeList!$E$2:$G$2036,2)</f>
        <v>Jacamar à queue rousse</v>
      </c>
      <c r="F2769" s="3" t="str">
        <f>VLOOKUP(B2769,[1]LifeList!$E$2:$G$2036,3)</f>
        <v>Galbula ruficauda</v>
      </c>
      <c r="G2769" s="3" t="str">
        <f>VLOOKUP(B2769,[1]LifeList!$E$2:$I$2036,4)</f>
        <v>Piciformes</v>
      </c>
      <c r="H2769" s="3" t="str">
        <f>VLOOKUP(B2769,[1]LifeList!$E$2:$I$2036,5)</f>
        <v>Galbulidae (Jacamars)</v>
      </c>
    </row>
    <row r="2770" spans="1:8" x14ac:dyDescent="0.15">
      <c r="A2770" s="3" t="s">
        <v>2658</v>
      </c>
      <c r="B2770" s="3" t="s">
        <v>4831</v>
      </c>
      <c r="C2770" s="3">
        <v>34965</v>
      </c>
      <c r="D2770" s="3" t="str">
        <f>VLOOKUP(B2770,[1]LifeList!$E$2:$G$2036,1)</f>
        <v>Rufous-throated Tanager</v>
      </c>
      <c r="E2770" s="3" t="str">
        <f>VLOOKUP(B2770,[1]LifeList!$E$2:$G$2036,2)</f>
        <v>Calliste à gorge rousse</v>
      </c>
      <c r="F2770" s="3" t="str">
        <f>VLOOKUP(B2770,[1]LifeList!$E$2:$G$2036,3)</f>
        <v>Ixothraupis rufigula</v>
      </c>
      <c r="G2770" s="3" t="str">
        <f>VLOOKUP(B2770,[1]LifeList!$E$2:$I$2036,4)</f>
        <v>Passeriformes</v>
      </c>
      <c r="H2770" s="3" t="str">
        <f>VLOOKUP(B2770,[1]LifeList!$E$2:$I$2036,5)</f>
        <v>Thraupidae (Tanagers and Allies)</v>
      </c>
    </row>
    <row r="2771" spans="1:8" x14ac:dyDescent="0.15">
      <c r="A2771" s="3" t="s">
        <v>2659</v>
      </c>
      <c r="B2771" s="3" t="s">
        <v>4832</v>
      </c>
      <c r="C2771" s="3">
        <v>971</v>
      </c>
      <c r="D2771" s="3" t="str">
        <f>VLOOKUP(B2771,[1]LifeList!$E$2:$G$2036,1)</f>
        <v>Rufous-vented Chachalaca</v>
      </c>
      <c r="E2771" s="3" t="str">
        <f>VLOOKUP(B2771,[1]LifeList!$E$2:$G$2036,2)</f>
        <v>Ortalide à ventre roux</v>
      </c>
      <c r="F2771" s="3" t="str">
        <f>VLOOKUP(B2771,[1]LifeList!$E$2:$G$2036,3)</f>
        <v>Ortalis ruficauda</v>
      </c>
      <c r="G2771" s="3" t="str">
        <f>VLOOKUP(B2771,[1]LifeList!$E$2:$I$2036,4)</f>
        <v>Galliformes</v>
      </c>
      <c r="H2771" s="3" t="str">
        <f>VLOOKUP(B2771,[1]LifeList!$E$2:$I$2036,5)</f>
        <v>Cracidae (Guans, Chachalacas, and Curassows)</v>
      </c>
    </row>
    <row r="2772" spans="1:8" x14ac:dyDescent="0.15">
      <c r="A2772" s="3" t="s">
        <v>2660</v>
      </c>
      <c r="B2772" s="3" t="s">
        <v>4832</v>
      </c>
      <c r="C2772" s="3">
        <v>971</v>
      </c>
      <c r="D2772" s="3" t="str">
        <f>VLOOKUP(B2772,[1]LifeList!$E$2:$G$2036,1)</f>
        <v>Rufous-vented Chachalaca</v>
      </c>
      <c r="E2772" s="3" t="str">
        <f>VLOOKUP(B2772,[1]LifeList!$E$2:$G$2036,2)</f>
        <v>Ortalide à ventre roux</v>
      </c>
      <c r="F2772" s="3" t="str">
        <f>VLOOKUP(B2772,[1]LifeList!$E$2:$G$2036,3)</f>
        <v>Ortalis ruficauda</v>
      </c>
      <c r="G2772" s="3" t="str">
        <f>VLOOKUP(B2772,[1]LifeList!$E$2:$I$2036,4)</f>
        <v>Galliformes</v>
      </c>
      <c r="H2772" s="3" t="str">
        <f>VLOOKUP(B2772,[1]LifeList!$E$2:$I$2036,5)</f>
        <v>Cracidae (Guans, Chachalacas, and Curassows)</v>
      </c>
    </row>
    <row r="2773" spans="1:8" x14ac:dyDescent="0.15">
      <c r="A2773" s="3" t="s">
        <v>2661</v>
      </c>
      <c r="B2773" s="3" t="s">
        <v>4833</v>
      </c>
      <c r="C2773" s="3">
        <v>11835</v>
      </c>
      <c r="D2773" s="3" t="str">
        <f>VLOOKUP(B2773,[1]LifeList!$E$2:$G$2036,1)</f>
        <v>Rufous-winged Woodpecker</v>
      </c>
      <c r="E2773" s="3" t="str">
        <f>VLOOKUP(B2773,[1]LifeList!$E$2:$G$2036,2)</f>
        <v>Pic à ailes rousses</v>
      </c>
      <c r="F2773" s="3" t="str">
        <f>VLOOKUP(B2773,[1]LifeList!$E$2:$G$2036,3)</f>
        <v>Piculus simplex</v>
      </c>
      <c r="G2773" s="3" t="str">
        <f>VLOOKUP(B2773,[1]LifeList!$E$2:$I$2036,4)</f>
        <v>Piciformes</v>
      </c>
      <c r="H2773" s="3" t="str">
        <f>VLOOKUP(B2773,[1]LifeList!$E$2:$I$2036,5)</f>
        <v>Picidae (Woodpeckers)</v>
      </c>
    </row>
    <row r="2774" spans="1:8" x14ac:dyDescent="0.15">
      <c r="A2774" s="3" t="s">
        <v>2666</v>
      </c>
      <c r="B2774" s="3" t="s">
        <v>4834</v>
      </c>
      <c r="C2774" s="3">
        <v>3071</v>
      </c>
      <c r="D2774" s="3" t="str">
        <f>VLOOKUP(B2774,[1]LifeList!$E$2:$G$2036,1)</f>
        <v>Running Coua</v>
      </c>
      <c r="E2774" s="3" t="str">
        <f>VLOOKUP(B2774,[1]LifeList!$E$2:$G$2036,2)</f>
        <v>Coua coureur</v>
      </c>
      <c r="F2774" s="3" t="str">
        <f>VLOOKUP(B2774,[1]LifeList!$E$2:$G$2036,3)</f>
        <v>Coua cursor</v>
      </c>
      <c r="G2774" s="3" t="str">
        <f>VLOOKUP(B2774,[1]LifeList!$E$2:$I$2036,4)</f>
        <v>Cuculiformes</v>
      </c>
      <c r="H2774" s="3" t="str">
        <f>VLOOKUP(B2774,[1]LifeList!$E$2:$I$2036,5)</f>
        <v>Cuculidae (Cuckoos)</v>
      </c>
    </row>
    <row r="2775" spans="1:8" x14ac:dyDescent="0.15">
      <c r="A2775" s="3" t="s">
        <v>5208</v>
      </c>
      <c r="B2775" s="3" t="s">
        <v>5209</v>
      </c>
      <c r="C2775" s="3">
        <v>27949</v>
      </c>
      <c r="D2775" s="3" t="str">
        <f>VLOOKUP(B2775,[1]LifeList!$E$2:$G$2036,1)</f>
        <v>Rüppell's Starling</v>
      </c>
      <c r="E2775" s="3" t="str">
        <f>VLOOKUP(B2775,[1]LifeList!$E$2:$G$2036,2)</f>
        <v>Choucador de Rüppell</v>
      </c>
      <c r="F2775" s="3" t="str">
        <f>VLOOKUP(B2775,[1]LifeList!$E$2:$G$2036,3)</f>
        <v>Lamprotornis purpuroptera</v>
      </c>
      <c r="G2775" s="3" t="str">
        <f>VLOOKUP(B2775,[1]LifeList!$E$2:$I$2036,4)</f>
        <v>Passeriformes</v>
      </c>
      <c r="H2775" s="3" t="str">
        <f>VLOOKUP(B2775,[1]LifeList!$E$2:$I$2036,5)</f>
        <v>Sturnidae (Starlings)</v>
      </c>
    </row>
    <row r="2776" spans="1:8" x14ac:dyDescent="0.15">
      <c r="A2776" s="3" t="s">
        <v>2667</v>
      </c>
      <c r="B2776" s="3" t="s">
        <v>4835</v>
      </c>
      <c r="C2776" s="3">
        <v>34334</v>
      </c>
      <c r="D2776" s="3" t="str">
        <f>VLOOKUP(B2776,[1]LifeList!$E$2:$G$2036,1)</f>
        <v>Russet-crowned Warbler</v>
      </c>
      <c r="E2776" s="3" t="str">
        <f>VLOOKUP(B2776,[1]LifeList!$E$2:$G$2036,2)</f>
        <v>Paruline à diadème</v>
      </c>
      <c r="F2776" s="3" t="str">
        <f>VLOOKUP(B2776,[1]LifeList!$E$2:$G$2036,3)</f>
        <v>Myiothlypis coronata</v>
      </c>
      <c r="G2776" s="3" t="str">
        <f>VLOOKUP(B2776,[1]LifeList!$E$2:$I$2036,4)</f>
        <v>Passeriformes</v>
      </c>
      <c r="H2776" s="3" t="str">
        <f>VLOOKUP(B2776,[1]LifeList!$E$2:$I$2036,5)</f>
        <v>Parulidae (New World Warblers)</v>
      </c>
    </row>
    <row r="2777" spans="1:8" x14ac:dyDescent="0.15">
      <c r="A2777" s="3" t="s">
        <v>2668</v>
      </c>
      <c r="B2777" s="3" t="s">
        <v>4836</v>
      </c>
      <c r="C2777" s="3">
        <v>5440</v>
      </c>
      <c r="D2777" s="3" t="str">
        <f>VLOOKUP(B2777,[1]LifeList!$E$2:$G$2036,1)</f>
        <v>Russet-naped Wood-Rail</v>
      </c>
      <c r="E2777" s="3" t="str">
        <f>VLOOKUP(B2777,[1]LifeList!$E$2:$G$2036,2)</f>
        <v>Râle à ventre blanc</v>
      </c>
      <c r="F2777" s="3" t="str">
        <f>VLOOKUP(B2777,[1]LifeList!$E$2:$G$2036,3)</f>
        <v>Aramides albiventris</v>
      </c>
      <c r="G2777" s="3" t="str">
        <f>VLOOKUP(B2777,[1]LifeList!$E$2:$I$2036,4)</f>
        <v>Gruiformes</v>
      </c>
      <c r="H2777" s="3" t="str">
        <f>VLOOKUP(B2777,[1]LifeList!$E$2:$I$2036,5)</f>
        <v>Rallidae (Rails, Gallinules, and Coots)</v>
      </c>
    </row>
    <row r="2778" spans="1:8" x14ac:dyDescent="0.15">
      <c r="A2778" s="3" t="s">
        <v>2669</v>
      </c>
      <c r="B2778" s="3" t="s">
        <v>4837</v>
      </c>
      <c r="C2778" s="3">
        <v>10407</v>
      </c>
      <c r="D2778" s="3" t="str">
        <f>VLOOKUP(B2778,[1]LifeList!$E$2:$G$2036,1)</f>
        <v>Russet-throated Puffbird</v>
      </c>
      <c r="E2778" s="3" t="str">
        <f>VLOOKUP(B2778,[1]LifeList!$E$2:$G$2036,2)</f>
        <v>Tamatia à gorge rousse</v>
      </c>
      <c r="F2778" s="3" t="str">
        <f>VLOOKUP(B2778,[1]LifeList!$E$2:$G$2036,3)</f>
        <v>Hypnelus ruficollis</v>
      </c>
      <c r="G2778" s="3" t="str">
        <f>VLOOKUP(B2778,[1]LifeList!$E$2:$I$2036,4)</f>
        <v>Piciformes</v>
      </c>
      <c r="H2778" s="3" t="str">
        <f>VLOOKUP(B2778,[1]LifeList!$E$2:$I$2036,5)</f>
        <v>Bucconidae (Puffbirds)</v>
      </c>
    </row>
    <row r="2779" spans="1:8" x14ac:dyDescent="0.15">
      <c r="A2779" s="3" t="s">
        <v>2670</v>
      </c>
      <c r="B2779" s="3" t="s">
        <v>4837</v>
      </c>
      <c r="C2779" s="3">
        <v>10407</v>
      </c>
      <c r="D2779" s="3" t="str">
        <f>VLOOKUP(B2779,[1]LifeList!$E$2:$G$2036,1)</f>
        <v>Russet-throated Puffbird</v>
      </c>
      <c r="E2779" s="3" t="str">
        <f>VLOOKUP(B2779,[1]LifeList!$E$2:$G$2036,2)</f>
        <v>Tamatia à gorge rousse</v>
      </c>
      <c r="F2779" s="3" t="str">
        <f>VLOOKUP(B2779,[1]LifeList!$E$2:$G$2036,3)</f>
        <v>Hypnelus ruficollis</v>
      </c>
      <c r="G2779" s="3" t="str">
        <f>VLOOKUP(B2779,[1]LifeList!$E$2:$I$2036,4)</f>
        <v>Piciformes</v>
      </c>
      <c r="H2779" s="3" t="str">
        <f>VLOOKUP(B2779,[1]LifeList!$E$2:$I$2036,5)</f>
        <v>Bucconidae (Puffbirds)</v>
      </c>
    </row>
    <row r="2780" spans="1:8" x14ac:dyDescent="0.15">
      <c r="A2780" s="3" t="s">
        <v>2671</v>
      </c>
      <c r="B2780" s="3" t="s">
        <v>4837</v>
      </c>
      <c r="C2780" s="3">
        <v>10407</v>
      </c>
      <c r="D2780" s="3" t="str">
        <f>VLOOKUP(B2780,[1]LifeList!$E$2:$G$2036,1)</f>
        <v>Russet-throated Puffbird</v>
      </c>
      <c r="E2780" s="3" t="str">
        <f>VLOOKUP(B2780,[1]LifeList!$E$2:$G$2036,2)</f>
        <v>Tamatia à gorge rousse</v>
      </c>
      <c r="F2780" s="3" t="str">
        <f>VLOOKUP(B2780,[1]LifeList!$E$2:$G$2036,3)</f>
        <v>Hypnelus ruficollis</v>
      </c>
      <c r="G2780" s="3" t="str">
        <f>VLOOKUP(B2780,[1]LifeList!$E$2:$I$2036,4)</f>
        <v>Piciformes</v>
      </c>
      <c r="H2780" s="3" t="str">
        <f>VLOOKUP(B2780,[1]LifeList!$E$2:$I$2036,5)</f>
        <v>Bucconidae (Puffbirds)</v>
      </c>
    </row>
    <row r="2781" spans="1:8" x14ac:dyDescent="0.15">
      <c r="A2781" s="3" t="s">
        <v>2681</v>
      </c>
      <c r="B2781" s="3" t="s">
        <v>4838</v>
      </c>
      <c r="C2781" s="3">
        <v>33848</v>
      </c>
      <c r="D2781" s="3" t="str">
        <f>VLOOKUP(B2781,[1]LifeList!$E$2:$G$2036,1)</f>
        <v>Rusty Blackbird</v>
      </c>
      <c r="E2781" s="3" t="str">
        <f>VLOOKUP(B2781,[1]LifeList!$E$2:$G$2036,2)</f>
        <v>Quiscale rouilleux</v>
      </c>
      <c r="F2781" s="3" t="str">
        <f>VLOOKUP(B2781,[1]LifeList!$E$2:$G$2036,3)</f>
        <v>Euphagus carolinus</v>
      </c>
      <c r="G2781" s="3" t="str">
        <f>VLOOKUP(B2781,[1]LifeList!$E$2:$I$2036,4)</f>
        <v>Passeriformes</v>
      </c>
      <c r="H2781" s="3" t="str">
        <f>VLOOKUP(B2781,[1]LifeList!$E$2:$I$2036,5)</f>
        <v>Icteridae (Troupials and Allies)</v>
      </c>
    </row>
    <row r="2782" spans="1:8" x14ac:dyDescent="0.15">
      <c r="A2782" s="3" t="s">
        <v>2678</v>
      </c>
      <c r="B2782" s="3" t="s">
        <v>4838</v>
      </c>
      <c r="C2782" s="3">
        <v>33848</v>
      </c>
      <c r="D2782" s="3" t="str">
        <f>VLOOKUP(B2782,[1]LifeList!$E$2:$G$2036,1)</f>
        <v>Rusty Blackbird</v>
      </c>
      <c r="E2782" s="3" t="str">
        <f>VLOOKUP(B2782,[1]LifeList!$E$2:$G$2036,2)</f>
        <v>Quiscale rouilleux</v>
      </c>
      <c r="F2782" s="3" t="str">
        <f>VLOOKUP(B2782,[1]LifeList!$E$2:$G$2036,3)</f>
        <v>Euphagus carolinus</v>
      </c>
      <c r="G2782" s="3" t="str">
        <f>VLOOKUP(B2782,[1]LifeList!$E$2:$I$2036,4)</f>
        <v>Passeriformes</v>
      </c>
      <c r="H2782" s="3" t="str">
        <f>VLOOKUP(B2782,[1]LifeList!$E$2:$I$2036,5)</f>
        <v>Icteridae (Troupials and Allies)</v>
      </c>
    </row>
    <row r="2783" spans="1:8" x14ac:dyDescent="0.15">
      <c r="A2783" s="3" t="s">
        <v>2679</v>
      </c>
      <c r="B2783" s="3" t="s">
        <v>4839</v>
      </c>
      <c r="C2783" s="3">
        <v>35313</v>
      </c>
      <c r="D2783" s="3" t="str">
        <f>VLOOKUP(B2783,[1]LifeList!$E$2:$G$2036,1)</f>
        <v>Rusty Flowerpiercer</v>
      </c>
      <c r="E2783" s="3" t="str">
        <f>VLOOKUP(B2783,[1]LifeList!$E$2:$G$2036,2)</f>
        <v>Percefleur rouilleux</v>
      </c>
      <c r="F2783" s="3" t="str">
        <f>VLOOKUP(B2783,[1]LifeList!$E$2:$G$2036,3)</f>
        <v>Diglossa sittoides</v>
      </c>
      <c r="G2783" s="3" t="str">
        <f>VLOOKUP(B2783,[1]LifeList!$E$2:$I$2036,4)</f>
        <v>Passeriformes</v>
      </c>
      <c r="H2783" s="3" t="str">
        <f>VLOOKUP(B2783,[1]LifeList!$E$2:$I$2036,5)</f>
        <v>Thraupidae (Tanagers and Allies)</v>
      </c>
    </row>
    <row r="2784" spans="1:8" x14ac:dyDescent="0.15">
      <c r="A2784" s="3" t="s">
        <v>2680</v>
      </c>
      <c r="B2784" s="3" t="s">
        <v>4839</v>
      </c>
      <c r="C2784" s="3">
        <v>35313</v>
      </c>
      <c r="D2784" s="3" t="str">
        <f>VLOOKUP(B2784,[1]LifeList!$E$2:$G$2036,1)</f>
        <v>Rusty Flowerpiercer</v>
      </c>
      <c r="E2784" s="3" t="str">
        <f>VLOOKUP(B2784,[1]LifeList!$E$2:$G$2036,2)</f>
        <v>Percefleur rouilleux</v>
      </c>
      <c r="F2784" s="3" t="str">
        <f>VLOOKUP(B2784,[1]LifeList!$E$2:$G$2036,3)</f>
        <v>Diglossa sittoides</v>
      </c>
      <c r="G2784" s="3" t="str">
        <f>VLOOKUP(B2784,[1]LifeList!$E$2:$I$2036,4)</f>
        <v>Passeriformes</v>
      </c>
      <c r="H2784" s="3" t="str">
        <f>VLOOKUP(B2784,[1]LifeList!$E$2:$I$2036,5)</f>
        <v>Thraupidae (Tanagers and Allies)</v>
      </c>
    </row>
    <row r="2785" spans="1:8" x14ac:dyDescent="0.15">
      <c r="A2785" s="3" t="s">
        <v>2672</v>
      </c>
      <c r="B2785" s="3" t="s">
        <v>4840</v>
      </c>
      <c r="C2785" s="3">
        <v>17387</v>
      </c>
      <c r="D2785" s="3" t="str">
        <f>VLOOKUP(B2785,[1]LifeList!$E$2:$G$2036,1)</f>
        <v>Rusty-margined Flycatcher</v>
      </c>
      <c r="E2785" s="3" t="str">
        <f>VLOOKUP(B2785,[1]LifeList!$E$2:$G$2036,2)</f>
        <v>Tyran de Cayenne</v>
      </c>
      <c r="F2785" s="3" t="str">
        <f>VLOOKUP(B2785,[1]LifeList!$E$2:$G$2036,3)</f>
        <v>Myiozetetes cayanensis</v>
      </c>
      <c r="G2785" s="3" t="str">
        <f>VLOOKUP(B2785,[1]LifeList!$E$2:$I$2036,4)</f>
        <v>Passeriformes</v>
      </c>
      <c r="H2785" s="3" t="str">
        <f>VLOOKUP(B2785,[1]LifeList!$E$2:$I$2036,5)</f>
        <v>Tyrannidae (Tyrant Flycatchers)</v>
      </c>
    </row>
    <row r="2786" spans="1:8" x14ac:dyDescent="0.15">
      <c r="A2786" s="3" t="s">
        <v>2673</v>
      </c>
      <c r="B2786" s="3" t="s">
        <v>4840</v>
      </c>
      <c r="C2786" s="3">
        <v>17387</v>
      </c>
      <c r="D2786" s="3" t="str">
        <f>VLOOKUP(B2786,[1]LifeList!$E$2:$G$2036,1)</f>
        <v>Rusty-margined Flycatcher</v>
      </c>
      <c r="E2786" s="3" t="str">
        <f>VLOOKUP(B2786,[1]LifeList!$E$2:$G$2036,2)</f>
        <v>Tyran de Cayenne</v>
      </c>
      <c r="F2786" s="3" t="str">
        <f>VLOOKUP(B2786,[1]LifeList!$E$2:$G$2036,3)</f>
        <v>Myiozetetes cayanensis</v>
      </c>
      <c r="G2786" s="3" t="str">
        <f>VLOOKUP(B2786,[1]LifeList!$E$2:$I$2036,4)</f>
        <v>Passeriformes</v>
      </c>
      <c r="H2786" s="3" t="str">
        <f>VLOOKUP(B2786,[1]LifeList!$E$2:$I$2036,5)</f>
        <v>Tyrannidae (Tyrant Flycatchers)</v>
      </c>
    </row>
    <row r="2787" spans="1:8" x14ac:dyDescent="0.15">
      <c r="A2787" s="3" t="s">
        <v>2674</v>
      </c>
      <c r="B2787" s="3" t="s">
        <v>4840</v>
      </c>
      <c r="C2787" s="3">
        <v>17387</v>
      </c>
      <c r="D2787" s="3" t="str">
        <f>VLOOKUP(B2787,[1]LifeList!$E$2:$G$2036,1)</f>
        <v>Rusty-margined Flycatcher</v>
      </c>
      <c r="E2787" s="3" t="str">
        <f>VLOOKUP(B2787,[1]LifeList!$E$2:$G$2036,2)</f>
        <v>Tyran de Cayenne</v>
      </c>
      <c r="F2787" s="3" t="str">
        <f>VLOOKUP(B2787,[1]LifeList!$E$2:$G$2036,3)</f>
        <v>Myiozetetes cayanensis</v>
      </c>
      <c r="G2787" s="3" t="str">
        <f>VLOOKUP(B2787,[1]LifeList!$E$2:$I$2036,4)</f>
        <v>Passeriformes</v>
      </c>
      <c r="H2787" s="3" t="str">
        <f>VLOOKUP(B2787,[1]LifeList!$E$2:$I$2036,5)</f>
        <v>Tyrannidae (Tyrant Flycatchers)</v>
      </c>
    </row>
    <row r="2788" spans="1:8" x14ac:dyDescent="0.15">
      <c r="A2788" s="3" t="s">
        <v>2675</v>
      </c>
      <c r="B2788" s="3" t="s">
        <v>4840</v>
      </c>
      <c r="C2788" s="3">
        <v>17387</v>
      </c>
      <c r="D2788" s="3" t="str">
        <f>VLOOKUP(B2788,[1]LifeList!$E$2:$G$2036,1)</f>
        <v>Rusty-margined Flycatcher</v>
      </c>
      <c r="E2788" s="3" t="str">
        <f>VLOOKUP(B2788,[1]LifeList!$E$2:$G$2036,2)</f>
        <v>Tyran de Cayenne</v>
      </c>
      <c r="F2788" s="3" t="str">
        <f>VLOOKUP(B2788,[1]LifeList!$E$2:$G$2036,3)</f>
        <v>Myiozetetes cayanensis</v>
      </c>
      <c r="G2788" s="3" t="str">
        <f>VLOOKUP(B2788,[1]LifeList!$E$2:$I$2036,4)</f>
        <v>Passeriformes</v>
      </c>
      <c r="H2788" s="3" t="str">
        <f>VLOOKUP(B2788,[1]LifeList!$E$2:$I$2036,5)</f>
        <v>Tyrannidae (Tyrant Flycatchers)</v>
      </c>
    </row>
    <row r="2789" spans="1:8" x14ac:dyDescent="0.15">
      <c r="A2789" s="3" t="s">
        <v>2676</v>
      </c>
      <c r="B2789" s="3" t="s">
        <v>4840</v>
      </c>
      <c r="C2789" s="3">
        <v>17387</v>
      </c>
      <c r="D2789" s="3" t="str">
        <f>VLOOKUP(B2789,[1]LifeList!$E$2:$G$2036,1)</f>
        <v>Rusty-margined Flycatcher</v>
      </c>
      <c r="E2789" s="3" t="str">
        <f>VLOOKUP(B2789,[1]LifeList!$E$2:$G$2036,2)</f>
        <v>Tyran de Cayenne</v>
      </c>
      <c r="F2789" s="3" t="str">
        <f>VLOOKUP(B2789,[1]LifeList!$E$2:$G$2036,3)</f>
        <v>Myiozetetes cayanensis</v>
      </c>
      <c r="G2789" s="3" t="str">
        <f>VLOOKUP(B2789,[1]LifeList!$E$2:$I$2036,4)</f>
        <v>Passeriformes</v>
      </c>
      <c r="H2789" s="3" t="str">
        <f>VLOOKUP(B2789,[1]LifeList!$E$2:$I$2036,5)</f>
        <v>Tyrannidae (Tyrant Flycatchers)</v>
      </c>
    </row>
    <row r="2790" spans="1:8" x14ac:dyDescent="0.15">
      <c r="A2790" s="3" t="s">
        <v>2677</v>
      </c>
      <c r="B2790" s="3" t="s">
        <v>4841</v>
      </c>
      <c r="C2790" s="3">
        <v>13812</v>
      </c>
      <c r="D2790" s="3" t="str">
        <f>VLOOKUP(B2790,[1]LifeList!$E$2:$G$2036,1)</f>
        <v>Rusty-winged Antwren</v>
      </c>
      <c r="E2790" s="3" t="str">
        <f>VLOOKUP(B2790,[1]LifeList!$E$2:$G$2036,2)</f>
        <v>Grisin de Sclater</v>
      </c>
      <c r="F2790" s="3" t="str">
        <f>VLOOKUP(B2790,[1]LifeList!$E$2:$G$2036,3)</f>
        <v>Herpsilochmus frater</v>
      </c>
      <c r="G2790" s="3" t="str">
        <f>VLOOKUP(B2790,[1]LifeList!$E$2:$I$2036,4)</f>
        <v>Passeriformes</v>
      </c>
      <c r="H2790" s="3" t="str">
        <f>VLOOKUP(B2790,[1]LifeList!$E$2:$I$2036,5)</f>
        <v>Thamnophilidae (Typical Antbirds)</v>
      </c>
    </row>
    <row r="2791" spans="1:8" x14ac:dyDescent="0.15">
      <c r="A2791" s="3" t="s">
        <v>2682</v>
      </c>
      <c r="B2791" s="3" t="s">
        <v>4842</v>
      </c>
      <c r="C2791" s="3">
        <v>10179</v>
      </c>
      <c r="D2791" s="3" t="str">
        <f>VLOOKUP(B2791,[1]LifeList!$E$2:$G$2036,1)</f>
        <v>Sacred Kingfisher</v>
      </c>
      <c r="E2791" s="3" t="str">
        <f>VLOOKUP(B2791,[1]LifeList!$E$2:$G$2036,2)</f>
        <v>Martin-chasseur sacré</v>
      </c>
      <c r="F2791" s="3" t="str">
        <f>VLOOKUP(B2791,[1]LifeList!$E$2:$G$2036,3)</f>
        <v>Todiramphus sanctus</v>
      </c>
      <c r="G2791" s="3" t="str">
        <f>VLOOKUP(B2791,[1]LifeList!$E$2:$I$2036,4)</f>
        <v>Coraciiformes</v>
      </c>
      <c r="H2791" s="3" t="str">
        <f>VLOOKUP(B2791,[1]LifeList!$E$2:$I$2036,5)</f>
        <v>Alcedinidae (Kingfishers)</v>
      </c>
    </row>
    <row r="2792" spans="1:8" x14ac:dyDescent="0.15">
      <c r="A2792" s="3" t="s">
        <v>2684</v>
      </c>
      <c r="B2792" s="3" t="s">
        <v>4843</v>
      </c>
      <c r="C2792" s="3">
        <v>35477</v>
      </c>
      <c r="D2792" s="3" t="str">
        <f>VLOOKUP(B2792,[1]LifeList!$E$2:$G$2036,1)</f>
        <v>Saffron Finch</v>
      </c>
      <c r="E2792" s="3" t="str">
        <f>VLOOKUP(B2792,[1]LifeList!$E$2:$G$2036,2)</f>
        <v>Sicale bouton-d'or</v>
      </c>
      <c r="F2792" s="3" t="str">
        <f>VLOOKUP(B2792,[1]LifeList!$E$2:$G$2036,3)</f>
        <v>Sicalis flaveola</v>
      </c>
      <c r="G2792" s="3" t="str">
        <f>VLOOKUP(B2792,[1]LifeList!$E$2:$I$2036,4)</f>
        <v>Passeriformes</v>
      </c>
      <c r="H2792" s="3" t="str">
        <f>VLOOKUP(B2792,[1]LifeList!$E$2:$I$2036,5)</f>
        <v>Thraupidae (Tanagers and Allies)</v>
      </c>
    </row>
    <row r="2793" spans="1:8" x14ac:dyDescent="0.15">
      <c r="A2793" s="3" t="s">
        <v>2685</v>
      </c>
      <c r="B2793" s="3" t="s">
        <v>4843</v>
      </c>
      <c r="C2793" s="3">
        <v>35477</v>
      </c>
      <c r="D2793" s="3" t="str">
        <f>VLOOKUP(B2793,[1]LifeList!$E$2:$G$2036,1)</f>
        <v>Saffron Finch</v>
      </c>
      <c r="E2793" s="3" t="str">
        <f>VLOOKUP(B2793,[1]LifeList!$E$2:$G$2036,2)</f>
        <v>Sicale bouton-d'or</v>
      </c>
      <c r="F2793" s="3" t="str">
        <f>VLOOKUP(B2793,[1]LifeList!$E$2:$G$2036,3)</f>
        <v>Sicalis flaveola</v>
      </c>
      <c r="G2793" s="3" t="str">
        <f>VLOOKUP(B2793,[1]LifeList!$E$2:$I$2036,4)</f>
        <v>Passeriformes</v>
      </c>
      <c r="H2793" s="3" t="str">
        <f>VLOOKUP(B2793,[1]LifeList!$E$2:$I$2036,5)</f>
        <v>Thraupidae (Tanagers and Allies)</v>
      </c>
    </row>
    <row r="2794" spans="1:8" x14ac:dyDescent="0.15">
      <c r="A2794" s="3" t="s">
        <v>2686</v>
      </c>
      <c r="B2794" s="3" t="s">
        <v>4843</v>
      </c>
      <c r="C2794" s="3">
        <v>35477</v>
      </c>
      <c r="D2794" s="3" t="str">
        <f>VLOOKUP(B2794,[1]LifeList!$E$2:$G$2036,1)</f>
        <v>Saffron Finch</v>
      </c>
      <c r="E2794" s="3" t="str">
        <f>VLOOKUP(B2794,[1]LifeList!$E$2:$G$2036,2)</f>
        <v>Sicale bouton-d'or</v>
      </c>
      <c r="F2794" s="3" t="str">
        <f>VLOOKUP(B2794,[1]LifeList!$E$2:$G$2036,3)</f>
        <v>Sicalis flaveola</v>
      </c>
      <c r="G2794" s="3" t="str">
        <f>VLOOKUP(B2794,[1]LifeList!$E$2:$I$2036,4)</f>
        <v>Passeriformes</v>
      </c>
      <c r="H2794" s="3" t="str">
        <f>VLOOKUP(B2794,[1]LifeList!$E$2:$I$2036,5)</f>
        <v>Thraupidae (Tanagers and Allies)</v>
      </c>
    </row>
    <row r="2795" spans="1:8" x14ac:dyDescent="0.15">
      <c r="A2795" s="3" t="s">
        <v>2687</v>
      </c>
      <c r="B2795" s="3" t="s">
        <v>4843</v>
      </c>
      <c r="C2795" s="3">
        <v>35477</v>
      </c>
      <c r="D2795" s="3" t="str">
        <f>VLOOKUP(B2795,[1]LifeList!$E$2:$G$2036,1)</f>
        <v>Saffron Finch</v>
      </c>
      <c r="E2795" s="3" t="str">
        <f>VLOOKUP(B2795,[1]LifeList!$E$2:$G$2036,2)</f>
        <v>Sicale bouton-d'or</v>
      </c>
      <c r="F2795" s="3" t="str">
        <f>VLOOKUP(B2795,[1]LifeList!$E$2:$G$2036,3)</f>
        <v>Sicalis flaveola</v>
      </c>
      <c r="G2795" s="3" t="str">
        <f>VLOOKUP(B2795,[1]LifeList!$E$2:$I$2036,4)</f>
        <v>Passeriformes</v>
      </c>
      <c r="H2795" s="3" t="str">
        <f>VLOOKUP(B2795,[1]LifeList!$E$2:$I$2036,5)</f>
        <v>Thraupidae (Tanagers and Allies)</v>
      </c>
    </row>
    <row r="2796" spans="1:8" x14ac:dyDescent="0.15">
      <c r="A2796" s="3" t="s">
        <v>2683</v>
      </c>
      <c r="B2796" s="3" t="s">
        <v>4843</v>
      </c>
      <c r="C2796" s="3">
        <v>35477</v>
      </c>
      <c r="D2796" s="3" t="str">
        <f>VLOOKUP(B2796,[1]LifeList!$E$2:$G$2036,1)</f>
        <v>Saffron Finch</v>
      </c>
      <c r="E2796" s="3" t="str">
        <f>VLOOKUP(B2796,[1]LifeList!$E$2:$G$2036,2)</f>
        <v>Sicale bouton-d'or</v>
      </c>
      <c r="F2796" s="3" t="str">
        <f>VLOOKUP(B2796,[1]LifeList!$E$2:$G$2036,3)</f>
        <v>Sicalis flaveola</v>
      </c>
      <c r="G2796" s="3" t="str">
        <f>VLOOKUP(B2796,[1]LifeList!$E$2:$I$2036,4)</f>
        <v>Passeriformes</v>
      </c>
      <c r="H2796" s="3" t="str">
        <f>VLOOKUP(B2796,[1]LifeList!$E$2:$I$2036,5)</f>
        <v>Thraupidae (Tanagers and Allies)</v>
      </c>
    </row>
    <row r="2797" spans="1:8" x14ac:dyDescent="0.15">
      <c r="A2797" s="3" t="s">
        <v>2688</v>
      </c>
      <c r="B2797" s="3" t="s">
        <v>4844</v>
      </c>
      <c r="C2797" s="3">
        <v>30896</v>
      </c>
      <c r="D2797" s="3" t="str">
        <f>VLOOKUP(B2797,[1]LifeList!$E$2:$G$2036,1)</f>
        <v>Sakalava Weaver</v>
      </c>
      <c r="E2797" s="3" t="str">
        <f>VLOOKUP(B2797,[1]LifeList!$E$2:$G$2036,2)</f>
        <v>Tisserin sakalave</v>
      </c>
      <c r="F2797" s="3" t="str">
        <f>VLOOKUP(B2797,[1]LifeList!$E$2:$G$2036,3)</f>
        <v>Ploceus sakalava</v>
      </c>
      <c r="G2797" s="3" t="str">
        <f>VLOOKUP(B2797,[1]LifeList!$E$2:$I$2036,4)</f>
        <v>Passeriformes</v>
      </c>
      <c r="H2797" s="3" t="str">
        <f>VLOOKUP(B2797,[1]LifeList!$E$2:$I$2036,5)</f>
        <v>Ploceidae (Weavers and Allies)</v>
      </c>
    </row>
    <row r="2798" spans="1:8" x14ac:dyDescent="0.15">
      <c r="A2798" s="3" t="s">
        <v>2689</v>
      </c>
      <c r="B2798" s="3" t="s">
        <v>4844</v>
      </c>
      <c r="C2798" s="3">
        <v>30896</v>
      </c>
      <c r="D2798" s="3" t="str">
        <f>VLOOKUP(B2798,[1]LifeList!$E$2:$G$2036,1)</f>
        <v>Sakalava Weaver</v>
      </c>
      <c r="E2798" s="3" t="str">
        <f>VLOOKUP(B2798,[1]LifeList!$E$2:$G$2036,2)</f>
        <v>Tisserin sakalave</v>
      </c>
      <c r="F2798" s="3" t="str">
        <f>VLOOKUP(B2798,[1]LifeList!$E$2:$G$2036,3)</f>
        <v>Ploceus sakalava</v>
      </c>
      <c r="G2798" s="3" t="str">
        <f>VLOOKUP(B2798,[1]LifeList!$E$2:$I$2036,4)</f>
        <v>Passeriformes</v>
      </c>
      <c r="H2798" s="3" t="str">
        <f>VLOOKUP(B2798,[1]LifeList!$E$2:$I$2036,5)</f>
        <v>Ploceidae (Weavers and Allies)</v>
      </c>
    </row>
    <row r="2799" spans="1:8" x14ac:dyDescent="0.15">
      <c r="A2799" s="3" t="s">
        <v>2690</v>
      </c>
      <c r="B2799" s="3" t="s">
        <v>4844</v>
      </c>
      <c r="C2799" s="3">
        <v>30896</v>
      </c>
      <c r="D2799" s="3" t="str">
        <f>VLOOKUP(B2799,[1]LifeList!$E$2:$G$2036,1)</f>
        <v>Sakalava Weaver</v>
      </c>
      <c r="E2799" s="3" t="str">
        <f>VLOOKUP(B2799,[1]LifeList!$E$2:$G$2036,2)</f>
        <v>Tisserin sakalave</v>
      </c>
      <c r="F2799" s="3" t="str">
        <f>VLOOKUP(B2799,[1]LifeList!$E$2:$G$2036,3)</f>
        <v>Ploceus sakalava</v>
      </c>
      <c r="G2799" s="3" t="str">
        <f>VLOOKUP(B2799,[1]LifeList!$E$2:$I$2036,4)</f>
        <v>Passeriformes</v>
      </c>
      <c r="H2799" s="3" t="str">
        <f>VLOOKUP(B2799,[1]LifeList!$E$2:$I$2036,5)</f>
        <v>Ploceidae (Weavers and Allies)</v>
      </c>
    </row>
    <row r="2800" spans="1:8" x14ac:dyDescent="0.15">
      <c r="A2800" s="3" t="s">
        <v>2691</v>
      </c>
      <c r="B2800" s="3" t="s">
        <v>4844</v>
      </c>
      <c r="C2800" s="3">
        <v>30896</v>
      </c>
      <c r="D2800" s="3" t="str">
        <f>VLOOKUP(B2800,[1]LifeList!$E$2:$G$2036,1)</f>
        <v>Sakalava Weaver</v>
      </c>
      <c r="E2800" s="3" t="str">
        <f>VLOOKUP(B2800,[1]LifeList!$E$2:$G$2036,2)</f>
        <v>Tisserin sakalave</v>
      </c>
      <c r="F2800" s="3" t="str">
        <f>VLOOKUP(B2800,[1]LifeList!$E$2:$G$2036,3)</f>
        <v>Ploceus sakalava</v>
      </c>
      <c r="G2800" s="3" t="str">
        <f>VLOOKUP(B2800,[1]LifeList!$E$2:$I$2036,4)</f>
        <v>Passeriformes</v>
      </c>
      <c r="H2800" s="3" t="str">
        <f>VLOOKUP(B2800,[1]LifeList!$E$2:$I$2036,5)</f>
        <v>Ploceidae (Weavers and Allies)</v>
      </c>
    </row>
    <row r="2801" spans="1:8" x14ac:dyDescent="0.15">
      <c r="A2801" s="3" t="s">
        <v>2692</v>
      </c>
      <c r="B2801" s="3" t="s">
        <v>4845</v>
      </c>
      <c r="C2801" s="3">
        <v>6189</v>
      </c>
      <c r="D2801" s="3" t="str">
        <f>VLOOKUP(B2801,[1]LifeList!$E$2:$G$2036,1)</f>
        <v>Sanderling</v>
      </c>
      <c r="E2801" s="3" t="str">
        <f>VLOOKUP(B2801,[1]LifeList!$E$2:$G$2036,2)</f>
        <v>Bécasseau sanderling</v>
      </c>
      <c r="F2801" s="3" t="str">
        <f>VLOOKUP(B2801,[1]LifeList!$E$2:$G$2036,3)</f>
        <v>Calidris alba</v>
      </c>
      <c r="G2801" s="3" t="str">
        <f>VLOOKUP(B2801,[1]LifeList!$E$2:$I$2036,4)</f>
        <v>Charadriiformes</v>
      </c>
      <c r="H2801" s="3" t="str">
        <f>VLOOKUP(B2801,[1]LifeList!$E$2:$I$2036,5)</f>
        <v>Scolopacidae (Sandpipers and Allies)</v>
      </c>
    </row>
    <row r="2802" spans="1:8" x14ac:dyDescent="0.15">
      <c r="A2802" s="3" t="s">
        <v>2693</v>
      </c>
      <c r="B2802" s="3" t="s">
        <v>4845</v>
      </c>
      <c r="C2802" s="3">
        <v>6189</v>
      </c>
      <c r="D2802" s="3" t="str">
        <f>VLOOKUP(B2802,[1]LifeList!$E$2:$G$2036,1)</f>
        <v>Sanderling</v>
      </c>
      <c r="E2802" s="3" t="str">
        <f>VLOOKUP(B2802,[1]LifeList!$E$2:$G$2036,2)</f>
        <v>Bécasseau sanderling</v>
      </c>
      <c r="F2802" s="3" t="str">
        <f>VLOOKUP(B2802,[1]LifeList!$E$2:$G$2036,3)</f>
        <v>Calidris alba</v>
      </c>
      <c r="G2802" s="3" t="str">
        <f>VLOOKUP(B2802,[1]LifeList!$E$2:$I$2036,4)</f>
        <v>Charadriiformes</v>
      </c>
      <c r="H2802" s="3" t="str">
        <f>VLOOKUP(B2802,[1]LifeList!$E$2:$I$2036,5)</f>
        <v>Scolopacidae (Sandpipers and Allies)</v>
      </c>
    </row>
    <row r="2803" spans="1:8" x14ac:dyDescent="0.15">
      <c r="A2803" s="3" t="s">
        <v>2694</v>
      </c>
      <c r="B2803" s="3" t="s">
        <v>4845</v>
      </c>
      <c r="C2803" s="3">
        <v>6189</v>
      </c>
      <c r="D2803" s="3" t="str">
        <f>VLOOKUP(B2803,[1]LifeList!$E$2:$G$2036,1)</f>
        <v>Sanderling</v>
      </c>
      <c r="E2803" s="3" t="str">
        <f>VLOOKUP(B2803,[1]LifeList!$E$2:$G$2036,2)</f>
        <v>Bécasseau sanderling</v>
      </c>
      <c r="F2803" s="3" t="str">
        <f>VLOOKUP(B2803,[1]LifeList!$E$2:$G$2036,3)</f>
        <v>Calidris alba</v>
      </c>
      <c r="G2803" s="3" t="str">
        <f>VLOOKUP(B2803,[1]LifeList!$E$2:$I$2036,4)</f>
        <v>Charadriiformes</v>
      </c>
      <c r="H2803" s="3" t="str">
        <f>VLOOKUP(B2803,[1]LifeList!$E$2:$I$2036,5)</f>
        <v>Scolopacidae (Sandpipers and Allies)</v>
      </c>
    </row>
    <row r="2804" spans="1:8" x14ac:dyDescent="0.15">
      <c r="A2804" s="3" t="s">
        <v>2695</v>
      </c>
      <c r="B2804" s="3" t="s">
        <v>4845</v>
      </c>
      <c r="C2804" s="3">
        <v>6189</v>
      </c>
      <c r="D2804" s="3" t="str">
        <f>VLOOKUP(B2804,[1]LifeList!$E$2:$G$2036,1)</f>
        <v>Sanderling</v>
      </c>
      <c r="E2804" s="3" t="str">
        <f>VLOOKUP(B2804,[1]LifeList!$E$2:$G$2036,2)</f>
        <v>Bécasseau sanderling</v>
      </c>
      <c r="F2804" s="3" t="str">
        <f>VLOOKUP(B2804,[1]LifeList!$E$2:$G$2036,3)</f>
        <v>Calidris alba</v>
      </c>
      <c r="G2804" s="3" t="str">
        <f>VLOOKUP(B2804,[1]LifeList!$E$2:$I$2036,4)</f>
        <v>Charadriiformes</v>
      </c>
      <c r="H2804" s="3" t="str">
        <f>VLOOKUP(B2804,[1]LifeList!$E$2:$I$2036,5)</f>
        <v>Scolopacidae (Sandpipers and Allies)</v>
      </c>
    </row>
    <row r="2805" spans="1:8" x14ac:dyDescent="0.15">
      <c r="A2805" s="3" t="s">
        <v>2696</v>
      </c>
      <c r="B2805" s="3" t="s">
        <v>4845</v>
      </c>
      <c r="C2805" s="3">
        <v>6189</v>
      </c>
      <c r="D2805" s="3" t="str">
        <f>VLOOKUP(B2805,[1]LifeList!$E$2:$G$2036,1)</f>
        <v>Sanderling</v>
      </c>
      <c r="E2805" s="3" t="str">
        <f>VLOOKUP(B2805,[1]LifeList!$E$2:$G$2036,2)</f>
        <v>Bécasseau sanderling</v>
      </c>
      <c r="F2805" s="3" t="str">
        <f>VLOOKUP(B2805,[1]LifeList!$E$2:$G$2036,3)</f>
        <v>Calidris alba</v>
      </c>
      <c r="G2805" s="3" t="str">
        <f>VLOOKUP(B2805,[1]LifeList!$E$2:$I$2036,4)</f>
        <v>Charadriiformes</v>
      </c>
      <c r="H2805" s="3" t="str">
        <f>VLOOKUP(B2805,[1]LifeList!$E$2:$I$2036,5)</f>
        <v>Scolopacidae (Sandpipers and Allies)</v>
      </c>
    </row>
    <row r="2806" spans="1:8" x14ac:dyDescent="0.15">
      <c r="A2806" s="3" t="s">
        <v>2697</v>
      </c>
      <c r="B2806" s="3" t="s">
        <v>4845</v>
      </c>
      <c r="C2806" s="3">
        <v>6189</v>
      </c>
      <c r="D2806" s="3" t="str">
        <f>VLOOKUP(B2806,[1]LifeList!$E$2:$G$2036,1)</f>
        <v>Sanderling</v>
      </c>
      <c r="E2806" s="3" t="str">
        <f>VLOOKUP(B2806,[1]LifeList!$E$2:$G$2036,2)</f>
        <v>Bécasseau sanderling</v>
      </c>
      <c r="F2806" s="3" t="str">
        <f>VLOOKUP(B2806,[1]LifeList!$E$2:$G$2036,3)</f>
        <v>Calidris alba</v>
      </c>
      <c r="G2806" s="3" t="str">
        <f>VLOOKUP(B2806,[1]LifeList!$E$2:$I$2036,4)</f>
        <v>Charadriiformes</v>
      </c>
      <c r="H2806" s="3" t="str">
        <f>VLOOKUP(B2806,[1]LifeList!$E$2:$I$2036,5)</f>
        <v>Scolopacidae (Sandpipers and Allies)</v>
      </c>
    </row>
    <row r="2807" spans="1:8" x14ac:dyDescent="0.15">
      <c r="A2807" s="3" t="s">
        <v>2698</v>
      </c>
      <c r="B2807" s="3" t="s">
        <v>4845</v>
      </c>
      <c r="C2807" s="3">
        <v>6189</v>
      </c>
      <c r="D2807" s="3" t="str">
        <f>VLOOKUP(B2807,[1]LifeList!$E$2:$G$2036,1)</f>
        <v>Sanderling</v>
      </c>
      <c r="E2807" s="3" t="str">
        <f>VLOOKUP(B2807,[1]LifeList!$E$2:$G$2036,2)</f>
        <v>Bécasseau sanderling</v>
      </c>
      <c r="F2807" s="3" t="str">
        <f>VLOOKUP(B2807,[1]LifeList!$E$2:$G$2036,3)</f>
        <v>Calidris alba</v>
      </c>
      <c r="G2807" s="3" t="str">
        <f>VLOOKUP(B2807,[1]LifeList!$E$2:$I$2036,4)</f>
        <v>Charadriiformes</v>
      </c>
      <c r="H2807" s="3" t="str">
        <f>VLOOKUP(B2807,[1]LifeList!$E$2:$I$2036,5)</f>
        <v>Scolopacidae (Sandpipers and Allies)</v>
      </c>
    </row>
    <row r="2808" spans="1:8" x14ac:dyDescent="0.15">
      <c r="A2808" s="3" t="s">
        <v>2699</v>
      </c>
      <c r="B2808" s="3" t="s">
        <v>4846</v>
      </c>
      <c r="C2808" s="3">
        <v>5697</v>
      </c>
      <c r="D2808" s="3" t="str">
        <f>VLOOKUP(B2808,[1]LifeList!$E$2:$G$2036,1)</f>
        <v>Sandhill Crane</v>
      </c>
      <c r="E2808" s="3" t="str">
        <f>VLOOKUP(B2808,[1]LifeList!$E$2:$G$2036,2)</f>
        <v>Grue du Canada</v>
      </c>
      <c r="F2808" s="3" t="str">
        <f>VLOOKUP(B2808,[1]LifeList!$E$2:$G$2036,3)</f>
        <v>Antigone canadensis</v>
      </c>
      <c r="G2808" s="3" t="str">
        <f>VLOOKUP(B2808,[1]LifeList!$E$2:$I$2036,4)</f>
        <v>Gruiformes</v>
      </c>
      <c r="H2808" s="3" t="str">
        <f>VLOOKUP(B2808,[1]LifeList!$E$2:$I$2036,5)</f>
        <v>Gruidae (Cranes)</v>
      </c>
    </row>
    <row r="2809" spans="1:8" x14ac:dyDescent="0.15">
      <c r="A2809" s="3" t="s">
        <v>2700</v>
      </c>
      <c r="B2809" s="3" t="s">
        <v>4846</v>
      </c>
      <c r="C2809" s="3">
        <v>5697</v>
      </c>
      <c r="D2809" s="3" t="str">
        <f>VLOOKUP(B2809,[1]LifeList!$E$2:$G$2036,1)</f>
        <v>Sandhill Crane</v>
      </c>
      <c r="E2809" s="3" t="str">
        <f>VLOOKUP(B2809,[1]LifeList!$E$2:$G$2036,2)</f>
        <v>Grue du Canada</v>
      </c>
      <c r="F2809" s="3" t="str">
        <f>VLOOKUP(B2809,[1]LifeList!$E$2:$G$2036,3)</f>
        <v>Antigone canadensis</v>
      </c>
      <c r="G2809" s="3" t="str">
        <f>VLOOKUP(B2809,[1]LifeList!$E$2:$I$2036,4)</f>
        <v>Gruiformes</v>
      </c>
      <c r="H2809" s="3" t="str">
        <f>VLOOKUP(B2809,[1]LifeList!$E$2:$I$2036,5)</f>
        <v>Gruidae (Cranes)</v>
      </c>
    </row>
    <row r="2810" spans="1:8" x14ac:dyDescent="0.15">
      <c r="A2810" s="3" t="s">
        <v>2701</v>
      </c>
      <c r="B2810" s="3" t="s">
        <v>4846</v>
      </c>
      <c r="C2810" s="3">
        <v>5697</v>
      </c>
      <c r="D2810" s="3" t="str">
        <f>VLOOKUP(B2810,[1]LifeList!$E$2:$G$2036,1)</f>
        <v>Sandhill Crane</v>
      </c>
      <c r="E2810" s="3" t="str">
        <f>VLOOKUP(B2810,[1]LifeList!$E$2:$G$2036,2)</f>
        <v>Grue du Canada</v>
      </c>
      <c r="F2810" s="3" t="str">
        <f>VLOOKUP(B2810,[1]LifeList!$E$2:$G$2036,3)</f>
        <v>Antigone canadensis</v>
      </c>
      <c r="G2810" s="3" t="str">
        <f>VLOOKUP(B2810,[1]LifeList!$E$2:$I$2036,4)</f>
        <v>Gruiformes</v>
      </c>
      <c r="H2810" s="3" t="str">
        <f>VLOOKUP(B2810,[1]LifeList!$E$2:$I$2036,5)</f>
        <v>Gruidae (Cranes)</v>
      </c>
    </row>
    <row r="2811" spans="1:8" x14ac:dyDescent="0.15">
      <c r="A2811" s="3" t="s">
        <v>2702</v>
      </c>
      <c r="B2811" s="3" t="s">
        <v>4846</v>
      </c>
      <c r="C2811" s="3">
        <v>5697</v>
      </c>
      <c r="D2811" s="3" t="str">
        <f>VLOOKUP(B2811,[1]LifeList!$E$2:$G$2036,1)</f>
        <v>Sandhill Crane</v>
      </c>
      <c r="E2811" s="3" t="str">
        <f>VLOOKUP(B2811,[1]LifeList!$E$2:$G$2036,2)</f>
        <v>Grue du Canada</v>
      </c>
      <c r="F2811" s="3" t="str">
        <f>VLOOKUP(B2811,[1]LifeList!$E$2:$G$2036,3)</f>
        <v>Antigone canadensis</v>
      </c>
      <c r="G2811" s="3" t="str">
        <f>VLOOKUP(B2811,[1]LifeList!$E$2:$I$2036,4)</f>
        <v>Gruiformes</v>
      </c>
      <c r="H2811" s="3" t="str">
        <f>VLOOKUP(B2811,[1]LifeList!$E$2:$I$2036,5)</f>
        <v>Gruidae (Cranes)</v>
      </c>
    </row>
    <row r="2812" spans="1:8" x14ac:dyDescent="0.15">
      <c r="A2812" s="3" t="s">
        <v>2703</v>
      </c>
      <c r="B2812" s="3" t="s">
        <v>4846</v>
      </c>
      <c r="C2812" s="3">
        <v>5697</v>
      </c>
      <c r="D2812" s="3" t="str">
        <f>VLOOKUP(B2812,[1]LifeList!$E$2:$G$2036,1)</f>
        <v>Sandhill Crane</v>
      </c>
      <c r="E2812" s="3" t="str">
        <f>VLOOKUP(B2812,[1]LifeList!$E$2:$G$2036,2)</f>
        <v>Grue du Canada</v>
      </c>
      <c r="F2812" s="3" t="str">
        <f>VLOOKUP(B2812,[1]LifeList!$E$2:$G$2036,3)</f>
        <v>Antigone canadensis</v>
      </c>
      <c r="G2812" s="3" t="str">
        <f>VLOOKUP(B2812,[1]LifeList!$E$2:$I$2036,4)</f>
        <v>Gruiformes</v>
      </c>
      <c r="H2812" s="3" t="str">
        <f>VLOOKUP(B2812,[1]LifeList!$E$2:$I$2036,5)</f>
        <v>Gruidae (Cranes)</v>
      </c>
    </row>
    <row r="2813" spans="1:8" x14ac:dyDescent="0.15">
      <c r="A2813" s="3" t="s">
        <v>2704</v>
      </c>
      <c r="B2813" s="3" t="s">
        <v>4846</v>
      </c>
      <c r="C2813" s="3">
        <v>5697</v>
      </c>
      <c r="D2813" s="3" t="str">
        <f>VLOOKUP(B2813,[1]LifeList!$E$2:$G$2036,1)</f>
        <v>Sandhill Crane</v>
      </c>
      <c r="E2813" s="3" t="str">
        <f>VLOOKUP(B2813,[1]LifeList!$E$2:$G$2036,2)</f>
        <v>Grue du Canada</v>
      </c>
      <c r="F2813" s="3" t="str">
        <f>VLOOKUP(B2813,[1]LifeList!$E$2:$G$2036,3)</f>
        <v>Antigone canadensis</v>
      </c>
      <c r="G2813" s="3" t="str">
        <f>VLOOKUP(B2813,[1]LifeList!$E$2:$I$2036,4)</f>
        <v>Gruiformes</v>
      </c>
      <c r="H2813" s="3" t="str">
        <f>VLOOKUP(B2813,[1]LifeList!$E$2:$I$2036,5)</f>
        <v>Gruidae (Cranes)</v>
      </c>
    </row>
    <row r="2814" spans="1:8" x14ac:dyDescent="0.15">
      <c r="A2814" s="3" t="s">
        <v>2705</v>
      </c>
      <c r="B2814" s="3" t="s">
        <v>4846</v>
      </c>
      <c r="C2814" s="3">
        <v>5697</v>
      </c>
      <c r="D2814" s="3" t="str">
        <f>VLOOKUP(B2814,[1]LifeList!$E$2:$G$2036,1)</f>
        <v>Sandhill Crane</v>
      </c>
      <c r="E2814" s="3" t="str">
        <f>VLOOKUP(B2814,[1]LifeList!$E$2:$G$2036,2)</f>
        <v>Grue du Canada</v>
      </c>
      <c r="F2814" s="3" t="str">
        <f>VLOOKUP(B2814,[1]LifeList!$E$2:$G$2036,3)</f>
        <v>Antigone canadensis</v>
      </c>
      <c r="G2814" s="3" t="str">
        <f>VLOOKUP(B2814,[1]LifeList!$E$2:$I$2036,4)</f>
        <v>Gruiformes</v>
      </c>
      <c r="H2814" s="3" t="str">
        <f>VLOOKUP(B2814,[1]LifeList!$E$2:$I$2036,5)</f>
        <v>Gruidae (Cranes)</v>
      </c>
    </row>
    <row r="2815" spans="1:8" x14ac:dyDescent="0.15">
      <c r="A2815" s="3" t="s">
        <v>2706</v>
      </c>
      <c r="B2815" s="3" t="s">
        <v>4846</v>
      </c>
      <c r="C2815" s="3">
        <v>5697</v>
      </c>
      <c r="D2815" s="3" t="str">
        <f>VLOOKUP(B2815,[1]LifeList!$E$2:$G$2036,1)</f>
        <v>Sandhill Crane</v>
      </c>
      <c r="E2815" s="3" t="str">
        <f>VLOOKUP(B2815,[1]LifeList!$E$2:$G$2036,2)</f>
        <v>Grue du Canada</v>
      </c>
      <c r="F2815" s="3" t="str">
        <f>VLOOKUP(B2815,[1]LifeList!$E$2:$G$2036,3)</f>
        <v>Antigone canadensis</v>
      </c>
      <c r="G2815" s="3" t="str">
        <f>VLOOKUP(B2815,[1]LifeList!$E$2:$I$2036,4)</f>
        <v>Gruiformes</v>
      </c>
      <c r="H2815" s="3" t="str">
        <f>VLOOKUP(B2815,[1]LifeList!$E$2:$I$2036,5)</f>
        <v>Gruidae (Cranes)</v>
      </c>
    </row>
    <row r="2816" spans="1:8" x14ac:dyDescent="0.15">
      <c r="A2816" s="3" t="s">
        <v>2707</v>
      </c>
      <c r="B2816" s="3" t="s">
        <v>4846</v>
      </c>
      <c r="C2816" s="3">
        <v>5697</v>
      </c>
      <c r="D2816" s="3" t="str">
        <f>VLOOKUP(B2816,[1]LifeList!$E$2:$G$2036,1)</f>
        <v>Sandhill Crane</v>
      </c>
      <c r="E2816" s="3" t="str">
        <f>VLOOKUP(B2816,[1]LifeList!$E$2:$G$2036,2)</f>
        <v>Grue du Canada</v>
      </c>
      <c r="F2816" s="3" t="str">
        <f>VLOOKUP(B2816,[1]LifeList!$E$2:$G$2036,3)</f>
        <v>Antigone canadensis</v>
      </c>
      <c r="G2816" s="3" t="str">
        <f>VLOOKUP(B2816,[1]LifeList!$E$2:$I$2036,4)</f>
        <v>Gruiformes</v>
      </c>
      <c r="H2816" s="3" t="str">
        <f>VLOOKUP(B2816,[1]LifeList!$E$2:$I$2036,5)</f>
        <v>Gruidae (Cranes)</v>
      </c>
    </row>
    <row r="2817" spans="1:8" x14ac:dyDescent="0.15">
      <c r="A2817" s="3" t="s">
        <v>2708</v>
      </c>
      <c r="B2817" s="3" t="s">
        <v>4846</v>
      </c>
      <c r="C2817" s="3">
        <v>5697</v>
      </c>
      <c r="D2817" s="3" t="str">
        <f>VLOOKUP(B2817,[1]LifeList!$E$2:$G$2036,1)</f>
        <v>Sandhill Crane</v>
      </c>
      <c r="E2817" s="3" t="str">
        <f>VLOOKUP(B2817,[1]LifeList!$E$2:$G$2036,2)</f>
        <v>Grue du Canada</v>
      </c>
      <c r="F2817" s="3" t="str">
        <f>VLOOKUP(B2817,[1]LifeList!$E$2:$G$2036,3)</f>
        <v>Antigone canadensis</v>
      </c>
      <c r="G2817" s="3" t="str">
        <f>VLOOKUP(B2817,[1]LifeList!$E$2:$I$2036,4)</f>
        <v>Gruiformes</v>
      </c>
      <c r="H2817" s="3" t="str">
        <f>VLOOKUP(B2817,[1]LifeList!$E$2:$I$2036,5)</f>
        <v>Gruidae (Cranes)</v>
      </c>
    </row>
    <row r="2818" spans="1:8" x14ac:dyDescent="0.15">
      <c r="A2818" s="3" t="s">
        <v>2709</v>
      </c>
      <c r="B2818" s="3" t="s">
        <v>4846</v>
      </c>
      <c r="C2818" s="3">
        <v>5697</v>
      </c>
      <c r="D2818" s="3" t="str">
        <f>VLOOKUP(B2818,[1]LifeList!$E$2:$G$2036,1)</f>
        <v>Sandhill Crane</v>
      </c>
      <c r="E2818" s="3" t="str">
        <f>VLOOKUP(B2818,[1]LifeList!$E$2:$G$2036,2)</f>
        <v>Grue du Canada</v>
      </c>
      <c r="F2818" s="3" t="str">
        <f>VLOOKUP(B2818,[1]LifeList!$E$2:$G$2036,3)</f>
        <v>Antigone canadensis</v>
      </c>
      <c r="G2818" s="3" t="str">
        <f>VLOOKUP(B2818,[1]LifeList!$E$2:$I$2036,4)</f>
        <v>Gruiformes</v>
      </c>
      <c r="H2818" s="3" t="str">
        <f>VLOOKUP(B2818,[1]LifeList!$E$2:$I$2036,5)</f>
        <v>Gruidae (Cranes)</v>
      </c>
    </row>
    <row r="2819" spans="1:8" x14ac:dyDescent="0.15">
      <c r="A2819" s="3" t="s">
        <v>2710</v>
      </c>
      <c r="B2819" s="3" t="s">
        <v>4846</v>
      </c>
      <c r="C2819" s="3">
        <v>5697</v>
      </c>
      <c r="D2819" s="3" t="str">
        <f>VLOOKUP(B2819,[1]LifeList!$E$2:$G$2036,1)</f>
        <v>Sandhill Crane</v>
      </c>
      <c r="E2819" s="3" t="str">
        <f>VLOOKUP(B2819,[1]LifeList!$E$2:$G$2036,2)</f>
        <v>Grue du Canada</v>
      </c>
      <c r="F2819" s="3" t="str">
        <f>VLOOKUP(B2819,[1]LifeList!$E$2:$G$2036,3)</f>
        <v>Antigone canadensis</v>
      </c>
      <c r="G2819" s="3" t="str">
        <f>VLOOKUP(B2819,[1]LifeList!$E$2:$I$2036,4)</f>
        <v>Gruiformes</v>
      </c>
      <c r="H2819" s="3" t="str">
        <f>VLOOKUP(B2819,[1]LifeList!$E$2:$I$2036,5)</f>
        <v>Gruidae (Cranes)</v>
      </c>
    </row>
    <row r="2820" spans="1:8" x14ac:dyDescent="0.15">
      <c r="A2820" s="3" t="s">
        <v>2711</v>
      </c>
      <c r="B2820" s="3" t="s">
        <v>4846</v>
      </c>
      <c r="C2820" s="3">
        <v>5697</v>
      </c>
      <c r="D2820" s="3" t="str">
        <f>VLOOKUP(B2820,[1]LifeList!$E$2:$G$2036,1)</f>
        <v>Sandhill Crane</v>
      </c>
      <c r="E2820" s="3" t="str">
        <f>VLOOKUP(B2820,[1]LifeList!$E$2:$G$2036,2)</f>
        <v>Grue du Canada</v>
      </c>
      <c r="F2820" s="3" t="str">
        <f>VLOOKUP(B2820,[1]LifeList!$E$2:$G$2036,3)</f>
        <v>Antigone canadensis</v>
      </c>
      <c r="G2820" s="3" t="str">
        <f>VLOOKUP(B2820,[1]LifeList!$E$2:$I$2036,4)</f>
        <v>Gruiformes</v>
      </c>
      <c r="H2820" s="3" t="str">
        <f>VLOOKUP(B2820,[1]LifeList!$E$2:$I$2036,5)</f>
        <v>Gruidae (Cranes)</v>
      </c>
    </row>
    <row r="2821" spans="1:8" x14ac:dyDescent="0.15">
      <c r="A2821" s="3" t="s">
        <v>2713</v>
      </c>
      <c r="B2821" s="3" t="s">
        <v>4847</v>
      </c>
      <c r="C2821" s="3">
        <v>6775</v>
      </c>
      <c r="D2821" s="3" t="str">
        <f>VLOOKUP(B2821,[1]LifeList!$E$2:$G$2036,1)</f>
        <v>Sandwich Tern</v>
      </c>
      <c r="E2821" s="3" t="str">
        <f>VLOOKUP(B2821,[1]LifeList!$E$2:$G$2036,2)</f>
        <v>Sterne caugek</v>
      </c>
      <c r="F2821" s="3" t="str">
        <f>VLOOKUP(B2821,[1]LifeList!$E$2:$G$2036,3)</f>
        <v>Thalasseus sandvicensis</v>
      </c>
      <c r="G2821" s="3" t="str">
        <f>VLOOKUP(B2821,[1]LifeList!$E$2:$I$2036,4)</f>
        <v>Charadriiformes</v>
      </c>
      <c r="H2821" s="3" t="str">
        <f>VLOOKUP(B2821,[1]LifeList!$E$2:$I$2036,5)</f>
        <v>Laridae (Gulls, Terns, and Skimmers)</v>
      </c>
    </row>
    <row r="2822" spans="1:8" x14ac:dyDescent="0.15">
      <c r="A2822" s="3" t="s">
        <v>2712</v>
      </c>
      <c r="B2822" s="3" t="s">
        <v>4847</v>
      </c>
      <c r="C2822" s="3">
        <v>6775</v>
      </c>
      <c r="D2822" s="3" t="str">
        <f>VLOOKUP(B2822,[1]LifeList!$E$2:$G$2036,1)</f>
        <v>Sandwich Tern</v>
      </c>
      <c r="E2822" s="3" t="str">
        <f>VLOOKUP(B2822,[1]LifeList!$E$2:$G$2036,2)</f>
        <v>Sterne caugek</v>
      </c>
      <c r="F2822" s="3" t="str">
        <f>VLOOKUP(B2822,[1]LifeList!$E$2:$G$2036,3)</f>
        <v>Thalasseus sandvicensis</v>
      </c>
      <c r="G2822" s="3" t="str">
        <f>VLOOKUP(B2822,[1]LifeList!$E$2:$I$2036,4)</f>
        <v>Charadriiformes</v>
      </c>
      <c r="H2822" s="3" t="str">
        <f>VLOOKUP(B2822,[1]LifeList!$E$2:$I$2036,5)</f>
        <v>Laridae (Gulls, Terns, and Skimmers)</v>
      </c>
    </row>
    <row r="2823" spans="1:8" x14ac:dyDescent="0.15">
      <c r="A2823" s="3" t="s">
        <v>2714</v>
      </c>
      <c r="B2823" s="3" t="s">
        <v>3786</v>
      </c>
      <c r="C2823" s="3">
        <v>14243</v>
      </c>
      <c r="D2823" s="3" t="str">
        <f>VLOOKUP(B2823,[1]LifeList!$E$2:$G$2036,1)</f>
        <v>Santa Marta Antpitta</v>
      </c>
      <c r="E2823" s="3" t="str">
        <f>VLOOKUP(B2823,[1]LifeList!$E$2:$G$2036,2)</f>
        <v>Grallaire de Santa Marta</v>
      </c>
      <c r="F2823" s="3" t="str">
        <f>VLOOKUP(B2823,[1]LifeList!$E$2:$G$2036,3)</f>
        <v>Grallaria bangsi</v>
      </c>
      <c r="G2823" s="3" t="str">
        <f>VLOOKUP(B2823,[1]LifeList!$E$2:$I$2036,4)</f>
        <v>Passeriformes</v>
      </c>
      <c r="H2823" s="3" t="str">
        <f>VLOOKUP(B2823,[1]LifeList!$E$2:$I$2036,5)</f>
        <v>Grallariidae (Antpittas)</v>
      </c>
    </row>
    <row r="2824" spans="1:8" x14ac:dyDescent="0.15">
      <c r="A2824" s="3" t="s">
        <v>2715</v>
      </c>
      <c r="B2824" s="3" t="s">
        <v>3787</v>
      </c>
      <c r="C2824" s="3">
        <v>33458</v>
      </c>
      <c r="D2824" s="3" t="str">
        <f>VLOOKUP(B2824,[1]LifeList!$E$2:$G$2036,1)</f>
        <v>Santa Marta Brushfinch</v>
      </c>
      <c r="E2824" s="3" t="str">
        <f>VLOOKUP(B2824,[1]LifeList!$E$2:$G$2036,2)</f>
        <v>Tohi de Santa Marta</v>
      </c>
      <c r="F2824" s="3" t="str">
        <f>VLOOKUP(B2824,[1]LifeList!$E$2:$G$2036,3)</f>
        <v>Atlapetes melanocephalus</v>
      </c>
      <c r="G2824" s="3" t="str">
        <f>VLOOKUP(B2824,[1]LifeList!$E$2:$I$2036,4)</f>
        <v>Passeriformes</v>
      </c>
      <c r="H2824" s="3" t="str">
        <f>VLOOKUP(B2824,[1]LifeList!$E$2:$I$2036,5)</f>
        <v>Passerellidae (New World Sparrows)</v>
      </c>
    </row>
    <row r="2825" spans="1:8" x14ac:dyDescent="0.15">
      <c r="A2825" s="3" t="s">
        <v>2716</v>
      </c>
      <c r="B2825" s="3" t="s">
        <v>3787</v>
      </c>
      <c r="C2825" s="3">
        <v>33458</v>
      </c>
      <c r="D2825" s="3" t="str">
        <f>VLOOKUP(B2825,[1]LifeList!$E$2:$G$2036,1)</f>
        <v>Santa Marta Brushfinch</v>
      </c>
      <c r="E2825" s="3" t="str">
        <f>VLOOKUP(B2825,[1]LifeList!$E$2:$G$2036,2)</f>
        <v>Tohi de Santa Marta</v>
      </c>
      <c r="F2825" s="3" t="str">
        <f>VLOOKUP(B2825,[1]LifeList!$E$2:$G$2036,3)</f>
        <v>Atlapetes melanocephalus</v>
      </c>
      <c r="G2825" s="3" t="str">
        <f>VLOOKUP(B2825,[1]LifeList!$E$2:$I$2036,4)</f>
        <v>Passeriformes</v>
      </c>
      <c r="H2825" s="3" t="str">
        <f>VLOOKUP(B2825,[1]LifeList!$E$2:$I$2036,5)</f>
        <v>Passerellidae (New World Sparrows)</v>
      </c>
    </row>
    <row r="2826" spans="1:8" x14ac:dyDescent="0.15">
      <c r="A2826" s="3" t="s">
        <v>2717</v>
      </c>
      <c r="B2826" s="3" t="s">
        <v>3787</v>
      </c>
      <c r="C2826" s="3">
        <v>33458</v>
      </c>
      <c r="D2826" s="3" t="str">
        <f>VLOOKUP(B2826,[1]LifeList!$E$2:$G$2036,1)</f>
        <v>Santa Marta Brushfinch</v>
      </c>
      <c r="E2826" s="3" t="str">
        <f>VLOOKUP(B2826,[1]LifeList!$E$2:$G$2036,2)</f>
        <v>Tohi de Santa Marta</v>
      </c>
      <c r="F2826" s="3" t="str">
        <f>VLOOKUP(B2826,[1]LifeList!$E$2:$G$2036,3)</f>
        <v>Atlapetes melanocephalus</v>
      </c>
      <c r="G2826" s="3" t="str">
        <f>VLOOKUP(B2826,[1]LifeList!$E$2:$I$2036,4)</f>
        <v>Passeriformes</v>
      </c>
      <c r="H2826" s="3" t="str">
        <f>VLOOKUP(B2826,[1]LifeList!$E$2:$I$2036,5)</f>
        <v>Passerellidae (New World Sparrows)</v>
      </c>
    </row>
    <row r="2827" spans="1:8" x14ac:dyDescent="0.15">
      <c r="A2827" s="3" t="s">
        <v>2718</v>
      </c>
      <c r="B2827" s="3" t="s">
        <v>3788</v>
      </c>
      <c r="C2827" s="3">
        <v>17151</v>
      </c>
      <c r="D2827" s="3" t="str">
        <f>VLOOKUP(B2827,[1]LifeList!$E$2:$G$2036,1)</f>
        <v>Santa Marta Bush-Tyrant</v>
      </c>
      <c r="E2827" s="3" t="str">
        <f>VLOOKUP(B2827,[1]LifeList!$E$2:$G$2036,2)</f>
        <v>Moucherolle de Santa Marta</v>
      </c>
      <c r="F2827" s="3" t="str">
        <f>VLOOKUP(B2827,[1]LifeList!$E$2:$G$2036,3)</f>
        <v>Myiotheretes pernix</v>
      </c>
      <c r="G2827" s="3" t="str">
        <f>VLOOKUP(B2827,[1]LifeList!$E$2:$I$2036,4)</f>
        <v>Passeriformes</v>
      </c>
      <c r="H2827" s="3" t="str">
        <f>VLOOKUP(B2827,[1]LifeList!$E$2:$I$2036,5)</f>
        <v>Tyrannidae (Tyrant Flycatchers)</v>
      </c>
    </row>
    <row r="2828" spans="1:8" x14ac:dyDescent="0.15">
      <c r="A2828" s="3" t="s">
        <v>2719</v>
      </c>
      <c r="B2828" s="3" t="s">
        <v>3789</v>
      </c>
      <c r="C2828" s="3">
        <v>13051</v>
      </c>
      <c r="D2828" s="3" t="str">
        <f>VLOOKUP(B2828,[1]LifeList!$E$2:$G$2036,1)</f>
        <v>Santa Marta Parakeet</v>
      </c>
      <c r="E2828" s="3" t="str">
        <f>VLOOKUP(B2828,[1]LifeList!$E$2:$G$2036,2)</f>
        <v>Conure de Santa Marta</v>
      </c>
      <c r="F2828" s="3" t="str">
        <f>VLOOKUP(B2828,[1]LifeList!$E$2:$G$2036,3)</f>
        <v>Pyrrhura viridicata</v>
      </c>
      <c r="G2828" s="3" t="str">
        <f>VLOOKUP(B2828,[1]LifeList!$E$2:$I$2036,4)</f>
        <v>Psittaciformes</v>
      </c>
      <c r="H2828" s="3" t="str">
        <f>VLOOKUP(B2828,[1]LifeList!$E$2:$I$2036,5)</f>
        <v>Psittacidae (New World and African Parrots)</v>
      </c>
    </row>
    <row r="2829" spans="1:8" x14ac:dyDescent="0.15">
      <c r="A2829" s="3" t="s">
        <v>2720</v>
      </c>
      <c r="B2829" s="3" t="s">
        <v>3789</v>
      </c>
      <c r="C2829" s="3">
        <v>13051</v>
      </c>
      <c r="D2829" s="3" t="str">
        <f>VLOOKUP(B2829,[1]LifeList!$E$2:$G$2036,1)</f>
        <v>Santa Marta Parakeet</v>
      </c>
      <c r="E2829" s="3" t="str">
        <f>VLOOKUP(B2829,[1]LifeList!$E$2:$G$2036,2)</f>
        <v>Conure de Santa Marta</v>
      </c>
      <c r="F2829" s="3" t="str">
        <f>VLOOKUP(B2829,[1]LifeList!$E$2:$G$2036,3)</f>
        <v>Pyrrhura viridicata</v>
      </c>
      <c r="G2829" s="3" t="str">
        <f>VLOOKUP(B2829,[1]LifeList!$E$2:$I$2036,4)</f>
        <v>Psittaciformes</v>
      </c>
      <c r="H2829" s="3" t="str">
        <f>VLOOKUP(B2829,[1]LifeList!$E$2:$I$2036,5)</f>
        <v>Psittacidae (New World and African Parrots)</v>
      </c>
    </row>
    <row r="2830" spans="1:8" x14ac:dyDescent="0.15">
      <c r="A2830" s="3" t="s">
        <v>2721</v>
      </c>
      <c r="B2830" s="3" t="s">
        <v>4848</v>
      </c>
      <c r="C2830" s="3">
        <v>5156</v>
      </c>
      <c r="D2830" s="3" t="str">
        <f>VLOOKUP(B2830,[1]LifeList!$E$2:$G$2036,1)</f>
        <v>Sapphire-bellied Hummingbird</v>
      </c>
      <c r="E2830" s="3" t="str">
        <f>VLOOKUP(B2830,[1]LifeList!$E$2:$G$2036,2)</f>
        <v>Colibri de Lillie</v>
      </c>
      <c r="F2830" s="3" t="str">
        <f>VLOOKUP(B2830,[1]LifeList!$E$2:$G$2036,3)</f>
        <v>Chrysuronia lilliae</v>
      </c>
      <c r="G2830" s="3" t="str">
        <f>VLOOKUP(B2830,[1]LifeList!$E$2:$I$2036,4)</f>
        <v>Apodiformes</v>
      </c>
      <c r="H2830" s="3" t="str">
        <f>VLOOKUP(B2830,[1]LifeList!$E$2:$I$2036,5)</f>
        <v>Trochilidae (Hummingbirds)</v>
      </c>
    </row>
    <row r="2831" spans="1:8" x14ac:dyDescent="0.15">
      <c r="A2831" s="3" t="s">
        <v>2722</v>
      </c>
      <c r="B2831" s="3" t="s">
        <v>4848</v>
      </c>
      <c r="C2831" s="3">
        <v>5156</v>
      </c>
      <c r="D2831" s="3" t="str">
        <f>VLOOKUP(B2831,[1]LifeList!$E$2:$G$2036,1)</f>
        <v>Sapphire-bellied Hummingbird</v>
      </c>
      <c r="E2831" s="3" t="str">
        <f>VLOOKUP(B2831,[1]LifeList!$E$2:$G$2036,2)</f>
        <v>Colibri de Lillie</v>
      </c>
      <c r="F2831" s="3" t="str">
        <f>VLOOKUP(B2831,[1]LifeList!$E$2:$G$2036,3)</f>
        <v>Chrysuronia lilliae</v>
      </c>
      <c r="G2831" s="3" t="str">
        <f>VLOOKUP(B2831,[1]LifeList!$E$2:$I$2036,4)</f>
        <v>Apodiformes</v>
      </c>
      <c r="H2831" s="3" t="str">
        <f>VLOOKUP(B2831,[1]LifeList!$E$2:$I$2036,5)</f>
        <v>Trochilidae (Hummingbirds)</v>
      </c>
    </row>
    <row r="2832" spans="1:8" x14ac:dyDescent="0.15">
      <c r="A2832" s="3" t="s">
        <v>2723</v>
      </c>
      <c r="B2832" s="3" t="s">
        <v>4849</v>
      </c>
      <c r="C2832" s="3">
        <v>5152</v>
      </c>
      <c r="D2832" s="3" t="str">
        <f>VLOOKUP(B2832,[1]LifeList!$E$2:$G$2036,1)</f>
        <v>Sapphire-throated Hummingbird</v>
      </c>
      <c r="E2832" s="3" t="str">
        <f>VLOOKUP(B2832,[1]LifeList!$E$2:$G$2036,2)</f>
        <v>Colibri faux-saphir</v>
      </c>
      <c r="F2832" s="3" t="str">
        <f>VLOOKUP(B2832,[1]LifeList!$E$2:$G$2036,3)</f>
        <v>Chrysuronia coeruleogularis</v>
      </c>
      <c r="G2832" s="3" t="str">
        <f>VLOOKUP(B2832,[1]LifeList!$E$2:$I$2036,4)</f>
        <v>Apodiformes</v>
      </c>
      <c r="H2832" s="3" t="str">
        <f>VLOOKUP(B2832,[1]LifeList!$E$2:$I$2036,5)</f>
        <v>Trochilidae (Hummingbirds)</v>
      </c>
    </row>
    <row r="2833" spans="1:8" x14ac:dyDescent="0.15">
      <c r="A2833" s="3" t="s">
        <v>2724</v>
      </c>
      <c r="B2833" s="3" t="s">
        <v>4850</v>
      </c>
      <c r="C2833" s="3">
        <v>17554</v>
      </c>
      <c r="D2833" s="3" t="str">
        <f>VLOOKUP(B2833,[1]LifeList!$E$2:$G$2036,1)</f>
        <v>Satin Bowerbird</v>
      </c>
      <c r="E2833" s="3" t="str">
        <f>VLOOKUP(B2833,[1]LifeList!$E$2:$G$2036,2)</f>
        <v>Jardinier satiné</v>
      </c>
      <c r="F2833" s="3" t="str">
        <f>VLOOKUP(B2833,[1]LifeList!$E$2:$G$2036,3)</f>
        <v>Ptilonorhynchus violaceus</v>
      </c>
      <c r="G2833" s="3" t="str">
        <f>VLOOKUP(B2833,[1]LifeList!$E$2:$I$2036,4)</f>
        <v>Passeriformes</v>
      </c>
      <c r="H2833" s="3" t="str">
        <f>VLOOKUP(B2833,[1]LifeList!$E$2:$I$2036,5)</f>
        <v>Ptilonorhynchidae (Bowerbirds)</v>
      </c>
    </row>
    <row r="2834" spans="1:8" x14ac:dyDescent="0.15">
      <c r="A2834" s="3" t="s">
        <v>3910</v>
      </c>
      <c r="B2834" s="3" t="s">
        <v>4850</v>
      </c>
      <c r="C2834" s="3">
        <v>17554</v>
      </c>
      <c r="D2834" s="3" t="str">
        <f>VLOOKUP(B2834,[1]LifeList!$E$2:$G$2036,1)</f>
        <v>Satin Bowerbird</v>
      </c>
      <c r="E2834" s="3" t="str">
        <f>VLOOKUP(B2834,[1]LifeList!$E$2:$G$2036,2)</f>
        <v>Jardinier satiné</v>
      </c>
      <c r="F2834" s="3" t="str">
        <f>VLOOKUP(B2834,[1]LifeList!$E$2:$G$2036,3)</f>
        <v>Ptilonorhynchus violaceus</v>
      </c>
      <c r="G2834" s="3" t="str">
        <f>VLOOKUP(B2834,[1]LifeList!$E$2:$I$2036,4)</f>
        <v>Passeriformes</v>
      </c>
      <c r="H2834" s="3" t="str">
        <f>VLOOKUP(B2834,[1]LifeList!$E$2:$I$2036,5)</f>
        <v>Ptilonorhynchidae (Bowerbirds)</v>
      </c>
    </row>
    <row r="2835" spans="1:8" x14ac:dyDescent="0.15">
      <c r="A2835" s="3" t="s">
        <v>2726</v>
      </c>
      <c r="B2835" s="3" t="s">
        <v>4851</v>
      </c>
      <c r="C2835" s="3">
        <v>8419</v>
      </c>
      <c r="D2835" s="3" t="str">
        <f>VLOOKUP(B2835,[1]LifeList!$E$2:$G$2036,1)</f>
        <v>Savanna Hawk</v>
      </c>
      <c r="E2835" s="3" t="str">
        <f>VLOOKUP(B2835,[1]LifeList!$E$2:$G$2036,2)</f>
        <v>Buse roussâtre</v>
      </c>
      <c r="F2835" s="3" t="str">
        <f>VLOOKUP(B2835,[1]LifeList!$E$2:$G$2036,3)</f>
        <v>Buteogallus meridionalis</v>
      </c>
      <c r="G2835" s="3" t="str">
        <f>VLOOKUP(B2835,[1]LifeList!$E$2:$I$2036,4)</f>
        <v>Accipitriformes</v>
      </c>
      <c r="H2835" s="3" t="str">
        <f>VLOOKUP(B2835,[1]LifeList!$E$2:$I$2036,5)</f>
        <v>Accipitridae (Hawks, Eagles, and Kites)</v>
      </c>
    </row>
    <row r="2836" spans="1:8" x14ac:dyDescent="0.15">
      <c r="A2836" s="3" t="s">
        <v>2727</v>
      </c>
      <c r="B2836" s="3" t="s">
        <v>4851</v>
      </c>
      <c r="C2836" s="3">
        <v>8419</v>
      </c>
      <c r="D2836" s="3" t="str">
        <f>VLOOKUP(B2836,[1]LifeList!$E$2:$G$2036,1)</f>
        <v>Savanna Hawk</v>
      </c>
      <c r="E2836" s="3" t="str">
        <f>VLOOKUP(B2836,[1]LifeList!$E$2:$G$2036,2)</f>
        <v>Buse roussâtre</v>
      </c>
      <c r="F2836" s="3" t="str">
        <f>VLOOKUP(B2836,[1]LifeList!$E$2:$G$2036,3)</f>
        <v>Buteogallus meridionalis</v>
      </c>
      <c r="G2836" s="3" t="str">
        <f>VLOOKUP(B2836,[1]LifeList!$E$2:$I$2036,4)</f>
        <v>Accipitriformes</v>
      </c>
      <c r="H2836" s="3" t="str">
        <f>VLOOKUP(B2836,[1]LifeList!$E$2:$I$2036,5)</f>
        <v>Accipitridae (Hawks, Eagles, and Kites)</v>
      </c>
    </row>
    <row r="2837" spans="1:8" x14ac:dyDescent="0.15">
      <c r="A2837" s="3" t="s">
        <v>2728</v>
      </c>
      <c r="B2837" s="3" t="s">
        <v>4851</v>
      </c>
      <c r="C2837" s="3">
        <v>8419</v>
      </c>
      <c r="D2837" s="3" t="str">
        <f>VLOOKUP(B2837,[1]LifeList!$E$2:$G$2036,1)</f>
        <v>Savanna Hawk</v>
      </c>
      <c r="E2837" s="3" t="str">
        <f>VLOOKUP(B2837,[1]LifeList!$E$2:$G$2036,2)</f>
        <v>Buse roussâtre</v>
      </c>
      <c r="F2837" s="3" t="str">
        <f>VLOOKUP(B2837,[1]LifeList!$E$2:$G$2036,3)</f>
        <v>Buteogallus meridionalis</v>
      </c>
      <c r="G2837" s="3" t="str">
        <f>VLOOKUP(B2837,[1]LifeList!$E$2:$I$2036,4)</f>
        <v>Accipitriformes</v>
      </c>
      <c r="H2837" s="3" t="str">
        <f>VLOOKUP(B2837,[1]LifeList!$E$2:$I$2036,5)</f>
        <v>Accipitridae (Hawks, Eagles, and Kites)</v>
      </c>
    </row>
    <row r="2838" spans="1:8" x14ac:dyDescent="0.15">
      <c r="A2838" s="3" t="s">
        <v>2725</v>
      </c>
      <c r="B2838" s="3" t="s">
        <v>4851</v>
      </c>
      <c r="C2838" s="3">
        <v>8419</v>
      </c>
      <c r="D2838" s="3" t="str">
        <f>VLOOKUP(B2838,[1]LifeList!$E$2:$G$2036,1)</f>
        <v>Savanna Hawk</v>
      </c>
      <c r="E2838" s="3" t="str">
        <f>VLOOKUP(B2838,[1]LifeList!$E$2:$G$2036,2)</f>
        <v>Buse roussâtre</v>
      </c>
      <c r="F2838" s="3" t="str">
        <f>VLOOKUP(B2838,[1]LifeList!$E$2:$G$2036,3)</f>
        <v>Buteogallus meridionalis</v>
      </c>
      <c r="G2838" s="3" t="str">
        <f>VLOOKUP(B2838,[1]LifeList!$E$2:$I$2036,4)</f>
        <v>Accipitriformes</v>
      </c>
      <c r="H2838" s="3" t="str">
        <f>VLOOKUP(B2838,[1]LifeList!$E$2:$I$2036,5)</f>
        <v>Accipitridae (Hawks, Eagles, and Kites)</v>
      </c>
    </row>
    <row r="2839" spans="1:8" x14ac:dyDescent="0.15">
      <c r="A2839" s="3" t="s">
        <v>2729</v>
      </c>
      <c r="B2839" s="3" t="s">
        <v>4852</v>
      </c>
      <c r="C2839" s="3">
        <v>33244</v>
      </c>
      <c r="D2839" s="3" t="str">
        <f>VLOOKUP(B2839,[1]LifeList!$E$2:$G$2036,1)</f>
        <v>Savannah Sparrow</v>
      </c>
      <c r="E2839" s="3" t="str">
        <f>VLOOKUP(B2839,[1]LifeList!$E$2:$G$2036,2)</f>
        <v>Bruant des prés</v>
      </c>
      <c r="F2839" s="3" t="str">
        <f>VLOOKUP(B2839,[1]LifeList!$E$2:$G$2036,3)</f>
        <v>Passerculus sandwichensis</v>
      </c>
      <c r="G2839" s="3" t="str">
        <f>VLOOKUP(B2839,[1]LifeList!$E$2:$I$2036,4)</f>
        <v>Passeriformes</v>
      </c>
      <c r="H2839" s="3" t="str">
        <f>VLOOKUP(B2839,[1]LifeList!$E$2:$I$2036,5)</f>
        <v>Passerellidae (New World Sparrows)</v>
      </c>
    </row>
    <row r="2840" spans="1:8" x14ac:dyDescent="0.15">
      <c r="A2840" s="3" t="s">
        <v>2730</v>
      </c>
      <c r="B2840" s="3" t="s">
        <v>4852</v>
      </c>
      <c r="C2840" s="3">
        <v>33244</v>
      </c>
      <c r="D2840" s="3" t="str">
        <f>VLOOKUP(B2840,[1]LifeList!$E$2:$G$2036,1)</f>
        <v>Savannah Sparrow</v>
      </c>
      <c r="E2840" s="3" t="str">
        <f>VLOOKUP(B2840,[1]LifeList!$E$2:$G$2036,2)</f>
        <v>Bruant des prés</v>
      </c>
      <c r="F2840" s="3" t="str">
        <f>VLOOKUP(B2840,[1]LifeList!$E$2:$G$2036,3)</f>
        <v>Passerculus sandwichensis</v>
      </c>
      <c r="G2840" s="3" t="str">
        <f>VLOOKUP(B2840,[1]LifeList!$E$2:$I$2036,4)</f>
        <v>Passeriformes</v>
      </c>
      <c r="H2840" s="3" t="str">
        <f>VLOOKUP(B2840,[1]LifeList!$E$2:$I$2036,5)</f>
        <v>Passerellidae (New World Sparrows)</v>
      </c>
    </row>
    <row r="2841" spans="1:8" x14ac:dyDescent="0.15">
      <c r="A2841" s="3" t="s">
        <v>2731</v>
      </c>
      <c r="B2841" s="3" t="s">
        <v>4852</v>
      </c>
      <c r="C2841" s="3">
        <v>33244</v>
      </c>
      <c r="D2841" s="3" t="str">
        <f>VLOOKUP(B2841,[1]LifeList!$E$2:$G$2036,1)</f>
        <v>Savannah Sparrow</v>
      </c>
      <c r="E2841" s="3" t="str">
        <f>VLOOKUP(B2841,[1]LifeList!$E$2:$G$2036,2)</f>
        <v>Bruant des prés</v>
      </c>
      <c r="F2841" s="3" t="str">
        <f>VLOOKUP(B2841,[1]LifeList!$E$2:$G$2036,3)</f>
        <v>Passerculus sandwichensis</v>
      </c>
      <c r="G2841" s="3" t="str">
        <f>VLOOKUP(B2841,[1]LifeList!$E$2:$I$2036,4)</f>
        <v>Passeriformes</v>
      </c>
      <c r="H2841" s="3" t="str">
        <f>VLOOKUP(B2841,[1]LifeList!$E$2:$I$2036,5)</f>
        <v>Passerellidae (New World Sparrows)</v>
      </c>
    </row>
    <row r="2842" spans="1:8" x14ac:dyDescent="0.15">
      <c r="A2842" s="3" t="s">
        <v>2732</v>
      </c>
      <c r="B2842" s="3" t="s">
        <v>4852</v>
      </c>
      <c r="C2842" s="3">
        <v>33244</v>
      </c>
      <c r="D2842" s="3" t="str">
        <f>VLOOKUP(B2842,[1]LifeList!$E$2:$G$2036,1)</f>
        <v>Savannah Sparrow</v>
      </c>
      <c r="E2842" s="3" t="str">
        <f>VLOOKUP(B2842,[1]LifeList!$E$2:$G$2036,2)</f>
        <v>Bruant des prés</v>
      </c>
      <c r="F2842" s="3" t="str">
        <f>VLOOKUP(B2842,[1]LifeList!$E$2:$G$2036,3)</f>
        <v>Passerculus sandwichensis</v>
      </c>
      <c r="G2842" s="3" t="str">
        <f>VLOOKUP(B2842,[1]LifeList!$E$2:$I$2036,4)</f>
        <v>Passeriformes</v>
      </c>
      <c r="H2842" s="3" t="str">
        <f>VLOOKUP(B2842,[1]LifeList!$E$2:$I$2036,5)</f>
        <v>Passerellidae (New World Sparrows)</v>
      </c>
    </row>
    <row r="2843" spans="1:8" x14ac:dyDescent="0.15">
      <c r="A2843" s="3" t="s">
        <v>2733</v>
      </c>
      <c r="B2843" s="3" t="s">
        <v>4852</v>
      </c>
      <c r="C2843" s="3">
        <v>33244</v>
      </c>
      <c r="D2843" s="3" t="str">
        <f>VLOOKUP(B2843,[1]LifeList!$E$2:$G$2036,1)</f>
        <v>Savannah Sparrow</v>
      </c>
      <c r="E2843" s="3" t="str">
        <f>VLOOKUP(B2843,[1]LifeList!$E$2:$G$2036,2)</f>
        <v>Bruant des prés</v>
      </c>
      <c r="F2843" s="3" t="str">
        <f>VLOOKUP(B2843,[1]LifeList!$E$2:$G$2036,3)</f>
        <v>Passerculus sandwichensis</v>
      </c>
      <c r="G2843" s="3" t="str">
        <f>VLOOKUP(B2843,[1]LifeList!$E$2:$I$2036,4)</f>
        <v>Passeriformes</v>
      </c>
      <c r="H2843" s="3" t="str">
        <f>VLOOKUP(B2843,[1]LifeList!$E$2:$I$2036,5)</f>
        <v>Passerellidae (New World Sparrows)</v>
      </c>
    </row>
    <row r="2844" spans="1:8" x14ac:dyDescent="0.15">
      <c r="A2844" s="3" t="s">
        <v>2734</v>
      </c>
      <c r="B2844" s="3" t="s">
        <v>4852</v>
      </c>
      <c r="C2844" s="3">
        <v>33244</v>
      </c>
      <c r="D2844" s="3" t="str">
        <f>VLOOKUP(B2844,[1]LifeList!$E$2:$G$2036,1)</f>
        <v>Savannah Sparrow</v>
      </c>
      <c r="E2844" s="3" t="str">
        <f>VLOOKUP(B2844,[1]LifeList!$E$2:$G$2036,2)</f>
        <v>Bruant des prés</v>
      </c>
      <c r="F2844" s="3" t="str">
        <f>VLOOKUP(B2844,[1]LifeList!$E$2:$G$2036,3)</f>
        <v>Passerculus sandwichensis</v>
      </c>
      <c r="G2844" s="3" t="str">
        <f>VLOOKUP(B2844,[1]LifeList!$E$2:$I$2036,4)</f>
        <v>Passeriformes</v>
      </c>
      <c r="H2844" s="3" t="str">
        <f>VLOOKUP(B2844,[1]LifeList!$E$2:$I$2036,5)</f>
        <v>Passerellidae (New World Sparrows)</v>
      </c>
    </row>
    <row r="2845" spans="1:8" x14ac:dyDescent="0.15">
      <c r="A2845" s="3" t="s">
        <v>2735</v>
      </c>
      <c r="B2845" s="3" t="s">
        <v>4852</v>
      </c>
      <c r="C2845" s="3">
        <v>33244</v>
      </c>
      <c r="D2845" s="3" t="str">
        <f>VLOOKUP(B2845,[1]LifeList!$E$2:$G$2036,1)</f>
        <v>Savannah Sparrow</v>
      </c>
      <c r="E2845" s="3" t="str">
        <f>VLOOKUP(B2845,[1]LifeList!$E$2:$G$2036,2)</f>
        <v>Bruant des prés</v>
      </c>
      <c r="F2845" s="3" t="str">
        <f>VLOOKUP(B2845,[1]LifeList!$E$2:$G$2036,3)</f>
        <v>Passerculus sandwichensis</v>
      </c>
      <c r="G2845" s="3" t="str">
        <f>VLOOKUP(B2845,[1]LifeList!$E$2:$I$2036,4)</f>
        <v>Passeriformes</v>
      </c>
      <c r="H2845" s="3" t="str">
        <f>VLOOKUP(B2845,[1]LifeList!$E$2:$I$2036,5)</f>
        <v>Passerellidae (New World Sparrows)</v>
      </c>
    </row>
    <row r="2846" spans="1:8" x14ac:dyDescent="0.15">
      <c r="A2846" s="3" t="s">
        <v>2736</v>
      </c>
      <c r="B2846" s="3" t="s">
        <v>4852</v>
      </c>
      <c r="C2846" s="3">
        <v>33244</v>
      </c>
      <c r="D2846" s="3" t="str">
        <f>VLOOKUP(B2846,[1]LifeList!$E$2:$G$2036,1)</f>
        <v>Savannah Sparrow</v>
      </c>
      <c r="E2846" s="3" t="str">
        <f>VLOOKUP(B2846,[1]LifeList!$E$2:$G$2036,2)</f>
        <v>Bruant des prés</v>
      </c>
      <c r="F2846" s="3" t="str">
        <f>VLOOKUP(B2846,[1]LifeList!$E$2:$G$2036,3)</f>
        <v>Passerculus sandwichensis</v>
      </c>
      <c r="G2846" s="3" t="str">
        <f>VLOOKUP(B2846,[1]LifeList!$E$2:$I$2036,4)</f>
        <v>Passeriformes</v>
      </c>
      <c r="H2846" s="3" t="str">
        <f>VLOOKUP(B2846,[1]LifeList!$E$2:$I$2036,5)</f>
        <v>Passerellidae (New World Sparrows)</v>
      </c>
    </row>
    <row r="2847" spans="1:8" x14ac:dyDescent="0.15">
      <c r="A2847" s="3" t="s">
        <v>2737</v>
      </c>
      <c r="B2847" s="3" t="s">
        <v>4852</v>
      </c>
      <c r="C2847" s="3">
        <v>33244</v>
      </c>
      <c r="D2847" s="3" t="str">
        <f>VLOOKUP(B2847,[1]LifeList!$E$2:$G$2036,1)</f>
        <v>Savannah Sparrow</v>
      </c>
      <c r="E2847" s="3" t="str">
        <f>VLOOKUP(B2847,[1]LifeList!$E$2:$G$2036,2)</f>
        <v>Bruant des prés</v>
      </c>
      <c r="F2847" s="3" t="str">
        <f>VLOOKUP(B2847,[1]LifeList!$E$2:$G$2036,3)</f>
        <v>Passerculus sandwichensis</v>
      </c>
      <c r="G2847" s="3" t="str">
        <f>VLOOKUP(B2847,[1]LifeList!$E$2:$I$2036,4)</f>
        <v>Passeriformes</v>
      </c>
      <c r="H2847" s="3" t="str">
        <f>VLOOKUP(B2847,[1]LifeList!$E$2:$I$2036,5)</f>
        <v>Passerellidae (New World Sparrows)</v>
      </c>
    </row>
    <row r="2848" spans="1:8" x14ac:dyDescent="0.15">
      <c r="A2848" s="3" t="s">
        <v>2738</v>
      </c>
      <c r="B2848" s="3" t="s">
        <v>4852</v>
      </c>
      <c r="C2848" s="3">
        <v>33244</v>
      </c>
      <c r="D2848" s="3" t="str">
        <f>VLOOKUP(B2848,[1]LifeList!$E$2:$G$2036,1)</f>
        <v>Savannah Sparrow</v>
      </c>
      <c r="E2848" s="3" t="str">
        <f>VLOOKUP(B2848,[1]LifeList!$E$2:$G$2036,2)</f>
        <v>Bruant des prés</v>
      </c>
      <c r="F2848" s="3" t="str">
        <f>VLOOKUP(B2848,[1]LifeList!$E$2:$G$2036,3)</f>
        <v>Passerculus sandwichensis</v>
      </c>
      <c r="G2848" s="3" t="str">
        <f>VLOOKUP(B2848,[1]LifeList!$E$2:$I$2036,4)</f>
        <v>Passeriformes</v>
      </c>
      <c r="H2848" s="3" t="str">
        <f>VLOOKUP(B2848,[1]LifeList!$E$2:$I$2036,5)</f>
        <v>Passerellidae (New World Sparrows)</v>
      </c>
    </row>
    <row r="2849" spans="1:8" x14ac:dyDescent="0.15">
      <c r="A2849" s="3" t="s">
        <v>2739</v>
      </c>
      <c r="B2849" s="3" t="s">
        <v>4852</v>
      </c>
      <c r="C2849" s="3">
        <v>33244</v>
      </c>
      <c r="D2849" s="3" t="str">
        <f>VLOOKUP(B2849,[1]LifeList!$E$2:$G$2036,1)</f>
        <v>Savannah Sparrow</v>
      </c>
      <c r="E2849" s="3" t="str">
        <f>VLOOKUP(B2849,[1]LifeList!$E$2:$G$2036,2)</f>
        <v>Bruant des prés</v>
      </c>
      <c r="F2849" s="3" t="str">
        <f>VLOOKUP(B2849,[1]LifeList!$E$2:$G$2036,3)</f>
        <v>Passerculus sandwichensis</v>
      </c>
      <c r="G2849" s="3" t="str">
        <f>VLOOKUP(B2849,[1]LifeList!$E$2:$I$2036,4)</f>
        <v>Passeriformes</v>
      </c>
      <c r="H2849" s="3" t="str">
        <f>VLOOKUP(B2849,[1]LifeList!$E$2:$I$2036,5)</f>
        <v>Passerellidae (New World Sparrows)</v>
      </c>
    </row>
    <row r="2850" spans="1:8" x14ac:dyDescent="0.15">
      <c r="A2850" s="3" t="s">
        <v>2740</v>
      </c>
      <c r="B2850" s="3" t="s">
        <v>4852</v>
      </c>
      <c r="C2850" s="3">
        <v>33244</v>
      </c>
      <c r="D2850" s="3" t="str">
        <f>VLOOKUP(B2850,[1]LifeList!$E$2:$G$2036,1)</f>
        <v>Savannah Sparrow</v>
      </c>
      <c r="E2850" s="3" t="str">
        <f>VLOOKUP(B2850,[1]LifeList!$E$2:$G$2036,2)</f>
        <v>Bruant des prés</v>
      </c>
      <c r="F2850" s="3" t="str">
        <f>VLOOKUP(B2850,[1]LifeList!$E$2:$G$2036,3)</f>
        <v>Passerculus sandwichensis</v>
      </c>
      <c r="G2850" s="3" t="str">
        <f>VLOOKUP(B2850,[1]LifeList!$E$2:$I$2036,4)</f>
        <v>Passeriformes</v>
      </c>
      <c r="H2850" s="3" t="str">
        <f>VLOOKUP(B2850,[1]LifeList!$E$2:$I$2036,5)</f>
        <v>Passerellidae (New World Sparrows)</v>
      </c>
    </row>
    <row r="2851" spans="1:8" x14ac:dyDescent="0.15">
      <c r="A2851" s="3" t="s">
        <v>5246</v>
      </c>
      <c r="B2851" s="3" t="s">
        <v>4852</v>
      </c>
      <c r="C2851" s="3">
        <v>33244</v>
      </c>
      <c r="D2851" s="3" t="str">
        <f>VLOOKUP(B2851,[1]LifeList!$E$2:$G$2036,1)</f>
        <v>Savannah Sparrow</v>
      </c>
      <c r="E2851" s="3" t="str">
        <f>VLOOKUP(B2851,[1]LifeList!$E$2:$G$2036,2)</f>
        <v>Bruant des prés</v>
      </c>
      <c r="F2851" s="3" t="str">
        <f>VLOOKUP(B2851,[1]LifeList!$E$2:$G$2036,3)</f>
        <v>Passerculus sandwichensis</v>
      </c>
      <c r="G2851" s="3" t="str">
        <f>VLOOKUP(B2851,[1]LifeList!$E$2:$I$2036,4)</f>
        <v>Passeriformes</v>
      </c>
      <c r="H2851" s="3" t="str">
        <f>VLOOKUP(B2851,[1]LifeList!$E$2:$I$2036,5)</f>
        <v>Passerellidae (New World Sparrows)</v>
      </c>
    </row>
    <row r="2852" spans="1:8" x14ac:dyDescent="0.15">
      <c r="A2852" s="3" t="s">
        <v>2741</v>
      </c>
      <c r="B2852" s="3" t="s">
        <v>4853</v>
      </c>
      <c r="C2852" s="3">
        <v>2278</v>
      </c>
      <c r="D2852" s="3" t="str">
        <f>VLOOKUP(B2852,[1]LifeList!$E$2:$G$2036,1)</f>
        <v>Scaled Dove</v>
      </c>
      <c r="E2852" s="3" t="str">
        <f>VLOOKUP(B2852,[1]LifeList!$E$2:$G$2036,2)</f>
        <v>Colombe écaillée</v>
      </c>
      <c r="F2852" s="3" t="str">
        <f>VLOOKUP(B2852,[1]LifeList!$E$2:$G$2036,3)</f>
        <v>Columbina squammata</v>
      </c>
      <c r="G2852" s="3" t="str">
        <f>VLOOKUP(B2852,[1]LifeList!$E$2:$I$2036,4)</f>
        <v>Columbiformes</v>
      </c>
      <c r="H2852" s="3" t="str">
        <f>VLOOKUP(B2852,[1]LifeList!$E$2:$I$2036,5)</f>
        <v>Columbidae (Pigeons and Doves)</v>
      </c>
    </row>
    <row r="2853" spans="1:8" x14ac:dyDescent="0.15">
      <c r="A2853" s="3" t="s">
        <v>2742</v>
      </c>
      <c r="B2853" s="3" t="s">
        <v>4853</v>
      </c>
      <c r="C2853" s="3">
        <v>2278</v>
      </c>
      <c r="D2853" s="3" t="str">
        <f>VLOOKUP(B2853,[1]LifeList!$E$2:$G$2036,1)</f>
        <v>Scaled Dove</v>
      </c>
      <c r="E2853" s="3" t="str">
        <f>VLOOKUP(B2853,[1]LifeList!$E$2:$G$2036,2)</f>
        <v>Colombe écaillée</v>
      </c>
      <c r="F2853" s="3" t="str">
        <f>VLOOKUP(B2853,[1]LifeList!$E$2:$G$2036,3)</f>
        <v>Columbina squammata</v>
      </c>
      <c r="G2853" s="3" t="str">
        <f>VLOOKUP(B2853,[1]LifeList!$E$2:$I$2036,4)</f>
        <v>Columbiformes</v>
      </c>
      <c r="H2853" s="3" t="str">
        <f>VLOOKUP(B2853,[1]LifeList!$E$2:$I$2036,5)</f>
        <v>Columbidae (Pigeons and Doves)</v>
      </c>
    </row>
    <row r="2854" spans="1:8" x14ac:dyDescent="0.15">
      <c r="A2854" s="3" t="s">
        <v>2743</v>
      </c>
      <c r="B2854" s="3" t="s">
        <v>4854</v>
      </c>
      <c r="C2854" s="3">
        <v>15881</v>
      </c>
      <c r="D2854" s="3" t="str">
        <f>VLOOKUP(B2854,[1]LifeList!$E$2:$G$2036,1)</f>
        <v>Scaled Fruiteater</v>
      </c>
      <c r="E2854" s="3" t="str">
        <f>VLOOKUP(B2854,[1]LifeList!$E$2:$G$2036,2)</f>
        <v>Cotinga écaillé</v>
      </c>
      <c r="F2854" s="3" t="str">
        <f>VLOOKUP(B2854,[1]LifeList!$E$2:$G$2036,3)</f>
        <v>Ampelioides tschudii</v>
      </c>
      <c r="G2854" s="3" t="str">
        <f>VLOOKUP(B2854,[1]LifeList!$E$2:$I$2036,4)</f>
        <v>Passeriformes</v>
      </c>
      <c r="H2854" s="3" t="str">
        <f>VLOOKUP(B2854,[1]LifeList!$E$2:$I$2036,5)</f>
        <v>Cotingidae (Cotingas)</v>
      </c>
    </row>
    <row r="2855" spans="1:8" x14ac:dyDescent="0.15">
      <c r="A2855" s="3" t="s">
        <v>2747</v>
      </c>
      <c r="B2855" s="3" t="s">
        <v>4855</v>
      </c>
      <c r="C2855" s="3">
        <v>10371</v>
      </c>
      <c r="D2855" s="3" t="str">
        <f>VLOOKUP(B2855,[1]LifeList!$E$2:$G$2036,1)</f>
        <v>Scaly Ground-Roller</v>
      </c>
      <c r="E2855" s="3" t="str">
        <f>VLOOKUP(B2855,[1]LifeList!$E$2:$G$2036,2)</f>
        <v>Brachyptérolle écaillé</v>
      </c>
      <c r="F2855" s="3" t="str">
        <f>VLOOKUP(B2855,[1]LifeList!$E$2:$G$2036,3)</f>
        <v>Geobiastes squamiger</v>
      </c>
      <c r="G2855" s="3" t="str">
        <f>VLOOKUP(B2855,[1]LifeList!$E$2:$I$2036,4)</f>
        <v>Coraciiformes</v>
      </c>
      <c r="H2855" s="3" t="str">
        <f>VLOOKUP(B2855,[1]LifeList!$E$2:$I$2036,5)</f>
        <v>Brachypteraciidae (Ground-Rollers)</v>
      </c>
    </row>
    <row r="2856" spans="1:8" x14ac:dyDescent="0.15">
      <c r="A2856" s="3" t="s">
        <v>2748</v>
      </c>
      <c r="B2856" s="3" t="s">
        <v>4856</v>
      </c>
      <c r="C2856" s="3">
        <v>30715</v>
      </c>
      <c r="D2856" s="3" t="str">
        <f>VLOOKUP(B2856,[1]LifeList!$E$2:$G$2036,1)</f>
        <v>Scaly Weaver</v>
      </c>
      <c r="E2856" s="3" t="str">
        <f>VLOOKUP(B2856,[1]LifeList!$E$2:$G$2036,2)</f>
        <v>Sporopipe squameux</v>
      </c>
      <c r="F2856" s="3" t="str">
        <f>VLOOKUP(B2856,[1]LifeList!$E$2:$G$2036,3)</f>
        <v>Sporopipes squamifrons</v>
      </c>
      <c r="G2856" s="3" t="str">
        <f>VLOOKUP(B2856,[1]LifeList!$E$2:$I$2036,4)</f>
        <v>Passeriformes</v>
      </c>
      <c r="H2856" s="3" t="str">
        <f>VLOOKUP(B2856,[1]LifeList!$E$2:$I$2036,5)</f>
        <v>Ploceidae (Weavers and Allies)</v>
      </c>
    </row>
    <row r="2857" spans="1:8" x14ac:dyDescent="0.15">
      <c r="A2857" s="3" t="s">
        <v>2744</v>
      </c>
      <c r="B2857" s="3" t="s">
        <v>4857</v>
      </c>
      <c r="C2857" s="3">
        <v>5020</v>
      </c>
      <c r="D2857" s="3" t="str">
        <f>VLOOKUP(B2857,[1]LifeList!$E$2:$G$2036,1)</f>
        <v>Scaly-breasted Hummingbird</v>
      </c>
      <c r="E2857" s="3" t="str">
        <f>VLOOKUP(B2857,[1]LifeList!$E$2:$G$2036,2)</f>
        <v>Colibri de Cuvier</v>
      </c>
      <c r="F2857" s="3" t="str">
        <f>VLOOKUP(B2857,[1]LifeList!$E$2:$G$2036,3)</f>
        <v>Phaeochroa cuvierii</v>
      </c>
      <c r="G2857" s="3" t="str">
        <f>VLOOKUP(B2857,[1]LifeList!$E$2:$I$2036,4)</f>
        <v>Apodiformes</v>
      </c>
      <c r="H2857" s="3" t="str">
        <f>VLOOKUP(B2857,[1]LifeList!$E$2:$I$2036,5)</f>
        <v>Trochilidae (Hummingbirds)</v>
      </c>
    </row>
    <row r="2858" spans="1:8" x14ac:dyDescent="0.15">
      <c r="A2858" s="3" t="s">
        <v>2745</v>
      </c>
      <c r="B2858" s="3" t="s">
        <v>4858</v>
      </c>
      <c r="C2858" s="3">
        <v>15147</v>
      </c>
      <c r="D2858" s="3" t="str">
        <f>VLOOKUP(B2858,[1]LifeList!$E$2:$G$2036,1)</f>
        <v>Scaly-throated Foliage-gleaner</v>
      </c>
      <c r="E2858" s="3" t="str">
        <f>VLOOKUP(B2858,[1]LifeList!$E$2:$G$2036,2)</f>
        <v>Anabate à lunettes</v>
      </c>
      <c r="F2858" s="3" t="str">
        <f>VLOOKUP(B2858,[1]LifeList!$E$2:$G$2036,3)</f>
        <v>Anabacerthia variegaticeps</v>
      </c>
      <c r="G2858" s="3" t="str">
        <f>VLOOKUP(B2858,[1]LifeList!$E$2:$I$2036,4)</f>
        <v>Passeriformes</v>
      </c>
      <c r="H2858" s="3" t="str">
        <f>VLOOKUP(B2858,[1]LifeList!$E$2:$I$2036,5)</f>
        <v>Furnariidae (Ovenbirds and Woodcreepers)</v>
      </c>
    </row>
    <row r="2859" spans="1:8" x14ac:dyDescent="0.15">
      <c r="A2859" s="3" t="s">
        <v>2746</v>
      </c>
      <c r="B2859" s="3" t="s">
        <v>4858</v>
      </c>
      <c r="C2859" s="3">
        <v>15147</v>
      </c>
      <c r="D2859" s="3" t="str">
        <f>VLOOKUP(B2859,[1]LifeList!$E$2:$G$2036,1)</f>
        <v>Scaly-throated Foliage-gleaner</v>
      </c>
      <c r="E2859" s="3" t="str">
        <f>VLOOKUP(B2859,[1]LifeList!$E$2:$G$2036,2)</f>
        <v>Anabate à lunettes</v>
      </c>
      <c r="F2859" s="3" t="str">
        <f>VLOOKUP(B2859,[1]LifeList!$E$2:$G$2036,3)</f>
        <v>Anabacerthia variegaticeps</v>
      </c>
      <c r="G2859" s="3" t="str">
        <f>VLOOKUP(B2859,[1]LifeList!$E$2:$I$2036,4)</f>
        <v>Passeriformes</v>
      </c>
      <c r="H2859" s="3" t="str">
        <f>VLOOKUP(B2859,[1]LifeList!$E$2:$I$2036,5)</f>
        <v>Furnariidae (Ovenbirds and Woodcreepers)</v>
      </c>
    </row>
    <row r="2860" spans="1:8" x14ac:dyDescent="0.15">
      <c r="A2860" s="3" t="s">
        <v>2759</v>
      </c>
      <c r="B2860" s="3" t="s">
        <v>4859</v>
      </c>
      <c r="C2860" s="3">
        <v>7465</v>
      </c>
      <c r="D2860" s="3" t="str">
        <f>VLOOKUP(B2860,[1]LifeList!$E$2:$G$2036,1)</f>
        <v>Scarlet Ibis</v>
      </c>
      <c r="E2860" s="3" t="str">
        <f>VLOOKUP(B2860,[1]LifeList!$E$2:$G$2036,2)</f>
        <v>Ibis rouge</v>
      </c>
      <c r="F2860" s="3" t="str">
        <f>VLOOKUP(B2860,[1]LifeList!$E$2:$G$2036,3)</f>
        <v>Eudocimus ruber</v>
      </c>
      <c r="G2860" s="3" t="str">
        <f>VLOOKUP(B2860,[1]LifeList!$E$2:$I$2036,4)</f>
        <v>Pelecaniformes</v>
      </c>
      <c r="H2860" s="3" t="str">
        <f>VLOOKUP(B2860,[1]LifeList!$E$2:$I$2036,5)</f>
        <v>Threskiornithidae (Ibises and Spoonbills)</v>
      </c>
    </row>
    <row r="2861" spans="1:8" x14ac:dyDescent="0.15">
      <c r="A2861" s="3" t="s">
        <v>2760</v>
      </c>
      <c r="B2861" s="3" t="s">
        <v>4859</v>
      </c>
      <c r="C2861" s="3">
        <v>7465</v>
      </c>
      <c r="D2861" s="3" t="str">
        <f>VLOOKUP(B2861,[1]LifeList!$E$2:$G$2036,1)</f>
        <v>Scarlet Ibis</v>
      </c>
      <c r="E2861" s="3" t="str">
        <f>VLOOKUP(B2861,[1]LifeList!$E$2:$G$2036,2)</f>
        <v>Ibis rouge</v>
      </c>
      <c r="F2861" s="3" t="str">
        <f>VLOOKUP(B2861,[1]LifeList!$E$2:$G$2036,3)</f>
        <v>Eudocimus ruber</v>
      </c>
      <c r="G2861" s="3" t="str">
        <f>VLOOKUP(B2861,[1]LifeList!$E$2:$I$2036,4)</f>
        <v>Pelecaniformes</v>
      </c>
      <c r="H2861" s="3" t="str">
        <f>VLOOKUP(B2861,[1]LifeList!$E$2:$I$2036,5)</f>
        <v>Threskiornithidae (Ibises and Spoonbills)</v>
      </c>
    </row>
    <row r="2862" spans="1:8" x14ac:dyDescent="0.15">
      <c r="A2862" s="3" t="s">
        <v>2761</v>
      </c>
      <c r="B2862" s="3" t="s">
        <v>4859</v>
      </c>
      <c r="C2862" s="3">
        <v>7465</v>
      </c>
      <c r="D2862" s="3" t="str">
        <f>VLOOKUP(B2862,[1]LifeList!$E$2:$G$2036,1)</f>
        <v>Scarlet Ibis</v>
      </c>
      <c r="E2862" s="3" t="str">
        <f>VLOOKUP(B2862,[1]LifeList!$E$2:$G$2036,2)</f>
        <v>Ibis rouge</v>
      </c>
      <c r="F2862" s="3" t="str">
        <f>VLOOKUP(B2862,[1]LifeList!$E$2:$G$2036,3)</f>
        <v>Eudocimus ruber</v>
      </c>
      <c r="G2862" s="3" t="str">
        <f>VLOOKUP(B2862,[1]LifeList!$E$2:$I$2036,4)</f>
        <v>Pelecaniformes</v>
      </c>
      <c r="H2862" s="3" t="str">
        <f>VLOOKUP(B2862,[1]LifeList!$E$2:$I$2036,5)</f>
        <v>Threskiornithidae (Ibises and Spoonbills)</v>
      </c>
    </row>
    <row r="2863" spans="1:8" x14ac:dyDescent="0.15">
      <c r="A2863" s="3" t="s">
        <v>2762</v>
      </c>
      <c r="B2863" s="3" t="s">
        <v>4860</v>
      </c>
      <c r="C2863" s="3">
        <v>13152</v>
      </c>
      <c r="D2863" s="3" t="str">
        <f>VLOOKUP(B2863,[1]LifeList!$E$2:$G$2036,1)</f>
        <v>Scarlet Macaw</v>
      </c>
      <c r="E2863" s="3" t="str">
        <f>VLOOKUP(B2863,[1]LifeList!$E$2:$G$2036,2)</f>
        <v>Ara rouge</v>
      </c>
      <c r="F2863" s="3" t="str">
        <f>VLOOKUP(B2863,[1]LifeList!$E$2:$G$2036,3)</f>
        <v>Ara macao</v>
      </c>
      <c r="G2863" s="3" t="str">
        <f>VLOOKUP(B2863,[1]LifeList!$E$2:$I$2036,4)</f>
        <v>Psittaciformes</v>
      </c>
      <c r="H2863" s="3" t="str">
        <f>VLOOKUP(B2863,[1]LifeList!$E$2:$I$2036,5)</f>
        <v>Psittacidae (New World and African Parrots)</v>
      </c>
    </row>
    <row r="2864" spans="1:8" x14ac:dyDescent="0.15">
      <c r="A2864" s="3" t="s">
        <v>2763</v>
      </c>
      <c r="B2864" s="3" t="s">
        <v>4860</v>
      </c>
      <c r="C2864" s="3">
        <v>13152</v>
      </c>
      <c r="D2864" s="3" t="str">
        <f>VLOOKUP(B2864,[1]LifeList!$E$2:$G$2036,1)</f>
        <v>Scarlet Macaw</v>
      </c>
      <c r="E2864" s="3" t="str">
        <f>VLOOKUP(B2864,[1]LifeList!$E$2:$G$2036,2)</f>
        <v>Ara rouge</v>
      </c>
      <c r="F2864" s="3" t="str">
        <f>VLOOKUP(B2864,[1]LifeList!$E$2:$G$2036,3)</f>
        <v>Ara macao</v>
      </c>
      <c r="G2864" s="3" t="str">
        <f>VLOOKUP(B2864,[1]LifeList!$E$2:$I$2036,4)</f>
        <v>Psittaciformes</v>
      </c>
      <c r="H2864" s="3" t="str">
        <f>VLOOKUP(B2864,[1]LifeList!$E$2:$I$2036,5)</f>
        <v>Psittacidae (New World and African Parrots)</v>
      </c>
    </row>
    <row r="2865" spans="1:8" x14ac:dyDescent="0.15">
      <c r="A2865" s="3" t="s">
        <v>2764</v>
      </c>
      <c r="B2865" s="3" t="s">
        <v>4860</v>
      </c>
      <c r="C2865" s="3">
        <v>13152</v>
      </c>
      <c r="D2865" s="3" t="str">
        <f>VLOOKUP(B2865,[1]LifeList!$E$2:$G$2036,1)</f>
        <v>Scarlet Macaw</v>
      </c>
      <c r="E2865" s="3" t="str">
        <f>VLOOKUP(B2865,[1]LifeList!$E$2:$G$2036,2)</f>
        <v>Ara rouge</v>
      </c>
      <c r="F2865" s="3" t="str">
        <f>VLOOKUP(B2865,[1]LifeList!$E$2:$G$2036,3)</f>
        <v>Ara macao</v>
      </c>
      <c r="G2865" s="3" t="str">
        <f>VLOOKUP(B2865,[1]LifeList!$E$2:$I$2036,4)</f>
        <v>Psittaciformes</v>
      </c>
      <c r="H2865" s="3" t="str">
        <f>VLOOKUP(B2865,[1]LifeList!$E$2:$I$2036,5)</f>
        <v>Psittacidae (New World and African Parrots)</v>
      </c>
    </row>
    <row r="2866" spans="1:8" x14ac:dyDescent="0.15">
      <c r="A2866" s="3" t="s">
        <v>2765</v>
      </c>
      <c r="B2866" s="3" t="s">
        <v>4860</v>
      </c>
      <c r="C2866" s="3">
        <v>13152</v>
      </c>
      <c r="D2866" s="3" t="str">
        <f>VLOOKUP(B2866,[1]LifeList!$E$2:$G$2036,1)</f>
        <v>Scarlet Macaw</v>
      </c>
      <c r="E2866" s="3" t="str">
        <f>VLOOKUP(B2866,[1]LifeList!$E$2:$G$2036,2)</f>
        <v>Ara rouge</v>
      </c>
      <c r="F2866" s="3" t="str">
        <f>VLOOKUP(B2866,[1]LifeList!$E$2:$G$2036,3)</f>
        <v>Ara macao</v>
      </c>
      <c r="G2866" s="3" t="str">
        <f>VLOOKUP(B2866,[1]LifeList!$E$2:$I$2036,4)</f>
        <v>Psittaciformes</v>
      </c>
      <c r="H2866" s="3" t="str">
        <f>VLOOKUP(B2866,[1]LifeList!$E$2:$I$2036,5)</f>
        <v>Psittacidae (New World and African Parrots)</v>
      </c>
    </row>
    <row r="2867" spans="1:8" x14ac:dyDescent="0.15">
      <c r="A2867" s="3" t="s">
        <v>2766</v>
      </c>
      <c r="B2867" s="3" t="s">
        <v>4860</v>
      </c>
      <c r="C2867" s="3">
        <v>13152</v>
      </c>
      <c r="D2867" s="3" t="str">
        <f>VLOOKUP(B2867,[1]LifeList!$E$2:$G$2036,1)</f>
        <v>Scarlet Macaw</v>
      </c>
      <c r="E2867" s="3" t="str">
        <f>VLOOKUP(B2867,[1]LifeList!$E$2:$G$2036,2)</f>
        <v>Ara rouge</v>
      </c>
      <c r="F2867" s="3" t="str">
        <f>VLOOKUP(B2867,[1]LifeList!$E$2:$G$2036,3)</f>
        <v>Ara macao</v>
      </c>
      <c r="G2867" s="3" t="str">
        <f>VLOOKUP(B2867,[1]LifeList!$E$2:$I$2036,4)</f>
        <v>Psittaciformes</v>
      </c>
      <c r="H2867" s="3" t="str">
        <f>VLOOKUP(B2867,[1]LifeList!$E$2:$I$2036,5)</f>
        <v>Psittacidae (New World and African Parrots)</v>
      </c>
    </row>
    <row r="2868" spans="1:8" x14ac:dyDescent="0.15">
      <c r="A2868" s="3" t="s">
        <v>2767</v>
      </c>
      <c r="B2868" s="3" t="s">
        <v>4860</v>
      </c>
      <c r="C2868" s="3">
        <v>13152</v>
      </c>
      <c r="D2868" s="3" t="str">
        <f>VLOOKUP(B2868,[1]LifeList!$E$2:$G$2036,1)</f>
        <v>Scarlet Macaw</v>
      </c>
      <c r="E2868" s="3" t="str">
        <f>VLOOKUP(B2868,[1]LifeList!$E$2:$G$2036,2)</f>
        <v>Ara rouge</v>
      </c>
      <c r="F2868" s="3" t="str">
        <f>VLOOKUP(B2868,[1]LifeList!$E$2:$G$2036,3)</f>
        <v>Ara macao</v>
      </c>
      <c r="G2868" s="3" t="str">
        <f>VLOOKUP(B2868,[1]LifeList!$E$2:$I$2036,4)</f>
        <v>Psittaciformes</v>
      </c>
      <c r="H2868" s="3" t="str">
        <f>VLOOKUP(B2868,[1]LifeList!$E$2:$I$2036,5)</f>
        <v>Psittacidae (New World and African Parrots)</v>
      </c>
    </row>
    <row r="2869" spans="1:8" x14ac:dyDescent="0.15">
      <c r="A2869" s="3" t="s">
        <v>2768</v>
      </c>
      <c r="B2869" s="3" t="s">
        <v>4861</v>
      </c>
      <c r="C2869" s="3">
        <v>21770</v>
      </c>
      <c r="D2869" s="3" t="str">
        <f>VLOOKUP(B2869,[1]LifeList!$E$2:$G$2036,1)</f>
        <v>Scarlet Robin</v>
      </c>
      <c r="E2869" s="3" t="str">
        <f>VLOOKUP(B2869,[1]LifeList!$E$2:$G$2036,2)</f>
        <v>Miro boodang</v>
      </c>
      <c r="F2869" s="3" t="str">
        <f>VLOOKUP(B2869,[1]LifeList!$E$2:$G$2036,3)</f>
        <v>Petroica boodang</v>
      </c>
      <c r="G2869" s="3" t="str">
        <f>VLOOKUP(B2869,[1]LifeList!$E$2:$I$2036,4)</f>
        <v>Passeriformes</v>
      </c>
      <c r="H2869" s="3" t="str">
        <f>VLOOKUP(B2869,[1]LifeList!$E$2:$I$2036,5)</f>
        <v>Petroicidae (Australasian Robins)</v>
      </c>
    </row>
    <row r="2870" spans="1:8" x14ac:dyDescent="0.15">
      <c r="A2870" s="3" t="s">
        <v>2769</v>
      </c>
      <c r="B2870" s="3" t="s">
        <v>4862</v>
      </c>
      <c r="C2870" s="3">
        <v>34436</v>
      </c>
      <c r="D2870" s="3" t="str">
        <f>VLOOKUP(B2870,[1]LifeList!$E$2:$G$2036,1)</f>
        <v>Scarlet Tanager</v>
      </c>
      <c r="E2870" s="3" t="str">
        <f>VLOOKUP(B2870,[1]LifeList!$E$2:$G$2036,2)</f>
        <v>Piranga écarlate</v>
      </c>
      <c r="F2870" s="3" t="str">
        <f>VLOOKUP(B2870,[1]LifeList!$E$2:$G$2036,3)</f>
        <v>Piranga olivacea</v>
      </c>
      <c r="G2870" s="3" t="str">
        <f>VLOOKUP(B2870,[1]LifeList!$E$2:$I$2036,4)</f>
        <v>Passeriformes</v>
      </c>
      <c r="H2870" s="3" t="str">
        <f>VLOOKUP(B2870,[1]LifeList!$E$2:$I$2036,5)</f>
        <v>Cardinalidae (Cardinals and Allies)</v>
      </c>
    </row>
    <row r="2871" spans="1:8" x14ac:dyDescent="0.15">
      <c r="A2871" s="3" t="s">
        <v>2770</v>
      </c>
      <c r="B2871" s="3" t="s">
        <v>4862</v>
      </c>
      <c r="C2871" s="3">
        <v>34436</v>
      </c>
      <c r="D2871" s="3" t="str">
        <f>VLOOKUP(B2871,[1]LifeList!$E$2:$G$2036,1)</f>
        <v>Scarlet Tanager</v>
      </c>
      <c r="E2871" s="3" t="str">
        <f>VLOOKUP(B2871,[1]LifeList!$E$2:$G$2036,2)</f>
        <v>Piranga écarlate</v>
      </c>
      <c r="F2871" s="3" t="str">
        <f>VLOOKUP(B2871,[1]LifeList!$E$2:$G$2036,3)</f>
        <v>Piranga olivacea</v>
      </c>
      <c r="G2871" s="3" t="str">
        <f>VLOOKUP(B2871,[1]LifeList!$E$2:$I$2036,4)</f>
        <v>Passeriformes</v>
      </c>
      <c r="H2871" s="3" t="str">
        <f>VLOOKUP(B2871,[1]LifeList!$E$2:$I$2036,5)</f>
        <v>Cardinalidae (Cardinals and Allies)</v>
      </c>
    </row>
    <row r="2872" spans="1:8" x14ac:dyDescent="0.15">
      <c r="A2872" s="3" t="s">
        <v>2774</v>
      </c>
      <c r="B2872" s="3" t="s">
        <v>4862</v>
      </c>
      <c r="C2872" s="3">
        <v>34436</v>
      </c>
      <c r="D2872" s="3" t="str">
        <f>VLOOKUP(B2872,[1]LifeList!$E$2:$G$2036,1)</f>
        <v>Scarlet Tanager</v>
      </c>
      <c r="E2872" s="3" t="str">
        <f>VLOOKUP(B2872,[1]LifeList!$E$2:$G$2036,2)</f>
        <v>Piranga écarlate</v>
      </c>
      <c r="F2872" s="3" t="str">
        <f>VLOOKUP(B2872,[1]LifeList!$E$2:$G$2036,3)</f>
        <v>Piranga olivacea</v>
      </c>
      <c r="G2872" s="3" t="str">
        <f>VLOOKUP(B2872,[1]LifeList!$E$2:$I$2036,4)</f>
        <v>Passeriformes</v>
      </c>
      <c r="H2872" s="3" t="str">
        <f>VLOOKUP(B2872,[1]LifeList!$E$2:$I$2036,5)</f>
        <v>Cardinalidae (Cardinals and Allies)</v>
      </c>
    </row>
    <row r="2873" spans="1:8" x14ac:dyDescent="0.15">
      <c r="A2873" s="3" t="s">
        <v>2771</v>
      </c>
      <c r="B2873" s="3" t="s">
        <v>4862</v>
      </c>
      <c r="C2873" s="3">
        <v>34436</v>
      </c>
      <c r="D2873" s="3" t="str">
        <f>VLOOKUP(B2873,[1]LifeList!$E$2:$G$2036,1)</f>
        <v>Scarlet Tanager</v>
      </c>
      <c r="E2873" s="3" t="str">
        <f>VLOOKUP(B2873,[1]LifeList!$E$2:$G$2036,2)</f>
        <v>Piranga écarlate</v>
      </c>
      <c r="F2873" s="3" t="str">
        <f>VLOOKUP(B2873,[1]LifeList!$E$2:$G$2036,3)</f>
        <v>Piranga olivacea</v>
      </c>
      <c r="G2873" s="3" t="str">
        <f>VLOOKUP(B2873,[1]LifeList!$E$2:$I$2036,4)</f>
        <v>Passeriformes</v>
      </c>
      <c r="H2873" s="3" t="str">
        <f>VLOOKUP(B2873,[1]LifeList!$E$2:$I$2036,5)</f>
        <v>Cardinalidae (Cardinals and Allies)</v>
      </c>
    </row>
    <row r="2874" spans="1:8" x14ac:dyDescent="0.15">
      <c r="A2874" s="3" t="s">
        <v>2772</v>
      </c>
      <c r="B2874" s="3" t="s">
        <v>4862</v>
      </c>
      <c r="C2874" s="3">
        <v>34436</v>
      </c>
      <c r="D2874" s="3" t="str">
        <f>VLOOKUP(B2874,[1]LifeList!$E$2:$G$2036,1)</f>
        <v>Scarlet Tanager</v>
      </c>
      <c r="E2874" s="3" t="str">
        <f>VLOOKUP(B2874,[1]LifeList!$E$2:$G$2036,2)</f>
        <v>Piranga écarlate</v>
      </c>
      <c r="F2874" s="3" t="str">
        <f>VLOOKUP(B2874,[1]LifeList!$E$2:$G$2036,3)</f>
        <v>Piranga olivacea</v>
      </c>
      <c r="G2874" s="3" t="str">
        <f>VLOOKUP(B2874,[1]LifeList!$E$2:$I$2036,4)</f>
        <v>Passeriformes</v>
      </c>
      <c r="H2874" s="3" t="str">
        <f>VLOOKUP(B2874,[1]LifeList!$E$2:$I$2036,5)</f>
        <v>Cardinalidae (Cardinals and Allies)</v>
      </c>
    </row>
    <row r="2875" spans="1:8" x14ac:dyDescent="0.15">
      <c r="A2875" s="3" t="s">
        <v>2773</v>
      </c>
      <c r="B2875" s="3" t="s">
        <v>4862</v>
      </c>
      <c r="C2875" s="3">
        <v>34436</v>
      </c>
      <c r="D2875" s="3" t="str">
        <f>VLOOKUP(B2875,[1]LifeList!$E$2:$G$2036,1)</f>
        <v>Scarlet Tanager</v>
      </c>
      <c r="E2875" s="3" t="str">
        <f>VLOOKUP(B2875,[1]LifeList!$E$2:$G$2036,2)</f>
        <v>Piranga écarlate</v>
      </c>
      <c r="F2875" s="3" t="str">
        <f>VLOOKUP(B2875,[1]LifeList!$E$2:$G$2036,3)</f>
        <v>Piranga olivacea</v>
      </c>
      <c r="G2875" s="3" t="str">
        <f>VLOOKUP(B2875,[1]LifeList!$E$2:$I$2036,4)</f>
        <v>Passeriformes</v>
      </c>
      <c r="H2875" s="3" t="str">
        <f>VLOOKUP(B2875,[1]LifeList!$E$2:$I$2036,5)</f>
        <v>Cardinalidae (Cardinals and Allies)</v>
      </c>
    </row>
    <row r="2876" spans="1:8" x14ac:dyDescent="0.15">
      <c r="A2876" s="3" t="s">
        <v>3911</v>
      </c>
      <c r="B2876" s="3" t="s">
        <v>4862</v>
      </c>
      <c r="C2876" s="3">
        <v>34436</v>
      </c>
      <c r="D2876" s="3" t="str">
        <f>VLOOKUP(B2876,[1]LifeList!$E$2:$G$2036,1)</f>
        <v>Scarlet Tanager</v>
      </c>
      <c r="E2876" s="3" t="str">
        <f>VLOOKUP(B2876,[1]LifeList!$E$2:$G$2036,2)</f>
        <v>Piranga écarlate</v>
      </c>
      <c r="F2876" s="3" t="str">
        <f>VLOOKUP(B2876,[1]LifeList!$E$2:$G$2036,3)</f>
        <v>Piranga olivacea</v>
      </c>
      <c r="G2876" s="3" t="str">
        <f>VLOOKUP(B2876,[1]LifeList!$E$2:$I$2036,4)</f>
        <v>Passeriformes</v>
      </c>
      <c r="H2876" s="3" t="str">
        <f>VLOOKUP(B2876,[1]LifeList!$E$2:$I$2036,5)</f>
        <v>Cardinalidae (Cardinals and Allies)</v>
      </c>
    </row>
    <row r="2877" spans="1:8" x14ac:dyDescent="0.15">
      <c r="A2877" s="3" t="s">
        <v>2749</v>
      </c>
      <c r="B2877" s="3" t="s">
        <v>4863</v>
      </c>
      <c r="C2877" s="3">
        <v>34883</v>
      </c>
      <c r="D2877" s="3" t="str">
        <f>VLOOKUP(B2877,[1]LifeList!$E$2:$G$2036,1)</f>
        <v>Scarlet-bellied Mountain Tanager</v>
      </c>
      <c r="E2877" s="3" t="str">
        <f>VLOOKUP(B2877,[1]LifeList!$E$2:$G$2036,2)</f>
        <v>Tangara à ventre rouge</v>
      </c>
      <c r="F2877" s="3" t="str">
        <f>VLOOKUP(B2877,[1]LifeList!$E$2:$G$2036,3)</f>
        <v>Anisognathus igniventris</v>
      </c>
      <c r="G2877" s="3" t="str">
        <f>VLOOKUP(B2877,[1]LifeList!$E$2:$I$2036,4)</f>
        <v>Passeriformes</v>
      </c>
      <c r="H2877" s="3" t="str">
        <f>VLOOKUP(B2877,[1]LifeList!$E$2:$I$2036,5)</f>
        <v>Thraupidae (Tanagers and Allies)</v>
      </c>
    </row>
    <row r="2878" spans="1:8" x14ac:dyDescent="0.15">
      <c r="A2878" s="3" t="s">
        <v>2750</v>
      </c>
      <c r="B2878" s="3" t="s">
        <v>4864</v>
      </c>
      <c r="C2878" s="3">
        <v>13189</v>
      </c>
      <c r="D2878" s="3" t="str">
        <f>VLOOKUP(B2878,[1]LifeList!$E$2:$G$2036,1)</f>
        <v>Scarlet-fronted Parakeet</v>
      </c>
      <c r="E2878" s="3" t="str">
        <f>VLOOKUP(B2878,[1]LifeList!$E$2:$G$2036,2)</f>
        <v>Conure de Wagler</v>
      </c>
      <c r="F2878" s="3" t="str">
        <f>VLOOKUP(B2878,[1]LifeList!$E$2:$G$2036,3)</f>
        <v>Psittacara wagleri</v>
      </c>
      <c r="G2878" s="3" t="str">
        <f>VLOOKUP(B2878,[1]LifeList!$E$2:$I$2036,4)</f>
        <v>Psittaciformes</v>
      </c>
      <c r="H2878" s="3" t="str">
        <f>VLOOKUP(B2878,[1]LifeList!$E$2:$I$2036,5)</f>
        <v>Psittacidae (New World and African Parrots)</v>
      </c>
    </row>
    <row r="2879" spans="1:8" x14ac:dyDescent="0.15">
      <c r="A2879" s="3" t="s">
        <v>2751</v>
      </c>
      <c r="B2879" s="3" t="s">
        <v>4864</v>
      </c>
      <c r="C2879" s="3">
        <v>13189</v>
      </c>
      <c r="D2879" s="3" t="str">
        <f>VLOOKUP(B2879,[1]LifeList!$E$2:$G$2036,1)</f>
        <v>Scarlet-fronted Parakeet</v>
      </c>
      <c r="E2879" s="3" t="str">
        <f>VLOOKUP(B2879,[1]LifeList!$E$2:$G$2036,2)</f>
        <v>Conure de Wagler</v>
      </c>
      <c r="F2879" s="3" t="str">
        <f>VLOOKUP(B2879,[1]LifeList!$E$2:$G$2036,3)</f>
        <v>Psittacara wagleri</v>
      </c>
      <c r="G2879" s="3" t="str">
        <f>VLOOKUP(B2879,[1]LifeList!$E$2:$I$2036,4)</f>
        <v>Psittaciformes</v>
      </c>
      <c r="H2879" s="3" t="str">
        <f>VLOOKUP(B2879,[1]LifeList!$E$2:$I$2036,5)</f>
        <v>Psittacidae (New World and African Parrots)</v>
      </c>
    </row>
    <row r="2880" spans="1:8" x14ac:dyDescent="0.15">
      <c r="A2880" s="3" t="s">
        <v>2752</v>
      </c>
      <c r="B2880" s="3" t="s">
        <v>4864</v>
      </c>
      <c r="C2880" s="3">
        <v>13189</v>
      </c>
      <c r="D2880" s="3" t="str">
        <f>VLOOKUP(B2880,[1]LifeList!$E$2:$G$2036,1)</f>
        <v>Scarlet-fronted Parakeet</v>
      </c>
      <c r="E2880" s="3" t="str">
        <f>VLOOKUP(B2880,[1]LifeList!$E$2:$G$2036,2)</f>
        <v>Conure de Wagler</v>
      </c>
      <c r="F2880" s="3" t="str">
        <f>VLOOKUP(B2880,[1]LifeList!$E$2:$G$2036,3)</f>
        <v>Psittacara wagleri</v>
      </c>
      <c r="G2880" s="3" t="str">
        <f>VLOOKUP(B2880,[1]LifeList!$E$2:$I$2036,4)</f>
        <v>Psittaciformes</v>
      </c>
      <c r="H2880" s="3" t="str">
        <f>VLOOKUP(B2880,[1]LifeList!$E$2:$I$2036,5)</f>
        <v>Psittacidae (New World and African Parrots)</v>
      </c>
    </row>
    <row r="2881" spans="1:8" x14ac:dyDescent="0.15">
      <c r="A2881" s="3" t="s">
        <v>2753</v>
      </c>
      <c r="B2881" s="3" t="s">
        <v>4865</v>
      </c>
      <c r="C2881" s="3">
        <v>34800</v>
      </c>
      <c r="D2881" s="3" t="str">
        <f>VLOOKUP(B2881,[1]LifeList!$E$2:$G$2036,1)</f>
        <v>Scarlet-rumped Tanager</v>
      </c>
      <c r="E2881" s="3" t="str">
        <f>VLOOKUP(B2881,[1]LifeList!$E$2:$G$2036,2)</f>
        <v>Tangara à croupion rouge</v>
      </c>
      <c r="F2881" s="3" t="str">
        <f>VLOOKUP(B2881,[1]LifeList!$E$2:$G$2036,3)</f>
        <v>Ramphocelus passerinii</v>
      </c>
      <c r="G2881" s="3" t="str">
        <f>VLOOKUP(B2881,[1]LifeList!$E$2:$I$2036,4)</f>
        <v>Passeriformes</v>
      </c>
      <c r="H2881" s="3" t="str">
        <f>VLOOKUP(B2881,[1]LifeList!$E$2:$I$2036,5)</f>
        <v>Thraupidae (Tanagers and Allies)</v>
      </c>
    </row>
    <row r="2882" spans="1:8" x14ac:dyDescent="0.15">
      <c r="A2882" s="3" t="s">
        <v>2754</v>
      </c>
      <c r="B2882" s="3" t="s">
        <v>4865</v>
      </c>
      <c r="C2882" s="3">
        <v>34800</v>
      </c>
      <c r="D2882" s="3" t="str">
        <f>VLOOKUP(B2882,[1]LifeList!$E$2:$G$2036,1)</f>
        <v>Scarlet-rumped Tanager</v>
      </c>
      <c r="E2882" s="3" t="str">
        <f>VLOOKUP(B2882,[1]LifeList!$E$2:$G$2036,2)</f>
        <v>Tangara à croupion rouge</v>
      </c>
      <c r="F2882" s="3" t="str">
        <f>VLOOKUP(B2882,[1]LifeList!$E$2:$G$2036,3)</f>
        <v>Ramphocelus passerinii</v>
      </c>
      <c r="G2882" s="3" t="str">
        <f>VLOOKUP(B2882,[1]LifeList!$E$2:$I$2036,4)</f>
        <v>Passeriformes</v>
      </c>
      <c r="H2882" s="3" t="str">
        <f>VLOOKUP(B2882,[1]LifeList!$E$2:$I$2036,5)</f>
        <v>Thraupidae (Tanagers and Allies)</v>
      </c>
    </row>
    <row r="2883" spans="1:8" x14ac:dyDescent="0.15">
      <c r="A2883" s="3" t="s">
        <v>2755</v>
      </c>
      <c r="B2883" s="3" t="s">
        <v>4865</v>
      </c>
      <c r="C2883" s="3">
        <v>34800</v>
      </c>
      <c r="D2883" s="3" t="str">
        <f>VLOOKUP(B2883,[1]LifeList!$E$2:$G$2036,1)</f>
        <v>Scarlet-rumped Tanager</v>
      </c>
      <c r="E2883" s="3" t="str">
        <f>VLOOKUP(B2883,[1]LifeList!$E$2:$G$2036,2)</f>
        <v>Tangara à croupion rouge</v>
      </c>
      <c r="F2883" s="3" t="str">
        <f>VLOOKUP(B2883,[1]LifeList!$E$2:$G$2036,3)</f>
        <v>Ramphocelus passerinii</v>
      </c>
      <c r="G2883" s="3" t="str">
        <f>VLOOKUP(B2883,[1]LifeList!$E$2:$I$2036,4)</f>
        <v>Passeriformes</v>
      </c>
      <c r="H2883" s="3" t="str">
        <f>VLOOKUP(B2883,[1]LifeList!$E$2:$I$2036,5)</f>
        <v>Thraupidae (Tanagers and Allies)</v>
      </c>
    </row>
    <row r="2884" spans="1:8" x14ac:dyDescent="0.15">
      <c r="A2884" s="3" t="s">
        <v>2756</v>
      </c>
      <c r="B2884" s="3" t="s">
        <v>4865</v>
      </c>
      <c r="C2884" s="3">
        <v>34800</v>
      </c>
      <c r="D2884" s="3" t="str">
        <f>VLOOKUP(B2884,[1]LifeList!$E$2:$G$2036,1)</f>
        <v>Scarlet-rumped Tanager</v>
      </c>
      <c r="E2884" s="3" t="str">
        <f>VLOOKUP(B2884,[1]LifeList!$E$2:$G$2036,2)</f>
        <v>Tangara à croupion rouge</v>
      </c>
      <c r="F2884" s="3" t="str">
        <f>VLOOKUP(B2884,[1]LifeList!$E$2:$G$2036,3)</f>
        <v>Ramphocelus passerinii</v>
      </c>
      <c r="G2884" s="3" t="str">
        <f>VLOOKUP(B2884,[1]LifeList!$E$2:$I$2036,4)</f>
        <v>Passeriformes</v>
      </c>
      <c r="H2884" s="3" t="str">
        <f>VLOOKUP(B2884,[1]LifeList!$E$2:$I$2036,5)</f>
        <v>Thraupidae (Tanagers and Allies)</v>
      </c>
    </row>
    <row r="2885" spans="1:8" x14ac:dyDescent="0.15">
      <c r="A2885" s="3" t="s">
        <v>2757</v>
      </c>
      <c r="B2885" s="3" t="s">
        <v>4865</v>
      </c>
      <c r="C2885" s="3">
        <v>34800</v>
      </c>
      <c r="D2885" s="3" t="str">
        <f>VLOOKUP(B2885,[1]LifeList!$E$2:$G$2036,1)</f>
        <v>Scarlet-rumped Tanager</v>
      </c>
      <c r="E2885" s="3" t="str">
        <f>VLOOKUP(B2885,[1]LifeList!$E$2:$G$2036,2)</f>
        <v>Tangara à croupion rouge</v>
      </c>
      <c r="F2885" s="3" t="str">
        <f>VLOOKUP(B2885,[1]LifeList!$E$2:$G$2036,3)</f>
        <v>Ramphocelus passerinii</v>
      </c>
      <c r="G2885" s="3" t="str">
        <f>VLOOKUP(B2885,[1]LifeList!$E$2:$I$2036,4)</f>
        <v>Passeriformes</v>
      </c>
      <c r="H2885" s="3" t="str">
        <f>VLOOKUP(B2885,[1]LifeList!$E$2:$I$2036,5)</f>
        <v>Thraupidae (Tanagers and Allies)</v>
      </c>
    </row>
    <row r="2886" spans="1:8" x14ac:dyDescent="0.15">
      <c r="A2886" s="3" t="s">
        <v>2758</v>
      </c>
      <c r="B2886" s="3" t="s">
        <v>4865</v>
      </c>
      <c r="C2886" s="3">
        <v>34800</v>
      </c>
      <c r="D2886" s="3" t="str">
        <f>VLOOKUP(B2886,[1]LifeList!$E$2:$G$2036,1)</f>
        <v>Scarlet-rumped Tanager</v>
      </c>
      <c r="E2886" s="3" t="str">
        <f>VLOOKUP(B2886,[1]LifeList!$E$2:$G$2036,2)</f>
        <v>Tangara à croupion rouge</v>
      </c>
      <c r="F2886" s="3" t="str">
        <f>VLOOKUP(B2886,[1]LifeList!$E$2:$G$2036,3)</f>
        <v>Ramphocelus passerinii</v>
      </c>
      <c r="G2886" s="3" t="str">
        <f>VLOOKUP(B2886,[1]LifeList!$E$2:$I$2036,4)</f>
        <v>Passeriformes</v>
      </c>
      <c r="H2886" s="3" t="str">
        <f>VLOOKUP(B2886,[1]LifeList!$E$2:$I$2036,5)</f>
        <v>Thraupidae (Tanagers and Allies)</v>
      </c>
    </row>
    <row r="2887" spans="1:8" x14ac:dyDescent="0.15">
      <c r="A2887" s="3" t="s">
        <v>2775</v>
      </c>
      <c r="B2887" s="3" t="s">
        <v>4866</v>
      </c>
      <c r="C2887" s="3">
        <v>17489</v>
      </c>
      <c r="D2887" s="3" t="str">
        <f>VLOOKUP(B2887,[1]LifeList!$E$2:$G$2036,1)</f>
        <v>Scissor-tailed Flycatcher</v>
      </c>
      <c r="E2887" s="3" t="str">
        <f>VLOOKUP(B2887,[1]LifeList!$E$2:$G$2036,2)</f>
        <v>Tyran à longue queue</v>
      </c>
      <c r="F2887" s="3" t="str">
        <f>VLOOKUP(B2887,[1]LifeList!$E$2:$G$2036,3)</f>
        <v>Tyrannus forficatus</v>
      </c>
      <c r="G2887" s="3" t="str">
        <f>VLOOKUP(B2887,[1]LifeList!$E$2:$I$2036,4)</f>
        <v>Passeriformes</v>
      </c>
      <c r="H2887" s="3" t="str">
        <f>VLOOKUP(B2887,[1]LifeList!$E$2:$I$2036,5)</f>
        <v>Tyrannidae (Tyrant Flycatchers)</v>
      </c>
    </row>
    <row r="2888" spans="1:8" x14ac:dyDescent="0.15">
      <c r="A2888" s="3" t="s">
        <v>2776</v>
      </c>
      <c r="B2888" s="3" t="s">
        <v>4866</v>
      </c>
      <c r="C2888" s="3">
        <v>17489</v>
      </c>
      <c r="D2888" s="3" t="str">
        <f>VLOOKUP(B2888,[1]LifeList!$E$2:$G$2036,1)</f>
        <v>Scissor-tailed Flycatcher</v>
      </c>
      <c r="E2888" s="3" t="str">
        <f>VLOOKUP(B2888,[1]LifeList!$E$2:$G$2036,2)</f>
        <v>Tyran à longue queue</v>
      </c>
      <c r="F2888" s="3" t="str">
        <f>VLOOKUP(B2888,[1]LifeList!$E$2:$G$2036,3)</f>
        <v>Tyrannus forficatus</v>
      </c>
      <c r="G2888" s="3" t="str">
        <f>VLOOKUP(B2888,[1]LifeList!$E$2:$I$2036,4)</f>
        <v>Passeriformes</v>
      </c>
      <c r="H2888" s="3" t="str">
        <f>VLOOKUP(B2888,[1]LifeList!$E$2:$I$2036,5)</f>
        <v>Tyrannidae (Tyrant Flycatchers)</v>
      </c>
    </row>
    <row r="2889" spans="1:8" x14ac:dyDescent="0.15">
      <c r="A2889" s="3" t="s">
        <v>2778</v>
      </c>
      <c r="B2889" s="3" t="s">
        <v>4867</v>
      </c>
      <c r="C2889" s="3">
        <v>19085</v>
      </c>
      <c r="D2889" s="3" t="str">
        <f>VLOOKUP(B2889,[1]LifeList!$E$2:$G$2036,1)</f>
        <v>Scrub Greenlet</v>
      </c>
      <c r="E2889" s="3" t="str">
        <f>VLOOKUP(B2889,[1]LifeList!$E$2:$G$2036,2)</f>
        <v>Viréon à pattes claires</v>
      </c>
      <c r="F2889" s="3" t="str">
        <f>VLOOKUP(B2889,[1]LifeList!$E$2:$G$2036,3)</f>
        <v>Hylophilus flavipes</v>
      </c>
      <c r="G2889" s="3" t="str">
        <f>VLOOKUP(B2889,[1]LifeList!$E$2:$I$2036,4)</f>
        <v>Passeriformes</v>
      </c>
      <c r="H2889" s="3" t="str">
        <f>VLOOKUP(B2889,[1]LifeList!$E$2:$I$2036,5)</f>
        <v>Vireonidae (Vireos, Shrike-Babblers, and Erpornis)</v>
      </c>
    </row>
    <row r="2890" spans="1:8" x14ac:dyDescent="0.15">
      <c r="A2890" s="3" t="s">
        <v>2777</v>
      </c>
      <c r="B2890" s="3" t="s">
        <v>4867</v>
      </c>
      <c r="C2890" s="3">
        <v>19085</v>
      </c>
      <c r="D2890" s="3" t="str">
        <f>VLOOKUP(B2890,[1]LifeList!$E$2:$G$2036,1)</f>
        <v>Scrub Greenlet</v>
      </c>
      <c r="E2890" s="3" t="str">
        <f>VLOOKUP(B2890,[1]LifeList!$E$2:$G$2036,2)</f>
        <v>Viréon à pattes claires</v>
      </c>
      <c r="F2890" s="3" t="str">
        <f>VLOOKUP(B2890,[1]LifeList!$E$2:$G$2036,3)</f>
        <v>Hylophilus flavipes</v>
      </c>
      <c r="G2890" s="3" t="str">
        <f>VLOOKUP(B2890,[1]LifeList!$E$2:$I$2036,4)</f>
        <v>Passeriformes</v>
      </c>
      <c r="H2890" s="3" t="str">
        <f>VLOOKUP(B2890,[1]LifeList!$E$2:$I$2036,5)</f>
        <v>Vireonidae (Vireos, Shrike-Babblers, and Erpornis)</v>
      </c>
    </row>
    <row r="2891" spans="1:8" x14ac:dyDescent="0.15">
      <c r="A2891" s="3" t="s">
        <v>2779</v>
      </c>
      <c r="B2891" s="3" t="s">
        <v>4868</v>
      </c>
      <c r="C2891" s="3">
        <v>35020</v>
      </c>
      <c r="D2891" s="3" t="str">
        <f>VLOOKUP(B2891,[1]LifeList!$E$2:$G$2036,1)</f>
        <v>Scrub Tanager</v>
      </c>
      <c r="E2891" s="3" t="str">
        <f>VLOOKUP(B2891,[1]LifeList!$E$2:$G$2036,2)</f>
        <v>Calliste vitriolin</v>
      </c>
      <c r="F2891" s="3" t="str">
        <f>VLOOKUP(B2891,[1]LifeList!$E$2:$G$2036,3)</f>
        <v>Stilpnia vitriolina</v>
      </c>
      <c r="G2891" s="3" t="str">
        <f>VLOOKUP(B2891,[1]LifeList!$E$2:$I$2036,4)</f>
        <v>Passeriformes</v>
      </c>
      <c r="H2891" s="3" t="str">
        <f>VLOOKUP(B2891,[1]LifeList!$E$2:$I$2036,5)</f>
        <v>Thraupidae (Tanagers and Allies)</v>
      </c>
    </row>
    <row r="2892" spans="1:8" x14ac:dyDescent="0.15">
      <c r="A2892" s="3" t="s">
        <v>2780</v>
      </c>
      <c r="B2892" s="3" t="s">
        <v>4868</v>
      </c>
      <c r="C2892" s="3">
        <v>35020</v>
      </c>
      <c r="D2892" s="3" t="str">
        <f>VLOOKUP(B2892,[1]LifeList!$E$2:$G$2036,1)</f>
        <v>Scrub Tanager</v>
      </c>
      <c r="E2892" s="3" t="str">
        <f>VLOOKUP(B2892,[1]LifeList!$E$2:$G$2036,2)</f>
        <v>Calliste vitriolin</v>
      </c>
      <c r="F2892" s="3" t="str">
        <f>VLOOKUP(B2892,[1]LifeList!$E$2:$G$2036,3)</f>
        <v>Stilpnia vitriolina</v>
      </c>
      <c r="G2892" s="3" t="str">
        <f>VLOOKUP(B2892,[1]LifeList!$E$2:$I$2036,4)</f>
        <v>Passeriformes</v>
      </c>
      <c r="H2892" s="3" t="str">
        <f>VLOOKUP(B2892,[1]LifeList!$E$2:$I$2036,5)</f>
        <v>Thraupidae (Tanagers and Allies)</v>
      </c>
    </row>
    <row r="2893" spans="1:8" x14ac:dyDescent="0.15">
      <c r="A2893" s="3" t="s">
        <v>2781</v>
      </c>
      <c r="B2893" s="3" t="s">
        <v>4869</v>
      </c>
      <c r="C2893" s="3">
        <v>7830</v>
      </c>
      <c r="D2893" s="3" t="str">
        <f>VLOOKUP(B2893,[1]LifeList!$E$2:$G$2036,1)</f>
        <v>Secretarybird</v>
      </c>
      <c r="E2893" s="3" t="str">
        <f>VLOOKUP(B2893,[1]LifeList!$E$2:$G$2036,2)</f>
        <v>Messager sagittaire</v>
      </c>
      <c r="F2893" s="3" t="str">
        <f>VLOOKUP(B2893,[1]LifeList!$E$2:$G$2036,3)</f>
        <v>Sagittarius serpentarius</v>
      </c>
      <c r="G2893" s="3" t="str">
        <f>VLOOKUP(B2893,[1]LifeList!$E$2:$I$2036,4)</f>
        <v>Accipitriformes</v>
      </c>
      <c r="H2893" s="3" t="str">
        <f>VLOOKUP(B2893,[1]LifeList!$E$2:$I$2036,5)</f>
        <v>Sagittariidae (Secretarybird)</v>
      </c>
    </row>
    <row r="2894" spans="1:8" x14ac:dyDescent="0.15">
      <c r="A2894" s="3" t="s">
        <v>2782</v>
      </c>
      <c r="B2894" s="3" t="s">
        <v>4869</v>
      </c>
      <c r="C2894" s="3">
        <v>7830</v>
      </c>
      <c r="D2894" s="3" t="str">
        <f>VLOOKUP(B2894,[1]LifeList!$E$2:$G$2036,1)</f>
        <v>Secretarybird</v>
      </c>
      <c r="E2894" s="3" t="str">
        <f>VLOOKUP(B2894,[1]LifeList!$E$2:$G$2036,2)</f>
        <v>Messager sagittaire</v>
      </c>
      <c r="F2894" s="3" t="str">
        <f>VLOOKUP(B2894,[1]LifeList!$E$2:$G$2036,3)</f>
        <v>Sagittarius serpentarius</v>
      </c>
      <c r="G2894" s="3" t="str">
        <f>VLOOKUP(B2894,[1]LifeList!$E$2:$I$2036,4)</f>
        <v>Accipitriformes</v>
      </c>
      <c r="H2894" s="3" t="str">
        <f>VLOOKUP(B2894,[1]LifeList!$E$2:$I$2036,5)</f>
        <v>Sagittariidae (Secretarybird)</v>
      </c>
    </row>
    <row r="2895" spans="1:8" x14ac:dyDescent="0.15">
      <c r="A2895" s="3" t="s">
        <v>2783</v>
      </c>
      <c r="B2895" s="3" t="s">
        <v>4869</v>
      </c>
      <c r="C2895" s="3">
        <v>7830</v>
      </c>
      <c r="D2895" s="3" t="str">
        <f>VLOOKUP(B2895,[1]LifeList!$E$2:$G$2036,1)</f>
        <v>Secretarybird</v>
      </c>
      <c r="E2895" s="3" t="str">
        <f>VLOOKUP(B2895,[1]LifeList!$E$2:$G$2036,2)</f>
        <v>Messager sagittaire</v>
      </c>
      <c r="F2895" s="3" t="str">
        <f>VLOOKUP(B2895,[1]LifeList!$E$2:$G$2036,3)</f>
        <v>Sagittarius serpentarius</v>
      </c>
      <c r="G2895" s="3" t="str">
        <f>VLOOKUP(B2895,[1]LifeList!$E$2:$I$2036,4)</f>
        <v>Accipitriformes</v>
      </c>
      <c r="H2895" s="3" t="str">
        <f>VLOOKUP(B2895,[1]LifeList!$E$2:$I$2036,5)</f>
        <v>Sagittariidae (Secretarybird)</v>
      </c>
    </row>
    <row r="2896" spans="1:8" x14ac:dyDescent="0.15">
      <c r="A2896" s="3" t="s">
        <v>2784</v>
      </c>
      <c r="B2896" s="3" t="s">
        <v>4869</v>
      </c>
      <c r="C2896" s="3">
        <v>7830</v>
      </c>
      <c r="D2896" s="3" t="str">
        <f>VLOOKUP(B2896,[1]LifeList!$E$2:$G$2036,1)</f>
        <v>Secretarybird</v>
      </c>
      <c r="E2896" s="3" t="str">
        <f>VLOOKUP(B2896,[1]LifeList!$E$2:$G$2036,2)</f>
        <v>Messager sagittaire</v>
      </c>
      <c r="F2896" s="3" t="str">
        <f>VLOOKUP(B2896,[1]LifeList!$E$2:$G$2036,3)</f>
        <v>Sagittarius serpentarius</v>
      </c>
      <c r="G2896" s="3" t="str">
        <f>VLOOKUP(B2896,[1]LifeList!$E$2:$I$2036,4)</f>
        <v>Accipitriformes</v>
      </c>
      <c r="H2896" s="3" t="str">
        <f>VLOOKUP(B2896,[1]LifeList!$E$2:$I$2036,5)</f>
        <v>Sagittariidae (Secretarybird)</v>
      </c>
    </row>
    <row r="2897" spans="1:8" x14ac:dyDescent="0.15">
      <c r="A2897" s="3" t="s">
        <v>2785</v>
      </c>
      <c r="B2897" s="3" t="s">
        <v>4869</v>
      </c>
      <c r="C2897" s="3">
        <v>7830</v>
      </c>
      <c r="D2897" s="3" t="str">
        <f>VLOOKUP(B2897,[1]LifeList!$E$2:$G$2036,1)</f>
        <v>Secretarybird</v>
      </c>
      <c r="E2897" s="3" t="str">
        <f>VLOOKUP(B2897,[1]LifeList!$E$2:$G$2036,2)</f>
        <v>Messager sagittaire</v>
      </c>
      <c r="F2897" s="3" t="str">
        <f>VLOOKUP(B2897,[1]LifeList!$E$2:$G$2036,3)</f>
        <v>Sagittarius serpentarius</v>
      </c>
      <c r="G2897" s="3" t="str">
        <f>VLOOKUP(B2897,[1]LifeList!$E$2:$I$2036,4)</f>
        <v>Accipitriformes</v>
      </c>
      <c r="H2897" s="3" t="str">
        <f>VLOOKUP(B2897,[1]LifeList!$E$2:$I$2036,5)</f>
        <v>Sagittariidae (Secretarybird)</v>
      </c>
    </row>
    <row r="2898" spans="1:8" x14ac:dyDescent="0.15">
      <c r="A2898" s="3" t="s">
        <v>2786</v>
      </c>
      <c r="B2898" s="3" t="s">
        <v>4870</v>
      </c>
      <c r="C2898" s="3">
        <v>27303</v>
      </c>
      <c r="D2898" s="3" t="str">
        <f>VLOOKUP(B2898,[1]LifeList!$E$2:$G$2036,1)</f>
        <v>Sedge Wren</v>
      </c>
      <c r="E2898" s="3" t="str">
        <f>VLOOKUP(B2898,[1]LifeList!$E$2:$G$2036,2)</f>
        <v>Troglodyte à bec court</v>
      </c>
      <c r="F2898" s="3" t="str">
        <f>VLOOKUP(B2898,[1]LifeList!$E$2:$G$2036,3)</f>
        <v>Cistothorus stellaris</v>
      </c>
      <c r="G2898" s="3" t="str">
        <f>VLOOKUP(B2898,[1]LifeList!$E$2:$I$2036,4)</f>
        <v>Passeriformes</v>
      </c>
      <c r="H2898" s="3" t="str">
        <f>VLOOKUP(B2898,[1]LifeList!$E$2:$I$2036,5)</f>
        <v>Troglodytidae (Wrens)</v>
      </c>
    </row>
    <row r="2899" spans="1:8" x14ac:dyDescent="0.15">
      <c r="A2899" s="3" t="s">
        <v>2787</v>
      </c>
      <c r="B2899" s="3" t="s">
        <v>4870</v>
      </c>
      <c r="C2899" s="3">
        <v>27303</v>
      </c>
      <c r="D2899" s="3" t="str">
        <f>VLOOKUP(B2899,[1]LifeList!$E$2:$G$2036,1)</f>
        <v>Sedge Wren</v>
      </c>
      <c r="E2899" s="3" t="str">
        <f>VLOOKUP(B2899,[1]LifeList!$E$2:$G$2036,2)</f>
        <v>Troglodyte à bec court</v>
      </c>
      <c r="F2899" s="3" t="str">
        <f>VLOOKUP(B2899,[1]LifeList!$E$2:$G$2036,3)</f>
        <v>Cistothorus stellaris</v>
      </c>
      <c r="G2899" s="3" t="str">
        <f>VLOOKUP(B2899,[1]LifeList!$E$2:$I$2036,4)</f>
        <v>Passeriformes</v>
      </c>
      <c r="H2899" s="3" t="str">
        <f>VLOOKUP(B2899,[1]LifeList!$E$2:$I$2036,5)</f>
        <v>Troglodytidae (Wrens)</v>
      </c>
    </row>
    <row r="2900" spans="1:8" x14ac:dyDescent="0.15">
      <c r="A2900" s="3" t="s">
        <v>2788</v>
      </c>
      <c r="B2900" s="3" t="s">
        <v>4870</v>
      </c>
      <c r="C2900" s="3">
        <v>27303</v>
      </c>
      <c r="D2900" s="3" t="str">
        <f>VLOOKUP(B2900,[1]LifeList!$E$2:$G$2036,1)</f>
        <v>Sedge Wren</v>
      </c>
      <c r="E2900" s="3" t="str">
        <f>VLOOKUP(B2900,[1]LifeList!$E$2:$G$2036,2)</f>
        <v>Troglodyte à bec court</v>
      </c>
      <c r="F2900" s="3" t="str">
        <f>VLOOKUP(B2900,[1]LifeList!$E$2:$G$2036,3)</f>
        <v>Cistothorus stellaris</v>
      </c>
      <c r="G2900" s="3" t="str">
        <f>VLOOKUP(B2900,[1]LifeList!$E$2:$I$2036,4)</f>
        <v>Passeriformes</v>
      </c>
      <c r="H2900" s="3" t="str">
        <f>VLOOKUP(B2900,[1]LifeList!$E$2:$I$2036,5)</f>
        <v>Troglodytidae (Wrens)</v>
      </c>
    </row>
    <row r="2901" spans="1:8" x14ac:dyDescent="0.15">
      <c r="A2901" s="3" t="s">
        <v>2791</v>
      </c>
      <c r="B2901" s="3" t="s">
        <v>4871</v>
      </c>
      <c r="C2901" s="3">
        <v>5834</v>
      </c>
      <c r="D2901" s="3" t="str">
        <f>VLOOKUP(B2901,[1]LifeList!$E$2:$G$2036,1)</f>
        <v>Semipalmated Plover</v>
      </c>
      <c r="E2901" s="3" t="str">
        <f>VLOOKUP(B2901,[1]LifeList!$E$2:$G$2036,2)</f>
        <v>Pluvier semipalmé</v>
      </c>
      <c r="F2901" s="3" t="str">
        <f>VLOOKUP(B2901,[1]LifeList!$E$2:$G$2036,3)</f>
        <v>Charadrius semipalmatus</v>
      </c>
      <c r="G2901" s="3" t="str">
        <f>VLOOKUP(B2901,[1]LifeList!$E$2:$I$2036,4)</f>
        <v>Charadriiformes</v>
      </c>
      <c r="H2901" s="3" t="str">
        <f>VLOOKUP(B2901,[1]LifeList!$E$2:$I$2036,5)</f>
        <v>Charadriidae (Plovers and Lapwings)</v>
      </c>
    </row>
    <row r="2902" spans="1:8" x14ac:dyDescent="0.15">
      <c r="A2902" s="3" t="s">
        <v>2792</v>
      </c>
      <c r="B2902" s="3" t="s">
        <v>4871</v>
      </c>
      <c r="C2902" s="3">
        <v>5834</v>
      </c>
      <c r="D2902" s="3" t="str">
        <f>VLOOKUP(B2902,[1]LifeList!$E$2:$G$2036,1)</f>
        <v>Semipalmated Plover</v>
      </c>
      <c r="E2902" s="3" t="str">
        <f>VLOOKUP(B2902,[1]LifeList!$E$2:$G$2036,2)</f>
        <v>Pluvier semipalmé</v>
      </c>
      <c r="F2902" s="3" t="str">
        <f>VLOOKUP(B2902,[1]LifeList!$E$2:$G$2036,3)</f>
        <v>Charadrius semipalmatus</v>
      </c>
      <c r="G2902" s="3" t="str">
        <f>VLOOKUP(B2902,[1]LifeList!$E$2:$I$2036,4)</f>
        <v>Charadriiformes</v>
      </c>
      <c r="H2902" s="3" t="str">
        <f>VLOOKUP(B2902,[1]LifeList!$E$2:$I$2036,5)</f>
        <v>Charadriidae (Plovers and Lapwings)</v>
      </c>
    </row>
    <row r="2903" spans="1:8" x14ac:dyDescent="0.15">
      <c r="A2903" s="3" t="s">
        <v>2793</v>
      </c>
      <c r="B2903" s="3" t="s">
        <v>4871</v>
      </c>
      <c r="C2903" s="3">
        <v>5834</v>
      </c>
      <c r="D2903" s="3" t="str">
        <f>VLOOKUP(B2903,[1]LifeList!$E$2:$G$2036,1)</f>
        <v>Semipalmated Plover</v>
      </c>
      <c r="E2903" s="3" t="str">
        <f>VLOOKUP(B2903,[1]LifeList!$E$2:$G$2036,2)</f>
        <v>Pluvier semipalmé</v>
      </c>
      <c r="F2903" s="3" t="str">
        <f>VLOOKUP(B2903,[1]LifeList!$E$2:$G$2036,3)</f>
        <v>Charadrius semipalmatus</v>
      </c>
      <c r="G2903" s="3" t="str">
        <f>VLOOKUP(B2903,[1]LifeList!$E$2:$I$2036,4)</f>
        <v>Charadriiformes</v>
      </c>
      <c r="H2903" s="3" t="str">
        <f>VLOOKUP(B2903,[1]LifeList!$E$2:$I$2036,5)</f>
        <v>Charadriidae (Plovers and Lapwings)</v>
      </c>
    </row>
    <row r="2904" spans="1:8" x14ac:dyDescent="0.15">
      <c r="A2904" s="3" t="s">
        <v>2794</v>
      </c>
      <c r="B2904" s="3" t="s">
        <v>4871</v>
      </c>
      <c r="C2904" s="3">
        <v>5834</v>
      </c>
      <c r="D2904" s="3" t="str">
        <f>VLOOKUP(B2904,[1]LifeList!$E$2:$G$2036,1)</f>
        <v>Semipalmated Plover</v>
      </c>
      <c r="E2904" s="3" t="str">
        <f>VLOOKUP(B2904,[1]LifeList!$E$2:$G$2036,2)</f>
        <v>Pluvier semipalmé</v>
      </c>
      <c r="F2904" s="3" t="str">
        <f>VLOOKUP(B2904,[1]LifeList!$E$2:$G$2036,3)</f>
        <v>Charadrius semipalmatus</v>
      </c>
      <c r="G2904" s="3" t="str">
        <f>VLOOKUP(B2904,[1]LifeList!$E$2:$I$2036,4)</f>
        <v>Charadriiformes</v>
      </c>
      <c r="H2904" s="3" t="str">
        <f>VLOOKUP(B2904,[1]LifeList!$E$2:$I$2036,5)</f>
        <v>Charadriidae (Plovers and Lapwings)</v>
      </c>
    </row>
    <row r="2905" spans="1:8" x14ac:dyDescent="0.15">
      <c r="A2905" s="3" t="s">
        <v>2795</v>
      </c>
      <c r="B2905" s="3" t="s">
        <v>4871</v>
      </c>
      <c r="C2905" s="3">
        <v>5834</v>
      </c>
      <c r="D2905" s="3" t="str">
        <f>VLOOKUP(B2905,[1]LifeList!$E$2:$G$2036,1)</f>
        <v>Semipalmated Plover</v>
      </c>
      <c r="E2905" s="3" t="str">
        <f>VLOOKUP(B2905,[1]LifeList!$E$2:$G$2036,2)</f>
        <v>Pluvier semipalmé</v>
      </c>
      <c r="F2905" s="3" t="str">
        <f>VLOOKUP(B2905,[1]LifeList!$E$2:$G$2036,3)</f>
        <v>Charadrius semipalmatus</v>
      </c>
      <c r="G2905" s="3" t="str">
        <f>VLOOKUP(B2905,[1]LifeList!$E$2:$I$2036,4)</f>
        <v>Charadriiformes</v>
      </c>
      <c r="H2905" s="3" t="str">
        <f>VLOOKUP(B2905,[1]LifeList!$E$2:$I$2036,5)</f>
        <v>Charadriidae (Plovers and Lapwings)</v>
      </c>
    </row>
    <row r="2906" spans="1:8" x14ac:dyDescent="0.15">
      <c r="A2906" s="3" t="s">
        <v>2796</v>
      </c>
      <c r="B2906" s="3" t="s">
        <v>4871</v>
      </c>
      <c r="C2906" s="3">
        <v>5834</v>
      </c>
      <c r="D2906" s="3" t="str">
        <f>VLOOKUP(B2906,[1]LifeList!$E$2:$G$2036,1)</f>
        <v>Semipalmated Plover</v>
      </c>
      <c r="E2906" s="3" t="str">
        <f>VLOOKUP(B2906,[1]LifeList!$E$2:$G$2036,2)</f>
        <v>Pluvier semipalmé</v>
      </c>
      <c r="F2906" s="3" t="str">
        <f>VLOOKUP(B2906,[1]LifeList!$E$2:$G$2036,3)</f>
        <v>Charadrius semipalmatus</v>
      </c>
      <c r="G2906" s="3" t="str">
        <f>VLOOKUP(B2906,[1]LifeList!$E$2:$I$2036,4)</f>
        <v>Charadriiformes</v>
      </c>
      <c r="H2906" s="3" t="str">
        <f>VLOOKUP(B2906,[1]LifeList!$E$2:$I$2036,5)</f>
        <v>Charadriidae (Plovers and Lapwings)</v>
      </c>
    </row>
    <row r="2907" spans="1:8" x14ac:dyDescent="0.15">
      <c r="A2907" s="3" t="s">
        <v>2797</v>
      </c>
      <c r="B2907" s="3" t="s">
        <v>4871</v>
      </c>
      <c r="C2907" s="3">
        <v>5834</v>
      </c>
      <c r="D2907" s="3" t="str">
        <f>VLOOKUP(B2907,[1]LifeList!$E$2:$G$2036,1)</f>
        <v>Semipalmated Plover</v>
      </c>
      <c r="E2907" s="3" t="str">
        <f>VLOOKUP(B2907,[1]LifeList!$E$2:$G$2036,2)</f>
        <v>Pluvier semipalmé</v>
      </c>
      <c r="F2907" s="3" t="str">
        <f>VLOOKUP(B2907,[1]LifeList!$E$2:$G$2036,3)</f>
        <v>Charadrius semipalmatus</v>
      </c>
      <c r="G2907" s="3" t="str">
        <f>VLOOKUP(B2907,[1]LifeList!$E$2:$I$2036,4)</f>
        <v>Charadriiformes</v>
      </c>
      <c r="H2907" s="3" t="str">
        <f>VLOOKUP(B2907,[1]LifeList!$E$2:$I$2036,5)</f>
        <v>Charadriidae (Plovers and Lapwings)</v>
      </c>
    </row>
    <row r="2908" spans="1:8" x14ac:dyDescent="0.15">
      <c r="A2908" s="3" t="s">
        <v>2798</v>
      </c>
      <c r="B2908" s="3" t="s">
        <v>4871</v>
      </c>
      <c r="C2908" s="3">
        <v>5834</v>
      </c>
      <c r="D2908" s="3" t="str">
        <f>VLOOKUP(B2908,[1]LifeList!$E$2:$G$2036,1)</f>
        <v>Semipalmated Plover</v>
      </c>
      <c r="E2908" s="3" t="str">
        <f>VLOOKUP(B2908,[1]LifeList!$E$2:$G$2036,2)</f>
        <v>Pluvier semipalmé</v>
      </c>
      <c r="F2908" s="3" t="str">
        <f>VLOOKUP(B2908,[1]LifeList!$E$2:$G$2036,3)</f>
        <v>Charadrius semipalmatus</v>
      </c>
      <c r="G2908" s="3" t="str">
        <f>VLOOKUP(B2908,[1]LifeList!$E$2:$I$2036,4)</f>
        <v>Charadriiformes</v>
      </c>
      <c r="H2908" s="3" t="str">
        <f>VLOOKUP(B2908,[1]LifeList!$E$2:$I$2036,5)</f>
        <v>Charadriidae (Plovers and Lapwings)</v>
      </c>
    </row>
    <row r="2909" spans="1:8" x14ac:dyDescent="0.15">
      <c r="A2909" s="3" t="s">
        <v>2799</v>
      </c>
      <c r="B2909" s="3" t="s">
        <v>4871</v>
      </c>
      <c r="C2909" s="3">
        <v>5834</v>
      </c>
      <c r="D2909" s="3" t="str">
        <f>VLOOKUP(B2909,[1]LifeList!$E$2:$G$2036,1)</f>
        <v>Semipalmated Plover</v>
      </c>
      <c r="E2909" s="3" t="str">
        <f>VLOOKUP(B2909,[1]LifeList!$E$2:$G$2036,2)</f>
        <v>Pluvier semipalmé</v>
      </c>
      <c r="F2909" s="3" t="str">
        <f>VLOOKUP(B2909,[1]LifeList!$E$2:$G$2036,3)</f>
        <v>Charadrius semipalmatus</v>
      </c>
      <c r="G2909" s="3" t="str">
        <f>VLOOKUP(B2909,[1]LifeList!$E$2:$I$2036,4)</f>
        <v>Charadriiformes</v>
      </c>
      <c r="H2909" s="3" t="str">
        <f>VLOOKUP(B2909,[1]LifeList!$E$2:$I$2036,5)</f>
        <v>Charadriidae (Plovers and Lapwings)</v>
      </c>
    </row>
    <row r="2910" spans="1:8" x14ac:dyDescent="0.15">
      <c r="A2910" s="3" t="s">
        <v>2789</v>
      </c>
      <c r="B2910" s="3" t="s">
        <v>4871</v>
      </c>
      <c r="C2910" s="3">
        <v>5834</v>
      </c>
      <c r="D2910" s="3" t="str">
        <f>VLOOKUP(B2910,[1]LifeList!$E$2:$G$2036,1)</f>
        <v>Semipalmated Plover</v>
      </c>
      <c r="E2910" s="3" t="str">
        <f>VLOOKUP(B2910,[1]LifeList!$E$2:$G$2036,2)</f>
        <v>Pluvier semipalmé</v>
      </c>
      <c r="F2910" s="3" t="str">
        <f>VLOOKUP(B2910,[1]LifeList!$E$2:$G$2036,3)</f>
        <v>Charadrius semipalmatus</v>
      </c>
      <c r="G2910" s="3" t="str">
        <f>VLOOKUP(B2910,[1]LifeList!$E$2:$I$2036,4)</f>
        <v>Charadriiformes</v>
      </c>
      <c r="H2910" s="3" t="str">
        <f>VLOOKUP(B2910,[1]LifeList!$E$2:$I$2036,5)</f>
        <v>Charadriidae (Plovers and Lapwings)</v>
      </c>
    </row>
    <row r="2911" spans="1:8" x14ac:dyDescent="0.15">
      <c r="A2911" s="3" t="s">
        <v>2790</v>
      </c>
      <c r="B2911" s="3" t="s">
        <v>4871</v>
      </c>
      <c r="C2911" s="3">
        <v>5834</v>
      </c>
      <c r="D2911" s="3" t="str">
        <f>VLOOKUP(B2911,[1]LifeList!$E$2:$G$2036,1)</f>
        <v>Semipalmated Plover</v>
      </c>
      <c r="E2911" s="3" t="str">
        <f>VLOOKUP(B2911,[1]LifeList!$E$2:$G$2036,2)</f>
        <v>Pluvier semipalmé</v>
      </c>
      <c r="F2911" s="3" t="str">
        <f>VLOOKUP(B2911,[1]LifeList!$E$2:$G$2036,3)</f>
        <v>Charadrius semipalmatus</v>
      </c>
      <c r="G2911" s="3" t="str">
        <f>VLOOKUP(B2911,[1]LifeList!$E$2:$I$2036,4)</f>
        <v>Charadriiformes</v>
      </c>
      <c r="H2911" s="3" t="str">
        <f>VLOOKUP(B2911,[1]LifeList!$E$2:$I$2036,5)</f>
        <v>Charadriidae (Plovers and Lapwings)</v>
      </c>
    </row>
    <row r="2912" spans="1:8" x14ac:dyDescent="0.15">
      <c r="A2912" s="3" t="s">
        <v>2800</v>
      </c>
      <c r="B2912" s="3" t="s">
        <v>4872</v>
      </c>
      <c r="C2912" s="3">
        <v>6232</v>
      </c>
      <c r="D2912" s="3" t="str">
        <f>VLOOKUP(B2912,[1]LifeList!$E$2:$G$2036,1)</f>
        <v>Semipalmated Sandpiper</v>
      </c>
      <c r="E2912" s="3" t="str">
        <f>VLOOKUP(B2912,[1]LifeList!$E$2:$G$2036,2)</f>
        <v>Bécasseau semipalmé</v>
      </c>
      <c r="F2912" s="3" t="str">
        <f>VLOOKUP(B2912,[1]LifeList!$E$2:$G$2036,3)</f>
        <v>Calidris pusilla</v>
      </c>
      <c r="G2912" s="3" t="str">
        <f>VLOOKUP(B2912,[1]LifeList!$E$2:$I$2036,4)</f>
        <v>Charadriiformes</v>
      </c>
      <c r="H2912" s="3" t="str">
        <f>VLOOKUP(B2912,[1]LifeList!$E$2:$I$2036,5)</f>
        <v>Scolopacidae (Sandpipers and Allies)</v>
      </c>
    </row>
    <row r="2913" spans="1:8" x14ac:dyDescent="0.15">
      <c r="A2913" s="3" t="s">
        <v>2801</v>
      </c>
      <c r="B2913" s="3" t="s">
        <v>4872</v>
      </c>
      <c r="C2913" s="3">
        <v>6232</v>
      </c>
      <c r="D2913" s="3" t="str">
        <f>VLOOKUP(B2913,[1]LifeList!$E$2:$G$2036,1)</f>
        <v>Semipalmated Sandpiper</v>
      </c>
      <c r="E2913" s="3" t="str">
        <f>VLOOKUP(B2913,[1]LifeList!$E$2:$G$2036,2)</f>
        <v>Bécasseau semipalmé</v>
      </c>
      <c r="F2913" s="3" t="str">
        <f>VLOOKUP(B2913,[1]LifeList!$E$2:$G$2036,3)</f>
        <v>Calidris pusilla</v>
      </c>
      <c r="G2913" s="3" t="str">
        <f>VLOOKUP(B2913,[1]LifeList!$E$2:$I$2036,4)</f>
        <v>Charadriiformes</v>
      </c>
      <c r="H2913" s="3" t="str">
        <f>VLOOKUP(B2913,[1]LifeList!$E$2:$I$2036,5)</f>
        <v>Scolopacidae (Sandpipers and Allies)</v>
      </c>
    </row>
    <row r="2914" spans="1:8" x14ac:dyDescent="0.15">
      <c r="A2914" s="3" t="s">
        <v>2802</v>
      </c>
      <c r="B2914" s="3" t="s">
        <v>4872</v>
      </c>
      <c r="C2914" s="3">
        <v>6232</v>
      </c>
      <c r="D2914" s="3" t="str">
        <f>VLOOKUP(B2914,[1]LifeList!$E$2:$G$2036,1)</f>
        <v>Semipalmated Sandpiper</v>
      </c>
      <c r="E2914" s="3" t="str">
        <f>VLOOKUP(B2914,[1]LifeList!$E$2:$G$2036,2)</f>
        <v>Bécasseau semipalmé</v>
      </c>
      <c r="F2914" s="3" t="str">
        <f>VLOOKUP(B2914,[1]LifeList!$E$2:$G$2036,3)</f>
        <v>Calidris pusilla</v>
      </c>
      <c r="G2914" s="3" t="str">
        <f>VLOOKUP(B2914,[1]LifeList!$E$2:$I$2036,4)</f>
        <v>Charadriiformes</v>
      </c>
      <c r="H2914" s="3" t="str">
        <f>VLOOKUP(B2914,[1]LifeList!$E$2:$I$2036,5)</f>
        <v>Scolopacidae (Sandpipers and Allies)</v>
      </c>
    </row>
    <row r="2915" spans="1:8" x14ac:dyDescent="0.15">
      <c r="A2915" s="3" t="s">
        <v>2803</v>
      </c>
      <c r="B2915" s="3" t="s">
        <v>4872</v>
      </c>
      <c r="C2915" s="3">
        <v>6232</v>
      </c>
      <c r="D2915" s="3" t="str">
        <f>VLOOKUP(B2915,[1]LifeList!$E$2:$G$2036,1)</f>
        <v>Semipalmated Sandpiper</v>
      </c>
      <c r="E2915" s="3" t="str">
        <f>VLOOKUP(B2915,[1]LifeList!$E$2:$G$2036,2)</f>
        <v>Bécasseau semipalmé</v>
      </c>
      <c r="F2915" s="3" t="str">
        <f>VLOOKUP(B2915,[1]LifeList!$E$2:$G$2036,3)</f>
        <v>Calidris pusilla</v>
      </c>
      <c r="G2915" s="3" t="str">
        <f>VLOOKUP(B2915,[1]LifeList!$E$2:$I$2036,4)</f>
        <v>Charadriiformes</v>
      </c>
      <c r="H2915" s="3" t="str">
        <f>VLOOKUP(B2915,[1]LifeList!$E$2:$I$2036,5)</f>
        <v>Scolopacidae (Sandpipers and Allies)</v>
      </c>
    </row>
    <row r="2916" spans="1:8" x14ac:dyDescent="0.15">
      <c r="A2916" s="3" t="s">
        <v>2804</v>
      </c>
      <c r="B2916" s="3" t="s">
        <v>4873</v>
      </c>
      <c r="C2916" s="3">
        <v>6181</v>
      </c>
      <c r="D2916" s="3" t="str">
        <f>VLOOKUP(B2916,[1]LifeList!$E$2:$G$2036,1)</f>
        <v>Sharp-tailed Sandpiper</v>
      </c>
      <c r="E2916" s="3" t="str">
        <f>VLOOKUP(B2916,[1]LifeList!$E$2:$G$2036,2)</f>
        <v>Bécasseau à queue pointue</v>
      </c>
      <c r="F2916" s="3" t="str">
        <f>VLOOKUP(B2916,[1]LifeList!$E$2:$G$2036,3)</f>
        <v>Calidris acuminata</v>
      </c>
      <c r="G2916" s="3" t="str">
        <f>VLOOKUP(B2916,[1]LifeList!$E$2:$I$2036,4)</f>
        <v>Charadriiformes</v>
      </c>
      <c r="H2916" s="3" t="str">
        <f>VLOOKUP(B2916,[1]LifeList!$E$2:$I$2036,5)</f>
        <v>Scolopacidae (Sandpipers and Allies)</v>
      </c>
    </row>
    <row r="2917" spans="1:8" x14ac:dyDescent="0.15">
      <c r="A2917" s="3" t="s">
        <v>3912</v>
      </c>
      <c r="B2917" s="3" t="s">
        <v>4874</v>
      </c>
      <c r="C2917" s="3">
        <v>8164</v>
      </c>
      <c r="D2917" s="3" t="str">
        <f>VLOOKUP(B2917,[1]LifeList!$E$2:$G$2036,1)</f>
        <v>Shikra</v>
      </c>
      <c r="E2917" s="3" t="str">
        <f>VLOOKUP(B2917,[1]LifeList!$E$2:$G$2036,2)</f>
        <v>Épervier shikra</v>
      </c>
      <c r="F2917" s="3" t="str">
        <f>VLOOKUP(B2917,[1]LifeList!$E$2:$G$2036,3)</f>
        <v>Tachyspiza badia</v>
      </c>
      <c r="G2917" s="3" t="str">
        <f>VLOOKUP(B2917,[1]LifeList!$E$2:$I$2036,4)</f>
        <v>Accipitriformes</v>
      </c>
      <c r="H2917" s="3" t="str">
        <f>VLOOKUP(B2917,[1]LifeList!$E$2:$I$2036,5)</f>
        <v>Accipitridae (Hawks, Eagles, and Kites)</v>
      </c>
    </row>
    <row r="2918" spans="1:8" x14ac:dyDescent="0.15">
      <c r="A2918" s="3" t="s">
        <v>2805</v>
      </c>
      <c r="B2918" s="3" t="s">
        <v>4875</v>
      </c>
      <c r="C2918" s="3">
        <v>3318</v>
      </c>
      <c r="D2918" s="3" t="str">
        <f>VLOOKUP(B2918,[1]LifeList!$E$2:$G$2036,1)</f>
        <v>Shining Bronze-Cuckoo</v>
      </c>
      <c r="E2918" s="3" t="str">
        <f>VLOOKUP(B2918,[1]LifeList!$E$2:$G$2036,2)</f>
        <v>Coucou éclatant</v>
      </c>
      <c r="F2918" s="3" t="str">
        <f>VLOOKUP(B2918,[1]LifeList!$E$2:$G$2036,3)</f>
        <v>Chalcites lucidus</v>
      </c>
      <c r="G2918" s="3" t="str">
        <f>VLOOKUP(B2918,[1]LifeList!$E$2:$I$2036,4)</f>
        <v>Cuculiformes</v>
      </c>
      <c r="H2918" s="3" t="str">
        <f>VLOOKUP(B2918,[1]LifeList!$E$2:$I$2036,5)</f>
        <v>Cuculidae (Cuckoos)</v>
      </c>
    </row>
    <row r="2919" spans="1:8" x14ac:dyDescent="0.15">
      <c r="A2919" s="3" t="s">
        <v>2806</v>
      </c>
      <c r="B2919" s="3" t="s">
        <v>4876</v>
      </c>
      <c r="C2919" s="3">
        <v>35165</v>
      </c>
      <c r="D2919" s="3" t="str">
        <f>VLOOKUP(B2919,[1]LifeList!$E$2:$G$2036,1)</f>
        <v>Shining Honeycreeper</v>
      </c>
      <c r="E2919" s="3" t="str">
        <f>VLOOKUP(B2919,[1]LifeList!$E$2:$G$2036,2)</f>
        <v>Guit-guit brillant</v>
      </c>
      <c r="F2919" s="3" t="str">
        <f>VLOOKUP(B2919,[1]LifeList!$E$2:$G$2036,3)</f>
        <v>Cyanerpes lucidus</v>
      </c>
      <c r="G2919" s="3" t="str">
        <f>VLOOKUP(B2919,[1]LifeList!$E$2:$I$2036,4)</f>
        <v>Passeriformes</v>
      </c>
      <c r="H2919" s="3" t="str">
        <f>VLOOKUP(B2919,[1]LifeList!$E$2:$I$2036,5)</f>
        <v>Thraupidae (Tanagers and Allies)</v>
      </c>
    </row>
    <row r="2920" spans="1:8" x14ac:dyDescent="0.15">
      <c r="A2920" s="3" t="s">
        <v>2807</v>
      </c>
      <c r="B2920" s="3" t="s">
        <v>4877</v>
      </c>
      <c r="C2920" s="3">
        <v>4604</v>
      </c>
      <c r="D2920" s="3" t="str">
        <f>VLOOKUP(B2920,[1]LifeList!$E$2:$G$2036,1)</f>
        <v>Shining Sunbeam</v>
      </c>
      <c r="E2920" s="3" t="str">
        <f>VLOOKUP(B2920,[1]LifeList!$E$2:$G$2036,2)</f>
        <v>Colibri étincelant</v>
      </c>
      <c r="F2920" s="3" t="str">
        <f>VLOOKUP(B2920,[1]LifeList!$E$2:$G$2036,3)</f>
        <v>Aglaeactis cupripennis</v>
      </c>
      <c r="G2920" s="3" t="str">
        <f>VLOOKUP(B2920,[1]LifeList!$E$2:$I$2036,4)</f>
        <v>Apodiformes</v>
      </c>
      <c r="H2920" s="3" t="str">
        <f>VLOOKUP(B2920,[1]LifeList!$E$2:$I$2036,5)</f>
        <v>Trochilidae (Hummingbirds)</v>
      </c>
    </row>
    <row r="2921" spans="1:8" x14ac:dyDescent="0.15">
      <c r="A2921" s="3" t="s">
        <v>2808</v>
      </c>
      <c r="B2921" s="3" t="s">
        <v>4877</v>
      </c>
      <c r="C2921" s="3">
        <v>4604</v>
      </c>
      <c r="D2921" s="3" t="str">
        <f>VLOOKUP(B2921,[1]LifeList!$E$2:$G$2036,1)</f>
        <v>Shining Sunbeam</v>
      </c>
      <c r="E2921" s="3" t="str">
        <f>VLOOKUP(B2921,[1]LifeList!$E$2:$G$2036,2)</f>
        <v>Colibri étincelant</v>
      </c>
      <c r="F2921" s="3" t="str">
        <f>VLOOKUP(B2921,[1]LifeList!$E$2:$G$2036,3)</f>
        <v>Aglaeactis cupripennis</v>
      </c>
      <c r="G2921" s="3" t="str">
        <f>VLOOKUP(B2921,[1]LifeList!$E$2:$I$2036,4)</f>
        <v>Apodiformes</v>
      </c>
      <c r="H2921" s="3" t="str">
        <f>VLOOKUP(B2921,[1]LifeList!$E$2:$I$2036,5)</f>
        <v>Trochilidae (Hummingbirds)</v>
      </c>
    </row>
    <row r="2922" spans="1:8" x14ac:dyDescent="0.15">
      <c r="A2922" s="3" t="s">
        <v>2810</v>
      </c>
      <c r="B2922" s="3" t="s">
        <v>4878</v>
      </c>
      <c r="C2922" s="3">
        <v>33817</v>
      </c>
      <c r="D2922" s="3" t="str">
        <f>VLOOKUP(B2922,[1]LifeList!$E$2:$G$2036,1)</f>
        <v>Shiny Cowbird</v>
      </c>
      <c r="E2922" s="3" t="str">
        <f>VLOOKUP(B2922,[1]LifeList!$E$2:$G$2036,2)</f>
        <v>Vacher luisant</v>
      </c>
      <c r="F2922" s="3" t="str">
        <f>VLOOKUP(B2922,[1]LifeList!$E$2:$G$2036,3)</f>
        <v>Molothrus bonariensis</v>
      </c>
      <c r="G2922" s="3" t="str">
        <f>VLOOKUP(B2922,[1]LifeList!$E$2:$I$2036,4)</f>
        <v>Passeriformes</v>
      </c>
      <c r="H2922" s="3" t="str">
        <f>VLOOKUP(B2922,[1]LifeList!$E$2:$I$2036,5)</f>
        <v>Icteridae (Troupials and Allies)</v>
      </c>
    </row>
    <row r="2923" spans="1:8" x14ac:dyDescent="0.15">
      <c r="A2923" s="3" t="s">
        <v>2811</v>
      </c>
      <c r="B2923" s="3" t="s">
        <v>4878</v>
      </c>
      <c r="C2923" s="3">
        <v>33817</v>
      </c>
      <c r="D2923" s="3" t="str">
        <f>VLOOKUP(B2923,[1]LifeList!$E$2:$G$2036,1)</f>
        <v>Shiny Cowbird</v>
      </c>
      <c r="E2923" s="3" t="str">
        <f>VLOOKUP(B2923,[1]LifeList!$E$2:$G$2036,2)</f>
        <v>Vacher luisant</v>
      </c>
      <c r="F2923" s="3" t="str">
        <f>VLOOKUP(B2923,[1]LifeList!$E$2:$G$2036,3)</f>
        <v>Molothrus bonariensis</v>
      </c>
      <c r="G2923" s="3" t="str">
        <f>VLOOKUP(B2923,[1]LifeList!$E$2:$I$2036,4)</f>
        <v>Passeriformes</v>
      </c>
      <c r="H2923" s="3" t="str">
        <f>VLOOKUP(B2923,[1]LifeList!$E$2:$I$2036,5)</f>
        <v>Icteridae (Troupials and Allies)</v>
      </c>
    </row>
    <row r="2924" spans="1:8" x14ac:dyDescent="0.15">
      <c r="A2924" s="3" t="s">
        <v>2809</v>
      </c>
      <c r="B2924" s="3" t="s">
        <v>4878</v>
      </c>
      <c r="C2924" s="3">
        <v>33817</v>
      </c>
      <c r="D2924" s="3" t="str">
        <f>VLOOKUP(B2924,[1]LifeList!$E$2:$G$2036,1)</f>
        <v>Shiny Cowbird</v>
      </c>
      <c r="E2924" s="3" t="str">
        <f>VLOOKUP(B2924,[1]LifeList!$E$2:$G$2036,2)</f>
        <v>Vacher luisant</v>
      </c>
      <c r="F2924" s="3" t="str">
        <f>VLOOKUP(B2924,[1]LifeList!$E$2:$G$2036,3)</f>
        <v>Molothrus bonariensis</v>
      </c>
      <c r="G2924" s="3" t="str">
        <f>VLOOKUP(B2924,[1]LifeList!$E$2:$I$2036,4)</f>
        <v>Passeriformes</v>
      </c>
      <c r="H2924" s="3" t="str">
        <f>VLOOKUP(B2924,[1]LifeList!$E$2:$I$2036,5)</f>
        <v>Icteridae (Troupials and Allies)</v>
      </c>
    </row>
    <row r="2925" spans="1:8" x14ac:dyDescent="0.15">
      <c r="A2925" s="3" t="s">
        <v>2813</v>
      </c>
      <c r="B2925" s="3" t="s">
        <v>4879</v>
      </c>
      <c r="C2925" s="3">
        <v>6057</v>
      </c>
      <c r="D2925" s="3" t="str">
        <f>VLOOKUP(B2925,[1]LifeList!$E$2:$G$2036,1)</f>
        <v>Short-billed Dowitcher</v>
      </c>
      <c r="E2925" s="3" t="str">
        <f>VLOOKUP(B2925,[1]LifeList!$E$2:$G$2036,2)</f>
        <v>Bécassin roux</v>
      </c>
      <c r="F2925" s="3" t="str">
        <f>VLOOKUP(B2925,[1]LifeList!$E$2:$G$2036,3)</f>
        <v>Limnodromus griseus</v>
      </c>
      <c r="G2925" s="3" t="str">
        <f>VLOOKUP(B2925,[1]LifeList!$E$2:$I$2036,4)</f>
        <v>Charadriiformes</v>
      </c>
      <c r="H2925" s="3" t="str">
        <f>VLOOKUP(B2925,[1]LifeList!$E$2:$I$2036,5)</f>
        <v>Scolopacidae (Sandpipers and Allies)</v>
      </c>
    </row>
    <row r="2926" spans="1:8" x14ac:dyDescent="0.15">
      <c r="A2926" s="3" t="s">
        <v>2814</v>
      </c>
      <c r="B2926" s="3" t="s">
        <v>4879</v>
      </c>
      <c r="C2926" s="3">
        <v>6057</v>
      </c>
      <c r="D2926" s="3" t="str">
        <f>VLOOKUP(B2926,[1]LifeList!$E$2:$G$2036,1)</f>
        <v>Short-billed Dowitcher</v>
      </c>
      <c r="E2926" s="3" t="str">
        <f>VLOOKUP(B2926,[1]LifeList!$E$2:$G$2036,2)</f>
        <v>Bécassin roux</v>
      </c>
      <c r="F2926" s="3" t="str">
        <f>VLOOKUP(B2926,[1]LifeList!$E$2:$G$2036,3)</f>
        <v>Limnodromus griseus</v>
      </c>
      <c r="G2926" s="3" t="str">
        <f>VLOOKUP(B2926,[1]LifeList!$E$2:$I$2036,4)</f>
        <v>Charadriiformes</v>
      </c>
      <c r="H2926" s="3" t="str">
        <f>VLOOKUP(B2926,[1]LifeList!$E$2:$I$2036,5)</f>
        <v>Scolopacidae (Sandpipers and Allies)</v>
      </c>
    </row>
    <row r="2927" spans="1:8" x14ac:dyDescent="0.15">
      <c r="A2927" s="3" t="s">
        <v>2815</v>
      </c>
      <c r="B2927" s="3" t="s">
        <v>4879</v>
      </c>
      <c r="C2927" s="3">
        <v>6057</v>
      </c>
      <c r="D2927" s="3" t="str">
        <f>VLOOKUP(B2927,[1]LifeList!$E$2:$G$2036,1)</f>
        <v>Short-billed Dowitcher</v>
      </c>
      <c r="E2927" s="3" t="str">
        <f>VLOOKUP(B2927,[1]LifeList!$E$2:$G$2036,2)</f>
        <v>Bécassin roux</v>
      </c>
      <c r="F2927" s="3" t="str">
        <f>VLOOKUP(B2927,[1]LifeList!$E$2:$G$2036,3)</f>
        <v>Limnodromus griseus</v>
      </c>
      <c r="G2927" s="3" t="str">
        <f>VLOOKUP(B2927,[1]LifeList!$E$2:$I$2036,4)</f>
        <v>Charadriiformes</v>
      </c>
      <c r="H2927" s="3" t="str">
        <f>VLOOKUP(B2927,[1]LifeList!$E$2:$I$2036,5)</f>
        <v>Scolopacidae (Sandpipers and Allies)</v>
      </c>
    </row>
    <row r="2928" spans="1:8" x14ac:dyDescent="0.15">
      <c r="A2928" s="3" t="s">
        <v>2816</v>
      </c>
      <c r="B2928" s="3" t="s">
        <v>4879</v>
      </c>
      <c r="C2928" s="3">
        <v>6057</v>
      </c>
      <c r="D2928" s="3" t="str">
        <f>VLOOKUP(B2928,[1]LifeList!$E$2:$G$2036,1)</f>
        <v>Short-billed Dowitcher</v>
      </c>
      <c r="E2928" s="3" t="str">
        <f>VLOOKUP(B2928,[1]LifeList!$E$2:$G$2036,2)</f>
        <v>Bécassin roux</v>
      </c>
      <c r="F2928" s="3" t="str">
        <f>VLOOKUP(B2928,[1]LifeList!$E$2:$G$2036,3)</f>
        <v>Limnodromus griseus</v>
      </c>
      <c r="G2928" s="3" t="str">
        <f>VLOOKUP(B2928,[1]LifeList!$E$2:$I$2036,4)</f>
        <v>Charadriiformes</v>
      </c>
      <c r="H2928" s="3" t="str">
        <f>VLOOKUP(B2928,[1]LifeList!$E$2:$I$2036,5)</f>
        <v>Scolopacidae (Sandpipers and Allies)</v>
      </c>
    </row>
    <row r="2929" spans="1:8" x14ac:dyDescent="0.15">
      <c r="A2929" s="3" t="s">
        <v>2817</v>
      </c>
      <c r="B2929" s="3" t="s">
        <v>4879</v>
      </c>
      <c r="C2929" s="3">
        <v>6057</v>
      </c>
      <c r="D2929" s="3" t="str">
        <f>VLOOKUP(B2929,[1]LifeList!$E$2:$G$2036,1)</f>
        <v>Short-billed Dowitcher</v>
      </c>
      <c r="E2929" s="3" t="str">
        <f>VLOOKUP(B2929,[1]LifeList!$E$2:$G$2036,2)</f>
        <v>Bécassin roux</v>
      </c>
      <c r="F2929" s="3" t="str">
        <f>VLOOKUP(B2929,[1]LifeList!$E$2:$G$2036,3)</f>
        <v>Limnodromus griseus</v>
      </c>
      <c r="G2929" s="3" t="str">
        <f>VLOOKUP(B2929,[1]LifeList!$E$2:$I$2036,4)</f>
        <v>Charadriiformes</v>
      </c>
      <c r="H2929" s="3" t="str">
        <f>VLOOKUP(B2929,[1]LifeList!$E$2:$I$2036,5)</f>
        <v>Scolopacidae (Sandpipers and Allies)</v>
      </c>
    </row>
    <row r="2930" spans="1:8" x14ac:dyDescent="0.15">
      <c r="A2930" s="3" t="s">
        <v>2818</v>
      </c>
      <c r="B2930" s="3" t="s">
        <v>4879</v>
      </c>
      <c r="C2930" s="3">
        <v>6057</v>
      </c>
      <c r="D2930" s="3" t="str">
        <f>VLOOKUP(B2930,[1]LifeList!$E$2:$G$2036,1)</f>
        <v>Short-billed Dowitcher</v>
      </c>
      <c r="E2930" s="3" t="str">
        <f>VLOOKUP(B2930,[1]LifeList!$E$2:$G$2036,2)</f>
        <v>Bécassin roux</v>
      </c>
      <c r="F2930" s="3" t="str">
        <f>VLOOKUP(B2930,[1]LifeList!$E$2:$G$2036,3)</f>
        <v>Limnodromus griseus</v>
      </c>
      <c r="G2930" s="3" t="str">
        <f>VLOOKUP(B2930,[1]LifeList!$E$2:$I$2036,4)</f>
        <v>Charadriiformes</v>
      </c>
      <c r="H2930" s="3" t="str">
        <f>VLOOKUP(B2930,[1]LifeList!$E$2:$I$2036,5)</f>
        <v>Scolopacidae (Sandpipers and Allies)</v>
      </c>
    </row>
    <row r="2931" spans="1:8" x14ac:dyDescent="0.15">
      <c r="A2931" s="3" t="s">
        <v>2819</v>
      </c>
      <c r="B2931" s="3" t="s">
        <v>4879</v>
      </c>
      <c r="C2931" s="3">
        <v>6057</v>
      </c>
      <c r="D2931" s="3" t="str">
        <f>VLOOKUP(B2931,[1]LifeList!$E$2:$G$2036,1)</f>
        <v>Short-billed Dowitcher</v>
      </c>
      <c r="E2931" s="3" t="str">
        <f>VLOOKUP(B2931,[1]LifeList!$E$2:$G$2036,2)</f>
        <v>Bécassin roux</v>
      </c>
      <c r="F2931" s="3" t="str">
        <f>VLOOKUP(B2931,[1]LifeList!$E$2:$G$2036,3)</f>
        <v>Limnodromus griseus</v>
      </c>
      <c r="G2931" s="3" t="str">
        <f>VLOOKUP(B2931,[1]LifeList!$E$2:$I$2036,4)</f>
        <v>Charadriiformes</v>
      </c>
      <c r="H2931" s="3" t="str">
        <f>VLOOKUP(B2931,[1]LifeList!$E$2:$I$2036,5)</f>
        <v>Scolopacidae (Sandpipers and Allies)</v>
      </c>
    </row>
    <row r="2932" spans="1:8" x14ac:dyDescent="0.15">
      <c r="A2932" s="3" t="s">
        <v>2812</v>
      </c>
      <c r="B2932" s="3" t="s">
        <v>4879</v>
      </c>
      <c r="C2932" s="3">
        <v>6057</v>
      </c>
      <c r="D2932" s="3" t="str">
        <f>VLOOKUP(B2932,[1]LifeList!$E$2:$G$2036,1)</f>
        <v>Short-billed Dowitcher</v>
      </c>
      <c r="E2932" s="3" t="str">
        <f>VLOOKUP(B2932,[1]LifeList!$E$2:$G$2036,2)</f>
        <v>Bécassin roux</v>
      </c>
      <c r="F2932" s="3" t="str">
        <f>VLOOKUP(B2932,[1]LifeList!$E$2:$G$2036,3)</f>
        <v>Limnodromus griseus</v>
      </c>
      <c r="G2932" s="3" t="str">
        <f>VLOOKUP(B2932,[1]LifeList!$E$2:$I$2036,4)</f>
        <v>Charadriiformes</v>
      </c>
      <c r="H2932" s="3" t="str">
        <f>VLOOKUP(B2932,[1]LifeList!$E$2:$I$2036,5)</f>
        <v>Scolopacidae (Sandpipers and Allies)</v>
      </c>
    </row>
    <row r="2933" spans="1:8" x14ac:dyDescent="0.15">
      <c r="A2933" s="3" t="s">
        <v>2820</v>
      </c>
      <c r="B2933" s="3" t="s">
        <v>4880</v>
      </c>
      <c r="C2933" s="3">
        <v>1999</v>
      </c>
      <c r="D2933" s="3" t="str">
        <f>VLOOKUP(B2933,[1]LifeList!$E$2:$G$2036,1)</f>
        <v>Short-billed Pigeon</v>
      </c>
      <c r="E2933" s="3" t="str">
        <f>VLOOKUP(B2933,[1]LifeList!$E$2:$G$2036,2)</f>
        <v>Pigeon à bec noir</v>
      </c>
      <c r="F2933" s="3" t="str">
        <f>VLOOKUP(B2933,[1]LifeList!$E$2:$G$2036,3)</f>
        <v>Patagioenas nigrirostris</v>
      </c>
      <c r="G2933" s="3" t="str">
        <f>VLOOKUP(B2933,[1]LifeList!$E$2:$I$2036,4)</f>
        <v>Columbiformes</v>
      </c>
      <c r="H2933" s="3" t="str">
        <f>VLOOKUP(B2933,[1]LifeList!$E$2:$I$2036,5)</f>
        <v>Columbidae (Pigeons and Doves)</v>
      </c>
    </row>
    <row r="2934" spans="1:8" x14ac:dyDescent="0.15">
      <c r="A2934" s="3" t="s">
        <v>2821</v>
      </c>
      <c r="B2934" s="3" t="s">
        <v>4880</v>
      </c>
      <c r="C2934" s="3">
        <v>1999</v>
      </c>
      <c r="D2934" s="3" t="str">
        <f>VLOOKUP(B2934,[1]LifeList!$E$2:$G$2036,1)</f>
        <v>Short-billed Pigeon</v>
      </c>
      <c r="E2934" s="3" t="str">
        <f>VLOOKUP(B2934,[1]LifeList!$E$2:$G$2036,2)</f>
        <v>Pigeon à bec noir</v>
      </c>
      <c r="F2934" s="3" t="str">
        <f>VLOOKUP(B2934,[1]LifeList!$E$2:$G$2036,3)</f>
        <v>Patagioenas nigrirostris</v>
      </c>
      <c r="G2934" s="3" t="str">
        <f>VLOOKUP(B2934,[1]LifeList!$E$2:$I$2036,4)</f>
        <v>Columbiformes</v>
      </c>
      <c r="H2934" s="3" t="str">
        <f>VLOOKUP(B2934,[1]LifeList!$E$2:$I$2036,5)</f>
        <v>Columbidae (Pigeons and Doves)</v>
      </c>
    </row>
    <row r="2935" spans="1:8" x14ac:dyDescent="0.15">
      <c r="A2935" s="3" t="s">
        <v>2822</v>
      </c>
      <c r="B2935" s="3" t="s">
        <v>4881</v>
      </c>
      <c r="C2935" s="3">
        <v>9276</v>
      </c>
      <c r="D2935" s="3" t="str">
        <f>VLOOKUP(B2935,[1]LifeList!$E$2:$G$2036,1)</f>
        <v>Short-eared Owl</v>
      </c>
      <c r="E2935" s="3" t="str">
        <f>VLOOKUP(B2935,[1]LifeList!$E$2:$G$2036,2)</f>
        <v>Hibou des marais</v>
      </c>
      <c r="F2935" s="3" t="str">
        <f>VLOOKUP(B2935,[1]LifeList!$E$2:$G$2036,3)</f>
        <v>Asio flammeus</v>
      </c>
      <c r="G2935" s="3" t="str">
        <f>VLOOKUP(B2935,[1]LifeList!$E$2:$I$2036,4)</f>
        <v>Strigiformes</v>
      </c>
      <c r="H2935" s="3" t="str">
        <f>VLOOKUP(B2935,[1]LifeList!$E$2:$I$2036,5)</f>
        <v>Strigidae (Owls)</v>
      </c>
    </row>
    <row r="2936" spans="1:8" x14ac:dyDescent="0.15">
      <c r="A2936" s="3" t="s">
        <v>2823</v>
      </c>
      <c r="B2936" s="3" t="s">
        <v>4882</v>
      </c>
      <c r="C2936" s="3">
        <v>8501</v>
      </c>
      <c r="D2936" s="3" t="str">
        <f>VLOOKUP(B2936,[1]LifeList!$E$2:$G$2036,1)</f>
        <v>Short-tailed Hawk</v>
      </c>
      <c r="E2936" s="3" t="str">
        <f>VLOOKUP(B2936,[1]LifeList!$E$2:$G$2036,2)</f>
        <v>Buse à queue courte</v>
      </c>
      <c r="F2936" s="3" t="str">
        <f>VLOOKUP(B2936,[1]LifeList!$E$2:$G$2036,3)</f>
        <v>Buteo brachyurus</v>
      </c>
      <c r="G2936" s="3" t="str">
        <f>VLOOKUP(B2936,[1]LifeList!$E$2:$I$2036,4)</f>
        <v>Accipitriformes</v>
      </c>
      <c r="H2936" s="3" t="str">
        <f>VLOOKUP(B2936,[1]LifeList!$E$2:$I$2036,5)</f>
        <v>Accipitridae (Hawks, Eagles, and Kites)</v>
      </c>
    </row>
    <row r="2937" spans="1:8" x14ac:dyDescent="0.15">
      <c r="A2937" s="3" t="s">
        <v>2824</v>
      </c>
      <c r="B2937" s="3" t="s">
        <v>4882</v>
      </c>
      <c r="C2937" s="3">
        <v>8501</v>
      </c>
      <c r="D2937" s="3" t="str">
        <f>VLOOKUP(B2937,[1]LifeList!$E$2:$G$2036,1)</f>
        <v>Short-tailed Hawk</v>
      </c>
      <c r="E2937" s="3" t="str">
        <f>VLOOKUP(B2937,[1]LifeList!$E$2:$G$2036,2)</f>
        <v>Buse à queue courte</v>
      </c>
      <c r="F2937" s="3" t="str">
        <f>VLOOKUP(B2937,[1]LifeList!$E$2:$G$2036,3)</f>
        <v>Buteo brachyurus</v>
      </c>
      <c r="G2937" s="3" t="str">
        <f>VLOOKUP(B2937,[1]LifeList!$E$2:$I$2036,4)</f>
        <v>Accipitriformes</v>
      </c>
      <c r="H2937" s="3" t="str">
        <f>VLOOKUP(B2937,[1]LifeList!$E$2:$I$2036,5)</f>
        <v>Accipitridae (Hawks, Eagles, and Kites)</v>
      </c>
    </row>
    <row r="2938" spans="1:8" x14ac:dyDescent="0.15">
      <c r="A2938" s="3" t="s">
        <v>2825</v>
      </c>
      <c r="B2938" s="3" t="s">
        <v>4882</v>
      </c>
      <c r="C2938" s="3">
        <v>8501</v>
      </c>
      <c r="D2938" s="3" t="str">
        <f>VLOOKUP(B2938,[1]LifeList!$E$2:$G$2036,1)</f>
        <v>Short-tailed Hawk</v>
      </c>
      <c r="E2938" s="3" t="str">
        <f>VLOOKUP(B2938,[1]LifeList!$E$2:$G$2036,2)</f>
        <v>Buse à queue courte</v>
      </c>
      <c r="F2938" s="3" t="str">
        <f>VLOOKUP(B2938,[1]LifeList!$E$2:$G$2036,3)</f>
        <v>Buteo brachyurus</v>
      </c>
      <c r="G2938" s="3" t="str">
        <f>VLOOKUP(B2938,[1]LifeList!$E$2:$I$2036,4)</f>
        <v>Accipitriformes</v>
      </c>
      <c r="H2938" s="3" t="str">
        <f>VLOOKUP(B2938,[1]LifeList!$E$2:$I$2036,5)</f>
        <v>Accipitridae (Hawks, Eagles, and Kites)</v>
      </c>
    </row>
    <row r="2939" spans="1:8" x14ac:dyDescent="0.15">
      <c r="A2939" s="3" t="s">
        <v>2826</v>
      </c>
      <c r="B2939" s="3" t="s">
        <v>4883</v>
      </c>
      <c r="C2939" s="3">
        <v>29640</v>
      </c>
      <c r="D2939" s="3" t="str">
        <f>VLOOKUP(B2939,[1]LifeList!$E$2:$G$2036,1)</f>
        <v>Short-toed Rock-Thrush</v>
      </c>
      <c r="E2939" s="3" t="str">
        <f>VLOOKUP(B2939,[1]LifeList!$E$2:$G$2036,2)</f>
        <v>Monticole à doigts courts</v>
      </c>
      <c r="F2939" s="3" t="str">
        <f>VLOOKUP(B2939,[1]LifeList!$E$2:$G$2036,3)</f>
        <v>Monticola brevipes</v>
      </c>
      <c r="G2939" s="3" t="str">
        <f>VLOOKUP(B2939,[1]LifeList!$E$2:$I$2036,4)</f>
        <v>Passeriformes</v>
      </c>
      <c r="H2939" s="3" t="str">
        <f>VLOOKUP(B2939,[1]LifeList!$E$2:$I$2036,5)</f>
        <v>Muscicapidae (Old World Flycatchers)</v>
      </c>
    </row>
    <row r="2940" spans="1:8" x14ac:dyDescent="0.15">
      <c r="A2940" s="3" t="s">
        <v>2827</v>
      </c>
      <c r="B2940" s="3" t="s">
        <v>4884</v>
      </c>
      <c r="C2940" s="3">
        <v>20000</v>
      </c>
      <c r="D2940" s="3" t="str">
        <f>VLOOKUP(B2940,[1]LifeList!$E$2:$G$2036,1)</f>
        <v>Sickle-billed Vanga</v>
      </c>
      <c r="E2940" s="3" t="str">
        <f>VLOOKUP(B2940,[1]LifeList!$E$2:$G$2036,2)</f>
        <v>Falculie mantelée</v>
      </c>
      <c r="F2940" s="3" t="str">
        <f>VLOOKUP(B2940,[1]LifeList!$E$2:$G$2036,3)</f>
        <v>Falculea palliata</v>
      </c>
      <c r="G2940" s="3" t="str">
        <f>VLOOKUP(B2940,[1]LifeList!$E$2:$I$2036,4)</f>
        <v>Passeriformes</v>
      </c>
      <c r="H2940" s="3" t="str">
        <f>VLOOKUP(B2940,[1]LifeList!$E$2:$I$2036,5)</f>
        <v>Vangidae (Vangas, Helmetshrikes, and Allies)</v>
      </c>
    </row>
    <row r="2941" spans="1:8" x14ac:dyDescent="0.15">
      <c r="A2941" s="3" t="s">
        <v>2828</v>
      </c>
      <c r="B2941" s="3" t="s">
        <v>4884</v>
      </c>
      <c r="C2941" s="3">
        <v>20000</v>
      </c>
      <c r="D2941" s="3" t="str">
        <f>VLOOKUP(B2941,[1]LifeList!$E$2:$G$2036,1)</f>
        <v>Sickle-billed Vanga</v>
      </c>
      <c r="E2941" s="3" t="str">
        <f>VLOOKUP(B2941,[1]LifeList!$E$2:$G$2036,2)</f>
        <v>Falculie mantelée</v>
      </c>
      <c r="F2941" s="3" t="str">
        <f>VLOOKUP(B2941,[1]LifeList!$E$2:$G$2036,3)</f>
        <v>Falculea palliata</v>
      </c>
      <c r="G2941" s="3" t="str">
        <f>VLOOKUP(B2941,[1]LifeList!$E$2:$I$2036,4)</f>
        <v>Passeriformes</v>
      </c>
      <c r="H2941" s="3" t="str">
        <f>VLOOKUP(B2941,[1]LifeList!$E$2:$I$2036,5)</f>
        <v>Vangidae (Vangas, Helmetshrikes, and Allies)</v>
      </c>
    </row>
    <row r="2942" spans="1:8" x14ac:dyDescent="0.15">
      <c r="A2942" s="3" t="s">
        <v>2829</v>
      </c>
      <c r="B2942" s="3" t="s">
        <v>4884</v>
      </c>
      <c r="C2942" s="3">
        <v>20000</v>
      </c>
      <c r="D2942" s="3" t="str">
        <f>VLOOKUP(B2942,[1]LifeList!$E$2:$G$2036,1)</f>
        <v>Sickle-billed Vanga</v>
      </c>
      <c r="E2942" s="3" t="str">
        <f>VLOOKUP(B2942,[1]LifeList!$E$2:$G$2036,2)</f>
        <v>Falculie mantelée</v>
      </c>
      <c r="F2942" s="3" t="str">
        <f>VLOOKUP(B2942,[1]LifeList!$E$2:$G$2036,3)</f>
        <v>Falculea palliata</v>
      </c>
      <c r="G2942" s="3" t="str">
        <f>VLOOKUP(B2942,[1]LifeList!$E$2:$I$2036,4)</f>
        <v>Passeriformes</v>
      </c>
      <c r="H2942" s="3" t="str">
        <f>VLOOKUP(B2942,[1]LifeList!$E$2:$I$2036,5)</f>
        <v>Vangidae (Vangas, Helmetshrikes, and Allies)</v>
      </c>
    </row>
    <row r="2943" spans="1:8" x14ac:dyDescent="0.15">
      <c r="A2943" s="3" t="s">
        <v>2830</v>
      </c>
      <c r="B2943" s="3" t="s">
        <v>4884</v>
      </c>
      <c r="C2943" s="3">
        <v>20000</v>
      </c>
      <c r="D2943" s="3" t="str">
        <f>VLOOKUP(B2943,[1]LifeList!$E$2:$G$2036,1)</f>
        <v>Sickle-billed Vanga</v>
      </c>
      <c r="E2943" s="3" t="str">
        <f>VLOOKUP(B2943,[1]LifeList!$E$2:$G$2036,2)</f>
        <v>Falculie mantelée</v>
      </c>
      <c r="F2943" s="3" t="str">
        <f>VLOOKUP(B2943,[1]LifeList!$E$2:$G$2036,3)</f>
        <v>Falculea palliata</v>
      </c>
      <c r="G2943" s="3" t="str">
        <f>VLOOKUP(B2943,[1]LifeList!$E$2:$I$2036,4)</f>
        <v>Passeriformes</v>
      </c>
      <c r="H2943" s="3" t="str">
        <f>VLOOKUP(B2943,[1]LifeList!$E$2:$I$2036,5)</f>
        <v>Vangidae (Vangas, Helmetshrikes, and Allies)</v>
      </c>
    </row>
    <row r="2944" spans="1:8" x14ac:dyDescent="0.15">
      <c r="A2944" s="3" t="s">
        <v>2831</v>
      </c>
      <c r="B2944" s="3" t="s">
        <v>4885</v>
      </c>
      <c r="C2944" s="3">
        <v>855</v>
      </c>
      <c r="D2944" s="3" t="str">
        <f>VLOOKUP(B2944,[1]LifeList!$E$2:$G$2036,1)</f>
        <v>Sickle-winged Guan</v>
      </c>
      <c r="E2944" s="3" t="str">
        <f>VLOOKUP(B2944,[1]LifeList!$E$2:$G$2036,2)</f>
        <v>Pénélope de Goudot</v>
      </c>
      <c r="F2944" s="3" t="str">
        <f>VLOOKUP(B2944,[1]LifeList!$E$2:$G$2036,3)</f>
        <v>Chamaepetes goudotii</v>
      </c>
      <c r="G2944" s="3" t="str">
        <f>VLOOKUP(B2944,[1]LifeList!$E$2:$I$2036,4)</f>
        <v>Galliformes</v>
      </c>
      <c r="H2944" s="3" t="str">
        <f>VLOOKUP(B2944,[1]LifeList!$E$2:$I$2036,5)</f>
        <v>Cracidae (Guans, Chachalacas, and Curassows)</v>
      </c>
    </row>
    <row r="2945" spans="1:8" x14ac:dyDescent="0.15">
      <c r="A2945" s="3" t="s">
        <v>2832</v>
      </c>
      <c r="B2945" s="3" t="s">
        <v>4885</v>
      </c>
      <c r="C2945" s="3">
        <v>855</v>
      </c>
      <c r="D2945" s="3" t="str">
        <f>VLOOKUP(B2945,[1]LifeList!$E$2:$G$2036,1)</f>
        <v>Sickle-winged Guan</v>
      </c>
      <c r="E2945" s="3" t="str">
        <f>VLOOKUP(B2945,[1]LifeList!$E$2:$G$2036,2)</f>
        <v>Pénélope de Goudot</v>
      </c>
      <c r="F2945" s="3" t="str">
        <f>VLOOKUP(B2945,[1]LifeList!$E$2:$G$2036,3)</f>
        <v>Chamaepetes goudotii</v>
      </c>
      <c r="G2945" s="3" t="str">
        <f>VLOOKUP(B2945,[1]LifeList!$E$2:$I$2036,4)</f>
        <v>Galliformes</v>
      </c>
      <c r="H2945" s="3" t="str">
        <f>VLOOKUP(B2945,[1]LifeList!$E$2:$I$2036,5)</f>
        <v>Cracidae (Guans, Chachalacas, and Curassows)</v>
      </c>
    </row>
    <row r="2946" spans="1:8" x14ac:dyDescent="0.15">
      <c r="A2946" s="3" t="s">
        <v>2833</v>
      </c>
      <c r="B2946" s="3" t="s">
        <v>3790</v>
      </c>
      <c r="C2946" s="3">
        <v>33034</v>
      </c>
      <c r="D2946" s="3" t="str">
        <f>VLOOKUP(B2946,[1]LifeList!$E$2:$G$2036,1)</f>
        <v>Sierra Nevada Brushfinch</v>
      </c>
      <c r="E2946" s="3" t="str">
        <f>VLOOKUP(B2946,[1]LifeList!$E$2:$G$2036,2)</f>
        <v>Tohi de Bangs</v>
      </c>
      <c r="F2946" s="3" t="str">
        <f>VLOOKUP(B2946,[1]LifeList!$E$2:$G$2036,3)</f>
        <v>Arremon basilicus</v>
      </c>
      <c r="G2946" s="3" t="str">
        <f>VLOOKUP(B2946,[1]LifeList!$E$2:$I$2036,4)</f>
        <v>Passeriformes</v>
      </c>
      <c r="H2946" s="3" t="str">
        <f>VLOOKUP(B2946,[1]LifeList!$E$2:$I$2036,5)</f>
        <v>Passerellidae (New World Sparrows)</v>
      </c>
    </row>
    <row r="2947" spans="1:8" x14ac:dyDescent="0.15">
      <c r="A2947" s="3" t="s">
        <v>2834</v>
      </c>
      <c r="B2947" s="3" t="s">
        <v>3790</v>
      </c>
      <c r="C2947" s="3">
        <v>33034</v>
      </c>
      <c r="D2947" s="3" t="str">
        <f>VLOOKUP(B2947,[1]LifeList!$E$2:$G$2036,1)</f>
        <v>Sierra Nevada Brushfinch</v>
      </c>
      <c r="E2947" s="3" t="str">
        <f>VLOOKUP(B2947,[1]LifeList!$E$2:$G$2036,2)</f>
        <v>Tohi de Bangs</v>
      </c>
      <c r="F2947" s="3" t="str">
        <f>VLOOKUP(B2947,[1]LifeList!$E$2:$G$2036,3)</f>
        <v>Arremon basilicus</v>
      </c>
      <c r="G2947" s="3" t="str">
        <f>VLOOKUP(B2947,[1]LifeList!$E$2:$I$2036,4)</f>
        <v>Passeriformes</v>
      </c>
      <c r="H2947" s="3" t="str">
        <f>VLOOKUP(B2947,[1]LifeList!$E$2:$I$2036,5)</f>
        <v>Passerellidae (New World Sparrows)</v>
      </c>
    </row>
    <row r="2948" spans="1:8" x14ac:dyDescent="0.15">
      <c r="A2948" s="3" t="s">
        <v>2839</v>
      </c>
      <c r="B2948" s="3" t="s">
        <v>4886</v>
      </c>
      <c r="C2948" s="3">
        <v>6463</v>
      </c>
      <c r="D2948" s="3" t="str">
        <f>VLOOKUP(B2948,[1]LifeList!$E$2:$G$2036,1)</f>
        <v>Silver Gull</v>
      </c>
      <c r="E2948" s="3" t="str">
        <f>VLOOKUP(B2948,[1]LifeList!$E$2:$G$2036,2)</f>
        <v>Mouette argentée</v>
      </c>
      <c r="F2948" s="3" t="str">
        <f>VLOOKUP(B2948,[1]LifeList!$E$2:$G$2036,3)</f>
        <v>Chroicocephalus novaehollandiae</v>
      </c>
      <c r="G2948" s="3" t="str">
        <f>VLOOKUP(B2948,[1]LifeList!$E$2:$I$2036,4)</f>
        <v>Charadriiformes</v>
      </c>
      <c r="H2948" s="3" t="str">
        <f>VLOOKUP(B2948,[1]LifeList!$E$2:$I$2036,5)</f>
        <v>Laridae (Gulls, Terns, and Skimmers)</v>
      </c>
    </row>
    <row r="2949" spans="1:8" x14ac:dyDescent="0.15">
      <c r="A2949" s="3" t="s">
        <v>2840</v>
      </c>
      <c r="B2949" s="3" t="s">
        <v>4886</v>
      </c>
      <c r="C2949" s="3">
        <v>6463</v>
      </c>
      <c r="D2949" s="3" t="str">
        <f>VLOOKUP(B2949,[1]LifeList!$E$2:$G$2036,1)</f>
        <v>Silver Gull</v>
      </c>
      <c r="E2949" s="3" t="str">
        <f>VLOOKUP(B2949,[1]LifeList!$E$2:$G$2036,2)</f>
        <v>Mouette argentée</v>
      </c>
      <c r="F2949" s="3" t="str">
        <f>VLOOKUP(B2949,[1]LifeList!$E$2:$G$2036,3)</f>
        <v>Chroicocephalus novaehollandiae</v>
      </c>
      <c r="G2949" s="3" t="str">
        <f>VLOOKUP(B2949,[1]LifeList!$E$2:$I$2036,4)</f>
        <v>Charadriiformes</v>
      </c>
      <c r="H2949" s="3" t="str">
        <f>VLOOKUP(B2949,[1]LifeList!$E$2:$I$2036,5)</f>
        <v>Laridae (Gulls, Terns, and Skimmers)</v>
      </c>
    </row>
    <row r="2950" spans="1:8" x14ac:dyDescent="0.15">
      <c r="A2950" s="3" t="s">
        <v>2841</v>
      </c>
      <c r="B2950" s="3" t="s">
        <v>4886</v>
      </c>
      <c r="C2950" s="3">
        <v>6463</v>
      </c>
      <c r="D2950" s="3" t="str">
        <f>VLOOKUP(B2950,[1]LifeList!$E$2:$G$2036,1)</f>
        <v>Silver Gull</v>
      </c>
      <c r="E2950" s="3" t="str">
        <f>VLOOKUP(B2950,[1]LifeList!$E$2:$G$2036,2)</f>
        <v>Mouette argentée</v>
      </c>
      <c r="F2950" s="3" t="str">
        <f>VLOOKUP(B2950,[1]LifeList!$E$2:$G$2036,3)</f>
        <v>Chroicocephalus novaehollandiae</v>
      </c>
      <c r="G2950" s="3" t="str">
        <f>VLOOKUP(B2950,[1]LifeList!$E$2:$I$2036,4)</f>
        <v>Charadriiformes</v>
      </c>
      <c r="H2950" s="3" t="str">
        <f>VLOOKUP(B2950,[1]LifeList!$E$2:$I$2036,5)</f>
        <v>Laridae (Gulls, Terns, and Skimmers)</v>
      </c>
    </row>
    <row r="2951" spans="1:8" x14ac:dyDescent="0.15">
      <c r="A2951" s="3" t="s">
        <v>2835</v>
      </c>
      <c r="B2951" s="3" t="s">
        <v>4887</v>
      </c>
      <c r="C2951" s="3">
        <v>34810</v>
      </c>
      <c r="D2951" s="3" t="str">
        <f>VLOOKUP(B2951,[1]LifeList!$E$2:$G$2036,1)</f>
        <v>Silver-beaked Tanager</v>
      </c>
      <c r="E2951" s="3" t="str">
        <f>VLOOKUP(B2951,[1]LifeList!$E$2:$G$2036,2)</f>
        <v>Tangara à bec d'argent</v>
      </c>
      <c r="F2951" s="3" t="str">
        <f>VLOOKUP(B2951,[1]LifeList!$E$2:$G$2036,3)</f>
        <v>Ramphocelus carbo</v>
      </c>
      <c r="G2951" s="3" t="str">
        <f>VLOOKUP(B2951,[1]LifeList!$E$2:$I$2036,4)</f>
        <v>Passeriformes</v>
      </c>
      <c r="H2951" s="3" t="str">
        <f>VLOOKUP(B2951,[1]LifeList!$E$2:$I$2036,5)</f>
        <v>Thraupidae (Tanagers and Allies)</v>
      </c>
    </row>
    <row r="2952" spans="1:8" x14ac:dyDescent="0.15">
      <c r="A2952" s="3" t="s">
        <v>2837</v>
      </c>
      <c r="B2952" s="3" t="s">
        <v>4888</v>
      </c>
      <c r="C2952" s="3">
        <v>35130</v>
      </c>
      <c r="D2952" s="3" t="str">
        <f>VLOOKUP(B2952,[1]LifeList!$E$2:$G$2036,1)</f>
        <v>Silver-throated Tanager</v>
      </c>
      <c r="E2952" s="3" t="str">
        <f>VLOOKUP(B2952,[1]LifeList!$E$2:$G$2036,2)</f>
        <v>Calliste safran</v>
      </c>
      <c r="F2952" s="3" t="str">
        <f>VLOOKUP(B2952,[1]LifeList!$E$2:$G$2036,3)</f>
        <v>Tangara icterocephala</v>
      </c>
      <c r="G2952" s="3" t="str">
        <f>VLOOKUP(B2952,[1]LifeList!$E$2:$I$2036,4)</f>
        <v>Passeriformes</v>
      </c>
      <c r="H2952" s="3" t="str">
        <f>VLOOKUP(B2952,[1]LifeList!$E$2:$I$2036,5)</f>
        <v>Thraupidae (Tanagers and Allies)</v>
      </c>
    </row>
    <row r="2953" spans="1:8" x14ac:dyDescent="0.15">
      <c r="A2953" s="3" t="s">
        <v>2838</v>
      </c>
      <c r="B2953" s="3" t="s">
        <v>4888</v>
      </c>
      <c r="C2953" s="3">
        <v>35130</v>
      </c>
      <c r="D2953" s="3" t="str">
        <f>VLOOKUP(B2953,[1]LifeList!$E$2:$G$2036,1)</f>
        <v>Silver-throated Tanager</v>
      </c>
      <c r="E2953" s="3" t="str">
        <f>VLOOKUP(B2953,[1]LifeList!$E$2:$G$2036,2)</f>
        <v>Calliste safran</v>
      </c>
      <c r="F2953" s="3" t="str">
        <f>VLOOKUP(B2953,[1]LifeList!$E$2:$G$2036,3)</f>
        <v>Tangara icterocephala</v>
      </c>
      <c r="G2953" s="3" t="str">
        <f>VLOOKUP(B2953,[1]LifeList!$E$2:$I$2036,4)</f>
        <v>Passeriformes</v>
      </c>
      <c r="H2953" s="3" t="str">
        <f>VLOOKUP(B2953,[1]LifeList!$E$2:$I$2036,5)</f>
        <v>Thraupidae (Tanagers and Allies)</v>
      </c>
    </row>
    <row r="2954" spans="1:8" x14ac:dyDescent="0.15">
      <c r="A2954" s="3" t="s">
        <v>2836</v>
      </c>
      <c r="B2954" s="3" t="s">
        <v>4888</v>
      </c>
      <c r="C2954" s="3">
        <v>35130</v>
      </c>
      <c r="D2954" s="3" t="str">
        <f>VLOOKUP(B2954,[1]LifeList!$E$2:$G$2036,1)</f>
        <v>Silver-throated Tanager</v>
      </c>
      <c r="E2954" s="3" t="str">
        <f>VLOOKUP(B2954,[1]LifeList!$E$2:$G$2036,2)</f>
        <v>Calliste safran</v>
      </c>
      <c r="F2954" s="3" t="str">
        <f>VLOOKUP(B2954,[1]LifeList!$E$2:$G$2036,3)</f>
        <v>Tangara icterocephala</v>
      </c>
      <c r="G2954" s="3" t="str">
        <f>VLOOKUP(B2954,[1]LifeList!$E$2:$I$2036,4)</f>
        <v>Passeriformes</v>
      </c>
      <c r="H2954" s="3" t="str">
        <f>VLOOKUP(B2954,[1]LifeList!$E$2:$I$2036,5)</f>
        <v>Thraupidae (Tanagers and Allies)</v>
      </c>
    </row>
    <row r="2955" spans="1:8" x14ac:dyDescent="0.15">
      <c r="A2955" s="3" t="s">
        <v>2842</v>
      </c>
      <c r="B2955" s="3" t="s">
        <v>4889</v>
      </c>
      <c r="C2955" s="3">
        <v>25769</v>
      </c>
      <c r="D2955" s="3" t="str">
        <f>VLOOKUP(B2955,[1]LifeList!$E$2:$G$2036,1)</f>
        <v>Silvereye</v>
      </c>
      <c r="E2955" s="3" t="str">
        <f>VLOOKUP(B2955,[1]LifeList!$E$2:$G$2036,2)</f>
        <v>Zostérops à dos gris</v>
      </c>
      <c r="F2955" s="3" t="str">
        <f>VLOOKUP(B2955,[1]LifeList!$E$2:$G$2036,3)</f>
        <v>Zosterops lateralis</v>
      </c>
      <c r="G2955" s="3" t="str">
        <f>VLOOKUP(B2955,[1]LifeList!$E$2:$I$2036,4)</f>
        <v>Passeriformes</v>
      </c>
      <c r="H2955" s="3" t="str">
        <f>VLOOKUP(B2955,[1]LifeList!$E$2:$I$2036,5)</f>
        <v>Zosteropidae (White-eyes, Yuhinas, and Allies)</v>
      </c>
    </row>
    <row r="2956" spans="1:8" x14ac:dyDescent="0.15">
      <c r="A2956" s="3" t="s">
        <v>2843</v>
      </c>
      <c r="B2956" s="3" t="s">
        <v>4889</v>
      </c>
      <c r="C2956" s="3">
        <v>25769</v>
      </c>
      <c r="D2956" s="3" t="str">
        <f>VLOOKUP(B2956,[1]LifeList!$E$2:$G$2036,1)</f>
        <v>Silvereye</v>
      </c>
      <c r="E2956" s="3" t="str">
        <f>VLOOKUP(B2956,[1]LifeList!$E$2:$G$2036,2)</f>
        <v>Zostérops à dos gris</v>
      </c>
      <c r="F2956" s="3" t="str">
        <f>VLOOKUP(B2956,[1]LifeList!$E$2:$G$2036,3)</f>
        <v>Zosterops lateralis</v>
      </c>
      <c r="G2956" s="3" t="str">
        <f>VLOOKUP(B2956,[1]LifeList!$E$2:$I$2036,4)</f>
        <v>Passeriformes</v>
      </c>
      <c r="H2956" s="3" t="str">
        <f>VLOOKUP(B2956,[1]LifeList!$E$2:$I$2036,5)</f>
        <v>Zosteropidae (White-eyes, Yuhinas, and Allies)</v>
      </c>
    </row>
    <row r="2957" spans="1:8" x14ac:dyDescent="0.15">
      <c r="A2957" s="3" t="s">
        <v>2844</v>
      </c>
      <c r="B2957" s="3" t="s">
        <v>4889</v>
      </c>
      <c r="C2957" s="3">
        <v>25769</v>
      </c>
      <c r="D2957" s="3" t="str">
        <f>VLOOKUP(B2957,[1]LifeList!$E$2:$G$2036,1)</f>
        <v>Silvereye</v>
      </c>
      <c r="E2957" s="3" t="str">
        <f>VLOOKUP(B2957,[1]LifeList!$E$2:$G$2036,2)</f>
        <v>Zostérops à dos gris</v>
      </c>
      <c r="F2957" s="3" t="str">
        <f>VLOOKUP(B2957,[1]LifeList!$E$2:$G$2036,3)</f>
        <v>Zosterops lateralis</v>
      </c>
      <c r="G2957" s="3" t="str">
        <f>VLOOKUP(B2957,[1]LifeList!$E$2:$I$2036,4)</f>
        <v>Passeriformes</v>
      </c>
      <c r="H2957" s="3" t="str">
        <f>VLOOKUP(B2957,[1]LifeList!$E$2:$I$2036,5)</f>
        <v>Zosteropidae (White-eyes, Yuhinas, and Allies)</v>
      </c>
    </row>
    <row r="2958" spans="1:8" x14ac:dyDescent="0.15">
      <c r="A2958" s="3" t="s">
        <v>2846</v>
      </c>
      <c r="B2958" s="3" t="s">
        <v>4890</v>
      </c>
      <c r="C2958" s="3">
        <v>6882</v>
      </c>
      <c r="D2958" s="3" t="str">
        <f>VLOOKUP(B2958,[1]LifeList!$E$2:$G$2036,1)</f>
        <v>Silvery Grebe</v>
      </c>
      <c r="E2958" s="3" t="str">
        <f>VLOOKUP(B2958,[1]LifeList!$E$2:$G$2036,2)</f>
        <v>Grèbe aux belles joues</v>
      </c>
      <c r="F2958" s="3" t="str">
        <f>VLOOKUP(B2958,[1]LifeList!$E$2:$G$2036,3)</f>
        <v>Podiceps occipitalis</v>
      </c>
      <c r="G2958" s="3" t="str">
        <f>VLOOKUP(B2958,[1]LifeList!$E$2:$I$2036,4)</f>
        <v>Podicipediformes</v>
      </c>
      <c r="H2958" s="3" t="str">
        <f>VLOOKUP(B2958,[1]LifeList!$E$2:$I$2036,5)</f>
        <v>Podicipedidae (Grebes)</v>
      </c>
    </row>
    <row r="2959" spans="1:8" x14ac:dyDescent="0.15">
      <c r="A2959" s="3" t="s">
        <v>2847</v>
      </c>
      <c r="B2959" s="3" t="s">
        <v>4890</v>
      </c>
      <c r="C2959" s="3">
        <v>6882</v>
      </c>
      <c r="D2959" s="3" t="str">
        <f>VLOOKUP(B2959,[1]LifeList!$E$2:$G$2036,1)</f>
        <v>Silvery Grebe</v>
      </c>
      <c r="E2959" s="3" t="str">
        <f>VLOOKUP(B2959,[1]LifeList!$E$2:$G$2036,2)</f>
        <v>Grèbe aux belles joues</v>
      </c>
      <c r="F2959" s="3" t="str">
        <f>VLOOKUP(B2959,[1]LifeList!$E$2:$G$2036,3)</f>
        <v>Podiceps occipitalis</v>
      </c>
      <c r="G2959" s="3" t="str">
        <f>VLOOKUP(B2959,[1]LifeList!$E$2:$I$2036,4)</f>
        <v>Podicipediformes</v>
      </c>
      <c r="H2959" s="3" t="str">
        <f>VLOOKUP(B2959,[1]LifeList!$E$2:$I$2036,5)</f>
        <v>Podicipedidae (Grebes)</v>
      </c>
    </row>
    <row r="2960" spans="1:8" x14ac:dyDescent="0.15">
      <c r="A2960" s="3" t="s">
        <v>2845</v>
      </c>
      <c r="B2960" s="3" t="s">
        <v>4891</v>
      </c>
      <c r="C2960" s="3">
        <v>9698</v>
      </c>
      <c r="D2960" s="3" t="str">
        <f>VLOOKUP(B2960,[1]LifeList!$E$2:$G$2036,1)</f>
        <v>Silvery-cheeked Hornbill</v>
      </c>
      <c r="E2960" s="3" t="str">
        <f>VLOOKUP(B2960,[1]LifeList!$E$2:$G$2036,2)</f>
        <v>Calao à joues argent</v>
      </c>
      <c r="F2960" s="3" t="str">
        <f>VLOOKUP(B2960,[1]LifeList!$E$2:$G$2036,3)</f>
        <v>Bycanistes brevis</v>
      </c>
      <c r="G2960" s="3" t="str">
        <f>VLOOKUP(B2960,[1]LifeList!$E$2:$I$2036,4)</f>
        <v>Bucerotiformes</v>
      </c>
      <c r="H2960" s="3" t="str">
        <f>VLOOKUP(B2960,[1]LifeList!$E$2:$I$2036,5)</f>
        <v>Bucerotidae (Hornbills)</v>
      </c>
    </row>
    <row r="2961" spans="1:8" x14ac:dyDescent="0.15">
      <c r="A2961" s="3" t="s">
        <v>2848</v>
      </c>
      <c r="B2961" s="3" t="s">
        <v>4892</v>
      </c>
      <c r="C2961" s="3">
        <v>17877</v>
      </c>
      <c r="D2961" s="3" t="str">
        <f>VLOOKUP(B2961,[1]LifeList!$E$2:$G$2036,1)</f>
        <v>Singing Honeyeater</v>
      </c>
      <c r="E2961" s="3" t="str">
        <f>VLOOKUP(B2961,[1]LifeList!$E$2:$G$2036,2)</f>
        <v>Méliphage chanteur</v>
      </c>
      <c r="F2961" s="3" t="str">
        <f>VLOOKUP(B2961,[1]LifeList!$E$2:$G$2036,3)</f>
        <v>Gavicalis virescens</v>
      </c>
      <c r="G2961" s="3" t="str">
        <f>VLOOKUP(B2961,[1]LifeList!$E$2:$I$2036,4)</f>
        <v>Passeriformes</v>
      </c>
      <c r="H2961" s="3" t="str">
        <f>VLOOKUP(B2961,[1]LifeList!$E$2:$I$2036,5)</f>
        <v>Meliphagidae (Honeyeaters)</v>
      </c>
    </row>
    <row r="2962" spans="1:8" x14ac:dyDescent="0.15">
      <c r="A2962" s="3" t="s">
        <v>2849</v>
      </c>
      <c r="B2962" s="3" t="s">
        <v>4893</v>
      </c>
      <c r="C2962" s="3">
        <v>35593</v>
      </c>
      <c r="D2962" s="3" t="str">
        <f>VLOOKUP(B2962,[1]LifeList!$E$2:$G$2036,1)</f>
        <v>Slate-colored Seedeater</v>
      </c>
      <c r="E2962" s="3" t="str">
        <f>VLOOKUP(B2962,[1]LifeList!$E$2:$G$2036,2)</f>
        <v>Sporophile ardoisé</v>
      </c>
      <c r="F2962" s="3" t="str">
        <f>VLOOKUP(B2962,[1]LifeList!$E$2:$G$2036,3)</f>
        <v>Sporophila schistacea</v>
      </c>
      <c r="G2962" s="3" t="str">
        <f>VLOOKUP(B2962,[1]LifeList!$E$2:$I$2036,4)</f>
        <v>Passeriformes</v>
      </c>
      <c r="H2962" s="3" t="str">
        <f>VLOOKUP(B2962,[1]LifeList!$E$2:$I$2036,5)</f>
        <v>Thraupidae (Tanagers and Allies)</v>
      </c>
    </row>
    <row r="2963" spans="1:8" x14ac:dyDescent="0.15">
      <c r="A2963" s="3" t="s">
        <v>2850</v>
      </c>
      <c r="B2963" s="3" t="s">
        <v>4894</v>
      </c>
      <c r="C2963" s="3">
        <v>14352</v>
      </c>
      <c r="D2963" s="3" t="str">
        <f>VLOOKUP(B2963,[1]LifeList!$E$2:$G$2036,1)</f>
        <v>Slate-crowned Antpitta</v>
      </c>
      <c r="E2963" s="3" t="str">
        <f>VLOOKUP(B2963,[1]LifeList!$E$2:$G$2036,2)</f>
        <v>Grallaire naine</v>
      </c>
      <c r="F2963" s="3" t="str">
        <f>VLOOKUP(B2963,[1]LifeList!$E$2:$G$2036,3)</f>
        <v>Grallaricula nana</v>
      </c>
      <c r="G2963" s="3" t="str">
        <f>VLOOKUP(B2963,[1]LifeList!$E$2:$I$2036,4)</f>
        <v>Passeriformes</v>
      </c>
      <c r="H2963" s="3" t="str">
        <f>VLOOKUP(B2963,[1]LifeList!$E$2:$I$2036,5)</f>
        <v>Grallariidae (Antpittas)</v>
      </c>
    </row>
    <row r="2964" spans="1:8" x14ac:dyDescent="0.15">
      <c r="A2964" s="3" t="s">
        <v>2851</v>
      </c>
      <c r="B2964" s="3" t="s">
        <v>4895</v>
      </c>
      <c r="C2964" s="3">
        <v>34360</v>
      </c>
      <c r="D2964" s="3" t="str">
        <f>VLOOKUP(B2964,[1]LifeList!$E$2:$G$2036,1)</f>
        <v>Slate-throated Redstart</v>
      </c>
      <c r="E2964" s="3" t="str">
        <f>VLOOKUP(B2964,[1]LifeList!$E$2:$G$2036,2)</f>
        <v>Paruline ardoisée</v>
      </c>
      <c r="F2964" s="3" t="str">
        <f>VLOOKUP(B2964,[1]LifeList!$E$2:$G$2036,3)</f>
        <v>Myioborus miniatus</v>
      </c>
      <c r="G2964" s="3" t="str">
        <f>VLOOKUP(B2964,[1]LifeList!$E$2:$I$2036,4)</f>
        <v>Passeriformes</v>
      </c>
      <c r="H2964" s="3" t="str">
        <f>VLOOKUP(B2964,[1]LifeList!$E$2:$I$2036,5)</f>
        <v>Parulidae (New World Warblers)</v>
      </c>
    </row>
    <row r="2965" spans="1:8" x14ac:dyDescent="0.15">
      <c r="A2965" s="3" t="s">
        <v>2852</v>
      </c>
      <c r="B2965" s="3" t="s">
        <v>4895</v>
      </c>
      <c r="C2965" s="3">
        <v>34360</v>
      </c>
      <c r="D2965" s="3" t="str">
        <f>VLOOKUP(B2965,[1]LifeList!$E$2:$G$2036,1)</f>
        <v>Slate-throated Redstart</v>
      </c>
      <c r="E2965" s="3" t="str">
        <f>VLOOKUP(B2965,[1]LifeList!$E$2:$G$2036,2)</f>
        <v>Paruline ardoisée</v>
      </c>
      <c r="F2965" s="3" t="str">
        <f>VLOOKUP(B2965,[1]LifeList!$E$2:$G$2036,3)</f>
        <v>Myioborus miniatus</v>
      </c>
      <c r="G2965" s="3" t="str">
        <f>VLOOKUP(B2965,[1]LifeList!$E$2:$I$2036,4)</f>
        <v>Passeriformes</v>
      </c>
      <c r="H2965" s="3" t="str">
        <f>VLOOKUP(B2965,[1]LifeList!$E$2:$I$2036,5)</f>
        <v>Parulidae (New World Warblers)</v>
      </c>
    </row>
    <row r="2966" spans="1:8" x14ac:dyDescent="0.15">
      <c r="A2966" s="3" t="s">
        <v>2858</v>
      </c>
      <c r="B2966" s="3" t="s">
        <v>4896</v>
      </c>
      <c r="C2966" s="3">
        <v>7638</v>
      </c>
      <c r="D2966" s="3" t="str">
        <f>VLOOKUP(B2966,[1]LifeList!$E$2:$G$2036,1)</f>
        <v>Slaty Egret</v>
      </c>
      <c r="E2966" s="3" t="str">
        <f>VLOOKUP(B2966,[1]LifeList!$E$2:$G$2036,2)</f>
        <v>Aigrette vineuse</v>
      </c>
      <c r="F2966" s="3" t="str">
        <f>VLOOKUP(B2966,[1]LifeList!$E$2:$G$2036,3)</f>
        <v>Egretta vinaceigula</v>
      </c>
      <c r="G2966" s="3" t="str">
        <f>VLOOKUP(B2966,[1]LifeList!$E$2:$I$2036,4)</f>
        <v>Pelecaniformes</v>
      </c>
      <c r="H2966" s="3" t="str">
        <f>VLOOKUP(B2966,[1]LifeList!$E$2:$I$2036,5)</f>
        <v>Ardeidae (Herons, Egrets, and Bitterns)</v>
      </c>
    </row>
    <row r="2967" spans="1:8" x14ac:dyDescent="0.15">
      <c r="A2967" s="3" t="s">
        <v>2859</v>
      </c>
      <c r="B2967" s="3" t="s">
        <v>4897</v>
      </c>
      <c r="C2967" s="3">
        <v>35310</v>
      </c>
      <c r="D2967" s="3" t="str">
        <f>VLOOKUP(B2967,[1]LifeList!$E$2:$G$2036,1)</f>
        <v>Slaty Flowerpiercer</v>
      </c>
      <c r="E2967" s="3" t="str">
        <f>VLOOKUP(B2967,[1]LifeList!$E$2:$G$2036,2)</f>
        <v>Percefleur ardoisé</v>
      </c>
      <c r="F2967" s="3" t="str">
        <f>VLOOKUP(B2967,[1]LifeList!$E$2:$G$2036,3)</f>
        <v>Diglossa plumbea</v>
      </c>
      <c r="G2967" s="3" t="str">
        <f>VLOOKUP(B2967,[1]LifeList!$E$2:$I$2036,4)</f>
        <v>Passeriformes</v>
      </c>
      <c r="H2967" s="3" t="str">
        <f>VLOOKUP(B2967,[1]LifeList!$E$2:$I$2036,5)</f>
        <v>Thraupidae (Tanagers and Allies)</v>
      </c>
    </row>
    <row r="2968" spans="1:8" x14ac:dyDescent="0.15">
      <c r="A2968" s="3" t="s">
        <v>2860</v>
      </c>
      <c r="B2968" s="3" t="s">
        <v>4898</v>
      </c>
      <c r="C2968" s="3">
        <v>15592</v>
      </c>
      <c r="D2968" s="3" t="str">
        <f>VLOOKUP(B2968,[1]LifeList!$E$2:$G$2036,1)</f>
        <v>Slaty Spinetail</v>
      </c>
      <c r="E2968" s="3" t="str">
        <f>VLOOKUP(B2968,[1]LifeList!$E$2:$G$2036,2)</f>
        <v>Synallaxe ardoisé</v>
      </c>
      <c r="F2968" s="3" t="str">
        <f>VLOOKUP(B2968,[1]LifeList!$E$2:$G$2036,3)</f>
        <v>Synallaxis brachyura</v>
      </c>
      <c r="G2968" s="3" t="str">
        <f>VLOOKUP(B2968,[1]LifeList!$E$2:$I$2036,4)</f>
        <v>Passeriformes</v>
      </c>
      <c r="H2968" s="3" t="str">
        <f>VLOOKUP(B2968,[1]LifeList!$E$2:$I$2036,5)</f>
        <v>Furnariidae (Ovenbirds and Woodcreepers)</v>
      </c>
    </row>
    <row r="2969" spans="1:8" x14ac:dyDescent="0.15">
      <c r="A2969" s="3" t="s">
        <v>2857</v>
      </c>
      <c r="B2969" s="3" t="s">
        <v>4899</v>
      </c>
      <c r="C2969" s="3">
        <v>9522</v>
      </c>
      <c r="D2969" s="3" t="str">
        <f>VLOOKUP(B2969,[1]LifeList!$E$2:$G$2036,1)</f>
        <v>Slaty-tailed Trogon</v>
      </c>
      <c r="E2969" s="3" t="str">
        <f>VLOOKUP(B2969,[1]LifeList!$E$2:$G$2036,2)</f>
        <v>Trogon de Masséna</v>
      </c>
      <c r="F2969" s="3" t="str">
        <f>VLOOKUP(B2969,[1]LifeList!$E$2:$G$2036,3)</f>
        <v>Trogon massena</v>
      </c>
      <c r="G2969" s="3" t="str">
        <f>VLOOKUP(B2969,[1]LifeList!$E$2:$I$2036,4)</f>
        <v>Trogoniformes</v>
      </c>
      <c r="H2969" s="3" t="str">
        <f>VLOOKUP(B2969,[1]LifeList!$E$2:$I$2036,5)</f>
        <v>Trogonidae (Trogons)</v>
      </c>
    </row>
    <row r="2970" spans="1:8" x14ac:dyDescent="0.15">
      <c r="A2970" s="3" t="s">
        <v>2853</v>
      </c>
      <c r="B2970" s="3" t="s">
        <v>4899</v>
      </c>
      <c r="C2970" s="3">
        <v>9522</v>
      </c>
      <c r="D2970" s="3" t="str">
        <f>VLOOKUP(B2970,[1]LifeList!$E$2:$G$2036,1)</f>
        <v>Slaty-tailed Trogon</v>
      </c>
      <c r="E2970" s="3" t="str">
        <f>VLOOKUP(B2970,[1]LifeList!$E$2:$G$2036,2)</f>
        <v>Trogon de Masséna</v>
      </c>
      <c r="F2970" s="3" t="str">
        <f>VLOOKUP(B2970,[1]LifeList!$E$2:$G$2036,3)</f>
        <v>Trogon massena</v>
      </c>
      <c r="G2970" s="3" t="str">
        <f>VLOOKUP(B2970,[1]LifeList!$E$2:$I$2036,4)</f>
        <v>Trogoniformes</v>
      </c>
      <c r="H2970" s="3" t="str">
        <f>VLOOKUP(B2970,[1]LifeList!$E$2:$I$2036,5)</f>
        <v>Trogonidae (Trogons)</v>
      </c>
    </row>
    <row r="2971" spans="1:8" x14ac:dyDescent="0.15">
      <c r="A2971" s="3" t="s">
        <v>2854</v>
      </c>
      <c r="B2971" s="3" t="s">
        <v>4899</v>
      </c>
      <c r="C2971" s="3">
        <v>9522</v>
      </c>
      <c r="D2971" s="3" t="str">
        <f>VLOOKUP(B2971,[1]LifeList!$E$2:$G$2036,1)</f>
        <v>Slaty-tailed Trogon</v>
      </c>
      <c r="E2971" s="3" t="str">
        <f>VLOOKUP(B2971,[1]LifeList!$E$2:$G$2036,2)</f>
        <v>Trogon de Masséna</v>
      </c>
      <c r="F2971" s="3" t="str">
        <f>VLOOKUP(B2971,[1]LifeList!$E$2:$G$2036,3)</f>
        <v>Trogon massena</v>
      </c>
      <c r="G2971" s="3" t="str">
        <f>VLOOKUP(B2971,[1]LifeList!$E$2:$I$2036,4)</f>
        <v>Trogoniformes</v>
      </c>
      <c r="H2971" s="3" t="str">
        <f>VLOOKUP(B2971,[1]LifeList!$E$2:$I$2036,5)</f>
        <v>Trogonidae (Trogons)</v>
      </c>
    </row>
    <row r="2972" spans="1:8" x14ac:dyDescent="0.15">
      <c r="A2972" s="3" t="s">
        <v>2855</v>
      </c>
      <c r="B2972" s="3" t="s">
        <v>4899</v>
      </c>
      <c r="C2972" s="3">
        <v>9522</v>
      </c>
      <c r="D2972" s="3" t="str">
        <f>VLOOKUP(B2972,[1]LifeList!$E$2:$G$2036,1)</f>
        <v>Slaty-tailed Trogon</v>
      </c>
      <c r="E2972" s="3" t="str">
        <f>VLOOKUP(B2972,[1]LifeList!$E$2:$G$2036,2)</f>
        <v>Trogon de Masséna</v>
      </c>
      <c r="F2972" s="3" t="str">
        <f>VLOOKUP(B2972,[1]LifeList!$E$2:$G$2036,3)</f>
        <v>Trogon massena</v>
      </c>
      <c r="G2972" s="3" t="str">
        <f>VLOOKUP(B2972,[1]LifeList!$E$2:$I$2036,4)</f>
        <v>Trogoniformes</v>
      </c>
      <c r="H2972" s="3" t="str">
        <f>VLOOKUP(B2972,[1]LifeList!$E$2:$I$2036,5)</f>
        <v>Trogonidae (Trogons)</v>
      </c>
    </row>
    <row r="2973" spans="1:8" x14ac:dyDescent="0.15">
      <c r="A2973" s="3" t="s">
        <v>2856</v>
      </c>
      <c r="B2973" s="3" t="s">
        <v>4899</v>
      </c>
      <c r="C2973" s="3">
        <v>9522</v>
      </c>
      <c r="D2973" s="3" t="str">
        <f>VLOOKUP(B2973,[1]LifeList!$E$2:$G$2036,1)</f>
        <v>Slaty-tailed Trogon</v>
      </c>
      <c r="E2973" s="3" t="str">
        <f>VLOOKUP(B2973,[1]LifeList!$E$2:$G$2036,2)</f>
        <v>Trogon de Masséna</v>
      </c>
      <c r="F2973" s="3" t="str">
        <f>VLOOKUP(B2973,[1]LifeList!$E$2:$G$2036,3)</f>
        <v>Trogon massena</v>
      </c>
      <c r="G2973" s="3" t="str">
        <f>VLOOKUP(B2973,[1]LifeList!$E$2:$I$2036,4)</f>
        <v>Trogoniformes</v>
      </c>
      <c r="H2973" s="3" t="str">
        <f>VLOOKUP(B2973,[1]LifeList!$E$2:$I$2036,5)</f>
        <v>Trogonidae (Trogons)</v>
      </c>
    </row>
    <row r="2974" spans="1:8" x14ac:dyDescent="0.15">
      <c r="A2974" s="3" t="s">
        <v>2862</v>
      </c>
      <c r="B2974" s="3" t="s">
        <v>4900</v>
      </c>
      <c r="C2974" s="3">
        <v>16896</v>
      </c>
      <c r="D2974" s="3" t="str">
        <f>VLOOKUP(B2974,[1]LifeList!$E$2:$G$2036,1)</f>
        <v>Smoke-colored Pewee</v>
      </c>
      <c r="E2974" s="3" t="str">
        <f>VLOOKUP(B2974,[1]LifeList!$E$2:$G$2036,2)</f>
        <v>Moucherolle bistré</v>
      </c>
      <c r="F2974" s="3" t="str">
        <f>VLOOKUP(B2974,[1]LifeList!$E$2:$G$2036,3)</f>
        <v>Contopus fumigatus</v>
      </c>
      <c r="G2974" s="3" t="str">
        <f>VLOOKUP(B2974,[1]LifeList!$E$2:$I$2036,4)</f>
        <v>Passeriformes</v>
      </c>
      <c r="H2974" s="3" t="str">
        <f>VLOOKUP(B2974,[1]LifeList!$E$2:$I$2036,5)</f>
        <v>Tyrannidae (Tyrant Flycatchers)</v>
      </c>
    </row>
    <row r="2975" spans="1:8" x14ac:dyDescent="0.15">
      <c r="A2975" s="3" t="s">
        <v>2863</v>
      </c>
      <c r="B2975" s="3" t="s">
        <v>4900</v>
      </c>
      <c r="C2975" s="3">
        <v>16896</v>
      </c>
      <c r="D2975" s="3" t="str">
        <f>VLOOKUP(B2975,[1]LifeList!$E$2:$G$2036,1)</f>
        <v>Smoke-colored Pewee</v>
      </c>
      <c r="E2975" s="3" t="str">
        <f>VLOOKUP(B2975,[1]LifeList!$E$2:$G$2036,2)</f>
        <v>Moucherolle bistré</v>
      </c>
      <c r="F2975" s="3" t="str">
        <f>VLOOKUP(B2975,[1]LifeList!$E$2:$G$2036,3)</f>
        <v>Contopus fumigatus</v>
      </c>
      <c r="G2975" s="3" t="str">
        <f>VLOOKUP(B2975,[1]LifeList!$E$2:$I$2036,4)</f>
        <v>Passeriformes</v>
      </c>
      <c r="H2975" s="3" t="str">
        <f>VLOOKUP(B2975,[1]LifeList!$E$2:$I$2036,5)</f>
        <v>Tyrannidae (Tyrant Flycatchers)</v>
      </c>
    </row>
    <row r="2976" spans="1:8" x14ac:dyDescent="0.15">
      <c r="A2976" s="3" t="s">
        <v>2864</v>
      </c>
      <c r="B2976" s="3" t="s">
        <v>4900</v>
      </c>
      <c r="C2976" s="3">
        <v>16896</v>
      </c>
      <c r="D2976" s="3" t="str">
        <f>VLOOKUP(B2976,[1]LifeList!$E$2:$G$2036,1)</f>
        <v>Smoke-colored Pewee</v>
      </c>
      <c r="E2976" s="3" t="str">
        <f>VLOOKUP(B2976,[1]LifeList!$E$2:$G$2036,2)</f>
        <v>Moucherolle bistré</v>
      </c>
      <c r="F2976" s="3" t="str">
        <f>VLOOKUP(B2976,[1]LifeList!$E$2:$G$2036,3)</f>
        <v>Contopus fumigatus</v>
      </c>
      <c r="G2976" s="3" t="str">
        <f>VLOOKUP(B2976,[1]LifeList!$E$2:$I$2036,4)</f>
        <v>Passeriformes</v>
      </c>
      <c r="H2976" s="3" t="str">
        <f>VLOOKUP(B2976,[1]LifeList!$E$2:$I$2036,5)</f>
        <v>Tyrannidae (Tyrant Flycatchers)</v>
      </c>
    </row>
    <row r="2977" spans="1:8" x14ac:dyDescent="0.15">
      <c r="A2977" s="3" t="s">
        <v>2861</v>
      </c>
      <c r="B2977" s="3" t="s">
        <v>4900</v>
      </c>
      <c r="C2977" s="3">
        <v>16896</v>
      </c>
      <c r="D2977" s="3" t="str">
        <f>VLOOKUP(B2977,[1]LifeList!$E$2:$G$2036,1)</f>
        <v>Smoke-colored Pewee</v>
      </c>
      <c r="E2977" s="3" t="str">
        <f>VLOOKUP(B2977,[1]LifeList!$E$2:$G$2036,2)</f>
        <v>Moucherolle bistré</v>
      </c>
      <c r="F2977" s="3" t="str">
        <f>VLOOKUP(B2977,[1]LifeList!$E$2:$G$2036,3)</f>
        <v>Contopus fumigatus</v>
      </c>
      <c r="G2977" s="3" t="str">
        <f>VLOOKUP(B2977,[1]LifeList!$E$2:$I$2036,4)</f>
        <v>Passeriformes</v>
      </c>
      <c r="H2977" s="3" t="str">
        <f>VLOOKUP(B2977,[1]LifeList!$E$2:$I$2036,5)</f>
        <v>Tyrannidae (Tyrant Flycatchers)</v>
      </c>
    </row>
    <row r="2978" spans="1:8" x14ac:dyDescent="0.15">
      <c r="A2978" s="3" t="s">
        <v>2865</v>
      </c>
      <c r="B2978" s="3" t="s">
        <v>4901</v>
      </c>
      <c r="C2978" s="3">
        <v>11455</v>
      </c>
      <c r="D2978" s="3" t="str">
        <f>VLOOKUP(B2978,[1]LifeList!$E$2:$G$2036,1)</f>
        <v>Smoky-brown Woodpecker</v>
      </c>
      <c r="E2978" s="3" t="str">
        <f>VLOOKUP(B2978,[1]LifeList!$E$2:$G$2036,2)</f>
        <v>Pic enfumé</v>
      </c>
      <c r="F2978" s="3" t="str">
        <f>VLOOKUP(B2978,[1]LifeList!$E$2:$G$2036,3)</f>
        <v>Leuconotopicus fumigatus</v>
      </c>
      <c r="G2978" s="3" t="str">
        <f>VLOOKUP(B2978,[1]LifeList!$E$2:$I$2036,4)</f>
        <v>Piciformes</v>
      </c>
      <c r="H2978" s="3" t="str">
        <f>VLOOKUP(B2978,[1]LifeList!$E$2:$I$2036,5)</f>
        <v>Picidae (Woodpeckers)</v>
      </c>
    </row>
    <row r="2979" spans="1:8" x14ac:dyDescent="0.15">
      <c r="A2979" s="3" t="s">
        <v>2866</v>
      </c>
      <c r="B2979" s="3" t="s">
        <v>4902</v>
      </c>
      <c r="C2979" s="3">
        <v>3026</v>
      </c>
      <c r="D2979" s="3" t="str">
        <f>VLOOKUP(B2979,[1]LifeList!$E$2:$G$2036,1)</f>
        <v>Smooth-billed Ani</v>
      </c>
      <c r="E2979" s="3" t="str">
        <f>VLOOKUP(B2979,[1]LifeList!$E$2:$G$2036,2)</f>
        <v>Ani à bec lisse</v>
      </c>
      <c r="F2979" s="3" t="str">
        <f>VLOOKUP(B2979,[1]LifeList!$E$2:$G$2036,3)</f>
        <v>Crotophaga ani</v>
      </c>
      <c r="G2979" s="3" t="str">
        <f>VLOOKUP(B2979,[1]LifeList!$E$2:$I$2036,4)</f>
        <v>Cuculiformes</v>
      </c>
      <c r="H2979" s="3" t="str">
        <f>VLOOKUP(B2979,[1]LifeList!$E$2:$I$2036,5)</f>
        <v>Cuculidae (Cuckoos)</v>
      </c>
    </row>
    <row r="2980" spans="1:8" x14ac:dyDescent="0.15">
      <c r="A2980" s="3" t="s">
        <v>2867</v>
      </c>
      <c r="B2980" s="3" t="s">
        <v>4902</v>
      </c>
      <c r="C2980" s="3">
        <v>3026</v>
      </c>
      <c r="D2980" s="3" t="str">
        <f>VLOOKUP(B2980,[1]LifeList!$E$2:$G$2036,1)</f>
        <v>Smooth-billed Ani</v>
      </c>
      <c r="E2980" s="3" t="str">
        <f>VLOOKUP(B2980,[1]LifeList!$E$2:$G$2036,2)</f>
        <v>Ani à bec lisse</v>
      </c>
      <c r="F2980" s="3" t="str">
        <f>VLOOKUP(B2980,[1]LifeList!$E$2:$G$2036,3)</f>
        <v>Crotophaga ani</v>
      </c>
      <c r="G2980" s="3" t="str">
        <f>VLOOKUP(B2980,[1]LifeList!$E$2:$I$2036,4)</f>
        <v>Cuculiformes</v>
      </c>
      <c r="H2980" s="3" t="str">
        <f>VLOOKUP(B2980,[1]LifeList!$E$2:$I$2036,5)</f>
        <v>Cuculidae (Cuckoos)</v>
      </c>
    </row>
    <row r="2981" spans="1:8" x14ac:dyDescent="0.15">
      <c r="A2981" s="3" t="s">
        <v>2868</v>
      </c>
      <c r="B2981" s="3" t="s">
        <v>4903</v>
      </c>
      <c r="C2981" s="3">
        <v>8403</v>
      </c>
      <c r="D2981" s="3" t="str">
        <f>VLOOKUP(B2981,[1]LifeList!$E$2:$G$2036,1)</f>
        <v>Snail Kite</v>
      </c>
      <c r="E2981" s="3" t="str">
        <f>VLOOKUP(B2981,[1]LifeList!$E$2:$G$2036,2)</f>
        <v>Milan des marais</v>
      </c>
      <c r="F2981" s="3" t="str">
        <f>VLOOKUP(B2981,[1]LifeList!$E$2:$G$2036,3)</f>
        <v>Rostrhamus sociabilis</v>
      </c>
      <c r="G2981" s="3" t="str">
        <f>VLOOKUP(B2981,[1]LifeList!$E$2:$I$2036,4)</f>
        <v>Accipitriformes</v>
      </c>
      <c r="H2981" s="3" t="str">
        <f>VLOOKUP(B2981,[1]LifeList!$E$2:$I$2036,5)</f>
        <v>Accipitridae (Hawks, Eagles, and Kites)</v>
      </c>
    </row>
    <row r="2982" spans="1:8" x14ac:dyDescent="0.15">
      <c r="A2982" s="3" t="s">
        <v>2869</v>
      </c>
      <c r="B2982" s="3" t="s">
        <v>4903</v>
      </c>
      <c r="C2982" s="3">
        <v>8403</v>
      </c>
      <c r="D2982" s="3" t="str">
        <f>VLOOKUP(B2982,[1]LifeList!$E$2:$G$2036,1)</f>
        <v>Snail Kite</v>
      </c>
      <c r="E2982" s="3" t="str">
        <f>VLOOKUP(B2982,[1]LifeList!$E$2:$G$2036,2)</f>
        <v>Milan des marais</v>
      </c>
      <c r="F2982" s="3" t="str">
        <f>VLOOKUP(B2982,[1]LifeList!$E$2:$G$2036,3)</f>
        <v>Rostrhamus sociabilis</v>
      </c>
      <c r="G2982" s="3" t="str">
        <f>VLOOKUP(B2982,[1]LifeList!$E$2:$I$2036,4)</f>
        <v>Accipitriformes</v>
      </c>
      <c r="H2982" s="3" t="str">
        <f>VLOOKUP(B2982,[1]LifeList!$E$2:$I$2036,5)</f>
        <v>Accipitridae (Hawks, Eagles, and Kites)</v>
      </c>
    </row>
    <row r="2983" spans="1:8" x14ac:dyDescent="0.15">
      <c r="A2983" s="3" t="s">
        <v>2870</v>
      </c>
      <c r="B2983" s="3" t="s">
        <v>4903</v>
      </c>
      <c r="C2983" s="3">
        <v>8403</v>
      </c>
      <c r="D2983" s="3" t="str">
        <f>VLOOKUP(B2983,[1]LifeList!$E$2:$G$2036,1)</f>
        <v>Snail Kite</v>
      </c>
      <c r="E2983" s="3" t="str">
        <f>VLOOKUP(B2983,[1]LifeList!$E$2:$G$2036,2)</f>
        <v>Milan des marais</v>
      </c>
      <c r="F2983" s="3" t="str">
        <f>VLOOKUP(B2983,[1]LifeList!$E$2:$G$2036,3)</f>
        <v>Rostrhamus sociabilis</v>
      </c>
      <c r="G2983" s="3" t="str">
        <f>VLOOKUP(B2983,[1]LifeList!$E$2:$I$2036,4)</f>
        <v>Accipitriformes</v>
      </c>
      <c r="H2983" s="3" t="str">
        <f>VLOOKUP(B2983,[1]LifeList!$E$2:$I$2036,5)</f>
        <v>Accipitridae (Hawks, Eagles, and Kites)</v>
      </c>
    </row>
    <row r="2984" spans="1:8" x14ac:dyDescent="0.15">
      <c r="A2984" s="3" t="s">
        <v>2871</v>
      </c>
      <c r="B2984" s="3" t="s">
        <v>4903</v>
      </c>
      <c r="C2984" s="3">
        <v>8403</v>
      </c>
      <c r="D2984" s="3" t="str">
        <f>VLOOKUP(B2984,[1]LifeList!$E$2:$G$2036,1)</f>
        <v>Snail Kite</v>
      </c>
      <c r="E2984" s="3" t="str">
        <f>VLOOKUP(B2984,[1]LifeList!$E$2:$G$2036,2)</f>
        <v>Milan des marais</v>
      </c>
      <c r="F2984" s="3" t="str">
        <f>VLOOKUP(B2984,[1]LifeList!$E$2:$G$2036,3)</f>
        <v>Rostrhamus sociabilis</v>
      </c>
      <c r="G2984" s="3" t="str">
        <f>VLOOKUP(B2984,[1]LifeList!$E$2:$I$2036,4)</f>
        <v>Accipitriformes</v>
      </c>
      <c r="H2984" s="3" t="str">
        <f>VLOOKUP(B2984,[1]LifeList!$E$2:$I$2036,5)</f>
        <v>Accipitridae (Hawks, Eagles, and Kites)</v>
      </c>
    </row>
    <row r="2985" spans="1:8" x14ac:dyDescent="0.15">
      <c r="A2985" s="3" t="s">
        <v>2872</v>
      </c>
      <c r="B2985" s="3" t="s">
        <v>4903</v>
      </c>
      <c r="C2985" s="3">
        <v>8403</v>
      </c>
      <c r="D2985" s="3" t="str">
        <f>VLOOKUP(B2985,[1]LifeList!$E$2:$G$2036,1)</f>
        <v>Snail Kite</v>
      </c>
      <c r="E2985" s="3" t="str">
        <f>VLOOKUP(B2985,[1]LifeList!$E$2:$G$2036,2)</f>
        <v>Milan des marais</v>
      </c>
      <c r="F2985" s="3" t="str">
        <f>VLOOKUP(B2985,[1]LifeList!$E$2:$G$2036,3)</f>
        <v>Rostrhamus sociabilis</v>
      </c>
      <c r="G2985" s="3" t="str">
        <f>VLOOKUP(B2985,[1]LifeList!$E$2:$I$2036,4)</f>
        <v>Accipitriformes</v>
      </c>
      <c r="H2985" s="3" t="str">
        <f>VLOOKUP(B2985,[1]LifeList!$E$2:$I$2036,5)</f>
        <v>Accipitridae (Hawks, Eagles, and Kites)</v>
      </c>
    </row>
    <row r="2986" spans="1:8" x14ac:dyDescent="0.15">
      <c r="A2986" s="3" t="s">
        <v>2873</v>
      </c>
      <c r="B2986" s="3" t="s">
        <v>4904</v>
      </c>
      <c r="C2986" s="3">
        <v>32674</v>
      </c>
      <c r="D2986" s="3" t="str">
        <f>VLOOKUP(B2986,[1]LifeList!$E$2:$G$2036,1)</f>
        <v>Snow Bunting</v>
      </c>
      <c r="E2986" s="3" t="str">
        <f>VLOOKUP(B2986,[1]LifeList!$E$2:$G$2036,2)</f>
        <v>Plectrophane des neiges</v>
      </c>
      <c r="F2986" s="3" t="str">
        <f>VLOOKUP(B2986,[1]LifeList!$E$2:$G$2036,3)</f>
        <v>Plectrophenax nivalis</v>
      </c>
      <c r="G2986" s="3" t="str">
        <f>VLOOKUP(B2986,[1]LifeList!$E$2:$I$2036,4)</f>
        <v>Passeriformes</v>
      </c>
      <c r="H2986" s="3" t="str">
        <f>VLOOKUP(B2986,[1]LifeList!$E$2:$I$2036,5)</f>
        <v>Calcariidae (Longspurs and Snow Buntings)</v>
      </c>
    </row>
    <row r="2987" spans="1:8" x14ac:dyDescent="0.15">
      <c r="A2987" s="3" t="s">
        <v>2874</v>
      </c>
      <c r="B2987" s="3" t="s">
        <v>4905</v>
      </c>
      <c r="C2987" s="3">
        <v>267</v>
      </c>
      <c r="D2987" s="3" t="str">
        <f>VLOOKUP(B2987,[1]LifeList!$E$2:$G$2036,1)</f>
        <v>Snow Goose</v>
      </c>
      <c r="E2987" s="3" t="str">
        <f>VLOOKUP(B2987,[1]LifeList!$E$2:$G$2036,2)</f>
        <v>Oie des neiges</v>
      </c>
      <c r="F2987" s="3" t="str">
        <f>VLOOKUP(B2987,[1]LifeList!$E$2:$G$2036,3)</f>
        <v>Anser caerulescens</v>
      </c>
      <c r="G2987" s="3" t="str">
        <f>VLOOKUP(B2987,[1]LifeList!$E$2:$I$2036,4)</f>
        <v>Anseriformes</v>
      </c>
      <c r="H2987" s="3" t="str">
        <f>VLOOKUP(B2987,[1]LifeList!$E$2:$I$2036,5)</f>
        <v>Anatidae (Ducks, Geese, and Waterfowl)</v>
      </c>
    </row>
    <row r="2988" spans="1:8" x14ac:dyDescent="0.15">
      <c r="A2988" s="3" t="s">
        <v>2875</v>
      </c>
      <c r="B2988" s="3" t="s">
        <v>4905</v>
      </c>
      <c r="C2988" s="3">
        <v>267</v>
      </c>
      <c r="D2988" s="3" t="str">
        <f>VLOOKUP(B2988,[1]LifeList!$E$2:$G$2036,1)</f>
        <v>Snow Goose</v>
      </c>
      <c r="E2988" s="3" t="str">
        <f>VLOOKUP(B2988,[1]LifeList!$E$2:$G$2036,2)</f>
        <v>Oie des neiges</v>
      </c>
      <c r="F2988" s="3" t="str">
        <f>VLOOKUP(B2988,[1]LifeList!$E$2:$G$2036,3)</f>
        <v>Anser caerulescens</v>
      </c>
      <c r="G2988" s="3" t="str">
        <f>VLOOKUP(B2988,[1]LifeList!$E$2:$I$2036,4)</f>
        <v>Anseriformes</v>
      </c>
      <c r="H2988" s="3" t="str">
        <f>VLOOKUP(B2988,[1]LifeList!$E$2:$I$2036,5)</f>
        <v>Anatidae (Ducks, Geese, and Waterfowl)</v>
      </c>
    </row>
    <row r="2989" spans="1:8" x14ac:dyDescent="0.15">
      <c r="A2989" s="3" t="s">
        <v>2876</v>
      </c>
      <c r="B2989" s="3" t="s">
        <v>4905</v>
      </c>
      <c r="C2989" s="3">
        <v>267</v>
      </c>
      <c r="D2989" s="3" t="str">
        <f>VLOOKUP(B2989,[1]LifeList!$E$2:$G$2036,1)</f>
        <v>Snow Goose</v>
      </c>
      <c r="E2989" s="3" t="str">
        <f>VLOOKUP(B2989,[1]LifeList!$E$2:$G$2036,2)</f>
        <v>Oie des neiges</v>
      </c>
      <c r="F2989" s="3" t="str">
        <f>VLOOKUP(B2989,[1]LifeList!$E$2:$G$2036,3)</f>
        <v>Anser caerulescens</v>
      </c>
      <c r="G2989" s="3" t="str">
        <f>VLOOKUP(B2989,[1]LifeList!$E$2:$I$2036,4)</f>
        <v>Anseriformes</v>
      </c>
      <c r="H2989" s="3" t="str">
        <f>VLOOKUP(B2989,[1]LifeList!$E$2:$I$2036,5)</f>
        <v>Anatidae (Ducks, Geese, and Waterfowl)</v>
      </c>
    </row>
    <row r="2990" spans="1:8" x14ac:dyDescent="0.15">
      <c r="A2990" s="3" t="s">
        <v>2877</v>
      </c>
      <c r="B2990" s="3" t="s">
        <v>4905</v>
      </c>
      <c r="C2990" s="3">
        <v>267</v>
      </c>
      <c r="D2990" s="3" t="str">
        <f>VLOOKUP(B2990,[1]LifeList!$E$2:$G$2036,1)</f>
        <v>Snow Goose</v>
      </c>
      <c r="E2990" s="3" t="str">
        <f>VLOOKUP(B2990,[1]LifeList!$E$2:$G$2036,2)</f>
        <v>Oie des neiges</v>
      </c>
      <c r="F2990" s="3" t="str">
        <f>VLOOKUP(B2990,[1]LifeList!$E$2:$G$2036,3)</f>
        <v>Anser caerulescens</v>
      </c>
      <c r="G2990" s="3" t="str">
        <f>VLOOKUP(B2990,[1]LifeList!$E$2:$I$2036,4)</f>
        <v>Anseriformes</v>
      </c>
      <c r="H2990" s="3" t="str">
        <f>VLOOKUP(B2990,[1]LifeList!$E$2:$I$2036,5)</f>
        <v>Anatidae (Ducks, Geese, and Waterfowl)</v>
      </c>
    </row>
    <row r="2991" spans="1:8" x14ac:dyDescent="0.15">
      <c r="A2991" s="3" t="s">
        <v>2878</v>
      </c>
      <c r="B2991" s="3" t="s">
        <v>4905</v>
      </c>
      <c r="C2991" s="3">
        <v>267</v>
      </c>
      <c r="D2991" s="3" t="str">
        <f>VLOOKUP(B2991,[1]LifeList!$E$2:$G$2036,1)</f>
        <v>Snow Goose</v>
      </c>
      <c r="E2991" s="3" t="str">
        <f>VLOOKUP(B2991,[1]LifeList!$E$2:$G$2036,2)</f>
        <v>Oie des neiges</v>
      </c>
      <c r="F2991" s="3" t="str">
        <f>VLOOKUP(B2991,[1]LifeList!$E$2:$G$2036,3)</f>
        <v>Anser caerulescens</v>
      </c>
      <c r="G2991" s="3" t="str">
        <f>VLOOKUP(B2991,[1]LifeList!$E$2:$I$2036,4)</f>
        <v>Anseriformes</v>
      </c>
      <c r="H2991" s="3" t="str">
        <f>VLOOKUP(B2991,[1]LifeList!$E$2:$I$2036,5)</f>
        <v>Anatidae (Ducks, Geese, and Waterfowl)</v>
      </c>
    </row>
    <row r="2992" spans="1:8" x14ac:dyDescent="0.15">
      <c r="A2992" s="3" t="s">
        <v>2879</v>
      </c>
      <c r="B2992" s="3" t="s">
        <v>4905</v>
      </c>
      <c r="C2992" s="3">
        <v>267</v>
      </c>
      <c r="D2992" s="3" t="str">
        <f>VLOOKUP(B2992,[1]LifeList!$E$2:$G$2036,1)</f>
        <v>Snow Goose</v>
      </c>
      <c r="E2992" s="3" t="str">
        <f>VLOOKUP(B2992,[1]LifeList!$E$2:$G$2036,2)</f>
        <v>Oie des neiges</v>
      </c>
      <c r="F2992" s="3" t="str">
        <f>VLOOKUP(B2992,[1]LifeList!$E$2:$G$2036,3)</f>
        <v>Anser caerulescens</v>
      </c>
      <c r="G2992" s="3" t="str">
        <f>VLOOKUP(B2992,[1]LifeList!$E$2:$I$2036,4)</f>
        <v>Anseriformes</v>
      </c>
      <c r="H2992" s="3" t="str">
        <f>VLOOKUP(B2992,[1]LifeList!$E$2:$I$2036,5)</f>
        <v>Anatidae (Ducks, Geese, and Waterfowl)</v>
      </c>
    </row>
    <row r="2993" spans="1:8" x14ac:dyDescent="0.15">
      <c r="A2993" s="3" t="s">
        <v>2880</v>
      </c>
      <c r="B2993" s="3" t="s">
        <v>4905</v>
      </c>
      <c r="C2993" s="3">
        <v>267</v>
      </c>
      <c r="D2993" s="3" t="str">
        <f>VLOOKUP(B2993,[1]LifeList!$E$2:$G$2036,1)</f>
        <v>Snow Goose</v>
      </c>
      <c r="E2993" s="3" t="str">
        <f>VLOOKUP(B2993,[1]LifeList!$E$2:$G$2036,2)</f>
        <v>Oie des neiges</v>
      </c>
      <c r="F2993" s="3" t="str">
        <f>VLOOKUP(B2993,[1]LifeList!$E$2:$G$2036,3)</f>
        <v>Anser caerulescens</v>
      </c>
      <c r="G2993" s="3" t="str">
        <f>VLOOKUP(B2993,[1]LifeList!$E$2:$I$2036,4)</f>
        <v>Anseriformes</v>
      </c>
      <c r="H2993" s="3" t="str">
        <f>VLOOKUP(B2993,[1]LifeList!$E$2:$I$2036,5)</f>
        <v>Anatidae (Ducks, Geese, and Waterfowl)</v>
      </c>
    </row>
    <row r="2994" spans="1:8" x14ac:dyDescent="0.15">
      <c r="A2994" s="3" t="s">
        <v>2881</v>
      </c>
      <c r="B2994" s="3" t="s">
        <v>4905</v>
      </c>
      <c r="C2994" s="3">
        <v>267</v>
      </c>
      <c r="D2994" s="3" t="str">
        <f>VLOOKUP(B2994,[1]LifeList!$E$2:$G$2036,1)</f>
        <v>Snow Goose</v>
      </c>
      <c r="E2994" s="3" t="str">
        <f>VLOOKUP(B2994,[1]LifeList!$E$2:$G$2036,2)</f>
        <v>Oie des neiges</v>
      </c>
      <c r="F2994" s="3" t="str">
        <f>VLOOKUP(B2994,[1]LifeList!$E$2:$G$2036,3)</f>
        <v>Anser caerulescens</v>
      </c>
      <c r="G2994" s="3" t="str">
        <f>VLOOKUP(B2994,[1]LifeList!$E$2:$I$2036,4)</f>
        <v>Anseriformes</v>
      </c>
      <c r="H2994" s="3" t="str">
        <f>VLOOKUP(B2994,[1]LifeList!$E$2:$I$2036,5)</f>
        <v>Anatidae (Ducks, Geese, and Waterfowl)</v>
      </c>
    </row>
    <row r="2995" spans="1:8" x14ac:dyDescent="0.15">
      <c r="A2995" s="3" t="s">
        <v>2882</v>
      </c>
      <c r="B2995" s="3" t="s">
        <v>4905</v>
      </c>
      <c r="C2995" s="3">
        <v>267</v>
      </c>
      <c r="D2995" s="3" t="str">
        <f>VLOOKUP(B2995,[1]LifeList!$E$2:$G$2036,1)</f>
        <v>Snow Goose</v>
      </c>
      <c r="E2995" s="3" t="str">
        <f>VLOOKUP(B2995,[1]LifeList!$E$2:$G$2036,2)</f>
        <v>Oie des neiges</v>
      </c>
      <c r="F2995" s="3" t="str">
        <f>VLOOKUP(B2995,[1]LifeList!$E$2:$G$2036,3)</f>
        <v>Anser caerulescens</v>
      </c>
      <c r="G2995" s="3" t="str">
        <f>VLOOKUP(B2995,[1]LifeList!$E$2:$I$2036,4)</f>
        <v>Anseriformes</v>
      </c>
      <c r="H2995" s="3" t="str">
        <f>VLOOKUP(B2995,[1]LifeList!$E$2:$I$2036,5)</f>
        <v>Anatidae (Ducks, Geese, and Waterfowl)</v>
      </c>
    </row>
    <row r="2996" spans="1:8" x14ac:dyDescent="0.15">
      <c r="A2996" s="3" t="s">
        <v>2883</v>
      </c>
      <c r="B2996" s="3" t="s">
        <v>4905</v>
      </c>
      <c r="C2996" s="3">
        <v>267</v>
      </c>
      <c r="D2996" s="3" t="str">
        <f>VLOOKUP(B2996,[1]LifeList!$E$2:$G$2036,1)</f>
        <v>Snow Goose</v>
      </c>
      <c r="E2996" s="3" t="str">
        <f>VLOOKUP(B2996,[1]LifeList!$E$2:$G$2036,2)</f>
        <v>Oie des neiges</v>
      </c>
      <c r="F2996" s="3" t="str">
        <f>VLOOKUP(B2996,[1]LifeList!$E$2:$G$2036,3)</f>
        <v>Anser caerulescens</v>
      </c>
      <c r="G2996" s="3" t="str">
        <f>VLOOKUP(B2996,[1]LifeList!$E$2:$I$2036,4)</f>
        <v>Anseriformes</v>
      </c>
      <c r="H2996" s="3" t="str">
        <f>VLOOKUP(B2996,[1]LifeList!$E$2:$I$2036,5)</f>
        <v>Anatidae (Ducks, Geese, and Waterfowl)</v>
      </c>
    </row>
    <row r="2997" spans="1:8" x14ac:dyDescent="0.15">
      <c r="A2997" s="3" t="s">
        <v>2884</v>
      </c>
      <c r="B2997" s="3" t="s">
        <v>4905</v>
      </c>
      <c r="C2997" s="3">
        <v>267</v>
      </c>
      <c r="D2997" s="3" t="str">
        <f>VLOOKUP(B2997,[1]LifeList!$E$2:$G$2036,1)</f>
        <v>Snow Goose</v>
      </c>
      <c r="E2997" s="3" t="str">
        <f>VLOOKUP(B2997,[1]LifeList!$E$2:$G$2036,2)</f>
        <v>Oie des neiges</v>
      </c>
      <c r="F2997" s="3" t="str">
        <f>VLOOKUP(B2997,[1]LifeList!$E$2:$G$2036,3)</f>
        <v>Anser caerulescens</v>
      </c>
      <c r="G2997" s="3" t="str">
        <f>VLOOKUP(B2997,[1]LifeList!$E$2:$I$2036,4)</f>
        <v>Anseriformes</v>
      </c>
      <c r="H2997" s="3" t="str">
        <f>VLOOKUP(B2997,[1]LifeList!$E$2:$I$2036,5)</f>
        <v>Anatidae (Ducks, Geese, and Waterfowl)</v>
      </c>
    </row>
    <row r="2998" spans="1:8" x14ac:dyDescent="0.15">
      <c r="A2998" s="3" t="s">
        <v>3913</v>
      </c>
      <c r="B2998" s="3" t="s">
        <v>4906</v>
      </c>
      <c r="C2998" s="3">
        <v>5005</v>
      </c>
      <c r="D2998" s="3" t="str">
        <f>VLOOKUP(B2998,[1]LifeList!$E$2:$G$2036,1)</f>
        <v>Snowcap</v>
      </c>
      <c r="E2998" s="3" t="str">
        <f>VLOOKUP(B2998,[1]LifeList!$E$2:$G$2036,2)</f>
        <v>Colibri à coiffe blanche</v>
      </c>
      <c r="F2998" s="3" t="str">
        <f>VLOOKUP(B2998,[1]LifeList!$E$2:$G$2036,3)</f>
        <v>Microchera albocoronata</v>
      </c>
      <c r="G2998" s="3" t="str">
        <f>VLOOKUP(B2998,[1]LifeList!$E$2:$I$2036,4)</f>
        <v>Apodiformes</v>
      </c>
      <c r="H2998" s="3" t="str">
        <f>VLOOKUP(B2998,[1]LifeList!$E$2:$I$2036,5)</f>
        <v>Trochilidae (Hummingbirds)</v>
      </c>
    </row>
    <row r="2999" spans="1:8" x14ac:dyDescent="0.15">
      <c r="A2999" s="3" t="s">
        <v>3914</v>
      </c>
      <c r="B2999" s="3" t="s">
        <v>4906</v>
      </c>
      <c r="C2999" s="3">
        <v>5005</v>
      </c>
      <c r="D2999" s="3" t="str">
        <f>VLOOKUP(B2999,[1]LifeList!$E$2:$G$2036,1)</f>
        <v>Snowcap</v>
      </c>
      <c r="E2999" s="3" t="str">
        <f>VLOOKUP(B2999,[1]LifeList!$E$2:$G$2036,2)</f>
        <v>Colibri à coiffe blanche</v>
      </c>
      <c r="F2999" s="3" t="str">
        <f>VLOOKUP(B2999,[1]LifeList!$E$2:$G$2036,3)</f>
        <v>Microchera albocoronata</v>
      </c>
      <c r="G2999" s="3" t="str">
        <f>VLOOKUP(B2999,[1]LifeList!$E$2:$I$2036,4)</f>
        <v>Apodiformes</v>
      </c>
      <c r="H2999" s="3" t="str">
        <f>VLOOKUP(B2999,[1]LifeList!$E$2:$I$2036,5)</f>
        <v>Trochilidae (Hummingbirds)</v>
      </c>
    </row>
    <row r="3000" spans="1:8" x14ac:dyDescent="0.15">
      <c r="A3000" s="3" t="s">
        <v>3915</v>
      </c>
      <c r="B3000" s="3" t="s">
        <v>4906</v>
      </c>
      <c r="C3000" s="3">
        <v>5005</v>
      </c>
      <c r="D3000" s="3" t="str">
        <f>VLOOKUP(B3000,[1]LifeList!$E$2:$G$2036,1)</f>
        <v>Snowcap</v>
      </c>
      <c r="E3000" s="3" t="str">
        <f>VLOOKUP(B3000,[1]LifeList!$E$2:$G$2036,2)</f>
        <v>Colibri à coiffe blanche</v>
      </c>
      <c r="F3000" s="3" t="str">
        <f>VLOOKUP(B3000,[1]LifeList!$E$2:$G$2036,3)</f>
        <v>Microchera albocoronata</v>
      </c>
      <c r="G3000" s="3" t="str">
        <f>VLOOKUP(B3000,[1]LifeList!$E$2:$I$2036,4)</f>
        <v>Apodiformes</v>
      </c>
      <c r="H3000" s="3" t="str">
        <f>VLOOKUP(B3000,[1]LifeList!$E$2:$I$2036,5)</f>
        <v>Trochilidae (Hummingbirds)</v>
      </c>
    </row>
    <row r="3001" spans="1:8" x14ac:dyDescent="0.15">
      <c r="A3001" s="3" t="s">
        <v>3916</v>
      </c>
      <c r="B3001" s="3" t="s">
        <v>4906</v>
      </c>
      <c r="C3001" s="3">
        <v>5005</v>
      </c>
      <c r="D3001" s="3" t="str">
        <f>VLOOKUP(B3001,[1]LifeList!$E$2:$G$2036,1)</f>
        <v>Snowcap</v>
      </c>
      <c r="E3001" s="3" t="str">
        <f>VLOOKUP(B3001,[1]LifeList!$E$2:$G$2036,2)</f>
        <v>Colibri à coiffe blanche</v>
      </c>
      <c r="F3001" s="3" t="str">
        <f>VLOOKUP(B3001,[1]LifeList!$E$2:$G$2036,3)</f>
        <v>Microchera albocoronata</v>
      </c>
      <c r="G3001" s="3" t="str">
        <f>VLOOKUP(B3001,[1]LifeList!$E$2:$I$2036,4)</f>
        <v>Apodiformes</v>
      </c>
      <c r="H3001" s="3" t="str">
        <f>VLOOKUP(B3001,[1]LifeList!$E$2:$I$2036,5)</f>
        <v>Trochilidae (Hummingbirds)</v>
      </c>
    </row>
    <row r="3002" spans="1:8" x14ac:dyDescent="0.15">
      <c r="A3002" s="3" t="s">
        <v>2885</v>
      </c>
      <c r="B3002" s="3" t="s">
        <v>4906</v>
      </c>
      <c r="C3002" s="3">
        <v>5005</v>
      </c>
      <c r="D3002" s="3" t="str">
        <f>VLOOKUP(B3002,[1]LifeList!$E$2:$G$2036,1)</f>
        <v>Snowcap</v>
      </c>
      <c r="E3002" s="3" t="str">
        <f>VLOOKUP(B3002,[1]LifeList!$E$2:$G$2036,2)</f>
        <v>Colibri à coiffe blanche</v>
      </c>
      <c r="F3002" s="3" t="str">
        <f>VLOOKUP(B3002,[1]LifeList!$E$2:$G$2036,3)</f>
        <v>Microchera albocoronata</v>
      </c>
      <c r="G3002" s="3" t="str">
        <f>VLOOKUP(B3002,[1]LifeList!$E$2:$I$2036,4)</f>
        <v>Apodiformes</v>
      </c>
      <c r="H3002" s="3" t="str">
        <f>VLOOKUP(B3002,[1]LifeList!$E$2:$I$2036,5)</f>
        <v>Trochilidae (Hummingbirds)</v>
      </c>
    </row>
    <row r="3003" spans="1:8" x14ac:dyDescent="0.15">
      <c r="A3003" s="3" t="s">
        <v>2886</v>
      </c>
      <c r="B3003" s="3" t="s">
        <v>4907</v>
      </c>
      <c r="C3003" s="3">
        <v>15951</v>
      </c>
      <c r="D3003" s="3" t="str">
        <f>VLOOKUP(B3003,[1]LifeList!$E$2:$G$2036,1)</f>
        <v>Snowy Cotinga</v>
      </c>
      <c r="E3003" s="3" t="str">
        <f>VLOOKUP(B3003,[1]LifeList!$E$2:$G$2036,2)</f>
        <v>Cotinga neigeux</v>
      </c>
      <c r="F3003" s="3" t="str">
        <f>VLOOKUP(B3003,[1]LifeList!$E$2:$G$2036,3)</f>
        <v>Carpodectes nitidus</v>
      </c>
      <c r="G3003" s="3" t="str">
        <f>VLOOKUP(B3003,[1]LifeList!$E$2:$I$2036,4)</f>
        <v>Passeriformes</v>
      </c>
      <c r="H3003" s="3" t="str">
        <f>VLOOKUP(B3003,[1]LifeList!$E$2:$I$2036,5)</f>
        <v>Cotingidae (Cotingas)</v>
      </c>
    </row>
    <row r="3004" spans="1:8" x14ac:dyDescent="0.15">
      <c r="A3004" s="3" t="s">
        <v>2887</v>
      </c>
      <c r="B3004" s="3" t="s">
        <v>4907</v>
      </c>
      <c r="C3004" s="3">
        <v>15951</v>
      </c>
      <c r="D3004" s="3" t="str">
        <f>VLOOKUP(B3004,[1]LifeList!$E$2:$G$2036,1)</f>
        <v>Snowy Cotinga</v>
      </c>
      <c r="E3004" s="3" t="str">
        <f>VLOOKUP(B3004,[1]LifeList!$E$2:$G$2036,2)</f>
        <v>Cotinga neigeux</v>
      </c>
      <c r="F3004" s="3" t="str">
        <f>VLOOKUP(B3004,[1]LifeList!$E$2:$G$2036,3)</f>
        <v>Carpodectes nitidus</v>
      </c>
      <c r="G3004" s="3" t="str">
        <f>VLOOKUP(B3004,[1]LifeList!$E$2:$I$2036,4)</f>
        <v>Passeriformes</v>
      </c>
      <c r="H3004" s="3" t="str">
        <f>VLOOKUP(B3004,[1]LifeList!$E$2:$I$2036,5)</f>
        <v>Cotingidae (Cotingas)</v>
      </c>
    </row>
    <row r="3005" spans="1:8" x14ac:dyDescent="0.15">
      <c r="A3005" s="3" t="s">
        <v>2888</v>
      </c>
      <c r="B3005" s="3" t="s">
        <v>4908</v>
      </c>
      <c r="C3005" s="3">
        <v>7645</v>
      </c>
      <c r="D3005" s="3" t="str">
        <f>VLOOKUP(B3005,[1]LifeList!$E$2:$G$2036,1)</f>
        <v>Snowy Egret</v>
      </c>
      <c r="E3005" s="3" t="str">
        <f>VLOOKUP(B3005,[1]LifeList!$E$2:$G$2036,2)</f>
        <v>Aigrette neigeuse</v>
      </c>
      <c r="F3005" s="3" t="str">
        <f>VLOOKUP(B3005,[1]LifeList!$E$2:$G$2036,3)</f>
        <v>Egretta thula</v>
      </c>
      <c r="G3005" s="3" t="str">
        <f>VLOOKUP(B3005,[1]LifeList!$E$2:$I$2036,4)</f>
        <v>Pelecaniformes</v>
      </c>
      <c r="H3005" s="3" t="str">
        <f>VLOOKUP(B3005,[1]LifeList!$E$2:$I$2036,5)</f>
        <v>Ardeidae (Herons, Egrets, and Bitterns)</v>
      </c>
    </row>
    <row r="3006" spans="1:8" x14ac:dyDescent="0.15">
      <c r="A3006" s="3" t="s">
        <v>2889</v>
      </c>
      <c r="B3006" s="3" t="s">
        <v>4908</v>
      </c>
      <c r="C3006" s="3">
        <v>7645</v>
      </c>
      <c r="D3006" s="3" t="str">
        <f>VLOOKUP(B3006,[1]LifeList!$E$2:$G$2036,1)</f>
        <v>Snowy Egret</v>
      </c>
      <c r="E3006" s="3" t="str">
        <f>VLOOKUP(B3006,[1]LifeList!$E$2:$G$2036,2)</f>
        <v>Aigrette neigeuse</v>
      </c>
      <c r="F3006" s="3" t="str">
        <f>VLOOKUP(B3006,[1]LifeList!$E$2:$G$2036,3)</f>
        <v>Egretta thula</v>
      </c>
      <c r="G3006" s="3" t="str">
        <f>VLOOKUP(B3006,[1]LifeList!$E$2:$I$2036,4)</f>
        <v>Pelecaniformes</v>
      </c>
      <c r="H3006" s="3" t="str">
        <f>VLOOKUP(B3006,[1]LifeList!$E$2:$I$2036,5)</f>
        <v>Ardeidae (Herons, Egrets, and Bitterns)</v>
      </c>
    </row>
    <row r="3007" spans="1:8" x14ac:dyDescent="0.15">
      <c r="A3007" s="3" t="s">
        <v>2890</v>
      </c>
      <c r="B3007" s="3" t="s">
        <v>4908</v>
      </c>
      <c r="C3007" s="3">
        <v>7645</v>
      </c>
      <c r="D3007" s="3" t="str">
        <f>VLOOKUP(B3007,[1]LifeList!$E$2:$G$2036,1)</f>
        <v>Snowy Egret</v>
      </c>
      <c r="E3007" s="3" t="str">
        <f>VLOOKUP(B3007,[1]LifeList!$E$2:$G$2036,2)</f>
        <v>Aigrette neigeuse</v>
      </c>
      <c r="F3007" s="3" t="str">
        <f>VLOOKUP(B3007,[1]LifeList!$E$2:$G$2036,3)</f>
        <v>Egretta thula</v>
      </c>
      <c r="G3007" s="3" t="str">
        <f>VLOOKUP(B3007,[1]LifeList!$E$2:$I$2036,4)</f>
        <v>Pelecaniformes</v>
      </c>
      <c r="H3007" s="3" t="str">
        <f>VLOOKUP(B3007,[1]LifeList!$E$2:$I$2036,5)</f>
        <v>Ardeidae (Herons, Egrets, and Bitterns)</v>
      </c>
    </row>
    <row r="3008" spans="1:8" x14ac:dyDescent="0.15">
      <c r="A3008" s="3" t="s">
        <v>2891</v>
      </c>
      <c r="B3008" s="3" t="s">
        <v>4908</v>
      </c>
      <c r="C3008" s="3">
        <v>7645</v>
      </c>
      <c r="D3008" s="3" t="str">
        <f>VLOOKUP(B3008,[1]LifeList!$E$2:$G$2036,1)</f>
        <v>Snowy Egret</v>
      </c>
      <c r="E3008" s="3" t="str">
        <f>VLOOKUP(B3008,[1]LifeList!$E$2:$G$2036,2)</f>
        <v>Aigrette neigeuse</v>
      </c>
      <c r="F3008" s="3" t="str">
        <f>VLOOKUP(B3008,[1]LifeList!$E$2:$G$2036,3)</f>
        <v>Egretta thula</v>
      </c>
      <c r="G3008" s="3" t="str">
        <f>VLOOKUP(B3008,[1]LifeList!$E$2:$I$2036,4)</f>
        <v>Pelecaniformes</v>
      </c>
      <c r="H3008" s="3" t="str">
        <f>VLOOKUP(B3008,[1]LifeList!$E$2:$I$2036,5)</f>
        <v>Ardeidae (Herons, Egrets, and Bitterns)</v>
      </c>
    </row>
    <row r="3009" spans="1:8" x14ac:dyDescent="0.15">
      <c r="A3009" s="3" t="s">
        <v>2892</v>
      </c>
      <c r="B3009" s="3" t="s">
        <v>4908</v>
      </c>
      <c r="C3009" s="3">
        <v>7645</v>
      </c>
      <c r="D3009" s="3" t="str">
        <f>VLOOKUP(B3009,[1]LifeList!$E$2:$G$2036,1)</f>
        <v>Snowy Egret</v>
      </c>
      <c r="E3009" s="3" t="str">
        <f>VLOOKUP(B3009,[1]LifeList!$E$2:$G$2036,2)</f>
        <v>Aigrette neigeuse</v>
      </c>
      <c r="F3009" s="3" t="str">
        <f>VLOOKUP(B3009,[1]LifeList!$E$2:$G$2036,3)</f>
        <v>Egretta thula</v>
      </c>
      <c r="G3009" s="3" t="str">
        <f>VLOOKUP(B3009,[1]LifeList!$E$2:$I$2036,4)</f>
        <v>Pelecaniformes</v>
      </c>
      <c r="H3009" s="3" t="str">
        <f>VLOOKUP(B3009,[1]LifeList!$E$2:$I$2036,5)</f>
        <v>Ardeidae (Herons, Egrets, and Bitterns)</v>
      </c>
    </row>
    <row r="3010" spans="1:8" x14ac:dyDescent="0.15">
      <c r="A3010" s="3" t="s">
        <v>2893</v>
      </c>
      <c r="B3010" s="3" t="s">
        <v>4908</v>
      </c>
      <c r="C3010" s="3">
        <v>7645</v>
      </c>
      <c r="D3010" s="3" t="str">
        <f>VLOOKUP(B3010,[1]LifeList!$E$2:$G$2036,1)</f>
        <v>Snowy Egret</v>
      </c>
      <c r="E3010" s="3" t="str">
        <f>VLOOKUP(B3010,[1]LifeList!$E$2:$G$2036,2)</f>
        <v>Aigrette neigeuse</v>
      </c>
      <c r="F3010" s="3" t="str">
        <f>VLOOKUP(B3010,[1]LifeList!$E$2:$G$2036,3)</f>
        <v>Egretta thula</v>
      </c>
      <c r="G3010" s="3" t="str">
        <f>VLOOKUP(B3010,[1]LifeList!$E$2:$I$2036,4)</f>
        <v>Pelecaniformes</v>
      </c>
      <c r="H3010" s="3" t="str">
        <f>VLOOKUP(B3010,[1]LifeList!$E$2:$I$2036,5)</f>
        <v>Ardeidae (Herons, Egrets, and Bitterns)</v>
      </c>
    </row>
    <row r="3011" spans="1:8" x14ac:dyDescent="0.15">
      <c r="A3011" s="3" t="s">
        <v>2894</v>
      </c>
      <c r="B3011" s="3" t="s">
        <v>4908</v>
      </c>
      <c r="C3011" s="3">
        <v>7645</v>
      </c>
      <c r="D3011" s="3" t="str">
        <f>VLOOKUP(B3011,[1]LifeList!$E$2:$G$2036,1)</f>
        <v>Snowy Egret</v>
      </c>
      <c r="E3011" s="3" t="str">
        <f>VLOOKUP(B3011,[1]LifeList!$E$2:$G$2036,2)</f>
        <v>Aigrette neigeuse</v>
      </c>
      <c r="F3011" s="3" t="str">
        <f>VLOOKUP(B3011,[1]LifeList!$E$2:$G$2036,3)</f>
        <v>Egretta thula</v>
      </c>
      <c r="G3011" s="3" t="str">
        <f>VLOOKUP(B3011,[1]LifeList!$E$2:$I$2036,4)</f>
        <v>Pelecaniformes</v>
      </c>
      <c r="H3011" s="3" t="str">
        <f>VLOOKUP(B3011,[1]LifeList!$E$2:$I$2036,5)</f>
        <v>Ardeidae (Herons, Egrets, and Bitterns)</v>
      </c>
    </row>
    <row r="3012" spans="1:8" x14ac:dyDescent="0.15">
      <c r="A3012" s="3" t="s">
        <v>2895</v>
      </c>
      <c r="B3012" s="3" t="s">
        <v>4908</v>
      </c>
      <c r="C3012" s="3">
        <v>7645</v>
      </c>
      <c r="D3012" s="3" t="str">
        <f>VLOOKUP(B3012,[1]LifeList!$E$2:$G$2036,1)</f>
        <v>Snowy Egret</v>
      </c>
      <c r="E3012" s="3" t="str">
        <f>VLOOKUP(B3012,[1]LifeList!$E$2:$G$2036,2)</f>
        <v>Aigrette neigeuse</v>
      </c>
      <c r="F3012" s="3" t="str">
        <f>VLOOKUP(B3012,[1]LifeList!$E$2:$G$2036,3)</f>
        <v>Egretta thula</v>
      </c>
      <c r="G3012" s="3" t="str">
        <f>VLOOKUP(B3012,[1]LifeList!$E$2:$I$2036,4)</f>
        <v>Pelecaniformes</v>
      </c>
      <c r="H3012" s="3" t="str">
        <f>VLOOKUP(B3012,[1]LifeList!$E$2:$I$2036,5)</f>
        <v>Ardeidae (Herons, Egrets, and Bitterns)</v>
      </c>
    </row>
    <row r="3013" spans="1:8" x14ac:dyDescent="0.15">
      <c r="A3013" s="3" t="s">
        <v>2896</v>
      </c>
      <c r="B3013" s="3" t="s">
        <v>4908</v>
      </c>
      <c r="C3013" s="3">
        <v>7645</v>
      </c>
      <c r="D3013" s="3" t="str">
        <f>VLOOKUP(B3013,[1]LifeList!$E$2:$G$2036,1)</f>
        <v>Snowy Egret</v>
      </c>
      <c r="E3013" s="3" t="str">
        <f>VLOOKUP(B3013,[1]LifeList!$E$2:$G$2036,2)</f>
        <v>Aigrette neigeuse</v>
      </c>
      <c r="F3013" s="3" t="str">
        <f>VLOOKUP(B3013,[1]LifeList!$E$2:$G$2036,3)</f>
        <v>Egretta thula</v>
      </c>
      <c r="G3013" s="3" t="str">
        <f>VLOOKUP(B3013,[1]LifeList!$E$2:$I$2036,4)</f>
        <v>Pelecaniformes</v>
      </c>
      <c r="H3013" s="3" t="str">
        <f>VLOOKUP(B3013,[1]LifeList!$E$2:$I$2036,5)</f>
        <v>Ardeidae (Herons, Egrets, and Bitterns)</v>
      </c>
    </row>
    <row r="3014" spans="1:8" x14ac:dyDescent="0.15">
      <c r="A3014" s="3" t="s">
        <v>2897</v>
      </c>
      <c r="B3014" s="3" t="s">
        <v>4908</v>
      </c>
      <c r="C3014" s="3">
        <v>7645</v>
      </c>
      <c r="D3014" s="3" t="str">
        <f>VLOOKUP(B3014,[1]LifeList!$E$2:$G$2036,1)</f>
        <v>Snowy Egret</v>
      </c>
      <c r="E3014" s="3" t="str">
        <f>VLOOKUP(B3014,[1]LifeList!$E$2:$G$2036,2)</f>
        <v>Aigrette neigeuse</v>
      </c>
      <c r="F3014" s="3" t="str">
        <f>VLOOKUP(B3014,[1]LifeList!$E$2:$G$2036,3)</f>
        <v>Egretta thula</v>
      </c>
      <c r="G3014" s="3" t="str">
        <f>VLOOKUP(B3014,[1]LifeList!$E$2:$I$2036,4)</f>
        <v>Pelecaniformes</v>
      </c>
      <c r="H3014" s="3" t="str">
        <f>VLOOKUP(B3014,[1]LifeList!$E$2:$I$2036,5)</f>
        <v>Ardeidae (Herons, Egrets, and Bitterns)</v>
      </c>
    </row>
    <row r="3015" spans="1:8" x14ac:dyDescent="0.15">
      <c r="A3015" s="3" t="s">
        <v>2898</v>
      </c>
      <c r="B3015" s="3" t="s">
        <v>4908</v>
      </c>
      <c r="C3015" s="3">
        <v>7645</v>
      </c>
      <c r="D3015" s="3" t="str">
        <f>VLOOKUP(B3015,[1]LifeList!$E$2:$G$2036,1)</f>
        <v>Snowy Egret</v>
      </c>
      <c r="E3015" s="3" t="str">
        <f>VLOOKUP(B3015,[1]LifeList!$E$2:$G$2036,2)</f>
        <v>Aigrette neigeuse</v>
      </c>
      <c r="F3015" s="3" t="str">
        <f>VLOOKUP(B3015,[1]LifeList!$E$2:$G$2036,3)</f>
        <v>Egretta thula</v>
      </c>
      <c r="G3015" s="3" t="str">
        <f>VLOOKUP(B3015,[1]LifeList!$E$2:$I$2036,4)</f>
        <v>Pelecaniformes</v>
      </c>
      <c r="H3015" s="3" t="str">
        <f>VLOOKUP(B3015,[1]LifeList!$E$2:$I$2036,5)</f>
        <v>Ardeidae (Herons, Egrets, and Bitterns)</v>
      </c>
    </row>
    <row r="3016" spans="1:8" x14ac:dyDescent="0.15">
      <c r="A3016" s="3" t="s">
        <v>2899</v>
      </c>
      <c r="B3016" s="3" t="s">
        <v>4908</v>
      </c>
      <c r="C3016" s="3">
        <v>7645</v>
      </c>
      <c r="D3016" s="3" t="str">
        <f>VLOOKUP(B3016,[1]LifeList!$E$2:$G$2036,1)</f>
        <v>Snowy Egret</v>
      </c>
      <c r="E3016" s="3" t="str">
        <f>VLOOKUP(B3016,[1]LifeList!$E$2:$G$2036,2)</f>
        <v>Aigrette neigeuse</v>
      </c>
      <c r="F3016" s="3" t="str">
        <f>VLOOKUP(B3016,[1]LifeList!$E$2:$G$2036,3)</f>
        <v>Egretta thula</v>
      </c>
      <c r="G3016" s="3" t="str">
        <f>VLOOKUP(B3016,[1]LifeList!$E$2:$I$2036,4)</f>
        <v>Pelecaniformes</v>
      </c>
      <c r="H3016" s="3" t="str">
        <f>VLOOKUP(B3016,[1]LifeList!$E$2:$I$2036,5)</f>
        <v>Ardeidae (Herons, Egrets, and Bitterns)</v>
      </c>
    </row>
    <row r="3017" spans="1:8" x14ac:dyDescent="0.15">
      <c r="A3017" s="3" t="s">
        <v>2900</v>
      </c>
      <c r="B3017" s="3" t="s">
        <v>4909</v>
      </c>
      <c r="C3017" s="3">
        <v>8909</v>
      </c>
      <c r="D3017" s="3" t="str">
        <f>VLOOKUP(B3017,[1]LifeList!$E$2:$G$2036,1)</f>
        <v>Snowy Owl</v>
      </c>
      <c r="E3017" s="3" t="str">
        <f>VLOOKUP(B3017,[1]LifeList!$E$2:$G$2036,2)</f>
        <v>Harfang des neiges</v>
      </c>
      <c r="F3017" s="3" t="str">
        <f>VLOOKUP(B3017,[1]LifeList!$E$2:$G$2036,3)</f>
        <v>Bubo scandiacus</v>
      </c>
      <c r="G3017" s="3" t="str">
        <f>VLOOKUP(B3017,[1]LifeList!$E$2:$I$2036,4)</f>
        <v>Strigiformes</v>
      </c>
      <c r="H3017" s="3" t="str">
        <f>VLOOKUP(B3017,[1]LifeList!$E$2:$I$2036,5)</f>
        <v>Strigidae (Owls)</v>
      </c>
    </row>
    <row r="3018" spans="1:8" x14ac:dyDescent="0.15">
      <c r="A3018" s="3" t="s">
        <v>2901</v>
      </c>
      <c r="B3018" s="3" t="s">
        <v>4909</v>
      </c>
      <c r="C3018" s="3">
        <v>8909</v>
      </c>
      <c r="D3018" s="3" t="str">
        <f>VLOOKUP(B3018,[1]LifeList!$E$2:$G$2036,1)</f>
        <v>Snowy Owl</v>
      </c>
      <c r="E3018" s="3" t="str">
        <f>VLOOKUP(B3018,[1]LifeList!$E$2:$G$2036,2)</f>
        <v>Harfang des neiges</v>
      </c>
      <c r="F3018" s="3" t="str">
        <f>VLOOKUP(B3018,[1]LifeList!$E$2:$G$2036,3)</f>
        <v>Bubo scandiacus</v>
      </c>
      <c r="G3018" s="3" t="str">
        <f>VLOOKUP(B3018,[1]LifeList!$E$2:$I$2036,4)</f>
        <v>Strigiformes</v>
      </c>
      <c r="H3018" s="3" t="str">
        <f>VLOOKUP(B3018,[1]LifeList!$E$2:$I$2036,5)</f>
        <v>Strigidae (Owls)</v>
      </c>
    </row>
    <row r="3019" spans="1:8" x14ac:dyDescent="0.15">
      <c r="A3019" s="3" t="s">
        <v>2902</v>
      </c>
      <c r="B3019" s="3" t="s">
        <v>4909</v>
      </c>
      <c r="C3019" s="3">
        <v>8909</v>
      </c>
      <c r="D3019" s="3" t="str">
        <f>VLOOKUP(B3019,[1]LifeList!$E$2:$G$2036,1)</f>
        <v>Snowy Owl</v>
      </c>
      <c r="E3019" s="3" t="str">
        <f>VLOOKUP(B3019,[1]LifeList!$E$2:$G$2036,2)</f>
        <v>Harfang des neiges</v>
      </c>
      <c r="F3019" s="3" t="str">
        <f>VLOOKUP(B3019,[1]LifeList!$E$2:$G$2036,3)</f>
        <v>Bubo scandiacus</v>
      </c>
      <c r="G3019" s="3" t="str">
        <f>VLOOKUP(B3019,[1]LifeList!$E$2:$I$2036,4)</f>
        <v>Strigiformes</v>
      </c>
      <c r="H3019" s="3" t="str">
        <f>VLOOKUP(B3019,[1]LifeList!$E$2:$I$2036,5)</f>
        <v>Strigidae (Owls)</v>
      </c>
    </row>
    <row r="3020" spans="1:8" x14ac:dyDescent="0.15">
      <c r="A3020" s="3" t="s">
        <v>2904</v>
      </c>
      <c r="B3020" s="3" t="s">
        <v>4910</v>
      </c>
      <c r="C3020" s="3">
        <v>5941</v>
      </c>
      <c r="D3020" s="3" t="str">
        <f>VLOOKUP(B3020,[1]LifeList!$E$2:$G$2036,1)</f>
        <v>Snowy Plover</v>
      </c>
      <c r="E3020" s="3" t="str">
        <f>VLOOKUP(B3020,[1]LifeList!$E$2:$G$2036,2)</f>
        <v>Pluvier neigeux</v>
      </c>
      <c r="F3020" s="3" t="str">
        <f>VLOOKUP(B3020,[1]LifeList!$E$2:$G$2036,3)</f>
        <v>Anarhynchus nivosus</v>
      </c>
      <c r="G3020" s="3" t="str">
        <f>VLOOKUP(B3020,[1]LifeList!$E$2:$I$2036,4)</f>
        <v>Charadriiformes</v>
      </c>
      <c r="H3020" s="3" t="str">
        <f>VLOOKUP(B3020,[1]LifeList!$E$2:$I$2036,5)</f>
        <v>Charadriidae (Plovers and Lapwings)</v>
      </c>
    </row>
    <row r="3021" spans="1:8" x14ac:dyDescent="0.15">
      <c r="A3021" s="3" t="s">
        <v>2905</v>
      </c>
      <c r="B3021" s="3" t="s">
        <v>4910</v>
      </c>
      <c r="C3021" s="3">
        <v>5941</v>
      </c>
      <c r="D3021" s="3" t="str">
        <f>VLOOKUP(B3021,[1]LifeList!$E$2:$G$2036,1)</f>
        <v>Snowy Plover</v>
      </c>
      <c r="E3021" s="3" t="str">
        <f>VLOOKUP(B3021,[1]LifeList!$E$2:$G$2036,2)</f>
        <v>Pluvier neigeux</v>
      </c>
      <c r="F3021" s="3" t="str">
        <f>VLOOKUP(B3021,[1]LifeList!$E$2:$G$2036,3)</f>
        <v>Anarhynchus nivosus</v>
      </c>
      <c r="G3021" s="3" t="str">
        <f>VLOOKUP(B3021,[1]LifeList!$E$2:$I$2036,4)</f>
        <v>Charadriiformes</v>
      </c>
      <c r="H3021" s="3" t="str">
        <f>VLOOKUP(B3021,[1]LifeList!$E$2:$I$2036,5)</f>
        <v>Charadriidae (Plovers and Lapwings)</v>
      </c>
    </row>
    <row r="3022" spans="1:8" x14ac:dyDescent="0.15">
      <c r="A3022" s="3" t="s">
        <v>2906</v>
      </c>
      <c r="B3022" s="3" t="s">
        <v>4910</v>
      </c>
      <c r="C3022" s="3">
        <v>5941</v>
      </c>
      <c r="D3022" s="3" t="str">
        <f>VLOOKUP(B3022,[1]LifeList!$E$2:$G$2036,1)</f>
        <v>Snowy Plover</v>
      </c>
      <c r="E3022" s="3" t="str">
        <f>VLOOKUP(B3022,[1]LifeList!$E$2:$G$2036,2)</f>
        <v>Pluvier neigeux</v>
      </c>
      <c r="F3022" s="3" t="str">
        <f>VLOOKUP(B3022,[1]LifeList!$E$2:$G$2036,3)</f>
        <v>Anarhynchus nivosus</v>
      </c>
      <c r="G3022" s="3" t="str">
        <f>VLOOKUP(B3022,[1]LifeList!$E$2:$I$2036,4)</f>
        <v>Charadriiformes</v>
      </c>
      <c r="H3022" s="3" t="str">
        <f>VLOOKUP(B3022,[1]LifeList!$E$2:$I$2036,5)</f>
        <v>Charadriidae (Plovers and Lapwings)</v>
      </c>
    </row>
    <row r="3023" spans="1:8" x14ac:dyDescent="0.15">
      <c r="A3023" s="3" t="s">
        <v>2903</v>
      </c>
      <c r="B3023" s="3" t="s">
        <v>4910</v>
      </c>
      <c r="C3023" s="3">
        <v>5941</v>
      </c>
      <c r="D3023" s="3" t="str">
        <f>VLOOKUP(B3023,[1]LifeList!$E$2:$G$2036,1)</f>
        <v>Snowy Plover</v>
      </c>
      <c r="E3023" s="3" t="str">
        <f>VLOOKUP(B3023,[1]LifeList!$E$2:$G$2036,2)</f>
        <v>Pluvier neigeux</v>
      </c>
      <c r="F3023" s="3" t="str">
        <f>VLOOKUP(B3023,[1]LifeList!$E$2:$G$2036,3)</f>
        <v>Anarhynchus nivosus</v>
      </c>
      <c r="G3023" s="3" t="str">
        <f>VLOOKUP(B3023,[1]LifeList!$E$2:$I$2036,4)</f>
        <v>Charadriiformes</v>
      </c>
      <c r="H3023" s="3" t="str">
        <f>VLOOKUP(B3023,[1]LifeList!$E$2:$I$2036,5)</f>
        <v>Charadriidae (Plovers and Lapwings)</v>
      </c>
    </row>
    <row r="3024" spans="1:8" x14ac:dyDescent="0.15">
      <c r="A3024" s="3" t="s">
        <v>2908</v>
      </c>
      <c r="B3024" s="3" t="s">
        <v>4911</v>
      </c>
      <c r="C3024" s="3">
        <v>17392</v>
      </c>
      <c r="D3024" s="3" t="str">
        <f>VLOOKUP(B3024,[1]LifeList!$E$2:$G$2036,1)</f>
        <v>Social Flycatcher</v>
      </c>
      <c r="E3024" s="3" t="str">
        <f>VLOOKUP(B3024,[1]LifeList!$E$2:$G$2036,2)</f>
        <v>Tyran sociable</v>
      </c>
      <c r="F3024" s="3" t="str">
        <f>VLOOKUP(B3024,[1]LifeList!$E$2:$G$2036,3)</f>
        <v>Myiozetetes similis</v>
      </c>
      <c r="G3024" s="3" t="str">
        <f>VLOOKUP(B3024,[1]LifeList!$E$2:$I$2036,4)</f>
        <v>Passeriformes</v>
      </c>
      <c r="H3024" s="3" t="str">
        <f>VLOOKUP(B3024,[1]LifeList!$E$2:$I$2036,5)</f>
        <v>Tyrannidae (Tyrant Flycatchers)</v>
      </c>
    </row>
    <row r="3025" spans="1:8" x14ac:dyDescent="0.15">
      <c r="A3025" s="3" t="s">
        <v>2909</v>
      </c>
      <c r="B3025" s="3" t="s">
        <v>4911</v>
      </c>
      <c r="C3025" s="3">
        <v>17392</v>
      </c>
      <c r="D3025" s="3" t="str">
        <f>VLOOKUP(B3025,[1]LifeList!$E$2:$G$2036,1)</f>
        <v>Social Flycatcher</v>
      </c>
      <c r="E3025" s="3" t="str">
        <f>VLOOKUP(B3025,[1]LifeList!$E$2:$G$2036,2)</f>
        <v>Tyran sociable</v>
      </c>
      <c r="F3025" s="3" t="str">
        <f>VLOOKUP(B3025,[1]LifeList!$E$2:$G$2036,3)</f>
        <v>Myiozetetes similis</v>
      </c>
      <c r="G3025" s="3" t="str">
        <f>VLOOKUP(B3025,[1]LifeList!$E$2:$I$2036,4)</f>
        <v>Passeriformes</v>
      </c>
      <c r="H3025" s="3" t="str">
        <f>VLOOKUP(B3025,[1]LifeList!$E$2:$I$2036,5)</f>
        <v>Tyrannidae (Tyrant Flycatchers)</v>
      </c>
    </row>
    <row r="3026" spans="1:8" x14ac:dyDescent="0.15">
      <c r="A3026" s="3" t="s">
        <v>2910</v>
      </c>
      <c r="B3026" s="3" t="s">
        <v>4911</v>
      </c>
      <c r="C3026" s="3">
        <v>17392</v>
      </c>
      <c r="D3026" s="3" t="str">
        <f>VLOOKUP(B3026,[1]LifeList!$E$2:$G$2036,1)</f>
        <v>Social Flycatcher</v>
      </c>
      <c r="E3026" s="3" t="str">
        <f>VLOOKUP(B3026,[1]LifeList!$E$2:$G$2036,2)</f>
        <v>Tyran sociable</v>
      </c>
      <c r="F3026" s="3" t="str">
        <f>VLOOKUP(B3026,[1]LifeList!$E$2:$G$2036,3)</f>
        <v>Myiozetetes similis</v>
      </c>
      <c r="G3026" s="3" t="str">
        <f>VLOOKUP(B3026,[1]LifeList!$E$2:$I$2036,4)</f>
        <v>Passeriformes</v>
      </c>
      <c r="H3026" s="3" t="str">
        <f>VLOOKUP(B3026,[1]LifeList!$E$2:$I$2036,5)</f>
        <v>Tyrannidae (Tyrant Flycatchers)</v>
      </c>
    </row>
    <row r="3027" spans="1:8" x14ac:dyDescent="0.15">
      <c r="A3027" s="3" t="s">
        <v>2911</v>
      </c>
      <c r="B3027" s="3" t="s">
        <v>4911</v>
      </c>
      <c r="C3027" s="3">
        <v>17392</v>
      </c>
      <c r="D3027" s="3" t="str">
        <f>VLOOKUP(B3027,[1]LifeList!$E$2:$G$2036,1)</f>
        <v>Social Flycatcher</v>
      </c>
      <c r="E3027" s="3" t="str">
        <f>VLOOKUP(B3027,[1]LifeList!$E$2:$G$2036,2)</f>
        <v>Tyran sociable</v>
      </c>
      <c r="F3027" s="3" t="str">
        <f>VLOOKUP(B3027,[1]LifeList!$E$2:$G$2036,3)</f>
        <v>Myiozetetes similis</v>
      </c>
      <c r="G3027" s="3" t="str">
        <f>VLOOKUP(B3027,[1]LifeList!$E$2:$I$2036,4)</f>
        <v>Passeriformes</v>
      </c>
      <c r="H3027" s="3" t="str">
        <f>VLOOKUP(B3027,[1]LifeList!$E$2:$I$2036,5)</f>
        <v>Tyrannidae (Tyrant Flycatchers)</v>
      </c>
    </row>
    <row r="3028" spans="1:8" x14ac:dyDescent="0.15">
      <c r="A3028" s="3" t="s">
        <v>2907</v>
      </c>
      <c r="B3028" s="3" t="s">
        <v>4911</v>
      </c>
      <c r="C3028" s="3">
        <v>17392</v>
      </c>
      <c r="D3028" s="3" t="str">
        <f>VLOOKUP(B3028,[1]LifeList!$E$2:$G$2036,1)</f>
        <v>Social Flycatcher</v>
      </c>
      <c r="E3028" s="3" t="str">
        <f>VLOOKUP(B3028,[1]LifeList!$E$2:$G$2036,2)</f>
        <v>Tyran sociable</v>
      </c>
      <c r="F3028" s="3" t="str">
        <f>VLOOKUP(B3028,[1]LifeList!$E$2:$G$2036,3)</f>
        <v>Myiozetetes similis</v>
      </c>
      <c r="G3028" s="3" t="str">
        <f>VLOOKUP(B3028,[1]LifeList!$E$2:$I$2036,4)</f>
        <v>Passeriformes</v>
      </c>
      <c r="H3028" s="3" t="str">
        <f>VLOOKUP(B3028,[1]LifeList!$E$2:$I$2036,5)</f>
        <v>Tyrannidae (Tyrant Flycatchers)</v>
      </c>
    </row>
    <row r="3029" spans="1:8" x14ac:dyDescent="0.15">
      <c r="A3029" s="3" t="s">
        <v>2913</v>
      </c>
      <c r="B3029" s="3" t="s">
        <v>4912</v>
      </c>
      <c r="C3029" s="3">
        <v>6129</v>
      </c>
      <c r="D3029" s="3" t="str">
        <f>VLOOKUP(B3029,[1]LifeList!$E$2:$G$2036,1)</f>
        <v>Solitary Sandpiper</v>
      </c>
      <c r="E3029" s="3" t="str">
        <f>VLOOKUP(B3029,[1]LifeList!$E$2:$G$2036,2)</f>
        <v>Chevalier solitaire</v>
      </c>
      <c r="F3029" s="3" t="str">
        <f>VLOOKUP(B3029,[1]LifeList!$E$2:$G$2036,3)</f>
        <v>Tringa solitaria</v>
      </c>
      <c r="G3029" s="3" t="str">
        <f>VLOOKUP(B3029,[1]LifeList!$E$2:$I$2036,4)</f>
        <v>Charadriiformes</v>
      </c>
      <c r="H3029" s="3" t="str">
        <f>VLOOKUP(B3029,[1]LifeList!$E$2:$I$2036,5)</f>
        <v>Scolopacidae (Sandpipers and Allies)</v>
      </c>
    </row>
    <row r="3030" spans="1:8" x14ac:dyDescent="0.15">
      <c r="A3030" s="3" t="s">
        <v>2914</v>
      </c>
      <c r="B3030" s="3" t="s">
        <v>4912</v>
      </c>
      <c r="C3030" s="3">
        <v>6129</v>
      </c>
      <c r="D3030" s="3" t="str">
        <f>VLOOKUP(B3030,[1]LifeList!$E$2:$G$2036,1)</f>
        <v>Solitary Sandpiper</v>
      </c>
      <c r="E3030" s="3" t="str">
        <f>VLOOKUP(B3030,[1]LifeList!$E$2:$G$2036,2)</f>
        <v>Chevalier solitaire</v>
      </c>
      <c r="F3030" s="3" t="str">
        <f>VLOOKUP(B3030,[1]LifeList!$E$2:$G$2036,3)</f>
        <v>Tringa solitaria</v>
      </c>
      <c r="G3030" s="3" t="str">
        <f>VLOOKUP(B3030,[1]LifeList!$E$2:$I$2036,4)</f>
        <v>Charadriiformes</v>
      </c>
      <c r="H3030" s="3" t="str">
        <f>VLOOKUP(B3030,[1]LifeList!$E$2:$I$2036,5)</f>
        <v>Scolopacidae (Sandpipers and Allies)</v>
      </c>
    </row>
    <row r="3031" spans="1:8" x14ac:dyDescent="0.15">
      <c r="A3031" s="3" t="s">
        <v>2915</v>
      </c>
      <c r="B3031" s="3" t="s">
        <v>4912</v>
      </c>
      <c r="C3031" s="3">
        <v>6129</v>
      </c>
      <c r="D3031" s="3" t="str">
        <f>VLOOKUP(B3031,[1]LifeList!$E$2:$G$2036,1)</f>
        <v>Solitary Sandpiper</v>
      </c>
      <c r="E3031" s="3" t="str">
        <f>VLOOKUP(B3031,[1]LifeList!$E$2:$G$2036,2)</f>
        <v>Chevalier solitaire</v>
      </c>
      <c r="F3031" s="3" t="str">
        <f>VLOOKUP(B3031,[1]LifeList!$E$2:$G$2036,3)</f>
        <v>Tringa solitaria</v>
      </c>
      <c r="G3031" s="3" t="str">
        <f>VLOOKUP(B3031,[1]LifeList!$E$2:$I$2036,4)</f>
        <v>Charadriiformes</v>
      </c>
      <c r="H3031" s="3" t="str">
        <f>VLOOKUP(B3031,[1]LifeList!$E$2:$I$2036,5)</f>
        <v>Scolopacidae (Sandpipers and Allies)</v>
      </c>
    </row>
    <row r="3032" spans="1:8" x14ac:dyDescent="0.15">
      <c r="A3032" s="3" t="s">
        <v>2916</v>
      </c>
      <c r="B3032" s="3" t="s">
        <v>4912</v>
      </c>
      <c r="C3032" s="3">
        <v>6129</v>
      </c>
      <c r="D3032" s="3" t="str">
        <f>VLOOKUP(B3032,[1]LifeList!$E$2:$G$2036,1)</f>
        <v>Solitary Sandpiper</v>
      </c>
      <c r="E3032" s="3" t="str">
        <f>VLOOKUP(B3032,[1]LifeList!$E$2:$G$2036,2)</f>
        <v>Chevalier solitaire</v>
      </c>
      <c r="F3032" s="3" t="str">
        <f>VLOOKUP(B3032,[1]LifeList!$E$2:$G$2036,3)</f>
        <v>Tringa solitaria</v>
      </c>
      <c r="G3032" s="3" t="str">
        <f>VLOOKUP(B3032,[1]LifeList!$E$2:$I$2036,4)</f>
        <v>Charadriiformes</v>
      </c>
      <c r="H3032" s="3" t="str">
        <f>VLOOKUP(B3032,[1]LifeList!$E$2:$I$2036,5)</f>
        <v>Scolopacidae (Sandpipers and Allies)</v>
      </c>
    </row>
    <row r="3033" spans="1:8" x14ac:dyDescent="0.15">
      <c r="A3033" s="3" t="s">
        <v>2917</v>
      </c>
      <c r="B3033" s="3" t="s">
        <v>4912</v>
      </c>
      <c r="C3033" s="3">
        <v>6129</v>
      </c>
      <c r="D3033" s="3" t="str">
        <f>VLOOKUP(B3033,[1]LifeList!$E$2:$G$2036,1)</f>
        <v>Solitary Sandpiper</v>
      </c>
      <c r="E3033" s="3" t="str">
        <f>VLOOKUP(B3033,[1]LifeList!$E$2:$G$2036,2)</f>
        <v>Chevalier solitaire</v>
      </c>
      <c r="F3033" s="3" t="str">
        <f>VLOOKUP(B3033,[1]LifeList!$E$2:$G$2036,3)</f>
        <v>Tringa solitaria</v>
      </c>
      <c r="G3033" s="3" t="str">
        <f>VLOOKUP(B3033,[1]LifeList!$E$2:$I$2036,4)</f>
        <v>Charadriiformes</v>
      </c>
      <c r="H3033" s="3" t="str">
        <f>VLOOKUP(B3033,[1]LifeList!$E$2:$I$2036,5)</f>
        <v>Scolopacidae (Sandpipers and Allies)</v>
      </c>
    </row>
    <row r="3034" spans="1:8" x14ac:dyDescent="0.15">
      <c r="A3034" s="3" t="s">
        <v>2918</v>
      </c>
      <c r="B3034" s="3" t="s">
        <v>4912</v>
      </c>
      <c r="C3034" s="3">
        <v>6129</v>
      </c>
      <c r="D3034" s="3" t="str">
        <f>VLOOKUP(B3034,[1]LifeList!$E$2:$G$2036,1)</f>
        <v>Solitary Sandpiper</v>
      </c>
      <c r="E3034" s="3" t="str">
        <f>VLOOKUP(B3034,[1]LifeList!$E$2:$G$2036,2)</f>
        <v>Chevalier solitaire</v>
      </c>
      <c r="F3034" s="3" t="str">
        <f>VLOOKUP(B3034,[1]LifeList!$E$2:$G$2036,3)</f>
        <v>Tringa solitaria</v>
      </c>
      <c r="G3034" s="3" t="str">
        <f>VLOOKUP(B3034,[1]LifeList!$E$2:$I$2036,4)</f>
        <v>Charadriiformes</v>
      </c>
      <c r="H3034" s="3" t="str">
        <f>VLOOKUP(B3034,[1]LifeList!$E$2:$I$2036,5)</f>
        <v>Scolopacidae (Sandpipers and Allies)</v>
      </c>
    </row>
    <row r="3035" spans="1:8" x14ac:dyDescent="0.15">
      <c r="A3035" s="3" t="s">
        <v>2919</v>
      </c>
      <c r="B3035" s="3" t="s">
        <v>4912</v>
      </c>
      <c r="C3035" s="3">
        <v>6129</v>
      </c>
      <c r="D3035" s="3" t="str">
        <f>VLOOKUP(B3035,[1]LifeList!$E$2:$G$2036,1)</f>
        <v>Solitary Sandpiper</v>
      </c>
      <c r="E3035" s="3" t="str">
        <f>VLOOKUP(B3035,[1]LifeList!$E$2:$G$2036,2)</f>
        <v>Chevalier solitaire</v>
      </c>
      <c r="F3035" s="3" t="str">
        <f>VLOOKUP(B3035,[1]LifeList!$E$2:$G$2036,3)</f>
        <v>Tringa solitaria</v>
      </c>
      <c r="G3035" s="3" t="str">
        <f>VLOOKUP(B3035,[1]LifeList!$E$2:$I$2036,4)</f>
        <v>Charadriiformes</v>
      </c>
      <c r="H3035" s="3" t="str">
        <f>VLOOKUP(B3035,[1]LifeList!$E$2:$I$2036,5)</f>
        <v>Scolopacidae (Sandpipers and Allies)</v>
      </c>
    </row>
    <row r="3036" spans="1:8" x14ac:dyDescent="0.15">
      <c r="A3036" s="3" t="s">
        <v>2920</v>
      </c>
      <c r="B3036" s="3" t="s">
        <v>4912</v>
      </c>
      <c r="C3036" s="3">
        <v>6129</v>
      </c>
      <c r="D3036" s="3" t="str">
        <f>VLOOKUP(B3036,[1]LifeList!$E$2:$G$2036,1)</f>
        <v>Solitary Sandpiper</v>
      </c>
      <c r="E3036" s="3" t="str">
        <f>VLOOKUP(B3036,[1]LifeList!$E$2:$G$2036,2)</f>
        <v>Chevalier solitaire</v>
      </c>
      <c r="F3036" s="3" t="str">
        <f>VLOOKUP(B3036,[1]LifeList!$E$2:$G$2036,3)</f>
        <v>Tringa solitaria</v>
      </c>
      <c r="G3036" s="3" t="str">
        <f>VLOOKUP(B3036,[1]LifeList!$E$2:$I$2036,4)</f>
        <v>Charadriiformes</v>
      </c>
      <c r="H3036" s="3" t="str">
        <f>VLOOKUP(B3036,[1]LifeList!$E$2:$I$2036,5)</f>
        <v>Scolopacidae (Sandpipers and Allies)</v>
      </c>
    </row>
    <row r="3037" spans="1:8" x14ac:dyDescent="0.15">
      <c r="A3037" s="3" t="s">
        <v>2921</v>
      </c>
      <c r="B3037" s="3" t="s">
        <v>4912</v>
      </c>
      <c r="C3037" s="3">
        <v>6129</v>
      </c>
      <c r="D3037" s="3" t="str">
        <f>VLOOKUP(B3037,[1]LifeList!$E$2:$G$2036,1)</f>
        <v>Solitary Sandpiper</v>
      </c>
      <c r="E3037" s="3" t="str">
        <f>VLOOKUP(B3037,[1]LifeList!$E$2:$G$2036,2)</f>
        <v>Chevalier solitaire</v>
      </c>
      <c r="F3037" s="3" t="str">
        <f>VLOOKUP(B3037,[1]LifeList!$E$2:$G$2036,3)</f>
        <v>Tringa solitaria</v>
      </c>
      <c r="G3037" s="3" t="str">
        <f>VLOOKUP(B3037,[1]LifeList!$E$2:$I$2036,4)</f>
        <v>Charadriiformes</v>
      </c>
      <c r="H3037" s="3" t="str">
        <f>VLOOKUP(B3037,[1]LifeList!$E$2:$I$2036,5)</f>
        <v>Scolopacidae (Sandpipers and Allies)</v>
      </c>
    </row>
    <row r="3038" spans="1:8" x14ac:dyDescent="0.15">
      <c r="A3038" s="3" t="s">
        <v>2922</v>
      </c>
      <c r="B3038" s="3" t="s">
        <v>4912</v>
      </c>
      <c r="C3038" s="3">
        <v>6129</v>
      </c>
      <c r="D3038" s="3" t="str">
        <f>VLOOKUP(B3038,[1]LifeList!$E$2:$G$2036,1)</f>
        <v>Solitary Sandpiper</v>
      </c>
      <c r="E3038" s="3" t="str">
        <f>VLOOKUP(B3038,[1]LifeList!$E$2:$G$2036,2)</f>
        <v>Chevalier solitaire</v>
      </c>
      <c r="F3038" s="3" t="str">
        <f>VLOOKUP(B3038,[1]LifeList!$E$2:$G$2036,3)</f>
        <v>Tringa solitaria</v>
      </c>
      <c r="G3038" s="3" t="str">
        <f>VLOOKUP(B3038,[1]LifeList!$E$2:$I$2036,4)</f>
        <v>Charadriiformes</v>
      </c>
      <c r="H3038" s="3" t="str">
        <f>VLOOKUP(B3038,[1]LifeList!$E$2:$I$2036,5)</f>
        <v>Scolopacidae (Sandpipers and Allies)</v>
      </c>
    </row>
    <row r="3039" spans="1:8" x14ac:dyDescent="0.15">
      <c r="A3039" s="3" t="s">
        <v>2923</v>
      </c>
      <c r="B3039" s="3" t="s">
        <v>4912</v>
      </c>
      <c r="C3039" s="3">
        <v>6129</v>
      </c>
      <c r="D3039" s="3" t="str">
        <f>VLOOKUP(B3039,[1]LifeList!$E$2:$G$2036,1)</f>
        <v>Solitary Sandpiper</v>
      </c>
      <c r="E3039" s="3" t="str">
        <f>VLOOKUP(B3039,[1]LifeList!$E$2:$G$2036,2)</f>
        <v>Chevalier solitaire</v>
      </c>
      <c r="F3039" s="3" t="str">
        <f>VLOOKUP(B3039,[1]LifeList!$E$2:$G$2036,3)</f>
        <v>Tringa solitaria</v>
      </c>
      <c r="G3039" s="3" t="str">
        <f>VLOOKUP(B3039,[1]LifeList!$E$2:$I$2036,4)</f>
        <v>Charadriiformes</v>
      </c>
      <c r="H3039" s="3" t="str">
        <f>VLOOKUP(B3039,[1]LifeList!$E$2:$I$2036,5)</f>
        <v>Scolopacidae (Sandpipers and Allies)</v>
      </c>
    </row>
    <row r="3040" spans="1:8" x14ac:dyDescent="0.15">
      <c r="A3040" s="3" t="s">
        <v>2924</v>
      </c>
      <c r="B3040" s="3" t="s">
        <v>4912</v>
      </c>
      <c r="C3040" s="3">
        <v>6129</v>
      </c>
      <c r="D3040" s="3" t="str">
        <f>VLOOKUP(B3040,[1]LifeList!$E$2:$G$2036,1)</f>
        <v>Solitary Sandpiper</v>
      </c>
      <c r="E3040" s="3" t="str">
        <f>VLOOKUP(B3040,[1]LifeList!$E$2:$G$2036,2)</f>
        <v>Chevalier solitaire</v>
      </c>
      <c r="F3040" s="3" t="str">
        <f>VLOOKUP(B3040,[1]LifeList!$E$2:$G$2036,3)</f>
        <v>Tringa solitaria</v>
      </c>
      <c r="G3040" s="3" t="str">
        <f>VLOOKUP(B3040,[1]LifeList!$E$2:$I$2036,4)</f>
        <v>Charadriiformes</v>
      </c>
      <c r="H3040" s="3" t="str">
        <f>VLOOKUP(B3040,[1]LifeList!$E$2:$I$2036,5)</f>
        <v>Scolopacidae (Sandpipers and Allies)</v>
      </c>
    </row>
    <row r="3041" spans="1:8" x14ac:dyDescent="0.15">
      <c r="A3041" s="3" t="s">
        <v>2925</v>
      </c>
      <c r="B3041" s="3" t="s">
        <v>4912</v>
      </c>
      <c r="C3041" s="3">
        <v>6129</v>
      </c>
      <c r="D3041" s="3" t="str">
        <f>VLOOKUP(B3041,[1]LifeList!$E$2:$G$2036,1)</f>
        <v>Solitary Sandpiper</v>
      </c>
      <c r="E3041" s="3" t="str">
        <f>VLOOKUP(B3041,[1]LifeList!$E$2:$G$2036,2)</f>
        <v>Chevalier solitaire</v>
      </c>
      <c r="F3041" s="3" t="str">
        <f>VLOOKUP(B3041,[1]LifeList!$E$2:$G$2036,3)</f>
        <v>Tringa solitaria</v>
      </c>
      <c r="G3041" s="3" t="str">
        <f>VLOOKUP(B3041,[1]LifeList!$E$2:$I$2036,4)</f>
        <v>Charadriiformes</v>
      </c>
      <c r="H3041" s="3" t="str">
        <f>VLOOKUP(B3041,[1]LifeList!$E$2:$I$2036,5)</f>
        <v>Scolopacidae (Sandpipers and Allies)</v>
      </c>
    </row>
    <row r="3042" spans="1:8" x14ac:dyDescent="0.15">
      <c r="A3042" s="3" t="s">
        <v>2912</v>
      </c>
      <c r="B3042" s="3" t="s">
        <v>4912</v>
      </c>
      <c r="C3042" s="3">
        <v>6129</v>
      </c>
      <c r="D3042" s="3" t="str">
        <f>VLOOKUP(B3042,[1]LifeList!$E$2:$G$2036,1)</f>
        <v>Solitary Sandpiper</v>
      </c>
      <c r="E3042" s="3" t="str">
        <f>VLOOKUP(B3042,[1]LifeList!$E$2:$G$2036,2)</f>
        <v>Chevalier solitaire</v>
      </c>
      <c r="F3042" s="3" t="str">
        <f>VLOOKUP(B3042,[1]LifeList!$E$2:$G$2036,3)</f>
        <v>Tringa solitaria</v>
      </c>
      <c r="G3042" s="3" t="str">
        <f>VLOOKUP(B3042,[1]LifeList!$E$2:$I$2036,4)</f>
        <v>Charadriiformes</v>
      </c>
      <c r="H3042" s="3" t="str">
        <f>VLOOKUP(B3042,[1]LifeList!$E$2:$I$2036,5)</f>
        <v>Scolopacidae (Sandpipers and Allies)</v>
      </c>
    </row>
    <row r="3043" spans="1:8" x14ac:dyDescent="0.15">
      <c r="A3043" s="3" t="s">
        <v>2926</v>
      </c>
      <c r="B3043" s="3" t="s">
        <v>4913</v>
      </c>
      <c r="C3043" s="3">
        <v>33277</v>
      </c>
      <c r="D3043" s="3" t="str">
        <f>VLOOKUP(B3043,[1]LifeList!$E$2:$G$2036,1)</f>
        <v>Song Sparrow</v>
      </c>
      <c r="E3043" s="3" t="str">
        <f>VLOOKUP(B3043,[1]LifeList!$E$2:$G$2036,2)</f>
        <v>Bruant chanteur</v>
      </c>
      <c r="F3043" s="3" t="str">
        <f>VLOOKUP(B3043,[1]LifeList!$E$2:$G$2036,3)</f>
        <v>Melospiza melodia</v>
      </c>
      <c r="G3043" s="3" t="str">
        <f>VLOOKUP(B3043,[1]LifeList!$E$2:$I$2036,4)</f>
        <v>Passeriformes</v>
      </c>
      <c r="H3043" s="3" t="str">
        <f>VLOOKUP(B3043,[1]LifeList!$E$2:$I$2036,5)</f>
        <v>Passerellidae (New World Sparrows)</v>
      </c>
    </row>
    <row r="3044" spans="1:8" x14ac:dyDescent="0.15">
      <c r="A3044" s="3" t="s">
        <v>2927</v>
      </c>
      <c r="B3044" s="3" t="s">
        <v>4913</v>
      </c>
      <c r="C3044" s="3">
        <v>33277</v>
      </c>
      <c r="D3044" s="3" t="str">
        <f>VLOOKUP(B3044,[1]LifeList!$E$2:$G$2036,1)</f>
        <v>Song Sparrow</v>
      </c>
      <c r="E3044" s="3" t="str">
        <f>VLOOKUP(B3044,[1]LifeList!$E$2:$G$2036,2)</f>
        <v>Bruant chanteur</v>
      </c>
      <c r="F3044" s="3" t="str">
        <f>VLOOKUP(B3044,[1]LifeList!$E$2:$G$2036,3)</f>
        <v>Melospiza melodia</v>
      </c>
      <c r="G3044" s="3" t="str">
        <f>VLOOKUP(B3044,[1]LifeList!$E$2:$I$2036,4)</f>
        <v>Passeriformes</v>
      </c>
      <c r="H3044" s="3" t="str">
        <f>VLOOKUP(B3044,[1]LifeList!$E$2:$I$2036,5)</f>
        <v>Passerellidae (New World Sparrows)</v>
      </c>
    </row>
    <row r="3045" spans="1:8" x14ac:dyDescent="0.15">
      <c r="A3045" s="3" t="s">
        <v>2928</v>
      </c>
      <c r="B3045" s="3" t="s">
        <v>4913</v>
      </c>
      <c r="C3045" s="3">
        <v>33277</v>
      </c>
      <c r="D3045" s="3" t="str">
        <f>VLOOKUP(B3045,[1]LifeList!$E$2:$G$2036,1)</f>
        <v>Song Sparrow</v>
      </c>
      <c r="E3045" s="3" t="str">
        <f>VLOOKUP(B3045,[1]LifeList!$E$2:$G$2036,2)</f>
        <v>Bruant chanteur</v>
      </c>
      <c r="F3045" s="3" t="str">
        <f>VLOOKUP(B3045,[1]LifeList!$E$2:$G$2036,3)</f>
        <v>Melospiza melodia</v>
      </c>
      <c r="G3045" s="3" t="str">
        <f>VLOOKUP(B3045,[1]LifeList!$E$2:$I$2036,4)</f>
        <v>Passeriformes</v>
      </c>
      <c r="H3045" s="3" t="str">
        <f>VLOOKUP(B3045,[1]LifeList!$E$2:$I$2036,5)</f>
        <v>Passerellidae (New World Sparrows)</v>
      </c>
    </row>
    <row r="3046" spans="1:8" x14ac:dyDescent="0.15">
      <c r="A3046" s="3" t="s">
        <v>2929</v>
      </c>
      <c r="B3046" s="3" t="s">
        <v>4913</v>
      </c>
      <c r="C3046" s="3">
        <v>33277</v>
      </c>
      <c r="D3046" s="3" t="str">
        <f>VLOOKUP(B3046,[1]LifeList!$E$2:$G$2036,1)</f>
        <v>Song Sparrow</v>
      </c>
      <c r="E3046" s="3" t="str">
        <f>VLOOKUP(B3046,[1]LifeList!$E$2:$G$2036,2)</f>
        <v>Bruant chanteur</v>
      </c>
      <c r="F3046" s="3" t="str">
        <f>VLOOKUP(B3046,[1]LifeList!$E$2:$G$2036,3)</f>
        <v>Melospiza melodia</v>
      </c>
      <c r="G3046" s="3" t="str">
        <f>VLOOKUP(B3046,[1]LifeList!$E$2:$I$2036,4)</f>
        <v>Passeriformes</v>
      </c>
      <c r="H3046" s="3" t="str">
        <f>VLOOKUP(B3046,[1]LifeList!$E$2:$I$2036,5)</f>
        <v>Passerellidae (New World Sparrows)</v>
      </c>
    </row>
    <row r="3047" spans="1:8" x14ac:dyDescent="0.15">
      <c r="A3047" s="3" t="s">
        <v>2930</v>
      </c>
      <c r="B3047" s="3" t="s">
        <v>4913</v>
      </c>
      <c r="C3047" s="3">
        <v>33277</v>
      </c>
      <c r="D3047" s="3" t="str">
        <f>VLOOKUP(B3047,[1]LifeList!$E$2:$G$2036,1)</f>
        <v>Song Sparrow</v>
      </c>
      <c r="E3047" s="3" t="str">
        <f>VLOOKUP(B3047,[1]LifeList!$E$2:$G$2036,2)</f>
        <v>Bruant chanteur</v>
      </c>
      <c r="F3047" s="3" t="str">
        <f>VLOOKUP(B3047,[1]LifeList!$E$2:$G$2036,3)</f>
        <v>Melospiza melodia</v>
      </c>
      <c r="G3047" s="3" t="str">
        <f>VLOOKUP(B3047,[1]LifeList!$E$2:$I$2036,4)</f>
        <v>Passeriformes</v>
      </c>
      <c r="H3047" s="3" t="str">
        <f>VLOOKUP(B3047,[1]LifeList!$E$2:$I$2036,5)</f>
        <v>Passerellidae (New World Sparrows)</v>
      </c>
    </row>
    <row r="3048" spans="1:8" x14ac:dyDescent="0.15">
      <c r="A3048" s="3" t="s">
        <v>2931</v>
      </c>
      <c r="B3048" s="3" t="s">
        <v>4913</v>
      </c>
      <c r="C3048" s="3">
        <v>33277</v>
      </c>
      <c r="D3048" s="3" t="str">
        <f>VLOOKUP(B3048,[1]LifeList!$E$2:$G$2036,1)</f>
        <v>Song Sparrow</v>
      </c>
      <c r="E3048" s="3" t="str">
        <f>VLOOKUP(B3048,[1]LifeList!$E$2:$G$2036,2)</f>
        <v>Bruant chanteur</v>
      </c>
      <c r="F3048" s="3" t="str">
        <f>VLOOKUP(B3048,[1]LifeList!$E$2:$G$2036,3)</f>
        <v>Melospiza melodia</v>
      </c>
      <c r="G3048" s="3" t="str">
        <f>VLOOKUP(B3048,[1]LifeList!$E$2:$I$2036,4)</f>
        <v>Passeriformes</v>
      </c>
      <c r="H3048" s="3" t="str">
        <f>VLOOKUP(B3048,[1]LifeList!$E$2:$I$2036,5)</f>
        <v>Passerellidae (New World Sparrows)</v>
      </c>
    </row>
    <row r="3049" spans="1:8" x14ac:dyDescent="0.15">
      <c r="A3049" s="3" t="s">
        <v>2932</v>
      </c>
      <c r="B3049" s="3" t="s">
        <v>4913</v>
      </c>
      <c r="C3049" s="3">
        <v>33277</v>
      </c>
      <c r="D3049" s="3" t="str">
        <f>VLOOKUP(B3049,[1]LifeList!$E$2:$G$2036,1)</f>
        <v>Song Sparrow</v>
      </c>
      <c r="E3049" s="3" t="str">
        <f>VLOOKUP(B3049,[1]LifeList!$E$2:$G$2036,2)</f>
        <v>Bruant chanteur</v>
      </c>
      <c r="F3049" s="3" t="str">
        <f>VLOOKUP(B3049,[1]LifeList!$E$2:$G$2036,3)</f>
        <v>Melospiza melodia</v>
      </c>
      <c r="G3049" s="3" t="str">
        <f>VLOOKUP(B3049,[1]LifeList!$E$2:$I$2036,4)</f>
        <v>Passeriformes</v>
      </c>
      <c r="H3049" s="3" t="str">
        <f>VLOOKUP(B3049,[1]LifeList!$E$2:$I$2036,5)</f>
        <v>Passerellidae (New World Sparrows)</v>
      </c>
    </row>
    <row r="3050" spans="1:8" x14ac:dyDescent="0.15">
      <c r="A3050" s="3" t="s">
        <v>2933</v>
      </c>
      <c r="B3050" s="3" t="s">
        <v>4913</v>
      </c>
      <c r="C3050" s="3">
        <v>33277</v>
      </c>
      <c r="D3050" s="3" t="str">
        <f>VLOOKUP(B3050,[1]LifeList!$E$2:$G$2036,1)</f>
        <v>Song Sparrow</v>
      </c>
      <c r="E3050" s="3" t="str">
        <f>VLOOKUP(B3050,[1]LifeList!$E$2:$G$2036,2)</f>
        <v>Bruant chanteur</v>
      </c>
      <c r="F3050" s="3" t="str">
        <f>VLOOKUP(B3050,[1]LifeList!$E$2:$G$2036,3)</f>
        <v>Melospiza melodia</v>
      </c>
      <c r="G3050" s="3" t="str">
        <f>VLOOKUP(B3050,[1]LifeList!$E$2:$I$2036,4)</f>
        <v>Passeriformes</v>
      </c>
      <c r="H3050" s="3" t="str">
        <f>VLOOKUP(B3050,[1]LifeList!$E$2:$I$2036,5)</f>
        <v>Passerellidae (New World Sparrows)</v>
      </c>
    </row>
    <row r="3051" spans="1:8" x14ac:dyDescent="0.15">
      <c r="A3051" s="3" t="s">
        <v>2934</v>
      </c>
      <c r="B3051" s="3" t="s">
        <v>4913</v>
      </c>
      <c r="C3051" s="3">
        <v>33277</v>
      </c>
      <c r="D3051" s="3" t="str">
        <f>VLOOKUP(B3051,[1]LifeList!$E$2:$G$2036,1)</f>
        <v>Song Sparrow</v>
      </c>
      <c r="E3051" s="3" t="str">
        <f>VLOOKUP(B3051,[1]LifeList!$E$2:$G$2036,2)</f>
        <v>Bruant chanteur</v>
      </c>
      <c r="F3051" s="3" t="str">
        <f>VLOOKUP(B3051,[1]LifeList!$E$2:$G$2036,3)</f>
        <v>Melospiza melodia</v>
      </c>
      <c r="G3051" s="3" t="str">
        <f>VLOOKUP(B3051,[1]LifeList!$E$2:$I$2036,4)</f>
        <v>Passeriformes</v>
      </c>
      <c r="H3051" s="3" t="str">
        <f>VLOOKUP(B3051,[1]LifeList!$E$2:$I$2036,5)</f>
        <v>Passerellidae (New World Sparrows)</v>
      </c>
    </row>
    <row r="3052" spans="1:8" x14ac:dyDescent="0.15">
      <c r="A3052" s="3" t="s">
        <v>2935</v>
      </c>
      <c r="B3052" s="3" t="s">
        <v>4913</v>
      </c>
      <c r="C3052" s="3">
        <v>33277</v>
      </c>
      <c r="D3052" s="3" t="str">
        <f>VLOOKUP(B3052,[1]LifeList!$E$2:$G$2036,1)</f>
        <v>Song Sparrow</v>
      </c>
      <c r="E3052" s="3" t="str">
        <f>VLOOKUP(B3052,[1]LifeList!$E$2:$G$2036,2)</f>
        <v>Bruant chanteur</v>
      </c>
      <c r="F3052" s="3" t="str">
        <f>VLOOKUP(B3052,[1]LifeList!$E$2:$G$2036,3)</f>
        <v>Melospiza melodia</v>
      </c>
      <c r="G3052" s="3" t="str">
        <f>VLOOKUP(B3052,[1]LifeList!$E$2:$I$2036,4)</f>
        <v>Passeriformes</v>
      </c>
      <c r="H3052" s="3" t="str">
        <f>VLOOKUP(B3052,[1]LifeList!$E$2:$I$2036,5)</f>
        <v>Passerellidae (New World Sparrows)</v>
      </c>
    </row>
    <row r="3053" spans="1:8" x14ac:dyDescent="0.15">
      <c r="A3053" s="3" t="s">
        <v>2936</v>
      </c>
      <c r="B3053" s="3" t="s">
        <v>4913</v>
      </c>
      <c r="C3053" s="3">
        <v>33277</v>
      </c>
      <c r="D3053" s="3" t="str">
        <f>VLOOKUP(B3053,[1]LifeList!$E$2:$G$2036,1)</f>
        <v>Song Sparrow</v>
      </c>
      <c r="E3053" s="3" t="str">
        <f>VLOOKUP(B3053,[1]LifeList!$E$2:$G$2036,2)</f>
        <v>Bruant chanteur</v>
      </c>
      <c r="F3053" s="3" t="str">
        <f>VLOOKUP(B3053,[1]LifeList!$E$2:$G$2036,3)</f>
        <v>Melospiza melodia</v>
      </c>
      <c r="G3053" s="3" t="str">
        <f>VLOOKUP(B3053,[1]LifeList!$E$2:$I$2036,4)</f>
        <v>Passeriformes</v>
      </c>
      <c r="H3053" s="3" t="str">
        <f>VLOOKUP(B3053,[1]LifeList!$E$2:$I$2036,5)</f>
        <v>Passerellidae (New World Sparrows)</v>
      </c>
    </row>
    <row r="3054" spans="1:8" x14ac:dyDescent="0.15">
      <c r="A3054" s="3" t="s">
        <v>2937</v>
      </c>
      <c r="B3054" s="3" t="s">
        <v>4913</v>
      </c>
      <c r="C3054" s="3">
        <v>33277</v>
      </c>
      <c r="D3054" s="3" t="str">
        <f>VLOOKUP(B3054,[1]LifeList!$E$2:$G$2036,1)</f>
        <v>Song Sparrow</v>
      </c>
      <c r="E3054" s="3" t="str">
        <f>VLOOKUP(B3054,[1]LifeList!$E$2:$G$2036,2)</f>
        <v>Bruant chanteur</v>
      </c>
      <c r="F3054" s="3" t="str">
        <f>VLOOKUP(B3054,[1]LifeList!$E$2:$G$2036,3)</f>
        <v>Melospiza melodia</v>
      </c>
      <c r="G3054" s="3" t="str">
        <f>VLOOKUP(B3054,[1]LifeList!$E$2:$I$2036,4)</f>
        <v>Passeriformes</v>
      </c>
      <c r="H3054" s="3" t="str">
        <f>VLOOKUP(B3054,[1]LifeList!$E$2:$I$2036,5)</f>
        <v>Passerellidae (New World Sparrows)</v>
      </c>
    </row>
    <row r="3055" spans="1:8" x14ac:dyDescent="0.15">
      <c r="A3055" s="3" t="s">
        <v>2938</v>
      </c>
      <c r="B3055" s="3" t="s">
        <v>4913</v>
      </c>
      <c r="C3055" s="3">
        <v>33277</v>
      </c>
      <c r="D3055" s="3" t="str">
        <f>VLOOKUP(B3055,[1]LifeList!$E$2:$G$2036,1)</f>
        <v>Song Sparrow</v>
      </c>
      <c r="E3055" s="3" t="str">
        <f>VLOOKUP(B3055,[1]LifeList!$E$2:$G$2036,2)</f>
        <v>Bruant chanteur</v>
      </c>
      <c r="F3055" s="3" t="str">
        <f>VLOOKUP(B3055,[1]LifeList!$E$2:$G$2036,3)</f>
        <v>Melospiza melodia</v>
      </c>
      <c r="G3055" s="3" t="str">
        <f>VLOOKUP(B3055,[1]LifeList!$E$2:$I$2036,4)</f>
        <v>Passeriformes</v>
      </c>
      <c r="H3055" s="3" t="str">
        <f>VLOOKUP(B3055,[1]LifeList!$E$2:$I$2036,5)</f>
        <v>Passerellidae (New World Sparrows)</v>
      </c>
    </row>
    <row r="3056" spans="1:8" x14ac:dyDescent="0.15">
      <c r="A3056" s="3" t="s">
        <v>2939</v>
      </c>
      <c r="B3056" s="3" t="s">
        <v>4913</v>
      </c>
      <c r="C3056" s="3">
        <v>33277</v>
      </c>
      <c r="D3056" s="3" t="str">
        <f>VLOOKUP(B3056,[1]LifeList!$E$2:$G$2036,1)</f>
        <v>Song Sparrow</v>
      </c>
      <c r="E3056" s="3" t="str">
        <f>VLOOKUP(B3056,[1]LifeList!$E$2:$G$2036,2)</f>
        <v>Bruant chanteur</v>
      </c>
      <c r="F3056" s="3" t="str">
        <f>VLOOKUP(B3056,[1]LifeList!$E$2:$G$2036,3)</f>
        <v>Melospiza melodia</v>
      </c>
      <c r="G3056" s="3" t="str">
        <f>VLOOKUP(B3056,[1]LifeList!$E$2:$I$2036,4)</f>
        <v>Passeriformes</v>
      </c>
      <c r="H3056" s="3" t="str">
        <f>VLOOKUP(B3056,[1]LifeList!$E$2:$I$2036,5)</f>
        <v>Passerellidae (New World Sparrows)</v>
      </c>
    </row>
    <row r="3057" spans="1:8" x14ac:dyDescent="0.15">
      <c r="A3057" s="3" t="s">
        <v>2940</v>
      </c>
      <c r="B3057" s="3" t="s">
        <v>4914</v>
      </c>
      <c r="C3057" s="3">
        <v>27633</v>
      </c>
      <c r="D3057" s="3" t="str">
        <f>VLOOKUP(B3057,[1]LifeList!$E$2:$G$2036,1)</f>
        <v>Song Wren</v>
      </c>
      <c r="E3057" s="3" t="str">
        <f>VLOOKUP(B3057,[1]LifeList!$E$2:$G$2036,2)</f>
        <v>Troglodyte chanteur</v>
      </c>
      <c r="F3057" s="3" t="str">
        <f>VLOOKUP(B3057,[1]LifeList!$E$2:$G$2036,3)</f>
        <v>Cyphorhinus phaeocephalus</v>
      </c>
      <c r="G3057" s="3" t="str">
        <f>VLOOKUP(B3057,[1]LifeList!$E$2:$I$2036,4)</f>
        <v>Passeriformes</v>
      </c>
      <c r="H3057" s="3" t="str">
        <f>VLOOKUP(B3057,[1]LifeList!$E$2:$I$2036,5)</f>
        <v>Troglodytidae (Wrens)</v>
      </c>
    </row>
    <row r="3058" spans="1:8" x14ac:dyDescent="0.15">
      <c r="A3058" s="3" t="s">
        <v>2941</v>
      </c>
      <c r="B3058" s="3" t="s">
        <v>4914</v>
      </c>
      <c r="C3058" s="3">
        <v>27633</v>
      </c>
      <c r="D3058" s="3" t="str">
        <f>VLOOKUP(B3058,[1]LifeList!$E$2:$G$2036,1)</f>
        <v>Song Wren</v>
      </c>
      <c r="E3058" s="3" t="str">
        <f>VLOOKUP(B3058,[1]LifeList!$E$2:$G$2036,2)</f>
        <v>Troglodyte chanteur</v>
      </c>
      <c r="F3058" s="3" t="str">
        <f>VLOOKUP(B3058,[1]LifeList!$E$2:$G$2036,3)</f>
        <v>Cyphorhinus phaeocephalus</v>
      </c>
      <c r="G3058" s="3" t="str">
        <f>VLOOKUP(B3058,[1]LifeList!$E$2:$I$2036,4)</f>
        <v>Passeriformes</v>
      </c>
      <c r="H3058" s="3" t="str">
        <f>VLOOKUP(B3058,[1]LifeList!$E$2:$I$2036,5)</f>
        <v>Troglodytidae (Wrens)</v>
      </c>
    </row>
    <row r="3059" spans="1:8" x14ac:dyDescent="0.15">
      <c r="A3059" s="3" t="s">
        <v>2942</v>
      </c>
      <c r="B3059" s="3" t="s">
        <v>4914</v>
      </c>
      <c r="C3059" s="3">
        <v>27633</v>
      </c>
      <c r="D3059" s="3" t="str">
        <f>VLOOKUP(B3059,[1]LifeList!$E$2:$G$2036,1)</f>
        <v>Song Wren</v>
      </c>
      <c r="E3059" s="3" t="str">
        <f>VLOOKUP(B3059,[1]LifeList!$E$2:$G$2036,2)</f>
        <v>Troglodyte chanteur</v>
      </c>
      <c r="F3059" s="3" t="str">
        <f>VLOOKUP(B3059,[1]LifeList!$E$2:$G$2036,3)</f>
        <v>Cyphorhinus phaeocephalus</v>
      </c>
      <c r="G3059" s="3" t="str">
        <f>VLOOKUP(B3059,[1]LifeList!$E$2:$I$2036,4)</f>
        <v>Passeriformes</v>
      </c>
      <c r="H3059" s="3" t="str">
        <f>VLOOKUP(B3059,[1]LifeList!$E$2:$I$2036,5)</f>
        <v>Troglodytidae (Wrens)</v>
      </c>
    </row>
    <row r="3060" spans="1:8" x14ac:dyDescent="0.15">
      <c r="A3060" s="3" t="s">
        <v>2943</v>
      </c>
      <c r="B3060" s="3" t="s">
        <v>4914</v>
      </c>
      <c r="C3060" s="3">
        <v>27633</v>
      </c>
      <c r="D3060" s="3" t="str">
        <f>VLOOKUP(B3060,[1]LifeList!$E$2:$G$2036,1)</f>
        <v>Song Wren</v>
      </c>
      <c r="E3060" s="3" t="str">
        <f>VLOOKUP(B3060,[1]LifeList!$E$2:$G$2036,2)</f>
        <v>Troglodyte chanteur</v>
      </c>
      <c r="F3060" s="3" t="str">
        <f>VLOOKUP(B3060,[1]LifeList!$E$2:$G$2036,3)</f>
        <v>Cyphorhinus phaeocephalus</v>
      </c>
      <c r="G3060" s="3" t="str">
        <f>VLOOKUP(B3060,[1]LifeList!$E$2:$I$2036,4)</f>
        <v>Passeriformes</v>
      </c>
      <c r="H3060" s="3" t="str">
        <f>VLOOKUP(B3060,[1]LifeList!$E$2:$I$2036,5)</f>
        <v>Troglodytidae (Wrens)</v>
      </c>
    </row>
    <row r="3061" spans="1:8" x14ac:dyDescent="0.15">
      <c r="A3061" s="3" t="s">
        <v>2948</v>
      </c>
      <c r="B3061" s="3" t="s">
        <v>4915</v>
      </c>
      <c r="C3061" s="3">
        <v>5796</v>
      </c>
      <c r="D3061" s="3" t="str">
        <f>VLOOKUP(B3061,[1]LifeList!$E$2:$G$2036,1)</f>
        <v>Sooty Oystercatcher</v>
      </c>
      <c r="E3061" s="3" t="str">
        <f>VLOOKUP(B3061,[1]LifeList!$E$2:$G$2036,2)</f>
        <v>Huîtrier fuligineux</v>
      </c>
      <c r="F3061" s="3" t="str">
        <f>VLOOKUP(B3061,[1]LifeList!$E$2:$G$2036,3)</f>
        <v>Haematopus fuliginosus</v>
      </c>
      <c r="G3061" s="3" t="str">
        <f>VLOOKUP(B3061,[1]LifeList!$E$2:$I$2036,4)</f>
        <v>Charadriiformes</v>
      </c>
      <c r="H3061" s="3" t="str">
        <f>VLOOKUP(B3061,[1]LifeList!$E$2:$I$2036,5)</f>
        <v>Haematopodidae (Oystercatchers)</v>
      </c>
    </row>
    <row r="3062" spans="1:8" x14ac:dyDescent="0.15">
      <c r="A3062" s="3" t="s">
        <v>2949</v>
      </c>
      <c r="B3062" s="3" t="s">
        <v>4915</v>
      </c>
      <c r="C3062" s="3">
        <v>5796</v>
      </c>
      <c r="D3062" s="3" t="str">
        <f>VLOOKUP(B3062,[1]LifeList!$E$2:$G$2036,1)</f>
        <v>Sooty Oystercatcher</v>
      </c>
      <c r="E3062" s="3" t="str">
        <f>VLOOKUP(B3062,[1]LifeList!$E$2:$G$2036,2)</f>
        <v>Huîtrier fuligineux</v>
      </c>
      <c r="F3062" s="3" t="str">
        <f>VLOOKUP(B3062,[1]LifeList!$E$2:$G$2036,3)</f>
        <v>Haematopus fuliginosus</v>
      </c>
      <c r="G3062" s="3" t="str">
        <f>VLOOKUP(B3062,[1]LifeList!$E$2:$I$2036,4)</f>
        <v>Charadriiformes</v>
      </c>
      <c r="H3062" s="3" t="str">
        <f>VLOOKUP(B3062,[1]LifeList!$E$2:$I$2036,5)</f>
        <v>Haematopodidae (Oystercatchers)</v>
      </c>
    </row>
    <row r="3063" spans="1:8" x14ac:dyDescent="0.15">
      <c r="A3063" s="3" t="s">
        <v>2950</v>
      </c>
      <c r="B3063" s="3" t="s">
        <v>4916</v>
      </c>
      <c r="C3063" s="3">
        <v>6665</v>
      </c>
      <c r="D3063" s="3" t="str">
        <f>VLOOKUP(B3063,[1]LifeList!$E$2:$G$2036,1)</f>
        <v>Sooty Tern</v>
      </c>
      <c r="E3063" s="3" t="str">
        <f>VLOOKUP(B3063,[1]LifeList!$E$2:$G$2036,2)</f>
        <v>Sterne fuligineuse</v>
      </c>
      <c r="F3063" s="3" t="str">
        <f>VLOOKUP(B3063,[1]LifeList!$E$2:$G$2036,3)</f>
        <v>Onychoprion fuscatus</v>
      </c>
      <c r="G3063" s="3" t="str">
        <f>VLOOKUP(B3063,[1]LifeList!$E$2:$I$2036,4)</f>
        <v>Charadriiformes</v>
      </c>
      <c r="H3063" s="3" t="str">
        <f>VLOOKUP(B3063,[1]LifeList!$E$2:$I$2036,5)</f>
        <v>Laridae (Gulls, Terns, and Skimmers)</v>
      </c>
    </row>
    <row r="3064" spans="1:8" x14ac:dyDescent="0.15">
      <c r="A3064" s="3" t="s">
        <v>2944</v>
      </c>
      <c r="B3064" s="3" t="s">
        <v>4917</v>
      </c>
      <c r="C3064" s="3">
        <v>32864</v>
      </c>
      <c r="D3064" s="3" t="str">
        <f>VLOOKUP(B3064,[1]LifeList!$E$2:$G$2036,1)</f>
        <v>Sooty-capped Chlorospingus</v>
      </c>
      <c r="E3064" s="3" t="str">
        <f>VLOOKUP(B3064,[1]LifeList!$E$2:$G$2036,2)</f>
        <v>Chlorospin à sourcils brisés</v>
      </c>
      <c r="F3064" s="3" t="str">
        <f>VLOOKUP(B3064,[1]LifeList!$E$2:$G$2036,3)</f>
        <v>Chlorospingus pileatus</v>
      </c>
      <c r="G3064" s="3" t="str">
        <f>VLOOKUP(B3064,[1]LifeList!$E$2:$I$2036,4)</f>
        <v>Passeriformes</v>
      </c>
      <c r="H3064" s="3" t="str">
        <f>VLOOKUP(B3064,[1]LifeList!$E$2:$I$2036,5)</f>
        <v>Passerellidae (New World Sparrows)</v>
      </c>
    </row>
    <row r="3065" spans="1:8" x14ac:dyDescent="0.15">
      <c r="A3065" s="3" t="s">
        <v>2945</v>
      </c>
      <c r="B3065" s="3" t="s">
        <v>4917</v>
      </c>
      <c r="C3065" s="3">
        <v>32864</v>
      </c>
      <c r="D3065" s="3" t="str">
        <f>VLOOKUP(B3065,[1]LifeList!$E$2:$G$2036,1)</f>
        <v>Sooty-capped Chlorospingus</v>
      </c>
      <c r="E3065" s="3" t="str">
        <f>VLOOKUP(B3065,[1]LifeList!$E$2:$G$2036,2)</f>
        <v>Chlorospin à sourcils brisés</v>
      </c>
      <c r="F3065" s="3" t="str">
        <f>VLOOKUP(B3065,[1]LifeList!$E$2:$G$2036,3)</f>
        <v>Chlorospingus pileatus</v>
      </c>
      <c r="G3065" s="3" t="str">
        <f>VLOOKUP(B3065,[1]LifeList!$E$2:$I$2036,4)</f>
        <v>Passeriformes</v>
      </c>
      <c r="H3065" s="3" t="str">
        <f>VLOOKUP(B3065,[1]LifeList!$E$2:$I$2036,5)</f>
        <v>Passerellidae (New World Sparrows)</v>
      </c>
    </row>
    <row r="3066" spans="1:8" x14ac:dyDescent="0.15">
      <c r="A3066" s="3" t="s">
        <v>2946</v>
      </c>
      <c r="B3066" s="3" t="s">
        <v>4917</v>
      </c>
      <c r="C3066" s="3">
        <v>32864</v>
      </c>
      <c r="D3066" s="3" t="str">
        <f>VLOOKUP(B3066,[1]LifeList!$E$2:$G$2036,1)</f>
        <v>Sooty-capped Chlorospingus</v>
      </c>
      <c r="E3066" s="3" t="str">
        <f>VLOOKUP(B3066,[1]LifeList!$E$2:$G$2036,2)</f>
        <v>Chlorospin à sourcils brisés</v>
      </c>
      <c r="F3066" s="3" t="str">
        <f>VLOOKUP(B3066,[1]LifeList!$E$2:$G$2036,3)</f>
        <v>Chlorospingus pileatus</v>
      </c>
      <c r="G3066" s="3" t="str">
        <f>VLOOKUP(B3066,[1]LifeList!$E$2:$I$2036,4)</f>
        <v>Passeriformes</v>
      </c>
      <c r="H3066" s="3" t="str">
        <f>VLOOKUP(B3066,[1]LifeList!$E$2:$I$2036,5)</f>
        <v>Passerellidae (New World Sparrows)</v>
      </c>
    </row>
    <row r="3067" spans="1:8" x14ac:dyDescent="0.15">
      <c r="A3067" s="3" t="s">
        <v>2947</v>
      </c>
      <c r="B3067" s="3" t="s">
        <v>4918</v>
      </c>
      <c r="C3067" s="3">
        <v>16773</v>
      </c>
      <c r="D3067" s="3" t="str">
        <f>VLOOKUP(B3067,[1]LifeList!$E$2:$G$2036,1)</f>
        <v>Sooty-headed Tyrannulet</v>
      </c>
      <c r="E3067" s="3" t="str">
        <f>VLOOKUP(B3067,[1]LifeList!$E$2:$G$2036,2)</f>
        <v>Tyranneau nain</v>
      </c>
      <c r="F3067" s="3" t="str">
        <f>VLOOKUP(B3067,[1]LifeList!$E$2:$G$2036,3)</f>
        <v>Phyllomyias griseiceps</v>
      </c>
      <c r="G3067" s="3" t="str">
        <f>VLOOKUP(B3067,[1]LifeList!$E$2:$I$2036,4)</f>
        <v>Passeriformes</v>
      </c>
      <c r="H3067" s="3" t="str">
        <f>VLOOKUP(B3067,[1]LifeList!$E$2:$I$2036,5)</f>
        <v>Tyrannidae (Tyrant Flycatchers)</v>
      </c>
    </row>
    <row r="3068" spans="1:8" x14ac:dyDescent="0.15">
      <c r="A3068" s="3" t="s">
        <v>2952</v>
      </c>
      <c r="B3068" s="3" t="s">
        <v>4919</v>
      </c>
      <c r="C3068" s="3">
        <v>5455</v>
      </c>
      <c r="D3068" s="3" t="str">
        <f>VLOOKUP(B3068,[1]LifeList!$E$2:$G$2036,1)</f>
        <v>Sora</v>
      </c>
      <c r="E3068" s="3" t="str">
        <f>VLOOKUP(B3068,[1]LifeList!$E$2:$G$2036,2)</f>
        <v>Marouette de Caroline</v>
      </c>
      <c r="F3068" s="3" t="str">
        <f>VLOOKUP(B3068,[1]LifeList!$E$2:$G$2036,3)</f>
        <v>Porzana carolina</v>
      </c>
      <c r="G3068" s="3" t="str">
        <f>VLOOKUP(B3068,[1]LifeList!$E$2:$I$2036,4)</f>
        <v>Gruiformes</v>
      </c>
      <c r="H3068" s="3" t="str">
        <f>VLOOKUP(B3068,[1]LifeList!$E$2:$I$2036,5)</f>
        <v>Rallidae (Rails, Gallinules, and Coots)</v>
      </c>
    </row>
    <row r="3069" spans="1:8" x14ac:dyDescent="0.15">
      <c r="A3069" s="3" t="s">
        <v>2953</v>
      </c>
      <c r="B3069" s="3" t="s">
        <v>4919</v>
      </c>
      <c r="C3069" s="3">
        <v>5455</v>
      </c>
      <c r="D3069" s="3" t="str">
        <f>VLOOKUP(B3069,[1]LifeList!$E$2:$G$2036,1)</f>
        <v>Sora</v>
      </c>
      <c r="E3069" s="3" t="str">
        <f>VLOOKUP(B3069,[1]LifeList!$E$2:$G$2036,2)</f>
        <v>Marouette de Caroline</v>
      </c>
      <c r="F3069" s="3" t="str">
        <f>VLOOKUP(B3069,[1]LifeList!$E$2:$G$2036,3)</f>
        <v>Porzana carolina</v>
      </c>
      <c r="G3069" s="3" t="str">
        <f>VLOOKUP(B3069,[1]LifeList!$E$2:$I$2036,4)</f>
        <v>Gruiformes</v>
      </c>
      <c r="H3069" s="3" t="str">
        <f>VLOOKUP(B3069,[1]LifeList!$E$2:$I$2036,5)</f>
        <v>Rallidae (Rails, Gallinules, and Coots)</v>
      </c>
    </row>
    <row r="3070" spans="1:8" x14ac:dyDescent="0.15">
      <c r="A3070" s="3" t="s">
        <v>2954</v>
      </c>
      <c r="B3070" s="3" t="s">
        <v>4919</v>
      </c>
      <c r="C3070" s="3">
        <v>5455</v>
      </c>
      <c r="D3070" s="3" t="str">
        <f>VLOOKUP(B3070,[1]LifeList!$E$2:$G$2036,1)</f>
        <v>Sora</v>
      </c>
      <c r="E3070" s="3" t="str">
        <f>VLOOKUP(B3070,[1]LifeList!$E$2:$G$2036,2)</f>
        <v>Marouette de Caroline</v>
      </c>
      <c r="F3070" s="3" t="str">
        <f>VLOOKUP(B3070,[1]LifeList!$E$2:$G$2036,3)</f>
        <v>Porzana carolina</v>
      </c>
      <c r="G3070" s="3" t="str">
        <f>VLOOKUP(B3070,[1]LifeList!$E$2:$I$2036,4)</f>
        <v>Gruiformes</v>
      </c>
      <c r="H3070" s="3" t="str">
        <f>VLOOKUP(B3070,[1]LifeList!$E$2:$I$2036,5)</f>
        <v>Rallidae (Rails, Gallinules, and Coots)</v>
      </c>
    </row>
    <row r="3071" spans="1:8" x14ac:dyDescent="0.15">
      <c r="A3071" s="3" t="s">
        <v>2955</v>
      </c>
      <c r="B3071" s="3" t="s">
        <v>4919</v>
      </c>
      <c r="C3071" s="3">
        <v>5455</v>
      </c>
      <c r="D3071" s="3" t="str">
        <f>VLOOKUP(B3071,[1]LifeList!$E$2:$G$2036,1)</f>
        <v>Sora</v>
      </c>
      <c r="E3071" s="3" t="str">
        <f>VLOOKUP(B3071,[1]LifeList!$E$2:$G$2036,2)</f>
        <v>Marouette de Caroline</v>
      </c>
      <c r="F3071" s="3" t="str">
        <f>VLOOKUP(B3071,[1]LifeList!$E$2:$G$2036,3)</f>
        <v>Porzana carolina</v>
      </c>
      <c r="G3071" s="3" t="str">
        <f>VLOOKUP(B3071,[1]LifeList!$E$2:$I$2036,4)</f>
        <v>Gruiformes</v>
      </c>
      <c r="H3071" s="3" t="str">
        <f>VLOOKUP(B3071,[1]LifeList!$E$2:$I$2036,5)</f>
        <v>Rallidae (Rails, Gallinules, and Coots)</v>
      </c>
    </row>
    <row r="3072" spans="1:8" x14ac:dyDescent="0.15">
      <c r="A3072" s="3" t="s">
        <v>2956</v>
      </c>
      <c r="B3072" s="3" t="s">
        <v>4919</v>
      </c>
      <c r="C3072" s="3">
        <v>5455</v>
      </c>
      <c r="D3072" s="3" t="str">
        <f>VLOOKUP(B3072,[1]LifeList!$E$2:$G$2036,1)</f>
        <v>Sora</v>
      </c>
      <c r="E3072" s="3" t="str">
        <f>VLOOKUP(B3072,[1]LifeList!$E$2:$G$2036,2)</f>
        <v>Marouette de Caroline</v>
      </c>
      <c r="F3072" s="3" t="str">
        <f>VLOOKUP(B3072,[1]LifeList!$E$2:$G$2036,3)</f>
        <v>Porzana carolina</v>
      </c>
      <c r="G3072" s="3" t="str">
        <f>VLOOKUP(B3072,[1]LifeList!$E$2:$I$2036,4)</f>
        <v>Gruiformes</v>
      </c>
      <c r="H3072" s="3" t="str">
        <f>VLOOKUP(B3072,[1]LifeList!$E$2:$I$2036,5)</f>
        <v>Rallidae (Rails, Gallinules, and Coots)</v>
      </c>
    </row>
    <row r="3073" spans="1:8" x14ac:dyDescent="0.15">
      <c r="A3073" s="3" t="s">
        <v>2957</v>
      </c>
      <c r="B3073" s="3" t="s">
        <v>4919</v>
      </c>
      <c r="C3073" s="3">
        <v>5455</v>
      </c>
      <c r="D3073" s="3" t="str">
        <f>VLOOKUP(B3073,[1]LifeList!$E$2:$G$2036,1)</f>
        <v>Sora</v>
      </c>
      <c r="E3073" s="3" t="str">
        <f>VLOOKUP(B3073,[1]LifeList!$E$2:$G$2036,2)</f>
        <v>Marouette de Caroline</v>
      </c>
      <c r="F3073" s="3" t="str">
        <f>VLOOKUP(B3073,[1]LifeList!$E$2:$G$2036,3)</f>
        <v>Porzana carolina</v>
      </c>
      <c r="G3073" s="3" t="str">
        <f>VLOOKUP(B3073,[1]LifeList!$E$2:$I$2036,4)</f>
        <v>Gruiformes</v>
      </c>
      <c r="H3073" s="3" t="str">
        <f>VLOOKUP(B3073,[1]LifeList!$E$2:$I$2036,5)</f>
        <v>Rallidae (Rails, Gallinules, and Coots)</v>
      </c>
    </row>
    <row r="3074" spans="1:8" x14ac:dyDescent="0.15">
      <c r="A3074" s="3" t="s">
        <v>2958</v>
      </c>
      <c r="B3074" s="3" t="s">
        <v>4919</v>
      </c>
      <c r="C3074" s="3">
        <v>5455</v>
      </c>
      <c r="D3074" s="3" t="str">
        <f>VLOOKUP(B3074,[1]LifeList!$E$2:$G$2036,1)</f>
        <v>Sora</v>
      </c>
      <c r="E3074" s="3" t="str">
        <f>VLOOKUP(B3074,[1]LifeList!$E$2:$G$2036,2)</f>
        <v>Marouette de Caroline</v>
      </c>
      <c r="F3074" s="3" t="str">
        <f>VLOOKUP(B3074,[1]LifeList!$E$2:$G$2036,3)</f>
        <v>Porzana carolina</v>
      </c>
      <c r="G3074" s="3" t="str">
        <f>VLOOKUP(B3074,[1]LifeList!$E$2:$I$2036,4)</f>
        <v>Gruiformes</v>
      </c>
      <c r="H3074" s="3" t="str">
        <f>VLOOKUP(B3074,[1]LifeList!$E$2:$I$2036,5)</f>
        <v>Rallidae (Rails, Gallinules, and Coots)</v>
      </c>
    </row>
    <row r="3075" spans="1:8" x14ac:dyDescent="0.15">
      <c r="A3075" s="3" t="s">
        <v>2959</v>
      </c>
      <c r="B3075" s="3" t="s">
        <v>4919</v>
      </c>
      <c r="C3075" s="3">
        <v>5455</v>
      </c>
      <c r="D3075" s="3" t="str">
        <f>VLOOKUP(B3075,[1]LifeList!$E$2:$G$2036,1)</f>
        <v>Sora</v>
      </c>
      <c r="E3075" s="3" t="str">
        <f>VLOOKUP(B3075,[1]LifeList!$E$2:$G$2036,2)</f>
        <v>Marouette de Caroline</v>
      </c>
      <c r="F3075" s="3" t="str">
        <f>VLOOKUP(B3075,[1]LifeList!$E$2:$G$2036,3)</f>
        <v>Porzana carolina</v>
      </c>
      <c r="G3075" s="3" t="str">
        <f>VLOOKUP(B3075,[1]LifeList!$E$2:$I$2036,4)</f>
        <v>Gruiformes</v>
      </c>
      <c r="H3075" s="3" t="str">
        <f>VLOOKUP(B3075,[1]LifeList!$E$2:$I$2036,5)</f>
        <v>Rallidae (Rails, Gallinules, and Coots)</v>
      </c>
    </row>
    <row r="3076" spans="1:8" x14ac:dyDescent="0.15">
      <c r="A3076" s="3" t="s">
        <v>2960</v>
      </c>
      <c r="B3076" s="3" t="s">
        <v>4919</v>
      </c>
      <c r="C3076" s="3">
        <v>5455</v>
      </c>
      <c r="D3076" s="3" t="str">
        <f>VLOOKUP(B3076,[1]LifeList!$E$2:$G$2036,1)</f>
        <v>Sora</v>
      </c>
      <c r="E3076" s="3" t="str">
        <f>VLOOKUP(B3076,[1]LifeList!$E$2:$G$2036,2)</f>
        <v>Marouette de Caroline</v>
      </c>
      <c r="F3076" s="3" t="str">
        <f>VLOOKUP(B3076,[1]LifeList!$E$2:$G$2036,3)</f>
        <v>Porzana carolina</v>
      </c>
      <c r="G3076" s="3" t="str">
        <f>VLOOKUP(B3076,[1]LifeList!$E$2:$I$2036,4)</f>
        <v>Gruiformes</v>
      </c>
      <c r="H3076" s="3" t="str">
        <f>VLOOKUP(B3076,[1]LifeList!$E$2:$I$2036,5)</f>
        <v>Rallidae (Rails, Gallinules, and Coots)</v>
      </c>
    </row>
    <row r="3077" spans="1:8" x14ac:dyDescent="0.15">
      <c r="A3077" s="3" t="s">
        <v>2961</v>
      </c>
      <c r="B3077" s="3" t="s">
        <v>4919</v>
      </c>
      <c r="C3077" s="3">
        <v>5455</v>
      </c>
      <c r="D3077" s="3" t="str">
        <f>VLOOKUP(B3077,[1]LifeList!$E$2:$G$2036,1)</f>
        <v>Sora</v>
      </c>
      <c r="E3077" s="3" t="str">
        <f>VLOOKUP(B3077,[1]LifeList!$E$2:$G$2036,2)</f>
        <v>Marouette de Caroline</v>
      </c>
      <c r="F3077" s="3" t="str">
        <f>VLOOKUP(B3077,[1]LifeList!$E$2:$G$2036,3)</f>
        <v>Porzana carolina</v>
      </c>
      <c r="G3077" s="3" t="str">
        <f>VLOOKUP(B3077,[1]LifeList!$E$2:$I$2036,4)</f>
        <v>Gruiformes</v>
      </c>
      <c r="H3077" s="3" t="str">
        <f>VLOOKUP(B3077,[1]LifeList!$E$2:$I$2036,5)</f>
        <v>Rallidae (Rails, Gallinules, and Coots)</v>
      </c>
    </row>
    <row r="3078" spans="1:8" x14ac:dyDescent="0.15">
      <c r="A3078" s="3" t="s">
        <v>2962</v>
      </c>
      <c r="B3078" s="3" t="s">
        <v>4919</v>
      </c>
      <c r="C3078" s="3">
        <v>5455</v>
      </c>
      <c r="D3078" s="3" t="str">
        <f>VLOOKUP(B3078,[1]LifeList!$E$2:$G$2036,1)</f>
        <v>Sora</v>
      </c>
      <c r="E3078" s="3" t="str">
        <f>VLOOKUP(B3078,[1]LifeList!$E$2:$G$2036,2)</f>
        <v>Marouette de Caroline</v>
      </c>
      <c r="F3078" s="3" t="str">
        <f>VLOOKUP(B3078,[1]LifeList!$E$2:$G$2036,3)</f>
        <v>Porzana carolina</v>
      </c>
      <c r="G3078" s="3" t="str">
        <f>VLOOKUP(B3078,[1]LifeList!$E$2:$I$2036,4)</f>
        <v>Gruiformes</v>
      </c>
      <c r="H3078" s="3" t="str">
        <f>VLOOKUP(B3078,[1]LifeList!$E$2:$I$2036,5)</f>
        <v>Rallidae (Rails, Gallinules, and Coots)</v>
      </c>
    </row>
    <row r="3079" spans="1:8" x14ac:dyDescent="0.15">
      <c r="A3079" s="3" t="s">
        <v>2963</v>
      </c>
      <c r="B3079" s="3" t="s">
        <v>4919</v>
      </c>
      <c r="C3079" s="3">
        <v>5455</v>
      </c>
      <c r="D3079" s="3" t="str">
        <f>VLOOKUP(B3079,[1]LifeList!$E$2:$G$2036,1)</f>
        <v>Sora</v>
      </c>
      <c r="E3079" s="3" t="str">
        <f>VLOOKUP(B3079,[1]LifeList!$E$2:$G$2036,2)</f>
        <v>Marouette de Caroline</v>
      </c>
      <c r="F3079" s="3" t="str">
        <f>VLOOKUP(B3079,[1]LifeList!$E$2:$G$2036,3)</f>
        <v>Porzana carolina</v>
      </c>
      <c r="G3079" s="3" t="str">
        <f>VLOOKUP(B3079,[1]LifeList!$E$2:$I$2036,4)</f>
        <v>Gruiformes</v>
      </c>
      <c r="H3079" s="3" t="str">
        <f>VLOOKUP(B3079,[1]LifeList!$E$2:$I$2036,5)</f>
        <v>Rallidae (Rails, Gallinules, and Coots)</v>
      </c>
    </row>
    <row r="3080" spans="1:8" x14ac:dyDescent="0.15">
      <c r="A3080" s="3" t="s">
        <v>2964</v>
      </c>
      <c r="B3080" s="3" t="s">
        <v>4919</v>
      </c>
      <c r="C3080" s="3">
        <v>5455</v>
      </c>
      <c r="D3080" s="3" t="str">
        <f>VLOOKUP(B3080,[1]LifeList!$E$2:$G$2036,1)</f>
        <v>Sora</v>
      </c>
      <c r="E3080" s="3" t="str">
        <f>VLOOKUP(B3080,[1]LifeList!$E$2:$G$2036,2)</f>
        <v>Marouette de Caroline</v>
      </c>
      <c r="F3080" s="3" t="str">
        <f>VLOOKUP(B3080,[1]LifeList!$E$2:$G$2036,3)</f>
        <v>Porzana carolina</v>
      </c>
      <c r="G3080" s="3" t="str">
        <f>VLOOKUP(B3080,[1]LifeList!$E$2:$I$2036,4)</f>
        <v>Gruiformes</v>
      </c>
      <c r="H3080" s="3" t="str">
        <f>VLOOKUP(B3080,[1]LifeList!$E$2:$I$2036,5)</f>
        <v>Rallidae (Rails, Gallinules, and Coots)</v>
      </c>
    </row>
    <row r="3081" spans="1:8" x14ac:dyDescent="0.15">
      <c r="A3081" s="3" t="s">
        <v>2965</v>
      </c>
      <c r="B3081" s="3" t="s">
        <v>4919</v>
      </c>
      <c r="C3081" s="3">
        <v>5455</v>
      </c>
      <c r="D3081" s="3" t="str">
        <f>VLOOKUP(B3081,[1]LifeList!$E$2:$G$2036,1)</f>
        <v>Sora</v>
      </c>
      <c r="E3081" s="3" t="str">
        <f>VLOOKUP(B3081,[1]LifeList!$E$2:$G$2036,2)</f>
        <v>Marouette de Caroline</v>
      </c>
      <c r="F3081" s="3" t="str">
        <f>VLOOKUP(B3081,[1]LifeList!$E$2:$G$2036,3)</f>
        <v>Porzana carolina</v>
      </c>
      <c r="G3081" s="3" t="str">
        <f>VLOOKUP(B3081,[1]LifeList!$E$2:$I$2036,4)</f>
        <v>Gruiformes</v>
      </c>
      <c r="H3081" s="3" t="str">
        <f>VLOOKUP(B3081,[1]LifeList!$E$2:$I$2036,5)</f>
        <v>Rallidae (Rails, Gallinules, and Coots)</v>
      </c>
    </row>
    <row r="3082" spans="1:8" x14ac:dyDescent="0.15">
      <c r="A3082" s="3" t="s">
        <v>2966</v>
      </c>
      <c r="B3082" s="3" t="s">
        <v>4919</v>
      </c>
      <c r="C3082" s="3">
        <v>5455</v>
      </c>
      <c r="D3082" s="3" t="str">
        <f>VLOOKUP(B3082,[1]LifeList!$E$2:$G$2036,1)</f>
        <v>Sora</v>
      </c>
      <c r="E3082" s="3" t="str">
        <f>VLOOKUP(B3082,[1]LifeList!$E$2:$G$2036,2)</f>
        <v>Marouette de Caroline</v>
      </c>
      <c r="F3082" s="3" t="str">
        <f>VLOOKUP(B3082,[1]LifeList!$E$2:$G$2036,3)</f>
        <v>Porzana carolina</v>
      </c>
      <c r="G3082" s="3" t="str">
        <f>VLOOKUP(B3082,[1]LifeList!$E$2:$I$2036,4)</f>
        <v>Gruiformes</v>
      </c>
      <c r="H3082" s="3" t="str">
        <f>VLOOKUP(B3082,[1]LifeList!$E$2:$I$2036,5)</f>
        <v>Rallidae (Rails, Gallinules, and Coots)</v>
      </c>
    </row>
    <row r="3083" spans="1:8" x14ac:dyDescent="0.15">
      <c r="A3083" s="3" t="s">
        <v>2967</v>
      </c>
      <c r="B3083" s="3" t="s">
        <v>4919</v>
      </c>
      <c r="C3083" s="3">
        <v>5455</v>
      </c>
      <c r="D3083" s="3" t="str">
        <f>VLOOKUP(B3083,[1]LifeList!$E$2:$G$2036,1)</f>
        <v>Sora</v>
      </c>
      <c r="E3083" s="3" t="str">
        <f>VLOOKUP(B3083,[1]LifeList!$E$2:$G$2036,2)</f>
        <v>Marouette de Caroline</v>
      </c>
      <c r="F3083" s="3" t="str">
        <f>VLOOKUP(B3083,[1]LifeList!$E$2:$G$2036,3)</f>
        <v>Porzana carolina</v>
      </c>
      <c r="G3083" s="3" t="str">
        <f>VLOOKUP(B3083,[1]LifeList!$E$2:$I$2036,4)</f>
        <v>Gruiformes</v>
      </c>
      <c r="H3083" s="3" t="str">
        <f>VLOOKUP(B3083,[1]LifeList!$E$2:$I$2036,5)</f>
        <v>Rallidae (Rails, Gallinules, and Coots)</v>
      </c>
    </row>
    <row r="3084" spans="1:8" x14ac:dyDescent="0.15">
      <c r="A3084" s="3" t="s">
        <v>2968</v>
      </c>
      <c r="B3084" s="3" t="s">
        <v>4919</v>
      </c>
      <c r="C3084" s="3">
        <v>5455</v>
      </c>
      <c r="D3084" s="3" t="str">
        <f>VLOOKUP(B3084,[1]LifeList!$E$2:$G$2036,1)</f>
        <v>Sora</v>
      </c>
      <c r="E3084" s="3" t="str">
        <f>VLOOKUP(B3084,[1]LifeList!$E$2:$G$2036,2)</f>
        <v>Marouette de Caroline</v>
      </c>
      <c r="F3084" s="3" t="str">
        <f>VLOOKUP(B3084,[1]LifeList!$E$2:$G$2036,3)</f>
        <v>Porzana carolina</v>
      </c>
      <c r="G3084" s="3" t="str">
        <f>VLOOKUP(B3084,[1]LifeList!$E$2:$I$2036,4)</f>
        <v>Gruiformes</v>
      </c>
      <c r="H3084" s="3" t="str">
        <f>VLOOKUP(B3084,[1]LifeList!$E$2:$I$2036,5)</f>
        <v>Rallidae (Rails, Gallinules, and Coots)</v>
      </c>
    </row>
    <row r="3085" spans="1:8" x14ac:dyDescent="0.15">
      <c r="A3085" s="3" t="s">
        <v>2951</v>
      </c>
      <c r="B3085" s="3" t="s">
        <v>4919</v>
      </c>
      <c r="C3085" s="3">
        <v>5455</v>
      </c>
      <c r="D3085" s="3" t="str">
        <f>VLOOKUP(B3085,[1]LifeList!$E$2:$G$2036,1)</f>
        <v>Sora</v>
      </c>
      <c r="E3085" s="3" t="str">
        <f>VLOOKUP(B3085,[1]LifeList!$E$2:$G$2036,2)</f>
        <v>Marouette de Caroline</v>
      </c>
      <c r="F3085" s="3" t="str">
        <f>VLOOKUP(B3085,[1]LifeList!$E$2:$G$2036,3)</f>
        <v>Porzana carolina</v>
      </c>
      <c r="G3085" s="3" t="str">
        <f>VLOOKUP(B3085,[1]LifeList!$E$2:$I$2036,4)</f>
        <v>Gruiformes</v>
      </c>
      <c r="H3085" s="3" t="str">
        <f>VLOOKUP(B3085,[1]LifeList!$E$2:$I$2036,5)</f>
        <v>Rallidae (Rails, Gallinules, and Coots)</v>
      </c>
    </row>
    <row r="3086" spans="1:8" x14ac:dyDescent="0.15">
      <c r="A3086" s="3" t="s">
        <v>2969</v>
      </c>
      <c r="B3086" s="3" t="s">
        <v>4920</v>
      </c>
      <c r="C3086" s="3">
        <v>30484</v>
      </c>
      <c r="D3086" s="3" t="str">
        <f>VLOOKUP(B3086,[1]LifeList!$E$2:$G$2036,1)</f>
        <v>Souimanga Sunbird</v>
      </c>
      <c r="E3086" s="3" t="str">
        <f>VLOOKUP(B3086,[1]LifeList!$E$2:$G$2036,2)</f>
        <v>Souimanga malgache</v>
      </c>
      <c r="F3086" s="3" t="str">
        <f>VLOOKUP(B3086,[1]LifeList!$E$2:$G$2036,3)</f>
        <v>Cinnyris sovimanga</v>
      </c>
      <c r="G3086" s="3" t="str">
        <f>VLOOKUP(B3086,[1]LifeList!$E$2:$I$2036,4)</f>
        <v>Passeriformes</v>
      </c>
      <c r="H3086" s="3" t="str">
        <f>VLOOKUP(B3086,[1]LifeList!$E$2:$I$2036,5)</f>
        <v>Nectariniidae (Sunbirds and Spiderhunters)</v>
      </c>
    </row>
    <row r="3087" spans="1:8" x14ac:dyDescent="0.15">
      <c r="A3087" s="3" t="s">
        <v>2970</v>
      </c>
      <c r="B3087" s="3" t="s">
        <v>4920</v>
      </c>
      <c r="C3087" s="3">
        <v>30484</v>
      </c>
      <c r="D3087" s="3" t="str">
        <f>VLOOKUP(B3087,[1]LifeList!$E$2:$G$2036,1)</f>
        <v>Souimanga Sunbird</v>
      </c>
      <c r="E3087" s="3" t="str">
        <f>VLOOKUP(B3087,[1]LifeList!$E$2:$G$2036,2)</f>
        <v>Souimanga malgache</v>
      </c>
      <c r="F3087" s="3" t="str">
        <f>VLOOKUP(B3087,[1]LifeList!$E$2:$G$2036,3)</f>
        <v>Cinnyris sovimanga</v>
      </c>
      <c r="G3087" s="3" t="str">
        <f>VLOOKUP(B3087,[1]LifeList!$E$2:$I$2036,4)</f>
        <v>Passeriformes</v>
      </c>
      <c r="H3087" s="3" t="str">
        <f>VLOOKUP(B3087,[1]LifeList!$E$2:$I$2036,5)</f>
        <v>Nectariniidae (Sunbirds and Spiderhunters)</v>
      </c>
    </row>
    <row r="3088" spans="1:8" x14ac:dyDescent="0.15">
      <c r="A3088" s="3" t="s">
        <v>2971</v>
      </c>
      <c r="B3088" s="3" t="s">
        <v>4920</v>
      </c>
      <c r="C3088" s="3">
        <v>30484</v>
      </c>
      <c r="D3088" s="3" t="str">
        <f>VLOOKUP(B3088,[1]LifeList!$E$2:$G$2036,1)</f>
        <v>Souimanga Sunbird</v>
      </c>
      <c r="E3088" s="3" t="str">
        <f>VLOOKUP(B3088,[1]LifeList!$E$2:$G$2036,2)</f>
        <v>Souimanga malgache</v>
      </c>
      <c r="F3088" s="3" t="str">
        <f>VLOOKUP(B3088,[1]LifeList!$E$2:$G$2036,3)</f>
        <v>Cinnyris sovimanga</v>
      </c>
      <c r="G3088" s="3" t="str">
        <f>VLOOKUP(B3088,[1]LifeList!$E$2:$I$2036,4)</f>
        <v>Passeriformes</v>
      </c>
      <c r="H3088" s="3" t="str">
        <f>VLOOKUP(B3088,[1]LifeList!$E$2:$I$2036,5)</f>
        <v>Nectariniidae (Sunbirds and Spiderhunters)</v>
      </c>
    </row>
    <row r="3089" spans="1:8" x14ac:dyDescent="0.15">
      <c r="A3089" s="3" t="s">
        <v>2972</v>
      </c>
      <c r="B3089" s="3" t="s">
        <v>4920</v>
      </c>
      <c r="C3089" s="3">
        <v>30484</v>
      </c>
      <c r="D3089" s="3" t="str">
        <f>VLOOKUP(B3089,[1]LifeList!$E$2:$G$2036,1)</f>
        <v>Souimanga Sunbird</v>
      </c>
      <c r="E3089" s="3" t="str">
        <f>VLOOKUP(B3089,[1]LifeList!$E$2:$G$2036,2)</f>
        <v>Souimanga malgache</v>
      </c>
      <c r="F3089" s="3" t="str">
        <f>VLOOKUP(B3089,[1]LifeList!$E$2:$G$2036,3)</f>
        <v>Cinnyris sovimanga</v>
      </c>
      <c r="G3089" s="3" t="str">
        <f>VLOOKUP(B3089,[1]LifeList!$E$2:$I$2036,4)</f>
        <v>Passeriformes</v>
      </c>
      <c r="H3089" s="3" t="str">
        <f>VLOOKUP(B3089,[1]LifeList!$E$2:$I$2036,5)</f>
        <v>Nectariniidae (Sunbirds and Spiderhunters)</v>
      </c>
    </row>
    <row r="3090" spans="1:8" x14ac:dyDescent="0.15">
      <c r="A3090" s="3" t="s">
        <v>2973</v>
      </c>
      <c r="B3090" s="3" t="s">
        <v>3791</v>
      </c>
      <c r="C3090" s="3">
        <v>423</v>
      </c>
      <c r="D3090" s="3" t="str">
        <f>VLOOKUP(B3090,[1]LifeList!$E$2:$G$2036,1)</f>
        <v>South African Shelduck</v>
      </c>
      <c r="E3090" s="3" t="str">
        <f>VLOOKUP(B3090,[1]LifeList!$E$2:$G$2036,2)</f>
        <v>Tadorne à tête grise</v>
      </c>
      <c r="F3090" s="3" t="str">
        <f>VLOOKUP(B3090,[1]LifeList!$E$2:$G$2036,3)</f>
        <v>Tadorna cana</v>
      </c>
      <c r="G3090" s="3" t="str">
        <f>VLOOKUP(B3090,[1]LifeList!$E$2:$I$2036,4)</f>
        <v>Anseriformes</v>
      </c>
      <c r="H3090" s="3" t="str">
        <f>VLOOKUP(B3090,[1]LifeList!$E$2:$I$2036,5)</f>
        <v>Anatidae (Ducks, Geese, and Waterfowl)</v>
      </c>
    </row>
    <row r="3091" spans="1:8" x14ac:dyDescent="0.15">
      <c r="A3091" s="3" t="s">
        <v>2974</v>
      </c>
      <c r="B3091" s="3" t="s">
        <v>3792</v>
      </c>
      <c r="C3091" s="3">
        <v>7507</v>
      </c>
      <c r="D3091" s="3" t="str">
        <f>VLOOKUP(B3091,[1]LifeList!$E$2:$G$2036,1)</f>
        <v>Southern Bald Ibis</v>
      </c>
      <c r="E3091" s="3" t="str">
        <f>VLOOKUP(B3091,[1]LifeList!$E$2:$G$2036,2)</f>
        <v>Ibis du Cap</v>
      </c>
      <c r="F3091" s="3" t="str">
        <f>VLOOKUP(B3091,[1]LifeList!$E$2:$G$2036,3)</f>
        <v>Geronticus calvus</v>
      </c>
      <c r="G3091" s="3" t="str">
        <f>VLOOKUP(B3091,[1]LifeList!$E$2:$I$2036,4)</f>
        <v>Pelecaniformes</v>
      </c>
      <c r="H3091" s="3" t="str">
        <f>VLOOKUP(B3091,[1]LifeList!$E$2:$I$2036,5)</f>
        <v>Threskiornithidae (Ibises and Spoonbills)</v>
      </c>
    </row>
    <row r="3092" spans="1:8" x14ac:dyDescent="0.15">
      <c r="A3092" s="3" t="s">
        <v>2975</v>
      </c>
      <c r="B3092" s="3" t="s">
        <v>4921</v>
      </c>
      <c r="C3092" s="3">
        <v>28923</v>
      </c>
      <c r="D3092" s="3" t="str">
        <f>VLOOKUP(B3092,[1]LifeList!$E$2:$G$2036,1)</f>
        <v>Southern Black-Flycatcher</v>
      </c>
      <c r="E3092" s="3" t="str">
        <f>VLOOKUP(B3092,[1]LifeList!$E$2:$G$2036,2)</f>
        <v>Gobemouche sud-africain</v>
      </c>
      <c r="F3092" s="3" t="str">
        <f>VLOOKUP(B3092,[1]LifeList!$E$2:$G$2036,3)</f>
        <v>Melaenornis pammelaina</v>
      </c>
      <c r="G3092" s="3" t="str">
        <f>VLOOKUP(B3092,[1]LifeList!$E$2:$I$2036,4)</f>
        <v>Passeriformes</v>
      </c>
      <c r="H3092" s="3" t="str">
        <f>VLOOKUP(B3092,[1]LifeList!$E$2:$I$2036,5)</f>
        <v>Muscicapidae (Old World Flycatchers)</v>
      </c>
    </row>
    <row r="3093" spans="1:8" x14ac:dyDescent="0.15">
      <c r="A3093" s="3" t="s">
        <v>2976</v>
      </c>
      <c r="B3093" s="3" t="s">
        <v>3793</v>
      </c>
      <c r="C3093" s="3">
        <v>9836</v>
      </c>
      <c r="D3093" s="3" t="str">
        <f>VLOOKUP(B3093,[1]LifeList!$E$2:$G$2036,1)</f>
        <v>Southern Carmine Bee-eater</v>
      </c>
      <c r="E3093" s="3" t="str">
        <f>VLOOKUP(B3093,[1]LifeList!$E$2:$G$2036,2)</f>
        <v>Guêpier carmin</v>
      </c>
      <c r="F3093" s="3" t="str">
        <f>VLOOKUP(B3093,[1]LifeList!$E$2:$G$2036,3)</f>
        <v>Merops nubicoides</v>
      </c>
      <c r="G3093" s="3" t="str">
        <f>VLOOKUP(B3093,[1]LifeList!$E$2:$I$2036,4)</f>
        <v>Coraciiformes</v>
      </c>
      <c r="H3093" s="3" t="str">
        <f>VLOOKUP(B3093,[1]LifeList!$E$2:$I$2036,5)</f>
        <v>Meropidae (Bee-eaters)</v>
      </c>
    </row>
    <row r="3094" spans="1:8" x14ac:dyDescent="0.15">
      <c r="A3094" s="3" t="s">
        <v>2977</v>
      </c>
      <c r="B3094" s="3" t="s">
        <v>4922</v>
      </c>
      <c r="C3094" s="3">
        <v>31359</v>
      </c>
      <c r="D3094" s="3" t="str">
        <f>VLOOKUP(B3094,[1]LifeList!$E$2:$G$2036,1)</f>
        <v>Southern Cordonbleu</v>
      </c>
      <c r="E3094" s="3" t="str">
        <f>VLOOKUP(B3094,[1]LifeList!$E$2:$G$2036,2)</f>
        <v>Cordonbleu d'Angola</v>
      </c>
      <c r="F3094" s="3" t="str">
        <f>VLOOKUP(B3094,[1]LifeList!$E$2:$G$2036,3)</f>
        <v>Uraeginthus angolensis</v>
      </c>
      <c r="G3094" s="3" t="str">
        <f>VLOOKUP(B3094,[1]LifeList!$E$2:$I$2036,4)</f>
        <v>Passeriformes</v>
      </c>
      <c r="H3094" s="3" t="str">
        <f>VLOOKUP(B3094,[1]LifeList!$E$2:$I$2036,5)</f>
        <v>Estrildidae (Waxbills and Allies)</v>
      </c>
    </row>
    <row r="3095" spans="1:8" x14ac:dyDescent="0.15">
      <c r="A3095" s="3" t="s">
        <v>2978</v>
      </c>
      <c r="B3095" s="3" t="s">
        <v>4923</v>
      </c>
      <c r="C3095" s="3">
        <v>10845</v>
      </c>
      <c r="D3095" s="3" t="str">
        <f>VLOOKUP(B3095,[1]LifeList!$E$2:$G$2036,1)</f>
        <v>Southern Emerald-Toucanet</v>
      </c>
      <c r="E3095" s="3" t="str">
        <f>VLOOKUP(B3095,[1]LifeList!$E$2:$G$2036,2)</f>
        <v>Toucanet à gorge blanche</v>
      </c>
      <c r="F3095" s="3" t="str">
        <f>VLOOKUP(B3095,[1]LifeList!$E$2:$G$2036,3)</f>
        <v>Aulacorhynchus albivitta</v>
      </c>
      <c r="G3095" s="3" t="str">
        <f>VLOOKUP(B3095,[1]LifeList!$E$2:$I$2036,4)</f>
        <v>Piciformes</v>
      </c>
      <c r="H3095" s="3" t="str">
        <f>VLOOKUP(B3095,[1]LifeList!$E$2:$I$2036,5)</f>
        <v>Ramphastidae (Toucans)</v>
      </c>
    </row>
    <row r="3096" spans="1:8" x14ac:dyDescent="0.15">
      <c r="A3096" s="3" t="s">
        <v>2979</v>
      </c>
      <c r="B3096" s="3" t="s">
        <v>4923</v>
      </c>
      <c r="C3096" s="3">
        <v>10845</v>
      </c>
      <c r="D3096" s="3" t="str">
        <f>VLOOKUP(B3096,[1]LifeList!$E$2:$G$2036,1)</f>
        <v>Southern Emerald-Toucanet</v>
      </c>
      <c r="E3096" s="3" t="str">
        <f>VLOOKUP(B3096,[1]LifeList!$E$2:$G$2036,2)</f>
        <v>Toucanet à gorge blanche</v>
      </c>
      <c r="F3096" s="3" t="str">
        <f>VLOOKUP(B3096,[1]LifeList!$E$2:$G$2036,3)</f>
        <v>Aulacorhynchus albivitta</v>
      </c>
      <c r="G3096" s="3" t="str">
        <f>VLOOKUP(B3096,[1]LifeList!$E$2:$I$2036,4)</f>
        <v>Piciformes</v>
      </c>
      <c r="H3096" s="3" t="str">
        <f>VLOOKUP(B3096,[1]LifeList!$E$2:$I$2036,5)</f>
        <v>Ramphastidae (Toucans)</v>
      </c>
    </row>
    <row r="3097" spans="1:8" x14ac:dyDescent="0.15">
      <c r="A3097" s="3" t="s">
        <v>2980</v>
      </c>
      <c r="B3097" s="3" t="s">
        <v>4924</v>
      </c>
      <c r="C3097" s="3">
        <v>17628</v>
      </c>
      <c r="D3097" s="3" t="str">
        <f>VLOOKUP(B3097,[1]LifeList!$E$2:$G$2036,1)</f>
        <v>Southern Emuwren</v>
      </c>
      <c r="E3097" s="3" t="str">
        <f>VLOOKUP(B3097,[1]LifeList!$E$2:$G$2036,2)</f>
        <v>Queue-de-gaze du Sud</v>
      </c>
      <c r="F3097" s="3" t="str">
        <f>VLOOKUP(B3097,[1]LifeList!$E$2:$G$2036,3)</f>
        <v>Stipiturus malachurus</v>
      </c>
      <c r="G3097" s="3" t="str">
        <f>VLOOKUP(B3097,[1]LifeList!$E$2:$I$2036,4)</f>
        <v>Passeriformes</v>
      </c>
      <c r="H3097" s="3" t="str">
        <f>VLOOKUP(B3097,[1]LifeList!$E$2:$I$2036,5)</f>
        <v>Maluridae (Fairywrens)</v>
      </c>
    </row>
    <row r="3098" spans="1:8" x14ac:dyDescent="0.15">
      <c r="A3098" s="3" t="s">
        <v>2981</v>
      </c>
      <c r="B3098" s="3" t="s">
        <v>4925</v>
      </c>
      <c r="C3098" s="3">
        <v>21146</v>
      </c>
      <c r="D3098" s="3" t="str">
        <f>VLOOKUP(B3098,[1]LifeList!$E$2:$G$2036,1)</f>
        <v>Southern Fiscal</v>
      </c>
      <c r="E3098" s="3" t="str">
        <f>VLOOKUP(B3098,[1]LifeList!$E$2:$G$2036,2)</f>
        <v>Pie-grièche fiscale</v>
      </c>
      <c r="F3098" s="3" t="str">
        <f>VLOOKUP(B3098,[1]LifeList!$E$2:$G$2036,3)</f>
        <v>Lanius collaris</v>
      </c>
      <c r="G3098" s="3" t="str">
        <f>VLOOKUP(B3098,[1]LifeList!$E$2:$I$2036,4)</f>
        <v>Passeriformes</v>
      </c>
      <c r="H3098" s="3" t="str">
        <f>VLOOKUP(B3098,[1]LifeList!$E$2:$I$2036,5)</f>
        <v>Laniidae (Shrikes)</v>
      </c>
    </row>
    <row r="3099" spans="1:8" x14ac:dyDescent="0.15">
      <c r="A3099" s="3" t="s">
        <v>2982</v>
      </c>
      <c r="B3099" s="3" t="s">
        <v>4925</v>
      </c>
      <c r="C3099" s="3">
        <v>21146</v>
      </c>
      <c r="D3099" s="3" t="str">
        <f>VLOOKUP(B3099,[1]LifeList!$E$2:$G$2036,1)</f>
        <v>Southern Fiscal</v>
      </c>
      <c r="E3099" s="3" t="str">
        <f>VLOOKUP(B3099,[1]LifeList!$E$2:$G$2036,2)</f>
        <v>Pie-grièche fiscale</v>
      </c>
      <c r="F3099" s="3" t="str">
        <f>VLOOKUP(B3099,[1]LifeList!$E$2:$G$2036,3)</f>
        <v>Lanius collaris</v>
      </c>
      <c r="G3099" s="3" t="str">
        <f>VLOOKUP(B3099,[1]LifeList!$E$2:$I$2036,4)</f>
        <v>Passeriformes</v>
      </c>
      <c r="H3099" s="3" t="str">
        <f>VLOOKUP(B3099,[1]LifeList!$E$2:$I$2036,5)</f>
        <v>Laniidae (Shrikes)</v>
      </c>
    </row>
    <row r="3100" spans="1:8" x14ac:dyDescent="0.15">
      <c r="A3100" s="3" t="s">
        <v>3917</v>
      </c>
      <c r="B3100" s="3" t="s">
        <v>4925</v>
      </c>
      <c r="C3100" s="3">
        <v>21146</v>
      </c>
      <c r="D3100" s="3" t="str">
        <f>VLOOKUP(B3100,[1]LifeList!$E$2:$G$2036,1)</f>
        <v>Southern Fiscal</v>
      </c>
      <c r="E3100" s="3" t="str">
        <f>VLOOKUP(B3100,[1]LifeList!$E$2:$G$2036,2)</f>
        <v>Pie-grièche fiscale</v>
      </c>
      <c r="F3100" s="3" t="str">
        <f>VLOOKUP(B3100,[1]LifeList!$E$2:$G$2036,3)</f>
        <v>Lanius collaris</v>
      </c>
      <c r="G3100" s="3" t="str">
        <f>VLOOKUP(B3100,[1]LifeList!$E$2:$I$2036,4)</f>
        <v>Passeriformes</v>
      </c>
      <c r="H3100" s="3" t="str">
        <f>VLOOKUP(B3100,[1]LifeList!$E$2:$I$2036,5)</f>
        <v>Laniidae (Shrikes)</v>
      </c>
    </row>
    <row r="3101" spans="1:8" x14ac:dyDescent="0.15">
      <c r="A3101" s="3" t="s">
        <v>2983</v>
      </c>
      <c r="B3101" s="3" t="s">
        <v>4926</v>
      </c>
      <c r="C3101" s="3">
        <v>9655</v>
      </c>
      <c r="D3101" s="3" t="str">
        <f>VLOOKUP(B3101,[1]LifeList!$E$2:$G$2036,1)</f>
        <v>Southern Ground-Hornbill</v>
      </c>
      <c r="E3101" s="3" t="str">
        <f>VLOOKUP(B3101,[1]LifeList!$E$2:$G$2036,2)</f>
        <v>Bucorve du Sud</v>
      </c>
      <c r="F3101" s="3" t="str">
        <f>VLOOKUP(B3101,[1]LifeList!$E$2:$G$2036,3)</f>
        <v>Bucorvus leadbeateri</v>
      </c>
      <c r="G3101" s="3" t="str">
        <f>VLOOKUP(B3101,[1]LifeList!$E$2:$I$2036,4)</f>
        <v>Bucerotiformes</v>
      </c>
      <c r="H3101" s="3" t="str">
        <f>VLOOKUP(B3101,[1]LifeList!$E$2:$I$2036,5)</f>
        <v>Bucerotidae (Hornbills)</v>
      </c>
    </row>
    <row r="3102" spans="1:8" x14ac:dyDescent="0.15">
      <c r="A3102" s="3" t="s">
        <v>2984</v>
      </c>
      <c r="B3102" s="3" t="s">
        <v>4926</v>
      </c>
      <c r="C3102" s="3">
        <v>9655</v>
      </c>
      <c r="D3102" s="3" t="str">
        <f>VLOOKUP(B3102,[1]LifeList!$E$2:$G$2036,1)</f>
        <v>Southern Ground-Hornbill</v>
      </c>
      <c r="E3102" s="3" t="str">
        <f>VLOOKUP(B3102,[1]LifeList!$E$2:$G$2036,2)</f>
        <v>Bucorve du Sud</v>
      </c>
      <c r="F3102" s="3" t="str">
        <f>VLOOKUP(B3102,[1]LifeList!$E$2:$G$2036,3)</f>
        <v>Bucorvus leadbeateri</v>
      </c>
      <c r="G3102" s="3" t="str">
        <f>VLOOKUP(B3102,[1]LifeList!$E$2:$I$2036,4)</f>
        <v>Bucerotiformes</v>
      </c>
      <c r="H3102" s="3" t="str">
        <f>VLOOKUP(B3102,[1]LifeList!$E$2:$I$2036,5)</f>
        <v>Bucerotidae (Hornbills)</v>
      </c>
    </row>
    <row r="3103" spans="1:8" x14ac:dyDescent="0.15">
      <c r="A3103" s="3" t="s">
        <v>2985</v>
      </c>
      <c r="B3103" s="3" t="s">
        <v>3794</v>
      </c>
      <c r="C3103" s="3">
        <v>27209</v>
      </c>
      <c r="D3103" s="3" t="str">
        <f>VLOOKUP(B3103,[1]LifeList!$E$2:$G$2036,1)</f>
        <v>Southern House Wren</v>
      </c>
      <c r="E3103" s="3" t="str">
        <f>VLOOKUP(B3103,[1]LifeList!$E$2:$G$2036,2)</f>
        <v>Troglodyte austral</v>
      </c>
      <c r="F3103" s="3" t="str">
        <f>VLOOKUP(B3103,[1]LifeList!$E$2:$G$2036,3)</f>
        <v>Troglodytes musculus</v>
      </c>
      <c r="G3103" s="3" t="str">
        <f>VLOOKUP(B3103,[1]LifeList!$E$2:$I$2036,4)</f>
        <v>Passeriformes</v>
      </c>
      <c r="H3103" s="3" t="str">
        <f>VLOOKUP(B3103,[1]LifeList!$E$2:$I$2036,5)</f>
        <v>Troglodytidae (Wrens)</v>
      </c>
    </row>
    <row r="3104" spans="1:8" x14ac:dyDescent="0.15">
      <c r="A3104" s="3" t="s">
        <v>2986</v>
      </c>
      <c r="B3104" s="3" t="s">
        <v>4927</v>
      </c>
      <c r="C3104" s="3">
        <v>5896</v>
      </c>
      <c r="D3104" s="3" t="str">
        <f>VLOOKUP(B3104,[1]LifeList!$E$2:$G$2036,1)</f>
        <v>Southern Lapwing</v>
      </c>
      <c r="E3104" s="3" t="str">
        <f>VLOOKUP(B3104,[1]LifeList!$E$2:$G$2036,2)</f>
        <v>Vanneau téro</v>
      </c>
      <c r="F3104" s="3" t="str">
        <f>VLOOKUP(B3104,[1]LifeList!$E$2:$G$2036,3)</f>
        <v>Vanellus chilensis</v>
      </c>
      <c r="G3104" s="3" t="str">
        <f>VLOOKUP(B3104,[1]LifeList!$E$2:$I$2036,4)</f>
        <v>Charadriiformes</v>
      </c>
      <c r="H3104" s="3" t="str">
        <f>VLOOKUP(B3104,[1]LifeList!$E$2:$I$2036,5)</f>
        <v>Charadriidae (Plovers and Lapwings)</v>
      </c>
    </row>
    <row r="3105" spans="1:8" x14ac:dyDescent="0.15">
      <c r="A3105" s="3" t="s">
        <v>2987</v>
      </c>
      <c r="B3105" s="3" t="s">
        <v>4927</v>
      </c>
      <c r="C3105" s="3">
        <v>5896</v>
      </c>
      <c r="D3105" s="3" t="str">
        <f>VLOOKUP(B3105,[1]LifeList!$E$2:$G$2036,1)</f>
        <v>Southern Lapwing</v>
      </c>
      <c r="E3105" s="3" t="str">
        <f>VLOOKUP(B3105,[1]LifeList!$E$2:$G$2036,2)</f>
        <v>Vanneau téro</v>
      </c>
      <c r="F3105" s="3" t="str">
        <f>VLOOKUP(B3105,[1]LifeList!$E$2:$G$2036,3)</f>
        <v>Vanellus chilensis</v>
      </c>
      <c r="G3105" s="3" t="str">
        <f>VLOOKUP(B3105,[1]LifeList!$E$2:$I$2036,4)</f>
        <v>Charadriiformes</v>
      </c>
      <c r="H3105" s="3" t="str">
        <f>VLOOKUP(B3105,[1]LifeList!$E$2:$I$2036,5)</f>
        <v>Charadriidae (Plovers and Lapwings)</v>
      </c>
    </row>
    <row r="3106" spans="1:8" x14ac:dyDescent="0.15">
      <c r="A3106" s="3" t="s">
        <v>2988</v>
      </c>
      <c r="B3106" s="3" t="s">
        <v>4927</v>
      </c>
      <c r="C3106" s="3">
        <v>5896</v>
      </c>
      <c r="D3106" s="3" t="str">
        <f>VLOOKUP(B3106,[1]LifeList!$E$2:$G$2036,1)</f>
        <v>Southern Lapwing</v>
      </c>
      <c r="E3106" s="3" t="str">
        <f>VLOOKUP(B3106,[1]LifeList!$E$2:$G$2036,2)</f>
        <v>Vanneau téro</v>
      </c>
      <c r="F3106" s="3" t="str">
        <f>VLOOKUP(B3106,[1]LifeList!$E$2:$G$2036,3)</f>
        <v>Vanellus chilensis</v>
      </c>
      <c r="G3106" s="3" t="str">
        <f>VLOOKUP(B3106,[1]LifeList!$E$2:$I$2036,4)</f>
        <v>Charadriiformes</v>
      </c>
      <c r="H3106" s="3" t="str">
        <f>VLOOKUP(B3106,[1]LifeList!$E$2:$I$2036,5)</f>
        <v>Charadriidae (Plovers and Lapwings)</v>
      </c>
    </row>
    <row r="3107" spans="1:8" x14ac:dyDescent="0.15">
      <c r="A3107" s="3" t="s">
        <v>2989</v>
      </c>
      <c r="B3107" s="3" t="s">
        <v>4927</v>
      </c>
      <c r="C3107" s="3">
        <v>5896</v>
      </c>
      <c r="D3107" s="3" t="str">
        <f>VLOOKUP(B3107,[1]LifeList!$E$2:$G$2036,1)</f>
        <v>Southern Lapwing</v>
      </c>
      <c r="E3107" s="3" t="str">
        <f>VLOOKUP(B3107,[1]LifeList!$E$2:$G$2036,2)</f>
        <v>Vanneau téro</v>
      </c>
      <c r="F3107" s="3" t="str">
        <f>VLOOKUP(B3107,[1]LifeList!$E$2:$G$2036,3)</f>
        <v>Vanellus chilensis</v>
      </c>
      <c r="G3107" s="3" t="str">
        <f>VLOOKUP(B3107,[1]LifeList!$E$2:$I$2036,4)</f>
        <v>Charadriiformes</v>
      </c>
      <c r="H3107" s="3" t="str">
        <f>VLOOKUP(B3107,[1]LifeList!$E$2:$I$2036,5)</f>
        <v>Charadriidae (Plovers and Lapwings)</v>
      </c>
    </row>
    <row r="3108" spans="1:8" x14ac:dyDescent="0.15">
      <c r="A3108" s="3" t="s">
        <v>2990</v>
      </c>
      <c r="B3108" s="3" t="s">
        <v>4927</v>
      </c>
      <c r="C3108" s="3">
        <v>5896</v>
      </c>
      <c r="D3108" s="3" t="str">
        <f>VLOOKUP(B3108,[1]LifeList!$E$2:$G$2036,1)</f>
        <v>Southern Lapwing</v>
      </c>
      <c r="E3108" s="3" t="str">
        <f>VLOOKUP(B3108,[1]LifeList!$E$2:$G$2036,2)</f>
        <v>Vanneau téro</v>
      </c>
      <c r="F3108" s="3" t="str">
        <f>VLOOKUP(B3108,[1]LifeList!$E$2:$G$2036,3)</f>
        <v>Vanellus chilensis</v>
      </c>
      <c r="G3108" s="3" t="str">
        <f>VLOOKUP(B3108,[1]LifeList!$E$2:$I$2036,4)</f>
        <v>Charadriiformes</v>
      </c>
      <c r="H3108" s="3" t="str">
        <f>VLOOKUP(B3108,[1]LifeList!$E$2:$I$2036,5)</f>
        <v>Charadriidae (Plovers and Lapwings)</v>
      </c>
    </row>
    <row r="3109" spans="1:8" x14ac:dyDescent="0.15">
      <c r="A3109" s="3" t="s">
        <v>2991</v>
      </c>
      <c r="B3109" s="3" t="s">
        <v>4927</v>
      </c>
      <c r="C3109" s="3">
        <v>5896</v>
      </c>
      <c r="D3109" s="3" t="str">
        <f>VLOOKUP(B3109,[1]LifeList!$E$2:$G$2036,1)</f>
        <v>Southern Lapwing</v>
      </c>
      <c r="E3109" s="3" t="str">
        <f>VLOOKUP(B3109,[1]LifeList!$E$2:$G$2036,2)</f>
        <v>Vanneau téro</v>
      </c>
      <c r="F3109" s="3" t="str">
        <f>VLOOKUP(B3109,[1]LifeList!$E$2:$G$2036,3)</f>
        <v>Vanellus chilensis</v>
      </c>
      <c r="G3109" s="3" t="str">
        <f>VLOOKUP(B3109,[1]LifeList!$E$2:$I$2036,4)</f>
        <v>Charadriiformes</v>
      </c>
      <c r="H3109" s="3" t="str">
        <f>VLOOKUP(B3109,[1]LifeList!$E$2:$I$2036,5)</f>
        <v>Charadriidae (Plovers and Lapwings)</v>
      </c>
    </row>
    <row r="3110" spans="1:8" x14ac:dyDescent="0.15">
      <c r="A3110" s="3" t="s">
        <v>2992</v>
      </c>
      <c r="B3110" s="3" t="s">
        <v>4927</v>
      </c>
      <c r="C3110" s="3">
        <v>5896</v>
      </c>
      <c r="D3110" s="3" t="str">
        <f>VLOOKUP(B3110,[1]LifeList!$E$2:$G$2036,1)</f>
        <v>Southern Lapwing</v>
      </c>
      <c r="E3110" s="3" t="str">
        <f>VLOOKUP(B3110,[1]LifeList!$E$2:$G$2036,2)</f>
        <v>Vanneau téro</v>
      </c>
      <c r="F3110" s="3" t="str">
        <f>VLOOKUP(B3110,[1]LifeList!$E$2:$G$2036,3)</f>
        <v>Vanellus chilensis</v>
      </c>
      <c r="G3110" s="3" t="str">
        <f>VLOOKUP(B3110,[1]LifeList!$E$2:$I$2036,4)</f>
        <v>Charadriiformes</v>
      </c>
      <c r="H3110" s="3" t="str">
        <f>VLOOKUP(B3110,[1]LifeList!$E$2:$I$2036,5)</f>
        <v>Charadriidae (Plovers and Lapwings)</v>
      </c>
    </row>
    <row r="3111" spans="1:8" x14ac:dyDescent="0.15">
      <c r="A3111" s="3" t="s">
        <v>2993</v>
      </c>
      <c r="B3111" s="3" t="s">
        <v>3795</v>
      </c>
      <c r="C3111" s="3">
        <v>9678</v>
      </c>
      <c r="D3111" s="3" t="str">
        <f>VLOOKUP(B3111,[1]LifeList!$E$2:$G$2036,1)</f>
        <v>Southern Red-billed Hornbill</v>
      </c>
      <c r="E3111" s="3" t="str">
        <f>VLOOKUP(B3111,[1]LifeList!$E$2:$G$2036,2)</f>
        <v>Calao d'Afrique du Sud</v>
      </c>
      <c r="F3111" s="3" t="str">
        <f>VLOOKUP(B3111,[1]LifeList!$E$2:$G$2036,3)</f>
        <v>Tockus rufirostris</v>
      </c>
      <c r="G3111" s="3" t="str">
        <f>VLOOKUP(B3111,[1]LifeList!$E$2:$I$2036,4)</f>
        <v>Bucerotiformes</v>
      </c>
      <c r="H3111" s="3" t="str">
        <f>VLOOKUP(B3111,[1]LifeList!$E$2:$I$2036,5)</f>
        <v>Bucerotidae (Hornbills)</v>
      </c>
    </row>
    <row r="3112" spans="1:8" x14ac:dyDescent="0.15">
      <c r="A3112" s="3" t="s">
        <v>2994</v>
      </c>
      <c r="B3112" s="3" t="s">
        <v>4928</v>
      </c>
      <c r="C3112" s="3">
        <v>24116</v>
      </c>
      <c r="D3112" s="3" t="str">
        <f>VLOOKUP(B3112,[1]LifeList!$E$2:$G$2036,1)</f>
        <v>Southern Rough-winged Swallow</v>
      </c>
      <c r="E3112" s="3" t="str">
        <f>VLOOKUP(B3112,[1]LifeList!$E$2:$G$2036,2)</f>
        <v>Hirondelle à gorge rousse</v>
      </c>
      <c r="F3112" s="3" t="str">
        <f>VLOOKUP(B3112,[1]LifeList!$E$2:$G$2036,3)</f>
        <v>Stelgidopteryx ruficollis</v>
      </c>
      <c r="G3112" s="3" t="str">
        <f>VLOOKUP(B3112,[1]LifeList!$E$2:$I$2036,4)</f>
        <v>Passeriformes</v>
      </c>
      <c r="H3112" s="3" t="str">
        <f>VLOOKUP(B3112,[1]LifeList!$E$2:$I$2036,5)</f>
        <v>Hirundinidae (Swallows)</v>
      </c>
    </row>
    <row r="3113" spans="1:8" x14ac:dyDescent="0.15">
      <c r="A3113" s="3" t="s">
        <v>2995</v>
      </c>
      <c r="B3113" s="3" t="s">
        <v>4929</v>
      </c>
      <c r="C3113" s="3">
        <v>9672</v>
      </c>
      <c r="D3113" s="3" t="str">
        <f>VLOOKUP(B3113,[1]LifeList!$E$2:$G$2036,1)</f>
        <v>Southern Yellow-billed Hornbill</v>
      </c>
      <c r="E3113" s="3" t="str">
        <f>VLOOKUP(B3113,[1]LifeList!$E$2:$G$2036,2)</f>
        <v>Calao leucomèle</v>
      </c>
      <c r="F3113" s="3" t="str">
        <f>VLOOKUP(B3113,[1]LifeList!$E$2:$G$2036,3)</f>
        <v>Tockus leucomelas</v>
      </c>
      <c r="G3113" s="3" t="str">
        <f>VLOOKUP(B3113,[1]LifeList!$E$2:$I$2036,4)</f>
        <v>Bucerotiformes</v>
      </c>
      <c r="H3113" s="3" t="str">
        <f>VLOOKUP(B3113,[1]LifeList!$E$2:$I$2036,5)</f>
        <v>Bucerotidae (Hornbills)</v>
      </c>
    </row>
    <row r="3114" spans="1:8" x14ac:dyDescent="0.15">
      <c r="A3114" s="3" t="s">
        <v>2996</v>
      </c>
      <c r="B3114" s="3" t="s">
        <v>4929</v>
      </c>
      <c r="C3114" s="3">
        <v>9672</v>
      </c>
      <c r="D3114" s="3" t="str">
        <f>VLOOKUP(B3114,[1]LifeList!$E$2:$G$2036,1)</f>
        <v>Southern Yellow-billed Hornbill</v>
      </c>
      <c r="E3114" s="3" t="str">
        <f>VLOOKUP(B3114,[1]LifeList!$E$2:$G$2036,2)</f>
        <v>Calao leucomèle</v>
      </c>
      <c r="F3114" s="3" t="str">
        <f>VLOOKUP(B3114,[1]LifeList!$E$2:$G$2036,3)</f>
        <v>Tockus leucomelas</v>
      </c>
      <c r="G3114" s="3" t="str">
        <f>VLOOKUP(B3114,[1]LifeList!$E$2:$I$2036,4)</f>
        <v>Bucerotiformes</v>
      </c>
      <c r="H3114" s="3" t="str">
        <f>VLOOKUP(B3114,[1]LifeList!$E$2:$I$2036,5)</f>
        <v>Bucerotidae (Hornbills)</v>
      </c>
    </row>
    <row r="3115" spans="1:8" x14ac:dyDescent="0.15">
      <c r="A3115" s="3" t="s">
        <v>2997</v>
      </c>
      <c r="B3115" s="3" t="s">
        <v>4930</v>
      </c>
      <c r="C3115" s="3">
        <v>35046</v>
      </c>
      <c r="D3115" s="3" t="str">
        <f>VLOOKUP(B3115,[1]LifeList!$E$2:$G$2036,1)</f>
        <v>Spangle-cheeked Tanager</v>
      </c>
      <c r="E3115" s="3" t="str">
        <f>VLOOKUP(B3115,[1]LifeList!$E$2:$G$2036,2)</f>
        <v>Calliste pailleté</v>
      </c>
      <c r="F3115" s="3" t="str">
        <f>VLOOKUP(B3115,[1]LifeList!$E$2:$G$2036,3)</f>
        <v>Tangara dowii</v>
      </c>
      <c r="G3115" s="3" t="str">
        <f>VLOOKUP(B3115,[1]LifeList!$E$2:$I$2036,4)</f>
        <v>Passeriformes</v>
      </c>
      <c r="H3115" s="3" t="str">
        <f>VLOOKUP(B3115,[1]LifeList!$E$2:$I$2036,5)</f>
        <v>Thraupidae (Tanagers and Allies)</v>
      </c>
    </row>
    <row r="3116" spans="1:8" x14ac:dyDescent="0.15">
      <c r="A3116" s="3" t="s">
        <v>2998</v>
      </c>
      <c r="B3116" s="3" t="s">
        <v>4930</v>
      </c>
      <c r="C3116" s="3">
        <v>35046</v>
      </c>
      <c r="D3116" s="3" t="str">
        <f>VLOOKUP(B3116,[1]LifeList!$E$2:$G$2036,1)</f>
        <v>Spangle-cheeked Tanager</v>
      </c>
      <c r="E3116" s="3" t="str">
        <f>VLOOKUP(B3116,[1]LifeList!$E$2:$G$2036,2)</f>
        <v>Calliste pailleté</v>
      </c>
      <c r="F3116" s="3" t="str">
        <f>VLOOKUP(B3116,[1]LifeList!$E$2:$G$2036,3)</f>
        <v>Tangara dowii</v>
      </c>
      <c r="G3116" s="3" t="str">
        <f>VLOOKUP(B3116,[1]LifeList!$E$2:$I$2036,4)</f>
        <v>Passeriformes</v>
      </c>
      <c r="H3116" s="3" t="str">
        <f>VLOOKUP(B3116,[1]LifeList!$E$2:$I$2036,5)</f>
        <v>Thraupidae (Tanagers and Allies)</v>
      </c>
    </row>
    <row r="3117" spans="1:8" x14ac:dyDescent="0.15">
      <c r="A3117" s="3" t="s">
        <v>2999</v>
      </c>
      <c r="B3117" s="3" t="s">
        <v>4931</v>
      </c>
      <c r="C3117" s="3">
        <v>4354</v>
      </c>
      <c r="D3117" s="3" t="str">
        <f>VLOOKUP(B3117,[1]LifeList!$E$2:$G$2036,1)</f>
        <v>Sparkling Violetear</v>
      </c>
      <c r="E3117" s="3" t="str">
        <f>VLOOKUP(B3117,[1]LifeList!$E$2:$G$2036,2)</f>
        <v>Colibri d'Anaïs</v>
      </c>
      <c r="F3117" s="3" t="str">
        <f>VLOOKUP(B3117,[1]LifeList!$E$2:$G$2036,3)</f>
        <v>Colibri coruscans</v>
      </c>
      <c r="G3117" s="3" t="str">
        <f>VLOOKUP(B3117,[1]LifeList!$E$2:$I$2036,4)</f>
        <v>Apodiformes</v>
      </c>
      <c r="H3117" s="3" t="str">
        <f>VLOOKUP(B3117,[1]LifeList!$E$2:$I$2036,5)</f>
        <v>Trochilidae (Hummingbirds)</v>
      </c>
    </row>
    <row r="3118" spans="1:8" x14ac:dyDescent="0.15">
      <c r="A3118" s="3" t="s">
        <v>3000</v>
      </c>
      <c r="B3118" s="3" t="s">
        <v>4931</v>
      </c>
      <c r="C3118" s="3">
        <v>4354</v>
      </c>
      <c r="D3118" s="3" t="str">
        <f>VLOOKUP(B3118,[1]LifeList!$E$2:$G$2036,1)</f>
        <v>Sparkling Violetear</v>
      </c>
      <c r="E3118" s="3" t="str">
        <f>VLOOKUP(B3118,[1]LifeList!$E$2:$G$2036,2)</f>
        <v>Colibri d'Anaïs</v>
      </c>
      <c r="F3118" s="3" t="str">
        <f>VLOOKUP(B3118,[1]LifeList!$E$2:$G$2036,3)</f>
        <v>Colibri coruscans</v>
      </c>
      <c r="G3118" s="3" t="str">
        <f>VLOOKUP(B3118,[1]LifeList!$E$2:$I$2036,4)</f>
        <v>Apodiformes</v>
      </c>
      <c r="H3118" s="3" t="str">
        <f>VLOOKUP(B3118,[1]LifeList!$E$2:$I$2036,5)</f>
        <v>Trochilidae (Hummingbirds)</v>
      </c>
    </row>
    <row r="3119" spans="1:8" x14ac:dyDescent="0.15">
      <c r="A3119" s="3" t="s">
        <v>3001</v>
      </c>
      <c r="B3119" s="3" t="s">
        <v>4931</v>
      </c>
      <c r="C3119" s="3">
        <v>4354</v>
      </c>
      <c r="D3119" s="3" t="str">
        <f>VLOOKUP(B3119,[1]LifeList!$E$2:$G$2036,1)</f>
        <v>Sparkling Violetear</v>
      </c>
      <c r="E3119" s="3" t="str">
        <f>VLOOKUP(B3119,[1]LifeList!$E$2:$G$2036,2)</f>
        <v>Colibri d'Anaïs</v>
      </c>
      <c r="F3119" s="3" t="str">
        <f>VLOOKUP(B3119,[1]LifeList!$E$2:$G$2036,3)</f>
        <v>Colibri coruscans</v>
      </c>
      <c r="G3119" s="3" t="str">
        <f>VLOOKUP(B3119,[1]LifeList!$E$2:$I$2036,4)</f>
        <v>Apodiformes</v>
      </c>
      <c r="H3119" s="3" t="str">
        <f>VLOOKUP(B3119,[1]LifeList!$E$2:$I$2036,5)</f>
        <v>Trochilidae (Hummingbirds)</v>
      </c>
    </row>
    <row r="3120" spans="1:8" x14ac:dyDescent="0.15">
      <c r="A3120" s="3" t="s">
        <v>3002</v>
      </c>
      <c r="B3120" s="3" t="s">
        <v>4931</v>
      </c>
      <c r="C3120" s="3">
        <v>4354</v>
      </c>
      <c r="D3120" s="3" t="str">
        <f>VLOOKUP(B3120,[1]LifeList!$E$2:$G$2036,1)</f>
        <v>Sparkling Violetear</v>
      </c>
      <c r="E3120" s="3" t="str">
        <f>VLOOKUP(B3120,[1]LifeList!$E$2:$G$2036,2)</f>
        <v>Colibri d'Anaïs</v>
      </c>
      <c r="F3120" s="3" t="str">
        <f>VLOOKUP(B3120,[1]LifeList!$E$2:$G$2036,3)</f>
        <v>Colibri coruscans</v>
      </c>
      <c r="G3120" s="3" t="str">
        <f>VLOOKUP(B3120,[1]LifeList!$E$2:$I$2036,4)</f>
        <v>Apodiformes</v>
      </c>
      <c r="H3120" s="3" t="str">
        <f>VLOOKUP(B3120,[1]LifeList!$E$2:$I$2036,5)</f>
        <v>Trochilidae (Hummingbirds)</v>
      </c>
    </row>
    <row r="3121" spans="1:8" x14ac:dyDescent="0.15">
      <c r="A3121" s="3" t="s">
        <v>3003</v>
      </c>
      <c r="B3121" s="3" t="s">
        <v>4931</v>
      </c>
      <c r="C3121" s="3">
        <v>4354</v>
      </c>
      <c r="D3121" s="3" t="str">
        <f>VLOOKUP(B3121,[1]LifeList!$E$2:$G$2036,1)</f>
        <v>Sparkling Violetear</v>
      </c>
      <c r="E3121" s="3" t="str">
        <f>VLOOKUP(B3121,[1]LifeList!$E$2:$G$2036,2)</f>
        <v>Colibri d'Anaïs</v>
      </c>
      <c r="F3121" s="3" t="str">
        <f>VLOOKUP(B3121,[1]LifeList!$E$2:$G$2036,3)</f>
        <v>Colibri coruscans</v>
      </c>
      <c r="G3121" s="3" t="str">
        <f>VLOOKUP(B3121,[1]LifeList!$E$2:$I$2036,4)</f>
        <v>Apodiformes</v>
      </c>
      <c r="H3121" s="3" t="str">
        <f>VLOOKUP(B3121,[1]LifeList!$E$2:$I$2036,5)</f>
        <v>Trochilidae (Hummingbirds)</v>
      </c>
    </row>
    <row r="3122" spans="1:8" x14ac:dyDescent="0.15">
      <c r="A3122" s="3" t="s">
        <v>3004</v>
      </c>
      <c r="B3122" s="3" t="s">
        <v>4932</v>
      </c>
      <c r="C3122" s="3">
        <v>30712</v>
      </c>
      <c r="D3122" s="3" t="str">
        <f>VLOOKUP(B3122,[1]LifeList!$E$2:$G$2036,1)</f>
        <v>Speckle-fronted Weaver</v>
      </c>
      <c r="E3122" s="3" t="str">
        <f>VLOOKUP(B3122,[1]LifeList!$E$2:$G$2036,2)</f>
        <v>Sporopipe quadrillé</v>
      </c>
      <c r="F3122" s="3" t="str">
        <f>VLOOKUP(B3122,[1]LifeList!$E$2:$G$2036,3)</f>
        <v>Sporopipes frontalis</v>
      </c>
      <c r="G3122" s="3" t="str">
        <f>VLOOKUP(B3122,[1]LifeList!$E$2:$I$2036,4)</f>
        <v>Passeriformes</v>
      </c>
      <c r="H3122" s="3" t="str">
        <f>VLOOKUP(B3122,[1]LifeList!$E$2:$I$2036,5)</f>
        <v>Ploceidae (Weavers and Allies)</v>
      </c>
    </row>
    <row r="3123" spans="1:8" x14ac:dyDescent="0.15">
      <c r="A3123" s="3" t="s">
        <v>3005</v>
      </c>
      <c r="B3123" s="3" t="s">
        <v>4933</v>
      </c>
      <c r="C3123" s="3">
        <v>9403</v>
      </c>
      <c r="D3123" s="3" t="str">
        <f>VLOOKUP(B3123,[1]LifeList!$E$2:$G$2036,1)</f>
        <v>Speckled Mousebird</v>
      </c>
      <c r="E3123" s="3" t="str">
        <f>VLOOKUP(B3123,[1]LifeList!$E$2:$G$2036,2)</f>
        <v>Coliou rayé</v>
      </c>
      <c r="F3123" s="3" t="str">
        <f>VLOOKUP(B3123,[1]LifeList!$E$2:$G$2036,3)</f>
        <v>Colius striatus</v>
      </c>
      <c r="G3123" s="3" t="str">
        <f>VLOOKUP(B3123,[1]LifeList!$E$2:$I$2036,4)</f>
        <v>Coliiformes</v>
      </c>
      <c r="H3123" s="3" t="str">
        <f>VLOOKUP(B3123,[1]LifeList!$E$2:$I$2036,5)</f>
        <v>Coliidae (Mousebirds)</v>
      </c>
    </row>
    <row r="3124" spans="1:8" x14ac:dyDescent="0.15">
      <c r="A3124" s="3" t="s">
        <v>3006</v>
      </c>
      <c r="B3124" s="3" t="s">
        <v>4934</v>
      </c>
      <c r="C3124" s="3">
        <v>1876</v>
      </c>
      <c r="D3124" s="3" t="str">
        <f>VLOOKUP(B3124,[1]LifeList!$E$2:$G$2036,1)</f>
        <v>Speckled Pigeon</v>
      </c>
      <c r="E3124" s="3" t="str">
        <f>VLOOKUP(B3124,[1]LifeList!$E$2:$G$2036,2)</f>
        <v>Pigeon roussard</v>
      </c>
      <c r="F3124" s="3" t="str">
        <f>VLOOKUP(B3124,[1]LifeList!$E$2:$G$2036,3)</f>
        <v>Columba guinea</v>
      </c>
      <c r="G3124" s="3" t="str">
        <f>VLOOKUP(B3124,[1]LifeList!$E$2:$I$2036,4)</f>
        <v>Columbiformes</v>
      </c>
      <c r="H3124" s="3" t="str">
        <f>VLOOKUP(B3124,[1]LifeList!$E$2:$I$2036,5)</f>
        <v>Columbidae (Pigeons and Doves)</v>
      </c>
    </row>
    <row r="3125" spans="1:8" x14ac:dyDescent="0.15">
      <c r="A3125" s="3" t="s">
        <v>3008</v>
      </c>
      <c r="B3125" s="3" t="s">
        <v>4935</v>
      </c>
      <c r="C3125" s="3">
        <v>8897</v>
      </c>
      <c r="D3125" s="3" t="str">
        <f>VLOOKUP(B3125,[1]LifeList!$E$2:$G$2036,1)</f>
        <v>Spectacled Owl</v>
      </c>
      <c r="E3125" s="3" t="str">
        <f>VLOOKUP(B3125,[1]LifeList!$E$2:$G$2036,2)</f>
        <v>Chouette à lunettes</v>
      </c>
      <c r="F3125" s="3" t="str">
        <f>VLOOKUP(B3125,[1]LifeList!$E$2:$G$2036,3)</f>
        <v>Pulsatrix perspicillata</v>
      </c>
      <c r="G3125" s="3" t="str">
        <f>VLOOKUP(B3125,[1]LifeList!$E$2:$I$2036,4)</f>
        <v>Strigiformes</v>
      </c>
      <c r="H3125" s="3" t="str">
        <f>VLOOKUP(B3125,[1]LifeList!$E$2:$I$2036,5)</f>
        <v>Strigidae (Owls)</v>
      </c>
    </row>
    <row r="3126" spans="1:8" x14ac:dyDescent="0.15">
      <c r="A3126" s="3" t="s">
        <v>3009</v>
      </c>
      <c r="B3126" s="3" t="s">
        <v>4935</v>
      </c>
      <c r="C3126" s="3">
        <v>8897</v>
      </c>
      <c r="D3126" s="3" t="str">
        <f>VLOOKUP(B3126,[1]LifeList!$E$2:$G$2036,1)</f>
        <v>Spectacled Owl</v>
      </c>
      <c r="E3126" s="3" t="str">
        <f>VLOOKUP(B3126,[1]LifeList!$E$2:$G$2036,2)</f>
        <v>Chouette à lunettes</v>
      </c>
      <c r="F3126" s="3" t="str">
        <f>VLOOKUP(B3126,[1]LifeList!$E$2:$G$2036,3)</f>
        <v>Pulsatrix perspicillata</v>
      </c>
      <c r="G3126" s="3" t="str">
        <f>VLOOKUP(B3126,[1]LifeList!$E$2:$I$2036,4)</f>
        <v>Strigiformes</v>
      </c>
      <c r="H3126" s="3" t="str">
        <f>VLOOKUP(B3126,[1]LifeList!$E$2:$I$2036,5)</f>
        <v>Strigidae (Owls)</v>
      </c>
    </row>
    <row r="3127" spans="1:8" x14ac:dyDescent="0.15">
      <c r="A3127" s="3" t="s">
        <v>3010</v>
      </c>
      <c r="B3127" s="3" t="s">
        <v>4935</v>
      </c>
      <c r="C3127" s="3">
        <v>8897</v>
      </c>
      <c r="D3127" s="3" t="str">
        <f>VLOOKUP(B3127,[1]LifeList!$E$2:$G$2036,1)</f>
        <v>Spectacled Owl</v>
      </c>
      <c r="E3127" s="3" t="str">
        <f>VLOOKUP(B3127,[1]LifeList!$E$2:$G$2036,2)</f>
        <v>Chouette à lunettes</v>
      </c>
      <c r="F3127" s="3" t="str">
        <f>VLOOKUP(B3127,[1]LifeList!$E$2:$G$2036,3)</f>
        <v>Pulsatrix perspicillata</v>
      </c>
      <c r="G3127" s="3" t="str">
        <f>VLOOKUP(B3127,[1]LifeList!$E$2:$I$2036,4)</f>
        <v>Strigiformes</v>
      </c>
      <c r="H3127" s="3" t="str">
        <f>VLOOKUP(B3127,[1]LifeList!$E$2:$I$2036,5)</f>
        <v>Strigidae (Owls)</v>
      </c>
    </row>
    <row r="3128" spans="1:8" x14ac:dyDescent="0.15">
      <c r="A3128" s="3" t="s">
        <v>3011</v>
      </c>
      <c r="B3128" s="3" t="s">
        <v>4935</v>
      </c>
      <c r="C3128" s="3">
        <v>8897</v>
      </c>
      <c r="D3128" s="3" t="str">
        <f>VLOOKUP(B3128,[1]LifeList!$E$2:$G$2036,1)</f>
        <v>Spectacled Owl</v>
      </c>
      <c r="E3128" s="3" t="str">
        <f>VLOOKUP(B3128,[1]LifeList!$E$2:$G$2036,2)</f>
        <v>Chouette à lunettes</v>
      </c>
      <c r="F3128" s="3" t="str">
        <f>VLOOKUP(B3128,[1]LifeList!$E$2:$G$2036,3)</f>
        <v>Pulsatrix perspicillata</v>
      </c>
      <c r="G3128" s="3" t="str">
        <f>VLOOKUP(B3128,[1]LifeList!$E$2:$I$2036,4)</f>
        <v>Strigiformes</v>
      </c>
      <c r="H3128" s="3" t="str">
        <f>VLOOKUP(B3128,[1]LifeList!$E$2:$I$2036,5)</f>
        <v>Strigidae (Owls)</v>
      </c>
    </row>
    <row r="3129" spans="1:8" x14ac:dyDescent="0.15">
      <c r="A3129" s="3" t="s">
        <v>3007</v>
      </c>
      <c r="B3129" s="3" t="s">
        <v>4935</v>
      </c>
      <c r="C3129" s="3">
        <v>8897</v>
      </c>
      <c r="D3129" s="3" t="str">
        <f>VLOOKUP(B3129,[1]LifeList!$E$2:$G$2036,1)</f>
        <v>Spectacled Owl</v>
      </c>
      <c r="E3129" s="3" t="str">
        <f>VLOOKUP(B3129,[1]LifeList!$E$2:$G$2036,2)</f>
        <v>Chouette à lunettes</v>
      </c>
      <c r="F3129" s="3" t="str">
        <f>VLOOKUP(B3129,[1]LifeList!$E$2:$G$2036,3)</f>
        <v>Pulsatrix perspicillata</v>
      </c>
      <c r="G3129" s="3" t="str">
        <f>VLOOKUP(B3129,[1]LifeList!$E$2:$I$2036,4)</f>
        <v>Strigiformes</v>
      </c>
      <c r="H3129" s="3" t="str">
        <f>VLOOKUP(B3129,[1]LifeList!$E$2:$I$2036,5)</f>
        <v>Strigidae (Owls)</v>
      </c>
    </row>
    <row r="3130" spans="1:8" x14ac:dyDescent="0.15">
      <c r="A3130" s="3" t="s">
        <v>3012</v>
      </c>
      <c r="B3130" s="3" t="s">
        <v>4936</v>
      </c>
      <c r="C3130" s="3">
        <v>12996</v>
      </c>
      <c r="D3130" s="3" t="str">
        <f>VLOOKUP(B3130,[1]LifeList!$E$2:$G$2036,1)</f>
        <v>Spectacled Parrotlet</v>
      </c>
      <c r="E3130" s="3" t="str">
        <f>VLOOKUP(B3130,[1]LifeList!$E$2:$G$2036,2)</f>
        <v>Toui à lunettes</v>
      </c>
      <c r="F3130" s="3" t="str">
        <f>VLOOKUP(B3130,[1]LifeList!$E$2:$G$2036,3)</f>
        <v>Forpus conspicillatus</v>
      </c>
      <c r="G3130" s="3" t="str">
        <f>VLOOKUP(B3130,[1]LifeList!$E$2:$I$2036,4)</f>
        <v>Psittaciformes</v>
      </c>
      <c r="H3130" s="3" t="str">
        <f>VLOOKUP(B3130,[1]LifeList!$E$2:$I$2036,5)</f>
        <v>Psittacidae (New World and African Parrots)</v>
      </c>
    </row>
    <row r="3131" spans="1:8" x14ac:dyDescent="0.15">
      <c r="A3131" s="3" t="s">
        <v>3918</v>
      </c>
      <c r="B3131" s="3" t="s">
        <v>4937</v>
      </c>
      <c r="C3131" s="3">
        <v>34387</v>
      </c>
      <c r="D3131" s="3" t="str">
        <f>VLOOKUP(B3131,[1]LifeList!$E$2:$G$2036,1)</f>
        <v>Spectacled Redstart</v>
      </c>
      <c r="E3131" s="3" t="str">
        <f>VLOOKUP(B3131,[1]LifeList!$E$2:$G$2036,2)</f>
        <v>Paruline à lunettes</v>
      </c>
      <c r="F3131" s="3" t="str">
        <f>VLOOKUP(B3131,[1]LifeList!$E$2:$G$2036,3)</f>
        <v>Myioborus melanocephalus</v>
      </c>
      <c r="G3131" s="3" t="str">
        <f>VLOOKUP(B3131,[1]LifeList!$E$2:$I$2036,4)</f>
        <v>Passeriformes</v>
      </c>
      <c r="H3131" s="3" t="str">
        <f>VLOOKUP(B3131,[1]LifeList!$E$2:$I$2036,5)</f>
        <v>Parulidae (New World Warblers)</v>
      </c>
    </row>
    <row r="3132" spans="1:8" x14ac:dyDescent="0.15">
      <c r="A3132" s="3" t="s">
        <v>3013</v>
      </c>
      <c r="B3132" s="3" t="s">
        <v>4938</v>
      </c>
      <c r="C3132" s="3">
        <v>28761</v>
      </c>
      <c r="D3132" s="3" t="str">
        <f>VLOOKUP(B3132,[1]LifeList!$E$2:$G$2036,1)</f>
        <v>Spectacled Thrush</v>
      </c>
      <c r="E3132" s="3" t="str">
        <f>VLOOKUP(B3132,[1]LifeList!$E$2:$G$2036,2)</f>
        <v>Merle à lunettes</v>
      </c>
      <c r="F3132" s="3" t="str">
        <f>VLOOKUP(B3132,[1]LifeList!$E$2:$G$2036,3)</f>
        <v>Turdus nudigenis</v>
      </c>
      <c r="G3132" s="3" t="str">
        <f>VLOOKUP(B3132,[1]LifeList!$E$2:$I$2036,4)</f>
        <v>Passeriformes</v>
      </c>
      <c r="H3132" s="3" t="str">
        <f>VLOOKUP(B3132,[1]LifeList!$E$2:$I$2036,5)</f>
        <v>Turdidae (Thrushes and Allies)</v>
      </c>
    </row>
    <row r="3133" spans="1:8" x14ac:dyDescent="0.15">
      <c r="A3133" s="3" t="s">
        <v>3014</v>
      </c>
      <c r="B3133" s="3" t="s">
        <v>4939</v>
      </c>
      <c r="C3133" s="3">
        <v>16803</v>
      </c>
      <c r="D3133" s="3" t="str">
        <f>VLOOKUP(B3133,[1]LifeList!$E$2:$G$2036,1)</f>
        <v>Spectacled Tyrannulet</v>
      </c>
      <c r="E3133" s="3" t="str">
        <f>VLOOKUP(B3133,[1]LifeList!$E$2:$G$2036,2)</f>
        <v>Tyranneau trompeur</v>
      </c>
      <c r="F3133" s="3" t="str">
        <f>VLOOKUP(B3133,[1]LifeList!$E$2:$G$2036,3)</f>
        <v>Zimmerius improbus</v>
      </c>
      <c r="G3133" s="3" t="str">
        <f>VLOOKUP(B3133,[1]LifeList!$E$2:$I$2036,4)</f>
        <v>Passeriformes</v>
      </c>
      <c r="H3133" s="3" t="str">
        <f>VLOOKUP(B3133,[1]LifeList!$E$2:$I$2036,5)</f>
        <v>Tyrannidae (Tyrant Flycatchers)</v>
      </c>
    </row>
    <row r="3134" spans="1:8" x14ac:dyDescent="0.15">
      <c r="A3134" s="3" t="s">
        <v>3016</v>
      </c>
      <c r="B3134" s="3" t="s">
        <v>4940</v>
      </c>
      <c r="C3134" s="3">
        <v>33750</v>
      </c>
      <c r="D3134" s="3" t="str">
        <f>VLOOKUP(B3134,[1]LifeList!$E$2:$G$2036,1)</f>
        <v>Spot-breasted Oriole</v>
      </c>
      <c r="E3134" s="3" t="str">
        <f>VLOOKUP(B3134,[1]LifeList!$E$2:$G$2036,2)</f>
        <v>Oriole maculé</v>
      </c>
      <c r="F3134" s="3" t="str">
        <f>VLOOKUP(B3134,[1]LifeList!$E$2:$G$2036,3)</f>
        <v>Icterus pectoralis</v>
      </c>
      <c r="G3134" s="3" t="str">
        <f>VLOOKUP(B3134,[1]LifeList!$E$2:$I$2036,4)</f>
        <v>Passeriformes</v>
      </c>
      <c r="H3134" s="3" t="str">
        <f>VLOOKUP(B3134,[1]LifeList!$E$2:$I$2036,5)</f>
        <v>Icteridae (Troupials and Allies)</v>
      </c>
    </row>
    <row r="3135" spans="1:8" x14ac:dyDescent="0.15">
      <c r="A3135" s="3" t="s">
        <v>3017</v>
      </c>
      <c r="B3135" s="3" t="s">
        <v>4940</v>
      </c>
      <c r="C3135" s="3">
        <v>33750</v>
      </c>
      <c r="D3135" s="3" t="str">
        <f>VLOOKUP(B3135,[1]LifeList!$E$2:$G$2036,1)</f>
        <v>Spot-breasted Oriole</v>
      </c>
      <c r="E3135" s="3" t="str">
        <f>VLOOKUP(B3135,[1]LifeList!$E$2:$G$2036,2)</f>
        <v>Oriole maculé</v>
      </c>
      <c r="F3135" s="3" t="str">
        <f>VLOOKUP(B3135,[1]LifeList!$E$2:$G$2036,3)</f>
        <v>Icterus pectoralis</v>
      </c>
      <c r="G3135" s="3" t="str">
        <f>VLOOKUP(B3135,[1]LifeList!$E$2:$I$2036,4)</f>
        <v>Passeriformes</v>
      </c>
      <c r="H3135" s="3" t="str">
        <f>VLOOKUP(B3135,[1]LifeList!$E$2:$I$2036,5)</f>
        <v>Icteridae (Troupials and Allies)</v>
      </c>
    </row>
    <row r="3136" spans="1:8" x14ac:dyDescent="0.15">
      <c r="A3136" s="3" t="s">
        <v>3015</v>
      </c>
      <c r="B3136" s="3" t="s">
        <v>4940</v>
      </c>
      <c r="C3136" s="3">
        <v>33750</v>
      </c>
      <c r="D3136" s="3" t="str">
        <f>VLOOKUP(B3136,[1]LifeList!$E$2:$G$2036,1)</f>
        <v>Spot-breasted Oriole</v>
      </c>
      <c r="E3136" s="3" t="str">
        <f>VLOOKUP(B3136,[1]LifeList!$E$2:$G$2036,2)</f>
        <v>Oriole maculé</v>
      </c>
      <c r="F3136" s="3" t="str">
        <f>VLOOKUP(B3136,[1]LifeList!$E$2:$G$2036,3)</f>
        <v>Icterus pectoralis</v>
      </c>
      <c r="G3136" s="3" t="str">
        <f>VLOOKUP(B3136,[1]LifeList!$E$2:$I$2036,4)</f>
        <v>Passeriformes</v>
      </c>
      <c r="H3136" s="3" t="str">
        <f>VLOOKUP(B3136,[1]LifeList!$E$2:$I$2036,5)</f>
        <v>Icteridae (Troupials and Allies)</v>
      </c>
    </row>
    <row r="3137" spans="1:8" x14ac:dyDescent="0.15">
      <c r="A3137" s="3" t="s">
        <v>3018</v>
      </c>
      <c r="B3137" s="3" t="s">
        <v>4941</v>
      </c>
      <c r="C3137" s="3">
        <v>11885</v>
      </c>
      <c r="D3137" s="3" t="str">
        <f>VLOOKUP(B3137,[1]LifeList!$E$2:$G$2036,1)</f>
        <v>Spot-breasted Woodpecker</v>
      </c>
      <c r="E3137" s="3" t="str">
        <f>VLOOKUP(B3137,[1]LifeList!$E$2:$G$2036,2)</f>
        <v>Pic de Cayenne</v>
      </c>
      <c r="F3137" s="3" t="str">
        <f>VLOOKUP(B3137,[1]LifeList!$E$2:$G$2036,3)</f>
        <v>Colaptes punctigula</v>
      </c>
      <c r="G3137" s="3" t="str">
        <f>VLOOKUP(B3137,[1]LifeList!$E$2:$I$2036,4)</f>
        <v>Piciformes</v>
      </c>
      <c r="H3137" s="3" t="str">
        <f>VLOOKUP(B3137,[1]LifeList!$E$2:$I$2036,5)</f>
        <v>Picidae (Woodpeckers)</v>
      </c>
    </row>
    <row r="3138" spans="1:8" x14ac:dyDescent="0.15">
      <c r="A3138" s="3" t="s">
        <v>3019</v>
      </c>
      <c r="B3138" s="3" t="s">
        <v>4941</v>
      </c>
      <c r="C3138" s="3">
        <v>11885</v>
      </c>
      <c r="D3138" s="3" t="str">
        <f>VLOOKUP(B3138,[1]LifeList!$E$2:$G$2036,1)</f>
        <v>Spot-breasted Woodpecker</v>
      </c>
      <c r="E3138" s="3" t="str">
        <f>VLOOKUP(B3138,[1]LifeList!$E$2:$G$2036,2)</f>
        <v>Pic de Cayenne</v>
      </c>
      <c r="F3138" s="3" t="str">
        <f>VLOOKUP(B3138,[1]LifeList!$E$2:$G$2036,3)</f>
        <v>Colaptes punctigula</v>
      </c>
      <c r="G3138" s="3" t="str">
        <f>VLOOKUP(B3138,[1]LifeList!$E$2:$I$2036,4)</f>
        <v>Piciformes</v>
      </c>
      <c r="H3138" s="3" t="str">
        <f>VLOOKUP(B3138,[1]LifeList!$E$2:$I$2036,5)</f>
        <v>Picidae (Woodpeckers)</v>
      </c>
    </row>
    <row r="3139" spans="1:8" x14ac:dyDescent="0.15">
      <c r="A3139" s="3" t="s">
        <v>3020</v>
      </c>
      <c r="B3139" s="3" t="s">
        <v>4941</v>
      </c>
      <c r="C3139" s="3">
        <v>11885</v>
      </c>
      <c r="D3139" s="3" t="str">
        <f>VLOOKUP(B3139,[1]LifeList!$E$2:$G$2036,1)</f>
        <v>Spot-breasted Woodpecker</v>
      </c>
      <c r="E3139" s="3" t="str">
        <f>VLOOKUP(B3139,[1]LifeList!$E$2:$G$2036,2)</f>
        <v>Pic de Cayenne</v>
      </c>
      <c r="F3139" s="3" t="str">
        <f>VLOOKUP(B3139,[1]LifeList!$E$2:$G$2036,3)</f>
        <v>Colaptes punctigula</v>
      </c>
      <c r="G3139" s="3" t="str">
        <f>VLOOKUP(B3139,[1]LifeList!$E$2:$I$2036,4)</f>
        <v>Piciformes</v>
      </c>
      <c r="H3139" s="3" t="str">
        <f>VLOOKUP(B3139,[1]LifeList!$E$2:$I$2036,5)</f>
        <v>Picidae (Woodpeckers)</v>
      </c>
    </row>
    <row r="3140" spans="1:8" x14ac:dyDescent="0.15">
      <c r="A3140" s="3" t="s">
        <v>3021</v>
      </c>
      <c r="B3140" s="3" t="s">
        <v>4941</v>
      </c>
      <c r="C3140" s="3">
        <v>11885</v>
      </c>
      <c r="D3140" s="3" t="str">
        <f>VLOOKUP(B3140,[1]LifeList!$E$2:$G$2036,1)</f>
        <v>Spot-breasted Woodpecker</v>
      </c>
      <c r="E3140" s="3" t="str">
        <f>VLOOKUP(B3140,[1]LifeList!$E$2:$G$2036,2)</f>
        <v>Pic de Cayenne</v>
      </c>
      <c r="F3140" s="3" t="str">
        <f>VLOOKUP(B3140,[1]LifeList!$E$2:$G$2036,3)</f>
        <v>Colaptes punctigula</v>
      </c>
      <c r="G3140" s="3" t="str">
        <f>VLOOKUP(B3140,[1]LifeList!$E$2:$I$2036,4)</f>
        <v>Piciformes</v>
      </c>
      <c r="H3140" s="3" t="str">
        <f>VLOOKUP(B3140,[1]LifeList!$E$2:$I$2036,5)</f>
        <v>Picidae (Woodpeckers)</v>
      </c>
    </row>
    <row r="3141" spans="1:8" x14ac:dyDescent="0.15">
      <c r="A3141" s="3" t="s">
        <v>3023</v>
      </c>
      <c r="B3141" s="3" t="s">
        <v>4942</v>
      </c>
      <c r="C3141" s="3">
        <v>27491</v>
      </c>
      <c r="D3141" s="3" t="str">
        <f>VLOOKUP(B3141,[1]LifeList!$E$2:$G$2036,1)</f>
        <v>Spot-breasted Wren</v>
      </c>
      <c r="E3141" s="3" t="str">
        <f>VLOOKUP(B3141,[1]LifeList!$E$2:$G$2036,2)</f>
        <v>Troglodyte à poitrine tachetée</v>
      </c>
      <c r="F3141" s="3" t="str">
        <f>VLOOKUP(B3141,[1]LifeList!$E$2:$G$2036,3)</f>
        <v>Pheugopedius maculipectus</v>
      </c>
      <c r="G3141" s="3" t="str">
        <f>VLOOKUP(B3141,[1]LifeList!$E$2:$I$2036,4)</f>
        <v>Passeriformes</v>
      </c>
      <c r="H3141" s="3" t="str">
        <f>VLOOKUP(B3141,[1]LifeList!$E$2:$I$2036,5)</f>
        <v>Troglodytidae (Wrens)</v>
      </c>
    </row>
    <row r="3142" spans="1:8" x14ac:dyDescent="0.15">
      <c r="A3142" s="3" t="s">
        <v>3022</v>
      </c>
      <c r="B3142" s="3" t="s">
        <v>4942</v>
      </c>
      <c r="C3142" s="3">
        <v>27491</v>
      </c>
      <c r="D3142" s="3" t="str">
        <f>VLOOKUP(B3142,[1]LifeList!$E$2:$G$2036,1)</f>
        <v>Spot-breasted Wren</v>
      </c>
      <c r="E3142" s="3" t="str">
        <f>VLOOKUP(B3142,[1]LifeList!$E$2:$G$2036,2)</f>
        <v>Troglodyte à poitrine tachetée</v>
      </c>
      <c r="F3142" s="3" t="str">
        <f>VLOOKUP(B3142,[1]LifeList!$E$2:$G$2036,3)</f>
        <v>Pheugopedius maculipectus</v>
      </c>
      <c r="G3142" s="3" t="str">
        <f>VLOOKUP(B3142,[1]LifeList!$E$2:$I$2036,4)</f>
        <v>Passeriformes</v>
      </c>
      <c r="H3142" s="3" t="str">
        <f>VLOOKUP(B3142,[1]LifeList!$E$2:$I$2036,5)</f>
        <v>Troglodytidae (Wrens)</v>
      </c>
    </row>
    <row r="3143" spans="1:8" x14ac:dyDescent="0.15">
      <c r="A3143" s="3" t="s">
        <v>3025</v>
      </c>
      <c r="B3143" s="3" t="s">
        <v>4943</v>
      </c>
      <c r="C3143" s="3">
        <v>10787</v>
      </c>
      <c r="D3143" s="3" t="str">
        <f>VLOOKUP(B3143,[1]LifeList!$E$2:$G$2036,1)</f>
        <v>Spot-crowned Barbet</v>
      </c>
      <c r="E3143" s="3" t="str">
        <f>VLOOKUP(B3143,[1]LifeList!$E$2:$G$2036,2)</f>
        <v>Cabézon à calotte tachetée</v>
      </c>
      <c r="F3143" s="3" t="str">
        <f>VLOOKUP(B3143,[1]LifeList!$E$2:$G$2036,3)</f>
        <v>Capito maculicoronatus</v>
      </c>
      <c r="G3143" s="3" t="str">
        <f>VLOOKUP(B3143,[1]LifeList!$E$2:$I$2036,4)</f>
        <v>Piciformes</v>
      </c>
      <c r="H3143" s="3" t="str">
        <f>VLOOKUP(B3143,[1]LifeList!$E$2:$I$2036,5)</f>
        <v>Capitonidae (New World Barbets)</v>
      </c>
    </row>
    <row r="3144" spans="1:8" x14ac:dyDescent="0.15">
      <c r="A3144" s="3" t="s">
        <v>3024</v>
      </c>
      <c r="B3144" s="3" t="s">
        <v>4943</v>
      </c>
      <c r="C3144" s="3">
        <v>10787</v>
      </c>
      <c r="D3144" s="3" t="str">
        <f>VLOOKUP(B3144,[1]LifeList!$E$2:$G$2036,1)</f>
        <v>Spot-crowned Barbet</v>
      </c>
      <c r="E3144" s="3" t="str">
        <f>VLOOKUP(B3144,[1]LifeList!$E$2:$G$2036,2)</f>
        <v>Cabézon à calotte tachetée</v>
      </c>
      <c r="F3144" s="3" t="str">
        <f>VLOOKUP(B3144,[1]LifeList!$E$2:$G$2036,3)</f>
        <v>Capito maculicoronatus</v>
      </c>
      <c r="G3144" s="3" t="str">
        <f>VLOOKUP(B3144,[1]LifeList!$E$2:$I$2036,4)</f>
        <v>Piciformes</v>
      </c>
      <c r="H3144" s="3" t="str">
        <f>VLOOKUP(B3144,[1]LifeList!$E$2:$I$2036,5)</f>
        <v>Capitonidae (New World Barbets)</v>
      </c>
    </row>
    <row r="3145" spans="1:8" x14ac:dyDescent="0.15">
      <c r="A3145" s="3" t="s">
        <v>3026</v>
      </c>
      <c r="B3145" s="3" t="s">
        <v>4944</v>
      </c>
      <c r="C3145" s="3">
        <v>14941</v>
      </c>
      <c r="D3145" s="3" t="str">
        <f>VLOOKUP(B3145,[1]LifeList!$E$2:$G$2036,1)</f>
        <v>Spot-crowned Woodcreeper</v>
      </c>
      <c r="E3145" s="3" t="str">
        <f>VLOOKUP(B3145,[1]LifeList!$E$2:$G$2036,2)</f>
        <v>Grimpar moucheté</v>
      </c>
      <c r="F3145" s="3" t="str">
        <f>VLOOKUP(B3145,[1]LifeList!$E$2:$G$2036,3)</f>
        <v>Lepidocolaptes affinis</v>
      </c>
      <c r="G3145" s="3" t="str">
        <f>VLOOKUP(B3145,[1]LifeList!$E$2:$I$2036,4)</f>
        <v>Passeriformes</v>
      </c>
      <c r="H3145" s="3" t="str">
        <f>VLOOKUP(B3145,[1]LifeList!$E$2:$I$2036,5)</f>
        <v>Furnariidae (Ovenbirds and Woodcreepers)</v>
      </c>
    </row>
    <row r="3146" spans="1:8" x14ac:dyDescent="0.15">
      <c r="A3146" s="3" t="s">
        <v>3027</v>
      </c>
      <c r="B3146" s="3" t="s">
        <v>4944</v>
      </c>
      <c r="C3146" s="3">
        <v>14941</v>
      </c>
      <c r="D3146" s="3" t="str">
        <f>VLOOKUP(B3146,[1]LifeList!$E$2:$G$2036,1)</f>
        <v>Spot-crowned Woodcreeper</v>
      </c>
      <c r="E3146" s="3" t="str">
        <f>VLOOKUP(B3146,[1]LifeList!$E$2:$G$2036,2)</f>
        <v>Grimpar moucheté</v>
      </c>
      <c r="F3146" s="3" t="str">
        <f>VLOOKUP(B3146,[1]LifeList!$E$2:$G$2036,3)</f>
        <v>Lepidocolaptes affinis</v>
      </c>
      <c r="G3146" s="3" t="str">
        <f>VLOOKUP(B3146,[1]LifeList!$E$2:$I$2036,4)</f>
        <v>Passeriformes</v>
      </c>
      <c r="H3146" s="3" t="str">
        <f>VLOOKUP(B3146,[1]LifeList!$E$2:$I$2036,5)</f>
        <v>Furnariidae (Ovenbirds and Woodcreepers)</v>
      </c>
    </row>
    <row r="3147" spans="1:8" x14ac:dyDescent="0.15">
      <c r="A3147" s="3" t="s">
        <v>3028</v>
      </c>
      <c r="B3147" s="3" t="s">
        <v>4944</v>
      </c>
      <c r="C3147" s="3">
        <v>14941</v>
      </c>
      <c r="D3147" s="3" t="str">
        <f>VLOOKUP(B3147,[1]LifeList!$E$2:$G$2036,1)</f>
        <v>Spot-crowned Woodcreeper</v>
      </c>
      <c r="E3147" s="3" t="str">
        <f>VLOOKUP(B3147,[1]LifeList!$E$2:$G$2036,2)</f>
        <v>Grimpar moucheté</v>
      </c>
      <c r="F3147" s="3" t="str">
        <f>VLOOKUP(B3147,[1]LifeList!$E$2:$G$2036,3)</f>
        <v>Lepidocolaptes affinis</v>
      </c>
      <c r="G3147" s="3" t="str">
        <f>VLOOKUP(B3147,[1]LifeList!$E$2:$I$2036,4)</f>
        <v>Passeriformes</v>
      </c>
      <c r="H3147" s="3" t="str">
        <f>VLOOKUP(B3147,[1]LifeList!$E$2:$I$2036,5)</f>
        <v>Furnariidae (Ovenbirds and Woodcreepers)</v>
      </c>
    </row>
    <row r="3148" spans="1:8" x14ac:dyDescent="0.15">
      <c r="A3148" s="3" t="s">
        <v>3029</v>
      </c>
      <c r="B3148" s="3" t="s">
        <v>4945</v>
      </c>
      <c r="C3148" s="3">
        <v>14104</v>
      </c>
      <c r="D3148" s="3" t="str">
        <f>VLOOKUP(B3148,[1]LifeList!$E$2:$G$2036,1)</f>
        <v>Spotted Antbird</v>
      </c>
      <c r="E3148" s="3" t="str">
        <f>VLOOKUP(B3148,[1]LifeList!$E$2:$G$2036,2)</f>
        <v>Fourmilier grivelé</v>
      </c>
      <c r="F3148" s="3" t="str">
        <f>VLOOKUP(B3148,[1]LifeList!$E$2:$G$2036,3)</f>
        <v>Hylophylax naevioides</v>
      </c>
      <c r="G3148" s="3" t="str">
        <f>VLOOKUP(B3148,[1]LifeList!$E$2:$I$2036,4)</f>
        <v>Passeriformes</v>
      </c>
      <c r="H3148" s="3" t="str">
        <f>VLOOKUP(B3148,[1]LifeList!$E$2:$I$2036,5)</f>
        <v>Thamnophilidae (Typical Antbirds)</v>
      </c>
    </row>
    <row r="3149" spans="1:8" x14ac:dyDescent="0.15">
      <c r="A3149" s="3" t="s">
        <v>3030</v>
      </c>
      <c r="B3149" s="3" t="s">
        <v>4945</v>
      </c>
      <c r="C3149" s="3">
        <v>14104</v>
      </c>
      <c r="D3149" s="3" t="str">
        <f>VLOOKUP(B3149,[1]LifeList!$E$2:$G$2036,1)</f>
        <v>Spotted Antbird</v>
      </c>
      <c r="E3149" s="3" t="str">
        <f>VLOOKUP(B3149,[1]LifeList!$E$2:$G$2036,2)</f>
        <v>Fourmilier grivelé</v>
      </c>
      <c r="F3149" s="3" t="str">
        <f>VLOOKUP(B3149,[1]LifeList!$E$2:$G$2036,3)</f>
        <v>Hylophylax naevioides</v>
      </c>
      <c r="G3149" s="3" t="str">
        <f>VLOOKUP(B3149,[1]LifeList!$E$2:$I$2036,4)</f>
        <v>Passeriformes</v>
      </c>
      <c r="H3149" s="3" t="str">
        <f>VLOOKUP(B3149,[1]LifeList!$E$2:$I$2036,5)</f>
        <v>Thamnophilidae (Typical Antbirds)</v>
      </c>
    </row>
    <row r="3150" spans="1:8" x14ac:dyDescent="0.15">
      <c r="A3150" s="3" t="s">
        <v>3031</v>
      </c>
      <c r="B3150" s="3" t="s">
        <v>4945</v>
      </c>
      <c r="C3150" s="3">
        <v>14104</v>
      </c>
      <c r="D3150" s="3" t="str">
        <f>VLOOKUP(B3150,[1]LifeList!$E$2:$G$2036,1)</f>
        <v>Spotted Antbird</v>
      </c>
      <c r="E3150" s="3" t="str">
        <f>VLOOKUP(B3150,[1]LifeList!$E$2:$G$2036,2)</f>
        <v>Fourmilier grivelé</v>
      </c>
      <c r="F3150" s="3" t="str">
        <f>VLOOKUP(B3150,[1]LifeList!$E$2:$G$2036,3)</f>
        <v>Hylophylax naevioides</v>
      </c>
      <c r="G3150" s="3" t="str">
        <f>VLOOKUP(B3150,[1]LifeList!$E$2:$I$2036,4)</f>
        <v>Passeriformes</v>
      </c>
      <c r="H3150" s="3" t="str">
        <f>VLOOKUP(B3150,[1]LifeList!$E$2:$I$2036,5)</f>
        <v>Thamnophilidae (Typical Antbirds)</v>
      </c>
    </row>
    <row r="3151" spans="1:8" x14ac:dyDescent="0.15">
      <c r="A3151" s="3" t="s">
        <v>3032</v>
      </c>
      <c r="B3151" s="3" t="s">
        <v>4945</v>
      </c>
      <c r="C3151" s="3">
        <v>14104</v>
      </c>
      <c r="D3151" s="3" t="str">
        <f>VLOOKUP(B3151,[1]LifeList!$E$2:$G$2036,1)</f>
        <v>Spotted Antbird</v>
      </c>
      <c r="E3151" s="3" t="str">
        <f>VLOOKUP(B3151,[1]LifeList!$E$2:$G$2036,2)</f>
        <v>Fourmilier grivelé</v>
      </c>
      <c r="F3151" s="3" t="str">
        <f>VLOOKUP(B3151,[1]LifeList!$E$2:$G$2036,3)</f>
        <v>Hylophylax naevioides</v>
      </c>
      <c r="G3151" s="3" t="str">
        <f>VLOOKUP(B3151,[1]LifeList!$E$2:$I$2036,4)</f>
        <v>Passeriformes</v>
      </c>
      <c r="H3151" s="3" t="str">
        <f>VLOOKUP(B3151,[1]LifeList!$E$2:$I$2036,5)</f>
        <v>Thamnophilidae (Typical Antbirds)</v>
      </c>
    </row>
    <row r="3152" spans="1:8" x14ac:dyDescent="0.15">
      <c r="A3152" s="3" t="s">
        <v>3033</v>
      </c>
      <c r="B3152" s="3" t="s">
        <v>4946</v>
      </c>
      <c r="C3152" s="3">
        <v>15287</v>
      </c>
      <c r="D3152" s="3" t="str">
        <f>VLOOKUP(B3152,[1]LifeList!$E$2:$G$2036,1)</f>
        <v>Spotted Barbtail</v>
      </c>
      <c r="E3152" s="3" t="str">
        <f>VLOOKUP(B3152,[1]LifeList!$E$2:$G$2036,2)</f>
        <v>Anabasitte tachetée</v>
      </c>
      <c r="F3152" s="3" t="str">
        <f>VLOOKUP(B3152,[1]LifeList!$E$2:$G$2036,3)</f>
        <v>Premnoplex brunnescens</v>
      </c>
      <c r="G3152" s="3" t="str">
        <f>VLOOKUP(B3152,[1]LifeList!$E$2:$I$2036,4)</f>
        <v>Passeriformes</v>
      </c>
      <c r="H3152" s="3" t="str">
        <f>VLOOKUP(B3152,[1]LifeList!$E$2:$I$2036,5)</f>
        <v>Furnariidae (Ovenbirds and Woodcreepers)</v>
      </c>
    </row>
    <row r="3153" spans="1:8" x14ac:dyDescent="0.15">
      <c r="A3153" s="3" t="s">
        <v>3034</v>
      </c>
      <c r="B3153" s="3" t="s">
        <v>4947</v>
      </c>
      <c r="C3153" s="3">
        <v>2064</v>
      </c>
      <c r="D3153" s="3" t="str">
        <f>VLOOKUP(B3153,[1]LifeList!$E$2:$G$2036,1)</f>
        <v>Spotted Dove</v>
      </c>
      <c r="E3153" s="3" t="str">
        <f>VLOOKUP(B3153,[1]LifeList!$E$2:$G$2036,2)</f>
        <v>Tourterelle tigrine</v>
      </c>
      <c r="F3153" s="3" t="str">
        <f>VLOOKUP(B3153,[1]LifeList!$E$2:$G$2036,3)</f>
        <v>Spilopelia chinensis</v>
      </c>
      <c r="G3153" s="3" t="str">
        <f>VLOOKUP(B3153,[1]LifeList!$E$2:$I$2036,4)</f>
        <v>Columbiformes</v>
      </c>
      <c r="H3153" s="3" t="str">
        <f>VLOOKUP(B3153,[1]LifeList!$E$2:$I$2036,5)</f>
        <v>Columbidae (Pigeons and Doves)</v>
      </c>
    </row>
    <row r="3154" spans="1:8" x14ac:dyDescent="0.15">
      <c r="A3154" s="3" t="s">
        <v>3035</v>
      </c>
      <c r="B3154" s="3" t="s">
        <v>4947</v>
      </c>
      <c r="C3154" s="3">
        <v>2064</v>
      </c>
      <c r="D3154" s="3" t="str">
        <f>VLOOKUP(B3154,[1]LifeList!$E$2:$G$2036,1)</f>
        <v>Spotted Dove</v>
      </c>
      <c r="E3154" s="3" t="str">
        <f>VLOOKUP(B3154,[1]LifeList!$E$2:$G$2036,2)</f>
        <v>Tourterelle tigrine</v>
      </c>
      <c r="F3154" s="3" t="str">
        <f>VLOOKUP(B3154,[1]LifeList!$E$2:$G$2036,3)</f>
        <v>Spilopelia chinensis</v>
      </c>
      <c r="G3154" s="3" t="str">
        <f>VLOOKUP(B3154,[1]LifeList!$E$2:$I$2036,4)</f>
        <v>Columbiformes</v>
      </c>
      <c r="H3154" s="3" t="str">
        <f>VLOOKUP(B3154,[1]LifeList!$E$2:$I$2036,5)</f>
        <v>Columbidae (Pigeons and Doves)</v>
      </c>
    </row>
    <row r="3155" spans="1:8" x14ac:dyDescent="0.15">
      <c r="A3155" s="3" t="s">
        <v>3036</v>
      </c>
      <c r="B3155" s="3" t="s">
        <v>4948</v>
      </c>
      <c r="C3155" s="3">
        <v>8932</v>
      </c>
      <c r="D3155" s="3" t="str">
        <f>VLOOKUP(B3155,[1]LifeList!$E$2:$G$2036,1)</f>
        <v>Spotted Eagle-Owl</v>
      </c>
      <c r="E3155" s="3" t="str">
        <f>VLOOKUP(B3155,[1]LifeList!$E$2:$G$2036,2)</f>
        <v>Grand-duc africain</v>
      </c>
      <c r="F3155" s="3" t="str">
        <f>VLOOKUP(B3155,[1]LifeList!$E$2:$G$2036,3)</f>
        <v>Bubo africanus</v>
      </c>
      <c r="G3155" s="3" t="str">
        <f>VLOOKUP(B3155,[1]LifeList!$E$2:$I$2036,4)</f>
        <v>Strigiformes</v>
      </c>
      <c r="H3155" s="3" t="str">
        <f>VLOOKUP(B3155,[1]LifeList!$E$2:$I$2036,5)</f>
        <v>Strigidae (Owls)</v>
      </c>
    </row>
    <row r="3156" spans="1:8" x14ac:dyDescent="0.15">
      <c r="A3156" s="3" t="s">
        <v>3037</v>
      </c>
      <c r="B3156" s="3" t="s">
        <v>4949</v>
      </c>
      <c r="C3156" s="3">
        <v>18227</v>
      </c>
      <c r="D3156" s="3" t="str">
        <f>VLOOKUP(B3156,[1]LifeList!$E$2:$G$2036,1)</f>
        <v>Spotted Pardalote</v>
      </c>
      <c r="E3156" s="3" t="str">
        <f>VLOOKUP(B3156,[1]LifeList!$E$2:$G$2036,2)</f>
        <v>Pardalote pointillé</v>
      </c>
      <c r="F3156" s="3" t="str">
        <f>VLOOKUP(B3156,[1]LifeList!$E$2:$G$2036,3)</f>
        <v>Pardalotus punctatus</v>
      </c>
      <c r="G3156" s="3" t="str">
        <f>VLOOKUP(B3156,[1]LifeList!$E$2:$I$2036,4)</f>
        <v>Passeriformes</v>
      </c>
      <c r="H3156" s="3" t="str">
        <f>VLOOKUP(B3156,[1]LifeList!$E$2:$I$2036,5)</f>
        <v>Pardalotidae (Pardalotes)</v>
      </c>
    </row>
    <row r="3157" spans="1:8" x14ac:dyDescent="0.15">
      <c r="A3157" s="3" t="s">
        <v>3038</v>
      </c>
      <c r="B3157" s="3" t="s">
        <v>4950</v>
      </c>
      <c r="C3157" s="3">
        <v>6126</v>
      </c>
      <c r="D3157" s="3" t="str">
        <f>VLOOKUP(B3157,[1]LifeList!$E$2:$G$2036,1)</f>
        <v>Spotted Sandpiper</v>
      </c>
      <c r="E3157" s="3" t="str">
        <f>VLOOKUP(B3157,[1]LifeList!$E$2:$G$2036,2)</f>
        <v>Chevalier grivelé</v>
      </c>
      <c r="F3157" s="3" t="str">
        <f>VLOOKUP(B3157,[1]LifeList!$E$2:$G$2036,3)</f>
        <v>Actitis macularius</v>
      </c>
      <c r="G3157" s="3" t="str">
        <f>VLOOKUP(B3157,[1]LifeList!$E$2:$I$2036,4)</f>
        <v>Charadriiformes</v>
      </c>
      <c r="H3157" s="3" t="str">
        <f>VLOOKUP(B3157,[1]LifeList!$E$2:$I$2036,5)</f>
        <v>Scolopacidae (Sandpipers and Allies)</v>
      </c>
    </row>
    <row r="3158" spans="1:8" x14ac:dyDescent="0.15">
      <c r="A3158" s="3" t="s">
        <v>3039</v>
      </c>
      <c r="B3158" s="3" t="s">
        <v>4950</v>
      </c>
      <c r="C3158" s="3">
        <v>6126</v>
      </c>
      <c r="D3158" s="3" t="str">
        <f>VLOOKUP(B3158,[1]LifeList!$E$2:$G$2036,1)</f>
        <v>Spotted Sandpiper</v>
      </c>
      <c r="E3158" s="3" t="str">
        <f>VLOOKUP(B3158,[1]LifeList!$E$2:$G$2036,2)</f>
        <v>Chevalier grivelé</v>
      </c>
      <c r="F3158" s="3" t="str">
        <f>VLOOKUP(B3158,[1]LifeList!$E$2:$G$2036,3)</f>
        <v>Actitis macularius</v>
      </c>
      <c r="G3158" s="3" t="str">
        <f>VLOOKUP(B3158,[1]LifeList!$E$2:$I$2036,4)</f>
        <v>Charadriiformes</v>
      </c>
      <c r="H3158" s="3" t="str">
        <f>VLOOKUP(B3158,[1]LifeList!$E$2:$I$2036,5)</f>
        <v>Scolopacidae (Sandpipers and Allies)</v>
      </c>
    </row>
    <row r="3159" spans="1:8" x14ac:dyDescent="0.15">
      <c r="A3159" s="3" t="s">
        <v>3040</v>
      </c>
      <c r="B3159" s="3" t="s">
        <v>4950</v>
      </c>
      <c r="C3159" s="3">
        <v>6126</v>
      </c>
      <c r="D3159" s="3" t="str">
        <f>VLOOKUP(B3159,[1]LifeList!$E$2:$G$2036,1)</f>
        <v>Spotted Sandpiper</v>
      </c>
      <c r="E3159" s="3" t="str">
        <f>VLOOKUP(B3159,[1]LifeList!$E$2:$G$2036,2)</f>
        <v>Chevalier grivelé</v>
      </c>
      <c r="F3159" s="3" t="str">
        <f>VLOOKUP(B3159,[1]LifeList!$E$2:$G$2036,3)</f>
        <v>Actitis macularius</v>
      </c>
      <c r="G3159" s="3" t="str">
        <f>VLOOKUP(B3159,[1]LifeList!$E$2:$I$2036,4)</f>
        <v>Charadriiformes</v>
      </c>
      <c r="H3159" s="3" t="str">
        <f>VLOOKUP(B3159,[1]LifeList!$E$2:$I$2036,5)</f>
        <v>Scolopacidae (Sandpipers and Allies)</v>
      </c>
    </row>
    <row r="3160" spans="1:8" x14ac:dyDescent="0.15">
      <c r="A3160" s="3" t="s">
        <v>3041</v>
      </c>
      <c r="B3160" s="3" t="s">
        <v>4950</v>
      </c>
      <c r="C3160" s="3">
        <v>6126</v>
      </c>
      <c r="D3160" s="3" t="str">
        <f>VLOOKUP(B3160,[1]LifeList!$E$2:$G$2036,1)</f>
        <v>Spotted Sandpiper</v>
      </c>
      <c r="E3160" s="3" t="str">
        <f>VLOOKUP(B3160,[1]LifeList!$E$2:$G$2036,2)</f>
        <v>Chevalier grivelé</v>
      </c>
      <c r="F3160" s="3" t="str">
        <f>VLOOKUP(B3160,[1]LifeList!$E$2:$G$2036,3)</f>
        <v>Actitis macularius</v>
      </c>
      <c r="G3160" s="3" t="str">
        <f>VLOOKUP(B3160,[1]LifeList!$E$2:$I$2036,4)</f>
        <v>Charadriiformes</v>
      </c>
      <c r="H3160" s="3" t="str">
        <f>VLOOKUP(B3160,[1]LifeList!$E$2:$I$2036,5)</f>
        <v>Scolopacidae (Sandpipers and Allies)</v>
      </c>
    </row>
    <row r="3161" spans="1:8" x14ac:dyDescent="0.15">
      <c r="A3161" s="3" t="s">
        <v>3042</v>
      </c>
      <c r="B3161" s="3" t="s">
        <v>4950</v>
      </c>
      <c r="C3161" s="3">
        <v>6126</v>
      </c>
      <c r="D3161" s="3" t="str">
        <f>VLOOKUP(B3161,[1]LifeList!$E$2:$G$2036,1)</f>
        <v>Spotted Sandpiper</v>
      </c>
      <c r="E3161" s="3" t="str">
        <f>VLOOKUP(B3161,[1]LifeList!$E$2:$G$2036,2)</f>
        <v>Chevalier grivelé</v>
      </c>
      <c r="F3161" s="3" t="str">
        <f>VLOOKUP(B3161,[1]LifeList!$E$2:$G$2036,3)</f>
        <v>Actitis macularius</v>
      </c>
      <c r="G3161" s="3" t="str">
        <f>VLOOKUP(B3161,[1]LifeList!$E$2:$I$2036,4)</f>
        <v>Charadriiformes</v>
      </c>
      <c r="H3161" s="3" t="str">
        <f>VLOOKUP(B3161,[1]LifeList!$E$2:$I$2036,5)</f>
        <v>Scolopacidae (Sandpipers and Allies)</v>
      </c>
    </row>
    <row r="3162" spans="1:8" x14ac:dyDescent="0.15">
      <c r="A3162" s="3" t="s">
        <v>3043</v>
      </c>
      <c r="B3162" s="3" t="s">
        <v>4950</v>
      </c>
      <c r="C3162" s="3">
        <v>6126</v>
      </c>
      <c r="D3162" s="3" t="str">
        <f>VLOOKUP(B3162,[1]LifeList!$E$2:$G$2036,1)</f>
        <v>Spotted Sandpiper</v>
      </c>
      <c r="E3162" s="3" t="str">
        <f>VLOOKUP(B3162,[1]LifeList!$E$2:$G$2036,2)</f>
        <v>Chevalier grivelé</v>
      </c>
      <c r="F3162" s="3" t="str">
        <f>VLOOKUP(B3162,[1]LifeList!$E$2:$G$2036,3)</f>
        <v>Actitis macularius</v>
      </c>
      <c r="G3162" s="3" t="str">
        <f>VLOOKUP(B3162,[1]LifeList!$E$2:$I$2036,4)</f>
        <v>Charadriiformes</v>
      </c>
      <c r="H3162" s="3" t="str">
        <f>VLOOKUP(B3162,[1]LifeList!$E$2:$I$2036,5)</f>
        <v>Scolopacidae (Sandpipers and Allies)</v>
      </c>
    </row>
    <row r="3163" spans="1:8" x14ac:dyDescent="0.15">
      <c r="A3163" s="3" t="s">
        <v>3057</v>
      </c>
      <c r="B3163" s="3" t="s">
        <v>4950</v>
      </c>
      <c r="C3163" s="3">
        <v>6126</v>
      </c>
      <c r="D3163" s="3" t="str">
        <f>VLOOKUP(B3163,[1]LifeList!$E$2:$G$2036,1)</f>
        <v>Spotted Sandpiper</v>
      </c>
      <c r="E3163" s="3" t="str">
        <f>VLOOKUP(B3163,[1]LifeList!$E$2:$G$2036,2)</f>
        <v>Chevalier grivelé</v>
      </c>
      <c r="F3163" s="3" t="str">
        <f>VLOOKUP(B3163,[1]LifeList!$E$2:$G$2036,3)</f>
        <v>Actitis macularius</v>
      </c>
      <c r="G3163" s="3" t="str">
        <f>VLOOKUP(B3163,[1]LifeList!$E$2:$I$2036,4)</f>
        <v>Charadriiformes</v>
      </c>
      <c r="H3163" s="3" t="str">
        <f>VLOOKUP(B3163,[1]LifeList!$E$2:$I$2036,5)</f>
        <v>Scolopacidae (Sandpipers and Allies)</v>
      </c>
    </row>
    <row r="3164" spans="1:8" x14ac:dyDescent="0.15">
      <c r="A3164" s="3" t="s">
        <v>3058</v>
      </c>
      <c r="B3164" s="3" t="s">
        <v>4950</v>
      </c>
      <c r="C3164" s="3">
        <v>6126</v>
      </c>
      <c r="D3164" s="3" t="str">
        <f>VLOOKUP(B3164,[1]LifeList!$E$2:$G$2036,1)</f>
        <v>Spotted Sandpiper</v>
      </c>
      <c r="E3164" s="3" t="str">
        <f>VLOOKUP(B3164,[1]LifeList!$E$2:$G$2036,2)</f>
        <v>Chevalier grivelé</v>
      </c>
      <c r="F3164" s="3" t="str">
        <f>VLOOKUP(B3164,[1]LifeList!$E$2:$G$2036,3)</f>
        <v>Actitis macularius</v>
      </c>
      <c r="G3164" s="3" t="str">
        <f>VLOOKUP(B3164,[1]LifeList!$E$2:$I$2036,4)</f>
        <v>Charadriiformes</v>
      </c>
      <c r="H3164" s="3" t="str">
        <f>VLOOKUP(B3164,[1]LifeList!$E$2:$I$2036,5)</f>
        <v>Scolopacidae (Sandpipers and Allies)</v>
      </c>
    </row>
    <row r="3165" spans="1:8" x14ac:dyDescent="0.15">
      <c r="A3165" s="3" t="s">
        <v>3044</v>
      </c>
      <c r="B3165" s="3" t="s">
        <v>4950</v>
      </c>
      <c r="C3165" s="3">
        <v>6126</v>
      </c>
      <c r="D3165" s="3" t="str">
        <f>VLOOKUP(B3165,[1]LifeList!$E$2:$G$2036,1)</f>
        <v>Spotted Sandpiper</v>
      </c>
      <c r="E3165" s="3" t="str">
        <f>VLOOKUP(B3165,[1]LifeList!$E$2:$G$2036,2)</f>
        <v>Chevalier grivelé</v>
      </c>
      <c r="F3165" s="3" t="str">
        <f>VLOOKUP(B3165,[1]LifeList!$E$2:$G$2036,3)</f>
        <v>Actitis macularius</v>
      </c>
      <c r="G3165" s="3" t="str">
        <f>VLOOKUP(B3165,[1]LifeList!$E$2:$I$2036,4)</f>
        <v>Charadriiformes</v>
      </c>
      <c r="H3165" s="3" t="str">
        <f>VLOOKUP(B3165,[1]LifeList!$E$2:$I$2036,5)</f>
        <v>Scolopacidae (Sandpipers and Allies)</v>
      </c>
    </row>
    <row r="3166" spans="1:8" x14ac:dyDescent="0.15">
      <c r="A3166" s="3" t="s">
        <v>3045</v>
      </c>
      <c r="B3166" s="3" t="s">
        <v>4950</v>
      </c>
      <c r="C3166" s="3">
        <v>6126</v>
      </c>
      <c r="D3166" s="3" t="str">
        <f>VLOOKUP(B3166,[1]LifeList!$E$2:$G$2036,1)</f>
        <v>Spotted Sandpiper</v>
      </c>
      <c r="E3166" s="3" t="str">
        <f>VLOOKUP(B3166,[1]LifeList!$E$2:$G$2036,2)</f>
        <v>Chevalier grivelé</v>
      </c>
      <c r="F3166" s="3" t="str">
        <f>VLOOKUP(B3166,[1]LifeList!$E$2:$G$2036,3)</f>
        <v>Actitis macularius</v>
      </c>
      <c r="G3166" s="3" t="str">
        <f>VLOOKUP(B3166,[1]LifeList!$E$2:$I$2036,4)</f>
        <v>Charadriiformes</v>
      </c>
      <c r="H3166" s="3" t="str">
        <f>VLOOKUP(B3166,[1]LifeList!$E$2:$I$2036,5)</f>
        <v>Scolopacidae (Sandpipers and Allies)</v>
      </c>
    </row>
    <row r="3167" spans="1:8" x14ac:dyDescent="0.15">
      <c r="A3167" s="3" t="s">
        <v>3046</v>
      </c>
      <c r="B3167" s="3" t="s">
        <v>4950</v>
      </c>
      <c r="C3167" s="3">
        <v>6126</v>
      </c>
      <c r="D3167" s="3" t="str">
        <f>VLOOKUP(B3167,[1]LifeList!$E$2:$G$2036,1)</f>
        <v>Spotted Sandpiper</v>
      </c>
      <c r="E3167" s="3" t="str">
        <f>VLOOKUP(B3167,[1]LifeList!$E$2:$G$2036,2)</f>
        <v>Chevalier grivelé</v>
      </c>
      <c r="F3167" s="3" t="str">
        <f>VLOOKUP(B3167,[1]LifeList!$E$2:$G$2036,3)</f>
        <v>Actitis macularius</v>
      </c>
      <c r="G3167" s="3" t="str">
        <f>VLOOKUP(B3167,[1]LifeList!$E$2:$I$2036,4)</f>
        <v>Charadriiformes</v>
      </c>
      <c r="H3167" s="3" t="str">
        <f>VLOOKUP(B3167,[1]LifeList!$E$2:$I$2036,5)</f>
        <v>Scolopacidae (Sandpipers and Allies)</v>
      </c>
    </row>
    <row r="3168" spans="1:8" x14ac:dyDescent="0.15">
      <c r="A3168" s="3" t="s">
        <v>3047</v>
      </c>
      <c r="B3168" s="3" t="s">
        <v>4950</v>
      </c>
      <c r="C3168" s="3">
        <v>6126</v>
      </c>
      <c r="D3168" s="3" t="str">
        <f>VLOOKUP(B3168,[1]LifeList!$E$2:$G$2036,1)</f>
        <v>Spotted Sandpiper</v>
      </c>
      <c r="E3168" s="3" t="str">
        <f>VLOOKUP(B3168,[1]LifeList!$E$2:$G$2036,2)</f>
        <v>Chevalier grivelé</v>
      </c>
      <c r="F3168" s="3" t="str">
        <f>VLOOKUP(B3168,[1]LifeList!$E$2:$G$2036,3)</f>
        <v>Actitis macularius</v>
      </c>
      <c r="G3168" s="3" t="str">
        <f>VLOOKUP(B3168,[1]LifeList!$E$2:$I$2036,4)</f>
        <v>Charadriiformes</v>
      </c>
      <c r="H3168" s="3" t="str">
        <f>VLOOKUP(B3168,[1]LifeList!$E$2:$I$2036,5)</f>
        <v>Scolopacidae (Sandpipers and Allies)</v>
      </c>
    </row>
    <row r="3169" spans="1:8" x14ac:dyDescent="0.15">
      <c r="A3169" s="3" t="s">
        <v>3048</v>
      </c>
      <c r="B3169" s="3" t="s">
        <v>4950</v>
      </c>
      <c r="C3169" s="3">
        <v>6126</v>
      </c>
      <c r="D3169" s="3" t="str">
        <f>VLOOKUP(B3169,[1]LifeList!$E$2:$G$2036,1)</f>
        <v>Spotted Sandpiper</v>
      </c>
      <c r="E3169" s="3" t="str">
        <f>VLOOKUP(B3169,[1]LifeList!$E$2:$G$2036,2)</f>
        <v>Chevalier grivelé</v>
      </c>
      <c r="F3169" s="3" t="str">
        <f>VLOOKUP(B3169,[1]LifeList!$E$2:$G$2036,3)</f>
        <v>Actitis macularius</v>
      </c>
      <c r="G3169" s="3" t="str">
        <f>VLOOKUP(B3169,[1]LifeList!$E$2:$I$2036,4)</f>
        <v>Charadriiformes</v>
      </c>
      <c r="H3169" s="3" t="str">
        <f>VLOOKUP(B3169,[1]LifeList!$E$2:$I$2036,5)</f>
        <v>Scolopacidae (Sandpipers and Allies)</v>
      </c>
    </row>
    <row r="3170" spans="1:8" x14ac:dyDescent="0.15">
      <c r="A3170" s="3" t="s">
        <v>3049</v>
      </c>
      <c r="B3170" s="3" t="s">
        <v>4950</v>
      </c>
      <c r="C3170" s="3">
        <v>6126</v>
      </c>
      <c r="D3170" s="3" t="str">
        <f>VLOOKUP(B3170,[1]LifeList!$E$2:$G$2036,1)</f>
        <v>Spotted Sandpiper</v>
      </c>
      <c r="E3170" s="3" t="str">
        <f>VLOOKUP(B3170,[1]LifeList!$E$2:$G$2036,2)</f>
        <v>Chevalier grivelé</v>
      </c>
      <c r="F3170" s="3" t="str">
        <f>VLOOKUP(B3170,[1]LifeList!$E$2:$G$2036,3)</f>
        <v>Actitis macularius</v>
      </c>
      <c r="G3170" s="3" t="str">
        <f>VLOOKUP(B3170,[1]LifeList!$E$2:$I$2036,4)</f>
        <v>Charadriiformes</v>
      </c>
      <c r="H3170" s="3" t="str">
        <f>VLOOKUP(B3170,[1]LifeList!$E$2:$I$2036,5)</f>
        <v>Scolopacidae (Sandpipers and Allies)</v>
      </c>
    </row>
    <row r="3171" spans="1:8" x14ac:dyDescent="0.15">
      <c r="A3171" s="3" t="s">
        <v>3050</v>
      </c>
      <c r="B3171" s="3" t="s">
        <v>4950</v>
      </c>
      <c r="C3171" s="3">
        <v>6126</v>
      </c>
      <c r="D3171" s="3" t="str">
        <f>VLOOKUP(B3171,[1]LifeList!$E$2:$G$2036,1)</f>
        <v>Spotted Sandpiper</v>
      </c>
      <c r="E3171" s="3" t="str">
        <f>VLOOKUP(B3171,[1]LifeList!$E$2:$G$2036,2)</f>
        <v>Chevalier grivelé</v>
      </c>
      <c r="F3171" s="3" t="str">
        <f>VLOOKUP(B3171,[1]LifeList!$E$2:$G$2036,3)</f>
        <v>Actitis macularius</v>
      </c>
      <c r="G3171" s="3" t="str">
        <f>VLOOKUP(B3171,[1]LifeList!$E$2:$I$2036,4)</f>
        <v>Charadriiformes</v>
      </c>
      <c r="H3171" s="3" t="str">
        <f>VLOOKUP(B3171,[1]LifeList!$E$2:$I$2036,5)</f>
        <v>Scolopacidae (Sandpipers and Allies)</v>
      </c>
    </row>
    <row r="3172" spans="1:8" x14ac:dyDescent="0.15">
      <c r="A3172" s="3" t="s">
        <v>3051</v>
      </c>
      <c r="B3172" s="3" t="s">
        <v>4951</v>
      </c>
      <c r="C3172" s="3">
        <v>33386</v>
      </c>
      <c r="D3172" s="3" t="str">
        <f>VLOOKUP(B3172,[1]LifeList!$E$2:$G$2036,1)</f>
        <v>Spotted Towhee</v>
      </c>
      <c r="E3172" s="3" t="str">
        <f>VLOOKUP(B3172,[1]LifeList!$E$2:$G$2036,2)</f>
        <v>Tohi tacheté</v>
      </c>
      <c r="F3172" s="3" t="str">
        <f>VLOOKUP(B3172,[1]LifeList!$E$2:$G$2036,3)</f>
        <v>Pipilo maculatus</v>
      </c>
      <c r="G3172" s="3" t="str">
        <f>VLOOKUP(B3172,[1]LifeList!$E$2:$I$2036,4)</f>
        <v>Passeriformes</v>
      </c>
      <c r="H3172" s="3" t="str">
        <f>VLOOKUP(B3172,[1]LifeList!$E$2:$I$2036,5)</f>
        <v>Passerellidae (New World Sparrows)</v>
      </c>
    </row>
    <row r="3173" spans="1:8" x14ac:dyDescent="0.15">
      <c r="A3173" s="3" t="s">
        <v>3052</v>
      </c>
      <c r="B3173" s="3" t="s">
        <v>4952</v>
      </c>
      <c r="C3173" s="3">
        <v>1170</v>
      </c>
      <c r="D3173" s="3" t="str">
        <f>VLOOKUP(B3173,[1]LifeList!$E$2:$G$2036,1)</f>
        <v>Spotted Wood-Quail</v>
      </c>
      <c r="E3173" s="3" t="str">
        <f>VLOOKUP(B3173,[1]LifeList!$E$2:$G$2036,2)</f>
        <v>Tocro tacheté</v>
      </c>
      <c r="F3173" s="3" t="str">
        <f>VLOOKUP(B3173,[1]LifeList!$E$2:$G$2036,3)</f>
        <v>Odontophorus guttatus</v>
      </c>
      <c r="G3173" s="3" t="str">
        <f>VLOOKUP(B3173,[1]LifeList!$E$2:$I$2036,4)</f>
        <v>Galliformes</v>
      </c>
      <c r="H3173" s="3" t="str">
        <f>VLOOKUP(B3173,[1]LifeList!$E$2:$I$2036,5)</f>
        <v>Odontophoridae (New World Quail)</v>
      </c>
    </row>
    <row r="3174" spans="1:8" x14ac:dyDescent="0.15">
      <c r="A3174" s="3" t="s">
        <v>3053</v>
      </c>
      <c r="B3174" s="3" t="s">
        <v>4952</v>
      </c>
      <c r="C3174" s="3">
        <v>1170</v>
      </c>
      <c r="D3174" s="3" t="str">
        <f>VLOOKUP(B3174,[1]LifeList!$E$2:$G$2036,1)</f>
        <v>Spotted Wood-Quail</v>
      </c>
      <c r="E3174" s="3" t="str">
        <f>VLOOKUP(B3174,[1]LifeList!$E$2:$G$2036,2)</f>
        <v>Tocro tacheté</v>
      </c>
      <c r="F3174" s="3" t="str">
        <f>VLOOKUP(B3174,[1]LifeList!$E$2:$G$2036,3)</f>
        <v>Odontophorus guttatus</v>
      </c>
      <c r="G3174" s="3" t="str">
        <f>VLOOKUP(B3174,[1]LifeList!$E$2:$I$2036,4)</f>
        <v>Galliformes</v>
      </c>
      <c r="H3174" s="3" t="str">
        <f>VLOOKUP(B3174,[1]LifeList!$E$2:$I$2036,5)</f>
        <v>Odontophoridae (New World Quail)</v>
      </c>
    </row>
    <row r="3175" spans="1:8" x14ac:dyDescent="0.15">
      <c r="A3175" s="3" t="s">
        <v>3054</v>
      </c>
      <c r="B3175" s="3" t="s">
        <v>4952</v>
      </c>
      <c r="C3175" s="3">
        <v>1170</v>
      </c>
      <c r="D3175" s="3" t="str">
        <f>VLOOKUP(B3175,[1]LifeList!$E$2:$G$2036,1)</f>
        <v>Spotted Wood-Quail</v>
      </c>
      <c r="E3175" s="3" t="str">
        <f>VLOOKUP(B3175,[1]LifeList!$E$2:$G$2036,2)</f>
        <v>Tocro tacheté</v>
      </c>
      <c r="F3175" s="3" t="str">
        <f>VLOOKUP(B3175,[1]LifeList!$E$2:$G$2036,3)</f>
        <v>Odontophorus guttatus</v>
      </c>
      <c r="G3175" s="3" t="str">
        <f>VLOOKUP(B3175,[1]LifeList!$E$2:$I$2036,4)</f>
        <v>Galliformes</v>
      </c>
      <c r="H3175" s="3" t="str">
        <f>VLOOKUP(B3175,[1]LifeList!$E$2:$I$2036,5)</f>
        <v>Odontophoridae (New World Quail)</v>
      </c>
    </row>
    <row r="3176" spans="1:8" x14ac:dyDescent="0.15">
      <c r="A3176" s="3" t="s">
        <v>3055</v>
      </c>
      <c r="B3176" s="3" t="s">
        <v>4952</v>
      </c>
      <c r="C3176" s="3">
        <v>1170</v>
      </c>
      <c r="D3176" s="3" t="str">
        <f>VLOOKUP(B3176,[1]LifeList!$E$2:$G$2036,1)</f>
        <v>Spotted Wood-Quail</v>
      </c>
      <c r="E3176" s="3" t="str">
        <f>VLOOKUP(B3176,[1]LifeList!$E$2:$G$2036,2)</f>
        <v>Tocro tacheté</v>
      </c>
      <c r="F3176" s="3" t="str">
        <f>VLOOKUP(B3176,[1]LifeList!$E$2:$G$2036,3)</f>
        <v>Odontophorus guttatus</v>
      </c>
      <c r="G3176" s="3" t="str">
        <f>VLOOKUP(B3176,[1]LifeList!$E$2:$I$2036,4)</f>
        <v>Galliformes</v>
      </c>
      <c r="H3176" s="3" t="str">
        <f>VLOOKUP(B3176,[1]LifeList!$E$2:$I$2036,5)</f>
        <v>Odontophoridae (New World Quail)</v>
      </c>
    </row>
    <row r="3177" spans="1:8" x14ac:dyDescent="0.15">
      <c r="A3177" s="3" t="s">
        <v>3056</v>
      </c>
      <c r="B3177" s="3" t="s">
        <v>4953</v>
      </c>
      <c r="C3177" s="3">
        <v>14857</v>
      </c>
      <c r="D3177" s="3" t="str">
        <f>VLOOKUP(B3177,[1]LifeList!$E$2:$G$2036,1)</f>
        <v>Spotted Woodcreeper</v>
      </c>
      <c r="E3177" s="3" t="str">
        <f>VLOOKUP(B3177,[1]LifeList!$E$2:$G$2036,2)</f>
        <v>Grimpar tacheté</v>
      </c>
      <c r="F3177" s="3" t="str">
        <f>VLOOKUP(B3177,[1]LifeList!$E$2:$G$2036,3)</f>
        <v>Xiphorhynchus erythropygius</v>
      </c>
      <c r="G3177" s="3" t="str">
        <f>VLOOKUP(B3177,[1]LifeList!$E$2:$I$2036,4)</f>
        <v>Passeriformes</v>
      </c>
      <c r="H3177" s="3" t="str">
        <f>VLOOKUP(B3177,[1]LifeList!$E$2:$I$2036,5)</f>
        <v>Furnariidae (Ovenbirds and Woodcreepers)</v>
      </c>
    </row>
    <row r="3178" spans="1:8" x14ac:dyDescent="0.15">
      <c r="A3178" s="3" t="s">
        <v>3059</v>
      </c>
      <c r="B3178" s="3" t="s">
        <v>4954</v>
      </c>
      <c r="C3178" s="3">
        <v>1406</v>
      </c>
      <c r="D3178" s="3" t="str">
        <f>VLOOKUP(B3178,[1]LifeList!$E$2:$G$2036,1)</f>
        <v>Spruce Grouse</v>
      </c>
      <c r="E3178" s="3" t="str">
        <f>VLOOKUP(B3178,[1]LifeList!$E$2:$G$2036,2)</f>
        <v>Tétras du Canada</v>
      </c>
      <c r="F3178" s="3" t="str">
        <f>VLOOKUP(B3178,[1]LifeList!$E$2:$G$2036,3)</f>
        <v>Canachites canadensis</v>
      </c>
      <c r="G3178" s="3" t="str">
        <f>VLOOKUP(B3178,[1]LifeList!$E$2:$I$2036,4)</f>
        <v>Galliformes</v>
      </c>
      <c r="H3178" s="3" t="str">
        <f>VLOOKUP(B3178,[1]LifeList!$E$2:$I$2036,5)</f>
        <v>Phasianidae (Pheasants, Grouse, and Allies)</v>
      </c>
    </row>
    <row r="3179" spans="1:8" x14ac:dyDescent="0.15">
      <c r="A3179" s="3" t="s">
        <v>3060</v>
      </c>
      <c r="B3179" s="3" t="s">
        <v>4954</v>
      </c>
      <c r="C3179" s="3">
        <v>1406</v>
      </c>
      <c r="D3179" s="3" t="str">
        <f>VLOOKUP(B3179,[1]LifeList!$E$2:$G$2036,1)</f>
        <v>Spruce Grouse</v>
      </c>
      <c r="E3179" s="3" t="str">
        <f>VLOOKUP(B3179,[1]LifeList!$E$2:$G$2036,2)</f>
        <v>Tétras du Canada</v>
      </c>
      <c r="F3179" s="3" t="str">
        <f>VLOOKUP(B3179,[1]LifeList!$E$2:$G$2036,3)</f>
        <v>Canachites canadensis</v>
      </c>
      <c r="G3179" s="3" t="str">
        <f>VLOOKUP(B3179,[1]LifeList!$E$2:$I$2036,4)</f>
        <v>Galliformes</v>
      </c>
      <c r="H3179" s="3" t="str">
        <f>VLOOKUP(B3179,[1]LifeList!$E$2:$I$2036,5)</f>
        <v>Phasianidae (Pheasants, Grouse, and Allies)</v>
      </c>
    </row>
    <row r="3180" spans="1:8" x14ac:dyDescent="0.15">
      <c r="A3180" s="3" t="s">
        <v>3061</v>
      </c>
      <c r="B3180" s="3" t="s">
        <v>4954</v>
      </c>
      <c r="C3180" s="3">
        <v>1406</v>
      </c>
      <c r="D3180" s="3" t="str">
        <f>VLOOKUP(B3180,[1]LifeList!$E$2:$G$2036,1)</f>
        <v>Spruce Grouse</v>
      </c>
      <c r="E3180" s="3" t="str">
        <f>VLOOKUP(B3180,[1]LifeList!$E$2:$G$2036,2)</f>
        <v>Tétras du Canada</v>
      </c>
      <c r="F3180" s="3" t="str">
        <f>VLOOKUP(B3180,[1]LifeList!$E$2:$G$2036,3)</f>
        <v>Canachites canadensis</v>
      </c>
      <c r="G3180" s="3" t="str">
        <f>VLOOKUP(B3180,[1]LifeList!$E$2:$I$2036,4)</f>
        <v>Galliformes</v>
      </c>
      <c r="H3180" s="3" t="str">
        <f>VLOOKUP(B3180,[1]LifeList!$E$2:$I$2036,5)</f>
        <v>Phasianidae (Pheasants, Grouse, and Allies)</v>
      </c>
    </row>
    <row r="3181" spans="1:8" x14ac:dyDescent="0.15">
      <c r="A3181" s="3" t="s">
        <v>3062</v>
      </c>
      <c r="B3181" s="3" t="s">
        <v>4955</v>
      </c>
      <c r="C3181" s="3">
        <v>429</v>
      </c>
      <c r="D3181" s="3" t="str">
        <f>VLOOKUP(B3181,[1]LifeList!$E$2:$G$2036,1)</f>
        <v>Spur-winged Goose</v>
      </c>
      <c r="E3181" s="3" t="str">
        <f>VLOOKUP(B3181,[1]LifeList!$E$2:$G$2036,2)</f>
        <v>Oie-armée de Gambie</v>
      </c>
      <c r="F3181" s="3" t="str">
        <f>VLOOKUP(B3181,[1]LifeList!$E$2:$G$2036,3)</f>
        <v>Plectropterus gambensis</v>
      </c>
      <c r="G3181" s="3" t="str">
        <f>VLOOKUP(B3181,[1]LifeList!$E$2:$I$2036,4)</f>
        <v>Anseriformes</v>
      </c>
      <c r="H3181" s="3" t="str">
        <f>VLOOKUP(B3181,[1]LifeList!$E$2:$I$2036,5)</f>
        <v>Anatidae (Ducks, Geese, and Waterfowl)</v>
      </c>
    </row>
    <row r="3182" spans="1:8" x14ac:dyDescent="0.15">
      <c r="A3182" s="3" t="s">
        <v>3063</v>
      </c>
      <c r="B3182" s="3" t="s">
        <v>4956</v>
      </c>
      <c r="C3182" s="3">
        <v>5861</v>
      </c>
      <c r="D3182" s="3" t="str">
        <f>VLOOKUP(B3182,[1]LifeList!$E$2:$G$2036,1)</f>
        <v>Spur-winged Lapwing</v>
      </c>
      <c r="E3182" s="3" t="str">
        <f>VLOOKUP(B3182,[1]LifeList!$E$2:$G$2036,2)</f>
        <v>Vanneau à éperons</v>
      </c>
      <c r="F3182" s="3" t="str">
        <f>VLOOKUP(B3182,[1]LifeList!$E$2:$G$2036,3)</f>
        <v>Vanellus spinosus</v>
      </c>
      <c r="G3182" s="3" t="str">
        <f>VLOOKUP(B3182,[1]LifeList!$E$2:$I$2036,4)</f>
        <v>Charadriiformes</v>
      </c>
      <c r="H3182" s="3" t="str">
        <f>VLOOKUP(B3182,[1]LifeList!$E$2:$I$2036,5)</f>
        <v>Charadriidae (Plovers and Lapwings)</v>
      </c>
    </row>
    <row r="3183" spans="1:8" x14ac:dyDescent="0.15">
      <c r="A3183" s="3" t="s">
        <v>3064</v>
      </c>
      <c r="B3183" s="3" t="s">
        <v>4957</v>
      </c>
      <c r="C3183" s="3">
        <v>7714</v>
      </c>
      <c r="D3183" s="3" t="str">
        <f>VLOOKUP(B3183,[1]LifeList!$E$2:$G$2036,1)</f>
        <v>Squacco Heron</v>
      </c>
      <c r="E3183" s="3" t="str">
        <f>VLOOKUP(B3183,[1]LifeList!$E$2:$G$2036,2)</f>
        <v>Crabier chevelu</v>
      </c>
      <c r="F3183" s="3" t="str">
        <f>VLOOKUP(B3183,[1]LifeList!$E$2:$G$2036,3)</f>
        <v>Ardeola ralloides</v>
      </c>
      <c r="G3183" s="3" t="str">
        <f>VLOOKUP(B3183,[1]LifeList!$E$2:$I$2036,4)</f>
        <v>Pelecaniformes</v>
      </c>
      <c r="H3183" s="3" t="str">
        <f>VLOOKUP(B3183,[1]LifeList!$E$2:$I$2036,5)</f>
        <v>Ardeidae (Herons, Egrets, and Bitterns)</v>
      </c>
    </row>
    <row r="3184" spans="1:8" x14ac:dyDescent="0.15">
      <c r="A3184" s="3" t="s">
        <v>3065</v>
      </c>
      <c r="B3184" s="3" t="s">
        <v>4957</v>
      </c>
      <c r="C3184" s="3">
        <v>7714</v>
      </c>
      <c r="D3184" s="3" t="str">
        <f>VLOOKUP(B3184,[1]LifeList!$E$2:$G$2036,1)</f>
        <v>Squacco Heron</v>
      </c>
      <c r="E3184" s="3" t="str">
        <f>VLOOKUP(B3184,[1]LifeList!$E$2:$G$2036,2)</f>
        <v>Crabier chevelu</v>
      </c>
      <c r="F3184" s="3" t="str">
        <f>VLOOKUP(B3184,[1]LifeList!$E$2:$G$2036,3)</f>
        <v>Ardeola ralloides</v>
      </c>
      <c r="G3184" s="3" t="str">
        <f>VLOOKUP(B3184,[1]LifeList!$E$2:$I$2036,4)</f>
        <v>Pelecaniformes</v>
      </c>
      <c r="H3184" s="3" t="str">
        <f>VLOOKUP(B3184,[1]LifeList!$E$2:$I$2036,5)</f>
        <v>Ardeidae (Herons, Egrets, and Bitterns)</v>
      </c>
    </row>
    <row r="3185" spans="1:8" x14ac:dyDescent="0.15">
      <c r="A3185" s="3" t="s">
        <v>3066</v>
      </c>
      <c r="B3185" s="3" t="s">
        <v>4957</v>
      </c>
      <c r="C3185" s="3">
        <v>7714</v>
      </c>
      <c r="D3185" s="3" t="str">
        <f>VLOOKUP(B3185,[1]LifeList!$E$2:$G$2036,1)</f>
        <v>Squacco Heron</v>
      </c>
      <c r="E3185" s="3" t="str">
        <f>VLOOKUP(B3185,[1]LifeList!$E$2:$G$2036,2)</f>
        <v>Crabier chevelu</v>
      </c>
      <c r="F3185" s="3" t="str">
        <f>VLOOKUP(B3185,[1]LifeList!$E$2:$G$2036,3)</f>
        <v>Ardeola ralloides</v>
      </c>
      <c r="G3185" s="3" t="str">
        <f>VLOOKUP(B3185,[1]LifeList!$E$2:$I$2036,4)</f>
        <v>Pelecaniformes</v>
      </c>
      <c r="H3185" s="3" t="str">
        <f>VLOOKUP(B3185,[1]LifeList!$E$2:$I$2036,5)</f>
        <v>Ardeidae (Herons, Egrets, and Bitterns)</v>
      </c>
    </row>
    <row r="3186" spans="1:8" x14ac:dyDescent="0.15">
      <c r="A3186" s="3" t="s">
        <v>3067</v>
      </c>
      <c r="B3186" s="3" t="s">
        <v>4957</v>
      </c>
      <c r="C3186" s="3">
        <v>7714</v>
      </c>
      <c r="D3186" s="3" t="str">
        <f>VLOOKUP(B3186,[1]LifeList!$E$2:$G$2036,1)</f>
        <v>Squacco Heron</v>
      </c>
      <c r="E3186" s="3" t="str">
        <f>VLOOKUP(B3186,[1]LifeList!$E$2:$G$2036,2)</f>
        <v>Crabier chevelu</v>
      </c>
      <c r="F3186" s="3" t="str">
        <f>VLOOKUP(B3186,[1]LifeList!$E$2:$G$2036,3)</f>
        <v>Ardeola ralloides</v>
      </c>
      <c r="G3186" s="3" t="str">
        <f>VLOOKUP(B3186,[1]LifeList!$E$2:$I$2036,4)</f>
        <v>Pelecaniformes</v>
      </c>
      <c r="H3186" s="3" t="str">
        <f>VLOOKUP(B3186,[1]LifeList!$E$2:$I$2036,5)</f>
        <v>Ardeidae (Herons, Egrets, and Bitterns)</v>
      </c>
    </row>
    <row r="3187" spans="1:8" x14ac:dyDescent="0.15">
      <c r="A3187" s="3" t="s">
        <v>3068</v>
      </c>
      <c r="B3187" s="3" t="s">
        <v>4957</v>
      </c>
      <c r="C3187" s="3">
        <v>7714</v>
      </c>
      <c r="D3187" s="3" t="str">
        <f>VLOOKUP(B3187,[1]LifeList!$E$2:$G$2036,1)</f>
        <v>Squacco Heron</v>
      </c>
      <c r="E3187" s="3" t="str">
        <f>VLOOKUP(B3187,[1]LifeList!$E$2:$G$2036,2)</f>
        <v>Crabier chevelu</v>
      </c>
      <c r="F3187" s="3" t="str">
        <f>VLOOKUP(B3187,[1]LifeList!$E$2:$G$2036,3)</f>
        <v>Ardeola ralloides</v>
      </c>
      <c r="G3187" s="3" t="str">
        <f>VLOOKUP(B3187,[1]LifeList!$E$2:$I$2036,4)</f>
        <v>Pelecaniformes</v>
      </c>
      <c r="H3187" s="3" t="str">
        <f>VLOOKUP(B3187,[1]LifeList!$E$2:$I$2036,5)</f>
        <v>Ardeidae (Herons, Egrets, and Bitterns)</v>
      </c>
    </row>
    <row r="3188" spans="1:8" x14ac:dyDescent="0.15">
      <c r="A3188" s="3" t="s">
        <v>3069</v>
      </c>
      <c r="B3188" s="3" t="s">
        <v>4957</v>
      </c>
      <c r="C3188" s="3">
        <v>7714</v>
      </c>
      <c r="D3188" s="3" t="str">
        <f>VLOOKUP(B3188,[1]LifeList!$E$2:$G$2036,1)</f>
        <v>Squacco Heron</v>
      </c>
      <c r="E3188" s="3" t="str">
        <f>VLOOKUP(B3188,[1]LifeList!$E$2:$G$2036,2)</f>
        <v>Crabier chevelu</v>
      </c>
      <c r="F3188" s="3" t="str">
        <f>VLOOKUP(B3188,[1]LifeList!$E$2:$G$2036,3)</f>
        <v>Ardeola ralloides</v>
      </c>
      <c r="G3188" s="3" t="str">
        <f>VLOOKUP(B3188,[1]LifeList!$E$2:$I$2036,4)</f>
        <v>Pelecaniformes</v>
      </c>
      <c r="H3188" s="3" t="str">
        <f>VLOOKUP(B3188,[1]LifeList!$E$2:$I$2036,5)</f>
        <v>Ardeidae (Herons, Egrets, and Bitterns)</v>
      </c>
    </row>
    <row r="3189" spans="1:8" x14ac:dyDescent="0.15">
      <c r="A3189" s="3" t="s">
        <v>3070</v>
      </c>
      <c r="B3189" s="3" t="s">
        <v>4957</v>
      </c>
      <c r="C3189" s="3">
        <v>7714</v>
      </c>
      <c r="D3189" s="3" t="str">
        <f>VLOOKUP(B3189,[1]LifeList!$E$2:$G$2036,1)</f>
        <v>Squacco Heron</v>
      </c>
      <c r="E3189" s="3" t="str">
        <f>VLOOKUP(B3189,[1]LifeList!$E$2:$G$2036,2)</f>
        <v>Crabier chevelu</v>
      </c>
      <c r="F3189" s="3" t="str">
        <f>VLOOKUP(B3189,[1]LifeList!$E$2:$G$2036,3)</f>
        <v>Ardeola ralloides</v>
      </c>
      <c r="G3189" s="3" t="str">
        <f>VLOOKUP(B3189,[1]LifeList!$E$2:$I$2036,4)</f>
        <v>Pelecaniformes</v>
      </c>
      <c r="H3189" s="3" t="str">
        <f>VLOOKUP(B3189,[1]LifeList!$E$2:$I$2036,5)</f>
        <v>Ardeidae (Herons, Egrets, and Bitterns)</v>
      </c>
    </row>
    <row r="3190" spans="1:8" x14ac:dyDescent="0.15">
      <c r="A3190" s="3" t="s">
        <v>3071</v>
      </c>
      <c r="B3190" s="3" t="s">
        <v>4957</v>
      </c>
      <c r="C3190" s="3">
        <v>7714</v>
      </c>
      <c r="D3190" s="3" t="str">
        <f>VLOOKUP(B3190,[1]LifeList!$E$2:$G$2036,1)</f>
        <v>Squacco Heron</v>
      </c>
      <c r="E3190" s="3" t="str">
        <f>VLOOKUP(B3190,[1]LifeList!$E$2:$G$2036,2)</f>
        <v>Crabier chevelu</v>
      </c>
      <c r="F3190" s="3" t="str">
        <f>VLOOKUP(B3190,[1]LifeList!$E$2:$G$2036,3)</f>
        <v>Ardeola ralloides</v>
      </c>
      <c r="G3190" s="3" t="str">
        <f>VLOOKUP(B3190,[1]LifeList!$E$2:$I$2036,4)</f>
        <v>Pelecaniformes</v>
      </c>
      <c r="H3190" s="3" t="str">
        <f>VLOOKUP(B3190,[1]LifeList!$E$2:$I$2036,5)</f>
        <v>Ardeidae (Herons, Egrets, and Bitterns)</v>
      </c>
    </row>
    <row r="3191" spans="1:8" x14ac:dyDescent="0.15">
      <c r="A3191" s="3" t="s">
        <v>3072</v>
      </c>
      <c r="B3191" s="3" t="s">
        <v>4958</v>
      </c>
      <c r="C3191" s="3">
        <v>5076</v>
      </c>
      <c r="D3191" s="3" t="str">
        <f>VLOOKUP(B3191,[1]LifeList!$E$2:$G$2036,1)</f>
        <v>Steely-vented Hummingbird</v>
      </c>
      <c r="E3191" s="3" t="str">
        <f>VLOOKUP(B3191,[1]LifeList!$E$2:$G$2036,2)</f>
        <v>Ariane de Sophie</v>
      </c>
      <c r="F3191" s="3" t="str">
        <f>VLOOKUP(B3191,[1]LifeList!$E$2:$G$2036,3)</f>
        <v>Saucerottia saucerottei</v>
      </c>
      <c r="G3191" s="3" t="str">
        <f>VLOOKUP(B3191,[1]LifeList!$E$2:$I$2036,4)</f>
        <v>Apodiformes</v>
      </c>
      <c r="H3191" s="3" t="str">
        <f>VLOOKUP(B3191,[1]LifeList!$E$2:$I$2036,5)</f>
        <v>Trochilidae (Hummingbirds)</v>
      </c>
    </row>
    <row r="3192" spans="1:8" x14ac:dyDescent="0.15">
      <c r="A3192" s="3" t="s">
        <v>3919</v>
      </c>
      <c r="B3192" s="3" t="s">
        <v>5245</v>
      </c>
      <c r="C3192" s="3">
        <v>17808</v>
      </c>
      <c r="D3192" s="3" t="str">
        <f>VLOOKUP(B3192,[1]LifeList!$E$2:$G$2036,1)</f>
        <v>Steller's Jay</v>
      </c>
      <c r="E3192" s="3" t="str">
        <f>VLOOKUP(B3192,[1]LifeList!$E$2:$G$2036,2)</f>
        <v>Geai de Steller</v>
      </c>
      <c r="F3192" s="3" t="str">
        <f>VLOOKUP(B3192,[1]LifeList!$E$2:$G$2036,3)</f>
        <v>Cyanocitta stelleri</v>
      </c>
      <c r="G3192" s="3" t="str">
        <f>VLOOKUP(B3192,[1]LifeList!$E$2:$I$2036,4)</f>
        <v>Passeriformes</v>
      </c>
      <c r="H3192" s="3" t="str">
        <f>VLOOKUP(B3192,[1]LifeList!$E$2:$I$2036,5)</f>
        <v>Corvidae (Crows, Jays, and Magpies)</v>
      </c>
    </row>
    <row r="3193" spans="1:8" x14ac:dyDescent="0.15">
      <c r="A3193" s="3" t="s">
        <v>3073</v>
      </c>
      <c r="B3193" s="3" t="s">
        <v>4959</v>
      </c>
      <c r="C3193" s="3">
        <v>15108</v>
      </c>
      <c r="D3193" s="3" t="str">
        <f>VLOOKUP(B3193,[1]LifeList!$E$2:$G$2036,1)</f>
        <v>Stout-billed Cinclodes</v>
      </c>
      <c r="E3193" s="3" t="str">
        <f>VLOOKUP(B3193,[1]LifeList!$E$2:$G$2036,2)</f>
        <v>Cinclode du paramo</v>
      </c>
      <c r="F3193" s="3" t="str">
        <f>VLOOKUP(B3193,[1]LifeList!$E$2:$G$2036,3)</f>
        <v>Cinclodes excelsior</v>
      </c>
      <c r="G3193" s="3" t="str">
        <f>VLOOKUP(B3193,[1]LifeList!$E$2:$I$2036,4)</f>
        <v>Passeriformes</v>
      </c>
      <c r="H3193" s="3" t="str">
        <f>VLOOKUP(B3193,[1]LifeList!$E$2:$I$2036,5)</f>
        <v>Furnariidae (Ovenbirds and Woodcreepers)</v>
      </c>
    </row>
    <row r="3194" spans="1:8" x14ac:dyDescent="0.15">
      <c r="A3194" s="3" t="s">
        <v>3074</v>
      </c>
      <c r="B3194" s="3" t="s">
        <v>4959</v>
      </c>
      <c r="C3194" s="3">
        <v>15108</v>
      </c>
      <c r="D3194" s="3" t="str">
        <f>VLOOKUP(B3194,[1]LifeList!$E$2:$G$2036,1)</f>
        <v>Stout-billed Cinclodes</v>
      </c>
      <c r="E3194" s="3" t="str">
        <f>VLOOKUP(B3194,[1]LifeList!$E$2:$G$2036,2)</f>
        <v>Cinclode du paramo</v>
      </c>
      <c r="F3194" s="3" t="str">
        <f>VLOOKUP(B3194,[1]LifeList!$E$2:$G$2036,3)</f>
        <v>Cinclodes excelsior</v>
      </c>
      <c r="G3194" s="3" t="str">
        <f>VLOOKUP(B3194,[1]LifeList!$E$2:$I$2036,4)</f>
        <v>Passeriformes</v>
      </c>
      <c r="H3194" s="3" t="str">
        <f>VLOOKUP(B3194,[1]LifeList!$E$2:$I$2036,5)</f>
        <v>Furnariidae (Ovenbirds and Woodcreepers)</v>
      </c>
    </row>
    <row r="3195" spans="1:8" x14ac:dyDescent="0.15">
      <c r="A3195" s="3" t="s">
        <v>3075</v>
      </c>
      <c r="B3195" s="3" t="s">
        <v>4960</v>
      </c>
      <c r="C3195" s="3">
        <v>14871</v>
      </c>
      <c r="D3195" s="3" t="str">
        <f>VLOOKUP(B3195,[1]LifeList!$E$2:$G$2036,1)</f>
        <v>Straight-billed Woodcreeper</v>
      </c>
      <c r="E3195" s="3" t="str">
        <f>VLOOKUP(B3195,[1]LifeList!$E$2:$G$2036,2)</f>
        <v>Grimpar talapiot</v>
      </c>
      <c r="F3195" s="3" t="str">
        <f>VLOOKUP(B3195,[1]LifeList!$E$2:$G$2036,3)</f>
        <v>Dendroplex picus</v>
      </c>
      <c r="G3195" s="3" t="str">
        <f>VLOOKUP(B3195,[1]LifeList!$E$2:$I$2036,4)</f>
        <v>Passeriformes</v>
      </c>
      <c r="H3195" s="3" t="str">
        <f>VLOOKUP(B3195,[1]LifeList!$E$2:$I$2036,5)</f>
        <v>Furnariidae (Ovenbirds and Woodcreepers)</v>
      </c>
    </row>
    <row r="3196" spans="1:8" x14ac:dyDescent="0.15">
      <c r="A3196" s="3" t="s">
        <v>3076</v>
      </c>
      <c r="B3196" s="3" t="s">
        <v>4961</v>
      </c>
      <c r="C3196" s="3">
        <v>33724</v>
      </c>
      <c r="D3196" s="3" t="str">
        <f>VLOOKUP(B3196,[1]LifeList!$E$2:$G$2036,1)</f>
        <v>Streak-backed Oriole</v>
      </c>
      <c r="E3196" s="3" t="str">
        <f>VLOOKUP(B3196,[1]LifeList!$E$2:$G$2036,2)</f>
        <v>Oriole à dos rayé</v>
      </c>
      <c r="F3196" s="3" t="str">
        <f>VLOOKUP(B3196,[1]LifeList!$E$2:$G$2036,3)</f>
        <v>Icterus pustulatus</v>
      </c>
      <c r="G3196" s="3" t="str">
        <f>VLOOKUP(B3196,[1]LifeList!$E$2:$I$2036,4)</f>
        <v>Passeriformes</v>
      </c>
      <c r="H3196" s="3" t="str">
        <f>VLOOKUP(B3196,[1]LifeList!$E$2:$I$2036,5)</f>
        <v>Icteridae (Troupials and Allies)</v>
      </c>
    </row>
    <row r="3197" spans="1:8" x14ac:dyDescent="0.15">
      <c r="A3197" s="3" t="s">
        <v>3077</v>
      </c>
      <c r="B3197" s="3" t="s">
        <v>4961</v>
      </c>
      <c r="C3197" s="3">
        <v>33724</v>
      </c>
      <c r="D3197" s="3" t="str">
        <f>VLOOKUP(B3197,[1]LifeList!$E$2:$G$2036,1)</f>
        <v>Streak-backed Oriole</v>
      </c>
      <c r="E3197" s="3" t="str">
        <f>VLOOKUP(B3197,[1]LifeList!$E$2:$G$2036,2)</f>
        <v>Oriole à dos rayé</v>
      </c>
      <c r="F3197" s="3" t="str">
        <f>VLOOKUP(B3197,[1]LifeList!$E$2:$G$2036,3)</f>
        <v>Icterus pustulatus</v>
      </c>
      <c r="G3197" s="3" t="str">
        <f>VLOOKUP(B3197,[1]LifeList!$E$2:$I$2036,4)</f>
        <v>Passeriformes</v>
      </c>
      <c r="H3197" s="3" t="str">
        <f>VLOOKUP(B3197,[1]LifeList!$E$2:$I$2036,5)</f>
        <v>Icteridae (Troupials and Allies)</v>
      </c>
    </row>
    <row r="3198" spans="1:8" x14ac:dyDescent="0.15">
      <c r="A3198" s="3" t="s">
        <v>3078</v>
      </c>
      <c r="B3198" s="3" t="s">
        <v>4962</v>
      </c>
      <c r="C3198" s="3">
        <v>15521</v>
      </c>
      <c r="D3198" s="3" t="str">
        <f>VLOOKUP(B3198,[1]LifeList!$E$2:$G$2036,1)</f>
        <v>Streak-capped Spinetail</v>
      </c>
      <c r="E3198" s="3" t="str">
        <f>VLOOKUP(B3198,[1]LifeList!$E$2:$G$2036,2)</f>
        <v>Synallaxe des broméliades</v>
      </c>
      <c r="F3198" s="3" t="str">
        <f>VLOOKUP(B3198,[1]LifeList!$E$2:$G$2036,3)</f>
        <v>Cranioleuca hellmayri</v>
      </c>
      <c r="G3198" s="3" t="str">
        <f>VLOOKUP(B3198,[1]LifeList!$E$2:$I$2036,4)</f>
        <v>Passeriformes</v>
      </c>
      <c r="H3198" s="3" t="str">
        <f>VLOOKUP(B3198,[1]LifeList!$E$2:$I$2036,5)</f>
        <v>Furnariidae (Ovenbirds and Woodcreepers)</v>
      </c>
    </row>
    <row r="3199" spans="1:8" x14ac:dyDescent="0.15">
      <c r="A3199" s="3" t="s">
        <v>3079</v>
      </c>
      <c r="B3199" s="3" t="s">
        <v>4962</v>
      </c>
      <c r="C3199" s="3">
        <v>15521</v>
      </c>
      <c r="D3199" s="3" t="str">
        <f>VLOOKUP(B3199,[1]LifeList!$E$2:$G$2036,1)</f>
        <v>Streak-capped Spinetail</v>
      </c>
      <c r="E3199" s="3" t="str">
        <f>VLOOKUP(B3199,[1]LifeList!$E$2:$G$2036,2)</f>
        <v>Synallaxe des broméliades</v>
      </c>
      <c r="F3199" s="3" t="str">
        <f>VLOOKUP(B3199,[1]LifeList!$E$2:$G$2036,3)</f>
        <v>Cranioleuca hellmayri</v>
      </c>
      <c r="G3199" s="3" t="str">
        <f>VLOOKUP(B3199,[1]LifeList!$E$2:$I$2036,4)</f>
        <v>Passeriformes</v>
      </c>
      <c r="H3199" s="3" t="str">
        <f>VLOOKUP(B3199,[1]LifeList!$E$2:$I$2036,5)</f>
        <v>Furnariidae (Ovenbirds and Woodcreepers)</v>
      </c>
    </row>
    <row r="3200" spans="1:8" x14ac:dyDescent="0.15">
      <c r="A3200" s="3" t="s">
        <v>3080</v>
      </c>
      <c r="B3200" s="3" t="s">
        <v>4963</v>
      </c>
      <c r="C3200" s="3">
        <v>14921</v>
      </c>
      <c r="D3200" s="3" t="str">
        <f>VLOOKUP(B3200,[1]LifeList!$E$2:$G$2036,1)</f>
        <v>Streak-headed Woodcreeper</v>
      </c>
      <c r="E3200" s="3" t="str">
        <f>VLOOKUP(B3200,[1]LifeList!$E$2:$G$2036,2)</f>
        <v>Grimpar de Souleyet</v>
      </c>
      <c r="F3200" s="3" t="str">
        <f>VLOOKUP(B3200,[1]LifeList!$E$2:$G$2036,3)</f>
        <v>Lepidocolaptes souleyetii</v>
      </c>
      <c r="G3200" s="3" t="str">
        <f>VLOOKUP(B3200,[1]LifeList!$E$2:$I$2036,4)</f>
        <v>Passeriformes</v>
      </c>
      <c r="H3200" s="3" t="str">
        <f>VLOOKUP(B3200,[1]LifeList!$E$2:$I$2036,5)</f>
        <v>Furnariidae (Ovenbirds and Woodcreepers)</v>
      </c>
    </row>
    <row r="3201" spans="1:8" x14ac:dyDescent="0.15">
      <c r="A3201" s="3" t="s">
        <v>3081</v>
      </c>
      <c r="B3201" s="3" t="s">
        <v>4963</v>
      </c>
      <c r="C3201" s="3">
        <v>14921</v>
      </c>
      <c r="D3201" s="3" t="str">
        <f>VLOOKUP(B3201,[1]LifeList!$E$2:$G$2036,1)</f>
        <v>Streak-headed Woodcreeper</v>
      </c>
      <c r="E3201" s="3" t="str">
        <f>VLOOKUP(B3201,[1]LifeList!$E$2:$G$2036,2)</f>
        <v>Grimpar de Souleyet</v>
      </c>
      <c r="F3201" s="3" t="str">
        <f>VLOOKUP(B3201,[1]LifeList!$E$2:$G$2036,3)</f>
        <v>Lepidocolaptes souleyetii</v>
      </c>
      <c r="G3201" s="3" t="str">
        <f>VLOOKUP(B3201,[1]LifeList!$E$2:$I$2036,4)</f>
        <v>Passeriformes</v>
      </c>
      <c r="H3201" s="3" t="str">
        <f>VLOOKUP(B3201,[1]LifeList!$E$2:$I$2036,5)</f>
        <v>Furnariidae (Ovenbirds and Woodcreepers)</v>
      </c>
    </row>
    <row r="3202" spans="1:8" x14ac:dyDescent="0.15">
      <c r="A3202" s="3" t="s">
        <v>3082</v>
      </c>
      <c r="B3202" s="3" t="s">
        <v>4964</v>
      </c>
      <c r="C3202" s="3">
        <v>17148</v>
      </c>
      <c r="D3202" s="3" t="str">
        <f>VLOOKUP(B3202,[1]LifeList!$E$2:$G$2036,1)</f>
        <v>Streak-throated Bush-Tyrant</v>
      </c>
      <c r="E3202" s="3" t="str">
        <f>VLOOKUP(B3202,[1]LifeList!$E$2:$G$2036,2)</f>
        <v>Moucherolle à gorge rayée</v>
      </c>
      <c r="F3202" s="3" t="str">
        <f>VLOOKUP(B3202,[1]LifeList!$E$2:$G$2036,3)</f>
        <v>Myiotheretes striaticollis</v>
      </c>
      <c r="G3202" s="3" t="str">
        <f>VLOOKUP(B3202,[1]LifeList!$E$2:$I$2036,4)</f>
        <v>Passeriformes</v>
      </c>
      <c r="H3202" s="3" t="str">
        <f>VLOOKUP(B3202,[1]LifeList!$E$2:$I$2036,5)</f>
        <v>Tyrannidae (Tyrant Flycatchers)</v>
      </c>
    </row>
    <row r="3203" spans="1:8" x14ac:dyDescent="0.15">
      <c r="A3203" s="3" t="s">
        <v>3083</v>
      </c>
      <c r="B3203" s="3" t="s">
        <v>4965</v>
      </c>
      <c r="C3203" s="3">
        <v>17429</v>
      </c>
      <c r="D3203" s="3" t="str">
        <f>VLOOKUP(B3203,[1]LifeList!$E$2:$G$2036,1)</f>
        <v>Streaked Flycatcher</v>
      </c>
      <c r="E3203" s="3" t="str">
        <f>VLOOKUP(B3203,[1]LifeList!$E$2:$G$2036,2)</f>
        <v>Tyran audacieux</v>
      </c>
      <c r="F3203" s="3" t="str">
        <f>VLOOKUP(B3203,[1]LifeList!$E$2:$G$2036,3)</f>
        <v>Myiodynastes maculatus</v>
      </c>
      <c r="G3203" s="3" t="str">
        <f>VLOOKUP(B3203,[1]LifeList!$E$2:$I$2036,4)</f>
        <v>Passeriformes</v>
      </c>
      <c r="H3203" s="3" t="str">
        <f>VLOOKUP(B3203,[1]LifeList!$E$2:$I$2036,5)</f>
        <v>Tyrannidae (Tyrant Flycatchers)</v>
      </c>
    </row>
    <row r="3204" spans="1:8" x14ac:dyDescent="0.15">
      <c r="A3204" s="3" t="s">
        <v>3084</v>
      </c>
      <c r="B3204" s="3" t="s">
        <v>4965</v>
      </c>
      <c r="C3204" s="3">
        <v>17429</v>
      </c>
      <c r="D3204" s="3" t="str">
        <f>VLOOKUP(B3204,[1]LifeList!$E$2:$G$2036,1)</f>
        <v>Streaked Flycatcher</v>
      </c>
      <c r="E3204" s="3" t="str">
        <f>VLOOKUP(B3204,[1]LifeList!$E$2:$G$2036,2)</f>
        <v>Tyran audacieux</v>
      </c>
      <c r="F3204" s="3" t="str">
        <f>VLOOKUP(B3204,[1]LifeList!$E$2:$G$2036,3)</f>
        <v>Myiodynastes maculatus</v>
      </c>
      <c r="G3204" s="3" t="str">
        <f>VLOOKUP(B3204,[1]LifeList!$E$2:$I$2036,4)</f>
        <v>Passeriformes</v>
      </c>
      <c r="H3204" s="3" t="str">
        <f>VLOOKUP(B3204,[1]LifeList!$E$2:$I$2036,5)</f>
        <v>Tyrannidae (Tyrant Flycatchers)</v>
      </c>
    </row>
    <row r="3205" spans="1:8" x14ac:dyDescent="0.15">
      <c r="A3205" s="3" t="s">
        <v>3085</v>
      </c>
      <c r="B3205" s="3" t="s">
        <v>4965</v>
      </c>
      <c r="C3205" s="3">
        <v>17429</v>
      </c>
      <c r="D3205" s="3" t="str">
        <f>VLOOKUP(B3205,[1]LifeList!$E$2:$G$2036,1)</f>
        <v>Streaked Flycatcher</v>
      </c>
      <c r="E3205" s="3" t="str">
        <f>VLOOKUP(B3205,[1]LifeList!$E$2:$G$2036,2)</f>
        <v>Tyran audacieux</v>
      </c>
      <c r="F3205" s="3" t="str">
        <f>VLOOKUP(B3205,[1]LifeList!$E$2:$G$2036,3)</f>
        <v>Myiodynastes maculatus</v>
      </c>
      <c r="G3205" s="3" t="str">
        <f>VLOOKUP(B3205,[1]LifeList!$E$2:$I$2036,4)</f>
        <v>Passeriformes</v>
      </c>
      <c r="H3205" s="3" t="str">
        <f>VLOOKUP(B3205,[1]LifeList!$E$2:$I$2036,5)</f>
        <v>Tyrannidae (Tyrant Flycatchers)</v>
      </c>
    </row>
    <row r="3206" spans="1:8" x14ac:dyDescent="0.15">
      <c r="A3206" s="3" t="s">
        <v>3086</v>
      </c>
      <c r="B3206" s="3" t="s">
        <v>4965</v>
      </c>
      <c r="C3206" s="3">
        <v>17429</v>
      </c>
      <c r="D3206" s="3" t="str">
        <f>VLOOKUP(B3206,[1]LifeList!$E$2:$G$2036,1)</f>
        <v>Streaked Flycatcher</v>
      </c>
      <c r="E3206" s="3" t="str">
        <f>VLOOKUP(B3206,[1]LifeList!$E$2:$G$2036,2)</f>
        <v>Tyran audacieux</v>
      </c>
      <c r="F3206" s="3" t="str">
        <f>VLOOKUP(B3206,[1]LifeList!$E$2:$G$2036,3)</f>
        <v>Myiodynastes maculatus</v>
      </c>
      <c r="G3206" s="3" t="str">
        <f>VLOOKUP(B3206,[1]LifeList!$E$2:$I$2036,4)</f>
        <v>Passeriformes</v>
      </c>
      <c r="H3206" s="3" t="str">
        <f>VLOOKUP(B3206,[1]LifeList!$E$2:$I$2036,5)</f>
        <v>Tyrannidae (Tyrant Flycatchers)</v>
      </c>
    </row>
    <row r="3207" spans="1:8" x14ac:dyDescent="0.15">
      <c r="A3207" s="3" t="s">
        <v>3087</v>
      </c>
      <c r="B3207" s="3" t="s">
        <v>4965</v>
      </c>
      <c r="C3207" s="3">
        <v>17429</v>
      </c>
      <c r="D3207" s="3" t="str">
        <f>VLOOKUP(B3207,[1]LifeList!$E$2:$G$2036,1)</f>
        <v>Streaked Flycatcher</v>
      </c>
      <c r="E3207" s="3" t="str">
        <f>VLOOKUP(B3207,[1]LifeList!$E$2:$G$2036,2)</f>
        <v>Tyran audacieux</v>
      </c>
      <c r="F3207" s="3" t="str">
        <f>VLOOKUP(B3207,[1]LifeList!$E$2:$G$2036,3)</f>
        <v>Myiodynastes maculatus</v>
      </c>
      <c r="G3207" s="3" t="str">
        <f>VLOOKUP(B3207,[1]LifeList!$E$2:$I$2036,4)</f>
        <v>Passeriformes</v>
      </c>
      <c r="H3207" s="3" t="str">
        <f>VLOOKUP(B3207,[1]LifeList!$E$2:$I$2036,5)</f>
        <v>Tyrannidae (Tyrant Flycatchers)</v>
      </c>
    </row>
    <row r="3208" spans="1:8" x14ac:dyDescent="0.15">
      <c r="A3208" s="3" t="s">
        <v>3088</v>
      </c>
      <c r="B3208" s="3" t="s">
        <v>4965</v>
      </c>
      <c r="C3208" s="3">
        <v>17429</v>
      </c>
      <c r="D3208" s="3" t="str">
        <f>VLOOKUP(B3208,[1]LifeList!$E$2:$G$2036,1)</f>
        <v>Streaked Flycatcher</v>
      </c>
      <c r="E3208" s="3" t="str">
        <f>VLOOKUP(B3208,[1]LifeList!$E$2:$G$2036,2)</f>
        <v>Tyran audacieux</v>
      </c>
      <c r="F3208" s="3" t="str">
        <f>VLOOKUP(B3208,[1]LifeList!$E$2:$G$2036,3)</f>
        <v>Myiodynastes maculatus</v>
      </c>
      <c r="G3208" s="3" t="str">
        <f>VLOOKUP(B3208,[1]LifeList!$E$2:$I$2036,4)</f>
        <v>Passeriformes</v>
      </c>
      <c r="H3208" s="3" t="str">
        <f>VLOOKUP(B3208,[1]LifeList!$E$2:$I$2036,5)</f>
        <v>Tyrannidae (Tyrant Flycatchers)</v>
      </c>
    </row>
    <row r="3209" spans="1:8" x14ac:dyDescent="0.15">
      <c r="A3209" s="3" t="s">
        <v>3089</v>
      </c>
      <c r="B3209" s="3" t="s">
        <v>4966</v>
      </c>
      <c r="C3209" s="3">
        <v>35819</v>
      </c>
      <c r="D3209" s="3" t="str">
        <f>VLOOKUP(B3209,[1]LifeList!$E$2:$G$2036,1)</f>
        <v>Streaked Saltator</v>
      </c>
      <c r="E3209" s="3" t="str">
        <f>VLOOKUP(B3209,[1]LifeList!$E$2:$G$2036,2)</f>
        <v>Saltator strié</v>
      </c>
      <c r="F3209" s="3" t="str">
        <f>VLOOKUP(B3209,[1]LifeList!$E$2:$G$2036,3)</f>
        <v>Saltator striatipectus</v>
      </c>
      <c r="G3209" s="3" t="str">
        <f>VLOOKUP(B3209,[1]LifeList!$E$2:$I$2036,4)</f>
        <v>Passeriformes</v>
      </c>
      <c r="H3209" s="3" t="str">
        <f>VLOOKUP(B3209,[1]LifeList!$E$2:$I$2036,5)</f>
        <v>Thraupidae (Tanagers and Allies)</v>
      </c>
    </row>
    <row r="3210" spans="1:8" x14ac:dyDescent="0.15">
      <c r="A3210" s="3" t="s">
        <v>3090</v>
      </c>
      <c r="B3210" s="3" t="s">
        <v>4967</v>
      </c>
      <c r="C3210" s="3">
        <v>32449</v>
      </c>
      <c r="D3210" s="3" t="str">
        <f>VLOOKUP(B3210,[1]LifeList!$E$2:$G$2036,1)</f>
        <v>Streaky-headed Seedeater</v>
      </c>
      <c r="E3210" s="3" t="str">
        <f>VLOOKUP(B3210,[1]LifeList!$E$2:$G$2036,2)</f>
        <v>Serin gris</v>
      </c>
      <c r="F3210" s="3" t="str">
        <f>VLOOKUP(B3210,[1]LifeList!$E$2:$G$2036,3)</f>
        <v>Crithagra gularis</v>
      </c>
      <c r="G3210" s="3" t="str">
        <f>VLOOKUP(B3210,[1]LifeList!$E$2:$I$2036,4)</f>
        <v>Passeriformes</v>
      </c>
      <c r="H3210" s="3" t="str">
        <f>VLOOKUP(B3210,[1]LifeList!$E$2:$I$2036,5)</f>
        <v>Fringillidae (Finches, Euphonias, and Allies)</v>
      </c>
    </row>
    <row r="3211" spans="1:8" x14ac:dyDescent="0.15">
      <c r="A3211" s="3" t="s">
        <v>3091</v>
      </c>
      <c r="B3211" s="3" t="s">
        <v>4968</v>
      </c>
      <c r="C3211" s="3">
        <v>18266</v>
      </c>
      <c r="D3211" s="3" t="str">
        <f>VLOOKUP(B3211,[1]LifeList!$E$2:$G$2036,1)</f>
        <v>Striated Fieldwren</v>
      </c>
      <c r="E3211" s="3" t="str">
        <f>VLOOKUP(B3211,[1]LifeList!$E$2:$G$2036,2)</f>
        <v>Séricorne strié</v>
      </c>
      <c r="F3211" s="3" t="str">
        <f>VLOOKUP(B3211,[1]LifeList!$E$2:$G$2036,3)</f>
        <v>Calamanthus fuliginosus</v>
      </c>
      <c r="G3211" s="3" t="str">
        <f>VLOOKUP(B3211,[1]LifeList!$E$2:$I$2036,4)</f>
        <v>Passeriformes</v>
      </c>
      <c r="H3211" s="3" t="str">
        <f>VLOOKUP(B3211,[1]LifeList!$E$2:$I$2036,5)</f>
        <v>Acanthizidae (Thornbills and Allies)</v>
      </c>
    </row>
    <row r="3212" spans="1:8" x14ac:dyDescent="0.15">
      <c r="A3212" s="3" t="s">
        <v>3092</v>
      </c>
      <c r="B3212" s="3" t="s">
        <v>4968</v>
      </c>
      <c r="C3212" s="3">
        <v>18266</v>
      </c>
      <c r="D3212" s="3" t="str">
        <f>VLOOKUP(B3212,[1]LifeList!$E$2:$G$2036,1)</f>
        <v>Striated Fieldwren</v>
      </c>
      <c r="E3212" s="3" t="str">
        <f>VLOOKUP(B3212,[1]LifeList!$E$2:$G$2036,2)</f>
        <v>Séricorne strié</v>
      </c>
      <c r="F3212" s="3" t="str">
        <f>VLOOKUP(B3212,[1]LifeList!$E$2:$G$2036,3)</f>
        <v>Calamanthus fuliginosus</v>
      </c>
      <c r="G3212" s="3" t="str">
        <f>VLOOKUP(B3212,[1]LifeList!$E$2:$I$2036,4)</f>
        <v>Passeriformes</v>
      </c>
      <c r="H3212" s="3" t="str">
        <f>VLOOKUP(B3212,[1]LifeList!$E$2:$I$2036,5)</f>
        <v>Acanthizidae (Thornbills and Allies)</v>
      </c>
    </row>
    <row r="3213" spans="1:8" x14ac:dyDescent="0.15">
      <c r="A3213" s="3" t="s">
        <v>3093</v>
      </c>
      <c r="B3213" s="3" t="s">
        <v>4969</v>
      </c>
      <c r="C3213" s="3">
        <v>7669</v>
      </c>
      <c r="D3213" s="3" t="str">
        <f>VLOOKUP(B3213,[1]LifeList!$E$2:$G$2036,1)</f>
        <v>Striated Heron</v>
      </c>
      <c r="E3213" s="3" t="str">
        <f>VLOOKUP(B3213,[1]LifeList!$E$2:$G$2036,2)</f>
        <v>Héron strié</v>
      </c>
      <c r="F3213" s="3" t="str">
        <f>VLOOKUP(B3213,[1]LifeList!$E$2:$G$2036,3)</f>
        <v>Butorides striata</v>
      </c>
      <c r="G3213" s="3" t="str">
        <f>VLOOKUP(B3213,[1]LifeList!$E$2:$I$2036,4)</f>
        <v>Pelecaniformes</v>
      </c>
      <c r="H3213" s="3" t="str">
        <f>VLOOKUP(B3213,[1]LifeList!$E$2:$I$2036,5)</f>
        <v>Ardeidae (Herons, Egrets, and Bitterns)</v>
      </c>
    </row>
    <row r="3214" spans="1:8" x14ac:dyDescent="0.15">
      <c r="A3214" s="3" t="s">
        <v>3094</v>
      </c>
      <c r="B3214" s="3" t="s">
        <v>4969</v>
      </c>
      <c r="C3214" s="3">
        <v>7669</v>
      </c>
      <c r="D3214" s="3" t="str">
        <f>VLOOKUP(B3214,[1]LifeList!$E$2:$G$2036,1)</f>
        <v>Striated Heron</v>
      </c>
      <c r="E3214" s="3" t="str">
        <f>VLOOKUP(B3214,[1]LifeList!$E$2:$G$2036,2)</f>
        <v>Héron strié</v>
      </c>
      <c r="F3214" s="3" t="str">
        <f>VLOOKUP(B3214,[1]LifeList!$E$2:$G$2036,3)</f>
        <v>Butorides striata</v>
      </c>
      <c r="G3214" s="3" t="str">
        <f>VLOOKUP(B3214,[1]LifeList!$E$2:$I$2036,4)</f>
        <v>Pelecaniformes</v>
      </c>
      <c r="H3214" s="3" t="str">
        <f>VLOOKUP(B3214,[1]LifeList!$E$2:$I$2036,5)</f>
        <v>Ardeidae (Herons, Egrets, and Bitterns)</v>
      </c>
    </row>
    <row r="3215" spans="1:8" x14ac:dyDescent="0.15">
      <c r="A3215" s="3" t="s">
        <v>3095</v>
      </c>
      <c r="B3215" s="3" t="s">
        <v>4969</v>
      </c>
      <c r="C3215" s="3">
        <v>7669</v>
      </c>
      <c r="D3215" s="3" t="str">
        <f>VLOOKUP(B3215,[1]LifeList!$E$2:$G$2036,1)</f>
        <v>Striated Heron</v>
      </c>
      <c r="E3215" s="3" t="str">
        <f>VLOOKUP(B3215,[1]LifeList!$E$2:$G$2036,2)</f>
        <v>Héron strié</v>
      </c>
      <c r="F3215" s="3" t="str">
        <f>VLOOKUP(B3215,[1]LifeList!$E$2:$G$2036,3)</f>
        <v>Butorides striata</v>
      </c>
      <c r="G3215" s="3" t="str">
        <f>VLOOKUP(B3215,[1]LifeList!$E$2:$I$2036,4)</f>
        <v>Pelecaniformes</v>
      </c>
      <c r="H3215" s="3" t="str">
        <f>VLOOKUP(B3215,[1]LifeList!$E$2:$I$2036,5)</f>
        <v>Ardeidae (Herons, Egrets, and Bitterns)</v>
      </c>
    </row>
    <row r="3216" spans="1:8" x14ac:dyDescent="0.15">
      <c r="A3216" s="3" t="s">
        <v>3096</v>
      </c>
      <c r="B3216" s="3" t="s">
        <v>4970</v>
      </c>
      <c r="C3216" s="3">
        <v>27422</v>
      </c>
      <c r="D3216" s="3" t="str">
        <f>VLOOKUP(B3216,[1]LifeList!$E$2:$G$2036,1)</f>
        <v>Stripe-backed Wren</v>
      </c>
      <c r="E3216" s="3" t="str">
        <f>VLOOKUP(B3216,[1]LifeList!$E$2:$G$2036,2)</f>
        <v>Troglodyte rayé</v>
      </c>
      <c r="F3216" s="3" t="str">
        <f>VLOOKUP(B3216,[1]LifeList!$E$2:$G$2036,3)</f>
        <v>Campylorhynchus nuchalis</v>
      </c>
      <c r="G3216" s="3" t="str">
        <f>VLOOKUP(B3216,[1]LifeList!$E$2:$I$2036,4)</f>
        <v>Passeriformes</v>
      </c>
      <c r="H3216" s="3" t="str">
        <f>VLOOKUP(B3216,[1]LifeList!$E$2:$I$2036,5)</f>
        <v>Troglodytidae (Wrens)</v>
      </c>
    </row>
    <row r="3217" spans="1:8" x14ac:dyDescent="0.15">
      <c r="A3217" s="3" t="s">
        <v>3097</v>
      </c>
      <c r="B3217" s="3" t="s">
        <v>4970</v>
      </c>
      <c r="C3217" s="3">
        <v>27422</v>
      </c>
      <c r="D3217" s="3" t="str">
        <f>VLOOKUP(B3217,[1]LifeList!$E$2:$G$2036,1)</f>
        <v>Stripe-backed Wren</v>
      </c>
      <c r="E3217" s="3" t="str">
        <f>VLOOKUP(B3217,[1]LifeList!$E$2:$G$2036,2)</f>
        <v>Troglodyte rayé</v>
      </c>
      <c r="F3217" s="3" t="str">
        <f>VLOOKUP(B3217,[1]LifeList!$E$2:$G$2036,3)</f>
        <v>Campylorhynchus nuchalis</v>
      </c>
      <c r="G3217" s="3" t="str">
        <f>VLOOKUP(B3217,[1]LifeList!$E$2:$I$2036,4)</f>
        <v>Passeriformes</v>
      </c>
      <c r="H3217" s="3" t="str">
        <f>VLOOKUP(B3217,[1]LifeList!$E$2:$I$2036,5)</f>
        <v>Troglodytidae (Wrens)</v>
      </c>
    </row>
    <row r="3218" spans="1:8" x14ac:dyDescent="0.15">
      <c r="A3218" s="3" t="s">
        <v>3098</v>
      </c>
      <c r="B3218" s="3" t="s">
        <v>4970</v>
      </c>
      <c r="C3218" s="3">
        <v>27422</v>
      </c>
      <c r="D3218" s="3" t="str">
        <f>VLOOKUP(B3218,[1]LifeList!$E$2:$G$2036,1)</f>
        <v>Stripe-backed Wren</v>
      </c>
      <c r="E3218" s="3" t="str">
        <f>VLOOKUP(B3218,[1]LifeList!$E$2:$G$2036,2)</f>
        <v>Troglodyte rayé</v>
      </c>
      <c r="F3218" s="3" t="str">
        <f>VLOOKUP(B3218,[1]LifeList!$E$2:$G$2036,3)</f>
        <v>Campylorhynchus nuchalis</v>
      </c>
      <c r="G3218" s="3" t="str">
        <f>VLOOKUP(B3218,[1]LifeList!$E$2:$I$2036,4)</f>
        <v>Passeriformes</v>
      </c>
      <c r="H3218" s="3" t="str">
        <f>VLOOKUP(B3218,[1]LifeList!$E$2:$I$2036,5)</f>
        <v>Troglodytidae (Wrens)</v>
      </c>
    </row>
    <row r="3219" spans="1:8" x14ac:dyDescent="0.15">
      <c r="A3219" s="3" t="s">
        <v>3100</v>
      </c>
      <c r="B3219" s="3" t="s">
        <v>4971</v>
      </c>
      <c r="C3219" s="3">
        <v>27531</v>
      </c>
      <c r="D3219" s="3" t="str">
        <f>VLOOKUP(B3219,[1]LifeList!$E$2:$G$2036,1)</f>
        <v>Stripe-breasted Wren</v>
      </c>
      <c r="E3219" s="3" t="str">
        <f>VLOOKUP(B3219,[1]LifeList!$E$2:$G$2036,2)</f>
        <v>Troglodyte flammé</v>
      </c>
      <c r="F3219" s="3" t="str">
        <f>VLOOKUP(B3219,[1]LifeList!$E$2:$G$2036,3)</f>
        <v>Cantorchilus thoracicus</v>
      </c>
      <c r="G3219" s="3" t="str">
        <f>VLOOKUP(B3219,[1]LifeList!$E$2:$I$2036,4)</f>
        <v>Passeriformes</v>
      </c>
      <c r="H3219" s="3" t="str">
        <f>VLOOKUP(B3219,[1]LifeList!$E$2:$I$2036,5)</f>
        <v>Troglodytidae (Wrens)</v>
      </c>
    </row>
    <row r="3220" spans="1:8" x14ac:dyDescent="0.15">
      <c r="A3220" s="3" t="s">
        <v>3101</v>
      </c>
      <c r="B3220" s="3" t="s">
        <v>4971</v>
      </c>
      <c r="C3220" s="3">
        <v>27531</v>
      </c>
      <c r="D3220" s="3" t="str">
        <f>VLOOKUP(B3220,[1]LifeList!$E$2:$G$2036,1)</f>
        <v>Stripe-breasted Wren</v>
      </c>
      <c r="E3220" s="3" t="str">
        <f>VLOOKUP(B3220,[1]LifeList!$E$2:$G$2036,2)</f>
        <v>Troglodyte flammé</v>
      </c>
      <c r="F3220" s="3" t="str">
        <f>VLOOKUP(B3220,[1]LifeList!$E$2:$G$2036,3)</f>
        <v>Cantorchilus thoracicus</v>
      </c>
      <c r="G3220" s="3" t="str">
        <f>VLOOKUP(B3220,[1]LifeList!$E$2:$I$2036,4)</f>
        <v>Passeriformes</v>
      </c>
      <c r="H3220" s="3" t="str">
        <f>VLOOKUP(B3220,[1]LifeList!$E$2:$I$2036,5)</f>
        <v>Troglodytidae (Wrens)</v>
      </c>
    </row>
    <row r="3221" spans="1:8" x14ac:dyDescent="0.15">
      <c r="A3221" s="3" t="s">
        <v>3102</v>
      </c>
      <c r="B3221" s="3" t="s">
        <v>4971</v>
      </c>
      <c r="C3221" s="3">
        <v>27531</v>
      </c>
      <c r="D3221" s="3" t="str">
        <f>VLOOKUP(B3221,[1]LifeList!$E$2:$G$2036,1)</f>
        <v>Stripe-breasted Wren</v>
      </c>
      <c r="E3221" s="3" t="str">
        <f>VLOOKUP(B3221,[1]LifeList!$E$2:$G$2036,2)</f>
        <v>Troglodyte flammé</v>
      </c>
      <c r="F3221" s="3" t="str">
        <f>VLOOKUP(B3221,[1]LifeList!$E$2:$G$2036,3)</f>
        <v>Cantorchilus thoracicus</v>
      </c>
      <c r="G3221" s="3" t="str">
        <f>VLOOKUP(B3221,[1]LifeList!$E$2:$I$2036,4)</f>
        <v>Passeriformes</v>
      </c>
      <c r="H3221" s="3" t="str">
        <f>VLOOKUP(B3221,[1]LifeList!$E$2:$I$2036,5)</f>
        <v>Troglodytidae (Wrens)</v>
      </c>
    </row>
    <row r="3222" spans="1:8" x14ac:dyDescent="0.15">
      <c r="A3222" s="3" t="s">
        <v>3099</v>
      </c>
      <c r="B3222" s="3" t="s">
        <v>4971</v>
      </c>
      <c r="C3222" s="3">
        <v>27531</v>
      </c>
      <c r="D3222" s="3" t="str">
        <f>VLOOKUP(B3222,[1]LifeList!$E$2:$G$2036,1)</f>
        <v>Stripe-breasted Wren</v>
      </c>
      <c r="E3222" s="3" t="str">
        <f>VLOOKUP(B3222,[1]LifeList!$E$2:$G$2036,2)</f>
        <v>Troglodyte flammé</v>
      </c>
      <c r="F3222" s="3" t="str">
        <f>VLOOKUP(B3222,[1]LifeList!$E$2:$G$2036,3)</f>
        <v>Cantorchilus thoracicus</v>
      </c>
      <c r="G3222" s="3" t="str">
        <f>VLOOKUP(B3222,[1]LifeList!$E$2:$I$2036,4)</f>
        <v>Passeriformes</v>
      </c>
      <c r="H3222" s="3" t="str">
        <f>VLOOKUP(B3222,[1]LifeList!$E$2:$I$2036,5)</f>
        <v>Troglodytidae (Wrens)</v>
      </c>
    </row>
    <row r="3223" spans="1:8" x14ac:dyDescent="0.15">
      <c r="A3223" s="3" t="s">
        <v>3103</v>
      </c>
      <c r="B3223" s="3" t="s">
        <v>4972</v>
      </c>
      <c r="C3223" s="3">
        <v>32915</v>
      </c>
      <c r="D3223" s="3" t="str">
        <f>VLOOKUP(B3223,[1]LifeList!$E$2:$G$2036,1)</f>
        <v>Stripe-headed Sparrow</v>
      </c>
      <c r="E3223" s="3" t="str">
        <f>VLOOKUP(B3223,[1]LifeList!$E$2:$G$2036,2)</f>
        <v>Bruant ligné</v>
      </c>
      <c r="F3223" s="3" t="str">
        <f>VLOOKUP(B3223,[1]LifeList!$E$2:$G$2036,3)</f>
        <v>Peucaea ruficauda</v>
      </c>
      <c r="G3223" s="3" t="str">
        <f>VLOOKUP(B3223,[1]LifeList!$E$2:$I$2036,4)</f>
        <v>Passeriformes</v>
      </c>
      <c r="H3223" s="3" t="str">
        <f>VLOOKUP(B3223,[1]LifeList!$E$2:$I$2036,5)</f>
        <v>Passerellidae (New World Sparrows)</v>
      </c>
    </row>
    <row r="3224" spans="1:8" x14ac:dyDescent="0.15">
      <c r="A3224" s="3" t="s">
        <v>3104</v>
      </c>
      <c r="B3224" s="3" t="s">
        <v>4973</v>
      </c>
      <c r="C3224" s="3">
        <v>5015</v>
      </c>
      <c r="D3224" s="3" t="str">
        <f>VLOOKUP(B3224,[1]LifeList!$E$2:$G$2036,1)</f>
        <v>Stripe-tailed Hummingbird</v>
      </c>
      <c r="E3224" s="3" t="str">
        <f>VLOOKUP(B3224,[1]LifeList!$E$2:$G$2036,2)</f>
        <v>Colibri à épaulettes</v>
      </c>
      <c r="F3224" s="3" t="str">
        <f>VLOOKUP(B3224,[1]LifeList!$E$2:$G$2036,3)</f>
        <v>Eupherusa eximia</v>
      </c>
      <c r="G3224" s="3" t="str">
        <f>VLOOKUP(B3224,[1]LifeList!$E$2:$I$2036,4)</f>
        <v>Apodiformes</v>
      </c>
      <c r="H3224" s="3" t="str">
        <f>VLOOKUP(B3224,[1]LifeList!$E$2:$I$2036,5)</f>
        <v>Trochilidae (Hummingbirds)</v>
      </c>
    </row>
    <row r="3225" spans="1:8" x14ac:dyDescent="0.15">
      <c r="A3225" s="3" t="s">
        <v>3105</v>
      </c>
      <c r="B3225" s="3" t="s">
        <v>4974</v>
      </c>
      <c r="C3225" s="3">
        <v>4310</v>
      </c>
      <c r="D3225" s="3" t="str">
        <f>VLOOKUP(B3225,[1]LifeList!$E$2:$G$2036,1)</f>
        <v>Stripe-throated Hermit</v>
      </c>
      <c r="E3225" s="3" t="str">
        <f>VLOOKUP(B3225,[1]LifeList!$E$2:$G$2036,2)</f>
        <v>Ermite à gorge rayée</v>
      </c>
      <c r="F3225" s="3" t="str">
        <f>VLOOKUP(B3225,[1]LifeList!$E$2:$G$2036,3)</f>
        <v>Phaethornis striigularis</v>
      </c>
      <c r="G3225" s="3" t="str">
        <f>VLOOKUP(B3225,[1]LifeList!$E$2:$I$2036,4)</f>
        <v>Apodiformes</v>
      </c>
      <c r="H3225" s="3" t="str">
        <f>VLOOKUP(B3225,[1]LifeList!$E$2:$I$2036,5)</f>
        <v>Trochilidae (Hummingbirds)</v>
      </c>
    </row>
    <row r="3226" spans="1:8" x14ac:dyDescent="0.15">
      <c r="A3226" s="3" t="s">
        <v>3106</v>
      </c>
      <c r="B3226" s="3" t="s">
        <v>4974</v>
      </c>
      <c r="C3226" s="3">
        <v>4310</v>
      </c>
      <c r="D3226" s="3" t="str">
        <f>VLOOKUP(B3226,[1]LifeList!$E$2:$G$2036,1)</f>
        <v>Stripe-throated Hermit</v>
      </c>
      <c r="E3226" s="3" t="str">
        <f>VLOOKUP(B3226,[1]LifeList!$E$2:$G$2036,2)</f>
        <v>Ermite à gorge rayée</v>
      </c>
      <c r="F3226" s="3" t="str">
        <f>VLOOKUP(B3226,[1]LifeList!$E$2:$G$2036,3)</f>
        <v>Phaethornis striigularis</v>
      </c>
      <c r="G3226" s="3" t="str">
        <f>VLOOKUP(B3226,[1]LifeList!$E$2:$I$2036,4)</f>
        <v>Apodiformes</v>
      </c>
      <c r="H3226" s="3" t="str">
        <f>VLOOKUP(B3226,[1]LifeList!$E$2:$I$2036,5)</f>
        <v>Trochilidae (Hummingbirds)</v>
      </c>
    </row>
    <row r="3227" spans="1:8" x14ac:dyDescent="0.15">
      <c r="A3227" s="3" t="s">
        <v>3108</v>
      </c>
      <c r="B3227" s="3" t="s">
        <v>4975</v>
      </c>
      <c r="C3227" s="3">
        <v>22925</v>
      </c>
      <c r="D3227" s="3" t="str">
        <f>VLOOKUP(B3227,[1]LifeList!$E$2:$G$2036,1)</f>
        <v>Stripe-throated Jery</v>
      </c>
      <c r="E3227" s="3" t="str">
        <f>VLOOKUP(B3227,[1]LifeList!$E$2:$G$2036,2)</f>
        <v>Grande Éroesse</v>
      </c>
      <c r="F3227" s="3" t="str">
        <f>VLOOKUP(B3227,[1]LifeList!$E$2:$G$2036,3)</f>
        <v>Neomixis striatigula</v>
      </c>
      <c r="G3227" s="3" t="str">
        <f>VLOOKUP(B3227,[1]LifeList!$E$2:$I$2036,4)</f>
        <v>Passeriformes</v>
      </c>
      <c r="H3227" s="3" t="str">
        <f>VLOOKUP(B3227,[1]LifeList!$E$2:$I$2036,5)</f>
        <v>Cisticolidae (Cisticolas and Allies)</v>
      </c>
    </row>
    <row r="3228" spans="1:8" x14ac:dyDescent="0.15">
      <c r="A3228" s="3" t="s">
        <v>3109</v>
      </c>
      <c r="B3228" s="3" t="s">
        <v>4975</v>
      </c>
      <c r="C3228" s="3">
        <v>22925</v>
      </c>
      <c r="D3228" s="3" t="str">
        <f>VLOOKUP(B3228,[1]LifeList!$E$2:$G$2036,1)</f>
        <v>Stripe-throated Jery</v>
      </c>
      <c r="E3228" s="3" t="str">
        <f>VLOOKUP(B3228,[1]LifeList!$E$2:$G$2036,2)</f>
        <v>Grande Éroesse</v>
      </c>
      <c r="F3228" s="3" t="str">
        <f>VLOOKUP(B3228,[1]LifeList!$E$2:$G$2036,3)</f>
        <v>Neomixis striatigula</v>
      </c>
      <c r="G3228" s="3" t="str">
        <f>VLOOKUP(B3228,[1]LifeList!$E$2:$I$2036,4)</f>
        <v>Passeriformes</v>
      </c>
      <c r="H3228" s="3" t="str">
        <f>VLOOKUP(B3228,[1]LifeList!$E$2:$I$2036,5)</f>
        <v>Cisticolidae (Cisticolas and Allies)</v>
      </c>
    </row>
    <row r="3229" spans="1:8" x14ac:dyDescent="0.15">
      <c r="A3229" s="3" t="s">
        <v>3110</v>
      </c>
      <c r="B3229" s="3" t="s">
        <v>4975</v>
      </c>
      <c r="C3229" s="3">
        <v>22925</v>
      </c>
      <c r="D3229" s="3" t="str">
        <f>VLOOKUP(B3229,[1]LifeList!$E$2:$G$2036,1)</f>
        <v>Stripe-throated Jery</v>
      </c>
      <c r="E3229" s="3" t="str">
        <f>VLOOKUP(B3229,[1]LifeList!$E$2:$G$2036,2)</f>
        <v>Grande Éroesse</v>
      </c>
      <c r="F3229" s="3" t="str">
        <f>VLOOKUP(B3229,[1]LifeList!$E$2:$G$2036,3)</f>
        <v>Neomixis striatigula</v>
      </c>
      <c r="G3229" s="3" t="str">
        <f>VLOOKUP(B3229,[1]LifeList!$E$2:$I$2036,4)</f>
        <v>Passeriformes</v>
      </c>
      <c r="H3229" s="3" t="str">
        <f>VLOOKUP(B3229,[1]LifeList!$E$2:$I$2036,5)</f>
        <v>Cisticolidae (Cisticolas and Allies)</v>
      </c>
    </row>
    <row r="3230" spans="1:8" x14ac:dyDescent="0.15">
      <c r="A3230" s="3" t="s">
        <v>3107</v>
      </c>
      <c r="B3230" s="3" t="s">
        <v>4975</v>
      </c>
      <c r="C3230" s="3">
        <v>22925</v>
      </c>
      <c r="D3230" s="3" t="str">
        <f>VLOOKUP(B3230,[1]LifeList!$E$2:$G$2036,1)</f>
        <v>Stripe-throated Jery</v>
      </c>
      <c r="E3230" s="3" t="str">
        <f>VLOOKUP(B3230,[1]LifeList!$E$2:$G$2036,2)</f>
        <v>Grande Éroesse</v>
      </c>
      <c r="F3230" s="3" t="str">
        <f>VLOOKUP(B3230,[1]LifeList!$E$2:$G$2036,3)</f>
        <v>Neomixis striatigula</v>
      </c>
      <c r="G3230" s="3" t="str">
        <f>VLOOKUP(B3230,[1]LifeList!$E$2:$I$2036,4)</f>
        <v>Passeriformes</v>
      </c>
      <c r="H3230" s="3" t="str">
        <f>VLOOKUP(B3230,[1]LifeList!$E$2:$I$2036,5)</f>
        <v>Cisticolidae (Cisticolas and Allies)</v>
      </c>
    </row>
    <row r="3231" spans="1:8" x14ac:dyDescent="0.15">
      <c r="A3231" s="3" t="s">
        <v>3111</v>
      </c>
      <c r="B3231" s="3" t="s">
        <v>4976</v>
      </c>
      <c r="C3231" s="3">
        <v>14749</v>
      </c>
      <c r="D3231" s="3" t="str">
        <f>VLOOKUP(B3231,[1]LifeList!$E$2:$G$2036,1)</f>
        <v>Strong-billed Woodcreeper</v>
      </c>
      <c r="E3231" s="3" t="str">
        <f>VLOOKUP(B3231,[1]LifeList!$E$2:$G$2036,2)</f>
        <v>Grimpar géant</v>
      </c>
      <c r="F3231" s="3" t="str">
        <f>VLOOKUP(B3231,[1]LifeList!$E$2:$G$2036,3)</f>
        <v>Xiphocolaptes promeropirhynchus</v>
      </c>
      <c r="G3231" s="3" t="str">
        <f>VLOOKUP(B3231,[1]LifeList!$E$2:$I$2036,4)</f>
        <v>Passeriformes</v>
      </c>
      <c r="H3231" s="3" t="str">
        <f>VLOOKUP(B3231,[1]LifeList!$E$2:$I$2036,5)</f>
        <v>Furnariidae (Ovenbirds and Woodcreepers)</v>
      </c>
    </row>
    <row r="3232" spans="1:8" x14ac:dyDescent="0.15">
      <c r="A3232" s="3" t="s">
        <v>3112</v>
      </c>
      <c r="B3232" s="3" t="s">
        <v>4977</v>
      </c>
      <c r="C3232" s="3">
        <v>9269</v>
      </c>
      <c r="D3232" s="3" t="str">
        <f>VLOOKUP(B3232,[1]LifeList!$E$2:$G$2036,1)</f>
        <v>Stygian Owl</v>
      </c>
      <c r="E3232" s="3" t="str">
        <f>VLOOKUP(B3232,[1]LifeList!$E$2:$G$2036,2)</f>
        <v>Hibou maître-bois</v>
      </c>
      <c r="F3232" s="3" t="str">
        <f>VLOOKUP(B3232,[1]LifeList!$E$2:$G$2036,3)</f>
        <v>Asio stygius</v>
      </c>
      <c r="G3232" s="3" t="str">
        <f>VLOOKUP(B3232,[1]LifeList!$E$2:$I$2036,4)</f>
        <v>Strigiformes</v>
      </c>
      <c r="H3232" s="3" t="str">
        <f>VLOOKUP(B3232,[1]LifeList!$E$2:$I$2036,5)</f>
        <v>Strigidae (Owls)</v>
      </c>
    </row>
    <row r="3233" spans="1:8" x14ac:dyDescent="0.15">
      <c r="A3233" s="3" t="s">
        <v>3113</v>
      </c>
      <c r="B3233" s="3" t="s">
        <v>4977</v>
      </c>
      <c r="C3233" s="3">
        <v>9269</v>
      </c>
      <c r="D3233" s="3" t="str">
        <f>VLOOKUP(B3233,[1]LifeList!$E$2:$G$2036,1)</f>
        <v>Stygian Owl</v>
      </c>
      <c r="E3233" s="3" t="str">
        <f>VLOOKUP(B3233,[1]LifeList!$E$2:$G$2036,2)</f>
        <v>Hibou maître-bois</v>
      </c>
      <c r="F3233" s="3" t="str">
        <f>VLOOKUP(B3233,[1]LifeList!$E$2:$G$2036,3)</f>
        <v>Asio stygius</v>
      </c>
      <c r="G3233" s="3" t="str">
        <f>VLOOKUP(B3233,[1]LifeList!$E$2:$I$2036,4)</f>
        <v>Strigiformes</v>
      </c>
      <c r="H3233" s="3" t="str">
        <f>VLOOKUP(B3233,[1]LifeList!$E$2:$I$2036,5)</f>
        <v>Strigidae (Owls)</v>
      </c>
    </row>
    <row r="3234" spans="1:8" x14ac:dyDescent="0.15">
      <c r="A3234" s="3" t="s">
        <v>3114</v>
      </c>
      <c r="B3234" s="3" t="s">
        <v>4978</v>
      </c>
      <c r="C3234" s="3">
        <v>23622</v>
      </c>
      <c r="D3234" s="3" t="str">
        <f>VLOOKUP(B3234,[1]LifeList!$E$2:$G$2036,1)</f>
        <v>Subdesert Brush-Warbler</v>
      </c>
      <c r="E3234" s="3" t="str">
        <f>VLOOKUP(B3234,[1]LifeList!$E$2:$G$2036,2)</f>
        <v>Nésille de Lantz</v>
      </c>
      <c r="F3234" s="3" t="str">
        <f>VLOOKUP(B3234,[1]LifeList!$E$2:$G$2036,3)</f>
        <v>Nesillas lantzii</v>
      </c>
      <c r="G3234" s="3" t="str">
        <f>VLOOKUP(B3234,[1]LifeList!$E$2:$I$2036,4)</f>
        <v>Passeriformes</v>
      </c>
      <c r="H3234" s="3" t="str">
        <f>VLOOKUP(B3234,[1]LifeList!$E$2:$I$2036,5)</f>
        <v>Acrocephalidae (Reed Warblers and Allies)</v>
      </c>
    </row>
    <row r="3235" spans="1:8" x14ac:dyDescent="0.15">
      <c r="A3235" s="3" t="s">
        <v>3115</v>
      </c>
      <c r="B3235" s="3" t="s">
        <v>4979</v>
      </c>
      <c r="C3235" s="3">
        <v>2860</v>
      </c>
      <c r="D3235" s="3" t="str">
        <f>VLOOKUP(B3235,[1]LifeList!$E$2:$G$2036,1)</f>
        <v>Subdesert Mesite</v>
      </c>
      <c r="E3235" s="3" t="str">
        <f>VLOOKUP(B3235,[1]LifeList!$E$2:$G$2036,2)</f>
        <v>Mésite monias</v>
      </c>
      <c r="F3235" s="3" t="str">
        <f>VLOOKUP(B3235,[1]LifeList!$E$2:$G$2036,3)</f>
        <v>Monias benschi</v>
      </c>
      <c r="G3235" s="3" t="str">
        <f>VLOOKUP(B3235,[1]LifeList!$E$2:$I$2036,4)</f>
        <v>Mesitornithiformes</v>
      </c>
      <c r="H3235" s="3" t="str">
        <f>VLOOKUP(B3235,[1]LifeList!$E$2:$I$2036,5)</f>
        <v>Mesitornithidae (Mesites)</v>
      </c>
    </row>
    <row r="3236" spans="1:8" x14ac:dyDescent="0.15">
      <c r="A3236" s="3" t="s">
        <v>3116</v>
      </c>
      <c r="B3236" s="3" t="s">
        <v>4979</v>
      </c>
      <c r="C3236" s="3">
        <v>2860</v>
      </c>
      <c r="D3236" s="3" t="str">
        <f>VLOOKUP(B3236,[1]LifeList!$E$2:$G$2036,1)</f>
        <v>Subdesert Mesite</v>
      </c>
      <c r="E3236" s="3" t="str">
        <f>VLOOKUP(B3236,[1]LifeList!$E$2:$G$2036,2)</f>
        <v>Mésite monias</v>
      </c>
      <c r="F3236" s="3" t="str">
        <f>VLOOKUP(B3236,[1]LifeList!$E$2:$G$2036,3)</f>
        <v>Monias benschi</v>
      </c>
      <c r="G3236" s="3" t="str">
        <f>VLOOKUP(B3236,[1]LifeList!$E$2:$I$2036,4)</f>
        <v>Mesitornithiformes</v>
      </c>
      <c r="H3236" s="3" t="str">
        <f>VLOOKUP(B3236,[1]LifeList!$E$2:$I$2036,5)</f>
        <v>Mesitornithidae (Mesites)</v>
      </c>
    </row>
    <row r="3237" spans="1:8" x14ac:dyDescent="0.15">
      <c r="A3237" s="3" t="s">
        <v>3117</v>
      </c>
      <c r="B3237" s="3" t="s">
        <v>4980</v>
      </c>
      <c r="C3237" s="3">
        <v>17438</v>
      </c>
      <c r="D3237" s="3" t="str">
        <f>VLOOKUP(B3237,[1]LifeList!$E$2:$G$2036,1)</f>
        <v>Sulphur-bellied Flycatcher</v>
      </c>
      <c r="E3237" s="3" t="str">
        <f>VLOOKUP(B3237,[1]LifeList!$E$2:$G$2036,2)</f>
        <v>Tyran tigré</v>
      </c>
      <c r="F3237" s="3" t="str">
        <f>VLOOKUP(B3237,[1]LifeList!$E$2:$G$2036,3)</f>
        <v>Myiodynastes luteiventris</v>
      </c>
      <c r="G3237" s="3" t="str">
        <f>VLOOKUP(B3237,[1]LifeList!$E$2:$I$2036,4)</f>
        <v>Passeriformes</v>
      </c>
      <c r="H3237" s="3" t="str">
        <f>VLOOKUP(B3237,[1]LifeList!$E$2:$I$2036,5)</f>
        <v>Tyrannidae (Tyrant Flycatchers)</v>
      </c>
    </row>
    <row r="3238" spans="1:8" x14ac:dyDescent="0.15">
      <c r="A3238" s="3" t="s">
        <v>3118</v>
      </c>
      <c r="B3238" s="3" t="s">
        <v>4980</v>
      </c>
      <c r="C3238" s="3">
        <v>17438</v>
      </c>
      <c r="D3238" s="3" t="str">
        <f>VLOOKUP(B3238,[1]LifeList!$E$2:$G$2036,1)</f>
        <v>Sulphur-bellied Flycatcher</v>
      </c>
      <c r="E3238" s="3" t="str">
        <f>VLOOKUP(B3238,[1]LifeList!$E$2:$G$2036,2)</f>
        <v>Tyran tigré</v>
      </c>
      <c r="F3238" s="3" t="str">
        <f>VLOOKUP(B3238,[1]LifeList!$E$2:$G$2036,3)</f>
        <v>Myiodynastes luteiventris</v>
      </c>
      <c r="G3238" s="3" t="str">
        <f>VLOOKUP(B3238,[1]LifeList!$E$2:$I$2036,4)</f>
        <v>Passeriformes</v>
      </c>
      <c r="H3238" s="3" t="str">
        <f>VLOOKUP(B3238,[1]LifeList!$E$2:$I$2036,5)</f>
        <v>Tyrannidae (Tyrant Flycatchers)</v>
      </c>
    </row>
    <row r="3239" spans="1:8" x14ac:dyDescent="0.15">
      <c r="A3239" s="3" t="s">
        <v>3119</v>
      </c>
      <c r="B3239" s="3" t="s">
        <v>4981</v>
      </c>
      <c r="C3239" s="3">
        <v>20169</v>
      </c>
      <c r="D3239" s="3" t="str">
        <f>VLOOKUP(B3239,[1]LifeList!$E$2:$G$2036,1)</f>
        <v>Sulphur-breasted Bushshrike</v>
      </c>
      <c r="E3239" s="3" t="str">
        <f>VLOOKUP(B3239,[1]LifeList!$E$2:$G$2036,2)</f>
        <v>Gonolek soufré</v>
      </c>
      <c r="F3239" s="3" t="str">
        <f>VLOOKUP(B3239,[1]LifeList!$E$2:$G$2036,3)</f>
        <v>Chlorophoneus sulfureopectus</v>
      </c>
      <c r="G3239" s="3" t="str">
        <f>VLOOKUP(B3239,[1]LifeList!$E$2:$I$2036,4)</f>
        <v>Passeriformes</v>
      </c>
      <c r="H3239" s="3" t="str">
        <f>VLOOKUP(B3239,[1]LifeList!$E$2:$I$2036,5)</f>
        <v>Malaconotidae (Bushshrikes and Allies)</v>
      </c>
    </row>
    <row r="3240" spans="1:8" x14ac:dyDescent="0.15">
      <c r="A3240" s="3" t="s">
        <v>3120</v>
      </c>
      <c r="B3240" s="3" t="s">
        <v>4982</v>
      </c>
      <c r="C3240" s="3">
        <v>12212</v>
      </c>
      <c r="D3240" s="3" t="str">
        <f>VLOOKUP(B3240,[1]LifeList!$E$2:$G$2036,1)</f>
        <v>Sulphur-crested Cockatoo</v>
      </c>
      <c r="E3240" s="3" t="str">
        <f>VLOOKUP(B3240,[1]LifeList!$E$2:$G$2036,2)</f>
        <v>Cacatoès à huppe jaune</v>
      </c>
      <c r="F3240" s="3" t="str">
        <f>VLOOKUP(B3240,[1]LifeList!$E$2:$G$2036,3)</f>
        <v>Cacatua galerita</v>
      </c>
      <c r="G3240" s="3" t="str">
        <f>VLOOKUP(B3240,[1]LifeList!$E$2:$I$2036,4)</f>
        <v>Psittaciformes</v>
      </c>
      <c r="H3240" s="3" t="str">
        <f>VLOOKUP(B3240,[1]LifeList!$E$2:$I$2036,5)</f>
        <v>Cacatuidae (Cockatoos)</v>
      </c>
    </row>
    <row r="3241" spans="1:8" x14ac:dyDescent="0.15">
      <c r="A3241" s="3" t="s">
        <v>3121</v>
      </c>
      <c r="B3241" s="3" t="s">
        <v>4982</v>
      </c>
      <c r="C3241" s="3">
        <v>12212</v>
      </c>
      <c r="D3241" s="3" t="str">
        <f>VLOOKUP(B3241,[1]LifeList!$E$2:$G$2036,1)</f>
        <v>Sulphur-crested Cockatoo</v>
      </c>
      <c r="E3241" s="3" t="str">
        <f>VLOOKUP(B3241,[1]LifeList!$E$2:$G$2036,2)</f>
        <v>Cacatoès à huppe jaune</v>
      </c>
      <c r="F3241" s="3" t="str">
        <f>VLOOKUP(B3241,[1]LifeList!$E$2:$G$2036,3)</f>
        <v>Cacatua galerita</v>
      </c>
      <c r="G3241" s="3" t="str">
        <f>VLOOKUP(B3241,[1]LifeList!$E$2:$I$2036,4)</f>
        <v>Psittaciformes</v>
      </c>
      <c r="H3241" s="3" t="str">
        <f>VLOOKUP(B3241,[1]LifeList!$E$2:$I$2036,5)</f>
        <v>Cacatuidae (Cockatoos)</v>
      </c>
    </row>
    <row r="3242" spans="1:8" x14ac:dyDescent="0.15">
      <c r="A3242" s="3" t="s">
        <v>3122</v>
      </c>
      <c r="B3242" s="3" t="s">
        <v>4983</v>
      </c>
      <c r="C3242" s="3">
        <v>13072</v>
      </c>
      <c r="D3242" s="3" t="str">
        <f>VLOOKUP(B3242,[1]LifeList!$E$2:$G$2036,1)</f>
        <v>Sulphur-winged Parakeet</v>
      </c>
      <c r="E3242" s="3" t="str">
        <f>VLOOKUP(B3242,[1]LifeList!$E$2:$G$2036,2)</f>
        <v>Conure de Hoffmann</v>
      </c>
      <c r="F3242" s="3" t="str">
        <f>VLOOKUP(B3242,[1]LifeList!$E$2:$G$2036,3)</f>
        <v>Pyrrhura hoffmanni</v>
      </c>
      <c r="G3242" s="3" t="str">
        <f>VLOOKUP(B3242,[1]LifeList!$E$2:$I$2036,4)</f>
        <v>Psittaciformes</v>
      </c>
      <c r="H3242" s="3" t="str">
        <f>VLOOKUP(B3242,[1]LifeList!$E$2:$I$2036,5)</f>
        <v>Psittacidae (New World and African Parrots)</v>
      </c>
    </row>
    <row r="3243" spans="1:8" x14ac:dyDescent="0.15">
      <c r="A3243" s="3" t="s">
        <v>3123</v>
      </c>
      <c r="B3243" s="3" t="s">
        <v>4983</v>
      </c>
      <c r="C3243" s="3">
        <v>13072</v>
      </c>
      <c r="D3243" s="3" t="str">
        <f>VLOOKUP(B3243,[1]LifeList!$E$2:$G$2036,1)</f>
        <v>Sulphur-winged Parakeet</v>
      </c>
      <c r="E3243" s="3" t="str">
        <f>VLOOKUP(B3243,[1]LifeList!$E$2:$G$2036,2)</f>
        <v>Conure de Hoffmann</v>
      </c>
      <c r="F3243" s="3" t="str">
        <f>VLOOKUP(B3243,[1]LifeList!$E$2:$G$2036,3)</f>
        <v>Pyrrhura hoffmanni</v>
      </c>
      <c r="G3243" s="3" t="str">
        <f>VLOOKUP(B3243,[1]LifeList!$E$2:$I$2036,4)</f>
        <v>Psittaciformes</v>
      </c>
      <c r="H3243" s="3" t="str">
        <f>VLOOKUP(B3243,[1]LifeList!$E$2:$I$2036,5)</f>
        <v>Psittacidae (New World and African Parrots)</v>
      </c>
    </row>
    <row r="3244" spans="1:8" x14ac:dyDescent="0.15">
      <c r="A3244" s="3" t="s">
        <v>3124</v>
      </c>
      <c r="B3244" s="3" t="s">
        <v>4984</v>
      </c>
      <c r="C3244" s="3">
        <v>34432</v>
      </c>
      <c r="D3244" s="3" t="str">
        <f>VLOOKUP(B3244,[1]LifeList!$E$2:$G$2036,1)</f>
        <v>Summer Tanager</v>
      </c>
      <c r="E3244" s="3" t="str">
        <f>VLOOKUP(B3244,[1]LifeList!$E$2:$G$2036,2)</f>
        <v>Piranga vermillon</v>
      </c>
      <c r="F3244" s="3" t="str">
        <f>VLOOKUP(B3244,[1]LifeList!$E$2:$G$2036,3)</f>
        <v>Piranga rubra</v>
      </c>
      <c r="G3244" s="3" t="str">
        <f>VLOOKUP(B3244,[1]LifeList!$E$2:$I$2036,4)</f>
        <v>Passeriformes</v>
      </c>
      <c r="H3244" s="3" t="str">
        <f>VLOOKUP(B3244,[1]LifeList!$E$2:$I$2036,5)</f>
        <v>Cardinalidae (Cardinals and Allies)</v>
      </c>
    </row>
    <row r="3245" spans="1:8" x14ac:dyDescent="0.15">
      <c r="A3245" s="3" t="s">
        <v>3125</v>
      </c>
      <c r="B3245" s="3" t="s">
        <v>4984</v>
      </c>
      <c r="C3245" s="3">
        <v>34432</v>
      </c>
      <c r="D3245" s="3" t="str">
        <f>VLOOKUP(B3245,[1]LifeList!$E$2:$G$2036,1)</f>
        <v>Summer Tanager</v>
      </c>
      <c r="E3245" s="3" t="str">
        <f>VLOOKUP(B3245,[1]LifeList!$E$2:$G$2036,2)</f>
        <v>Piranga vermillon</v>
      </c>
      <c r="F3245" s="3" t="str">
        <f>VLOOKUP(B3245,[1]LifeList!$E$2:$G$2036,3)</f>
        <v>Piranga rubra</v>
      </c>
      <c r="G3245" s="3" t="str">
        <f>VLOOKUP(B3245,[1]LifeList!$E$2:$I$2036,4)</f>
        <v>Passeriformes</v>
      </c>
      <c r="H3245" s="3" t="str">
        <f>VLOOKUP(B3245,[1]LifeList!$E$2:$I$2036,5)</f>
        <v>Cardinalidae (Cardinals and Allies)</v>
      </c>
    </row>
    <row r="3246" spans="1:8" x14ac:dyDescent="0.15">
      <c r="A3246" s="3" t="s">
        <v>3126</v>
      </c>
      <c r="B3246" s="3" t="s">
        <v>4984</v>
      </c>
      <c r="C3246" s="3">
        <v>34432</v>
      </c>
      <c r="D3246" s="3" t="str">
        <f>VLOOKUP(B3246,[1]LifeList!$E$2:$G$2036,1)</f>
        <v>Summer Tanager</v>
      </c>
      <c r="E3246" s="3" t="str">
        <f>VLOOKUP(B3246,[1]LifeList!$E$2:$G$2036,2)</f>
        <v>Piranga vermillon</v>
      </c>
      <c r="F3246" s="3" t="str">
        <f>VLOOKUP(B3246,[1]LifeList!$E$2:$G$2036,3)</f>
        <v>Piranga rubra</v>
      </c>
      <c r="G3246" s="3" t="str">
        <f>VLOOKUP(B3246,[1]LifeList!$E$2:$I$2036,4)</f>
        <v>Passeriformes</v>
      </c>
      <c r="H3246" s="3" t="str">
        <f>VLOOKUP(B3246,[1]LifeList!$E$2:$I$2036,5)</f>
        <v>Cardinalidae (Cardinals and Allies)</v>
      </c>
    </row>
    <row r="3247" spans="1:8" x14ac:dyDescent="0.15">
      <c r="A3247" s="3" t="s">
        <v>3127</v>
      </c>
      <c r="B3247" s="3" t="s">
        <v>4984</v>
      </c>
      <c r="C3247" s="3">
        <v>34432</v>
      </c>
      <c r="D3247" s="3" t="str">
        <f>VLOOKUP(B3247,[1]LifeList!$E$2:$G$2036,1)</f>
        <v>Summer Tanager</v>
      </c>
      <c r="E3247" s="3" t="str">
        <f>VLOOKUP(B3247,[1]LifeList!$E$2:$G$2036,2)</f>
        <v>Piranga vermillon</v>
      </c>
      <c r="F3247" s="3" t="str">
        <f>VLOOKUP(B3247,[1]LifeList!$E$2:$G$2036,3)</f>
        <v>Piranga rubra</v>
      </c>
      <c r="G3247" s="3" t="str">
        <f>VLOOKUP(B3247,[1]LifeList!$E$2:$I$2036,4)</f>
        <v>Passeriformes</v>
      </c>
      <c r="H3247" s="3" t="str">
        <f>VLOOKUP(B3247,[1]LifeList!$E$2:$I$2036,5)</f>
        <v>Cardinalidae (Cardinals and Allies)</v>
      </c>
    </row>
    <row r="3248" spans="1:8" x14ac:dyDescent="0.15">
      <c r="A3248" s="3" t="s">
        <v>3128</v>
      </c>
      <c r="B3248" s="3" t="s">
        <v>4984</v>
      </c>
      <c r="C3248" s="3">
        <v>34432</v>
      </c>
      <c r="D3248" s="3" t="str">
        <f>VLOOKUP(B3248,[1]LifeList!$E$2:$G$2036,1)</f>
        <v>Summer Tanager</v>
      </c>
      <c r="E3248" s="3" t="str">
        <f>VLOOKUP(B3248,[1]LifeList!$E$2:$G$2036,2)</f>
        <v>Piranga vermillon</v>
      </c>
      <c r="F3248" s="3" t="str">
        <f>VLOOKUP(B3248,[1]LifeList!$E$2:$G$2036,3)</f>
        <v>Piranga rubra</v>
      </c>
      <c r="G3248" s="3" t="str">
        <f>VLOOKUP(B3248,[1]LifeList!$E$2:$I$2036,4)</f>
        <v>Passeriformes</v>
      </c>
      <c r="H3248" s="3" t="str">
        <f>VLOOKUP(B3248,[1]LifeList!$E$2:$I$2036,5)</f>
        <v>Cardinalidae (Cardinals and Allies)</v>
      </c>
    </row>
    <row r="3249" spans="1:8" x14ac:dyDescent="0.15">
      <c r="A3249" s="3" t="s">
        <v>3129</v>
      </c>
      <c r="B3249" s="3" t="s">
        <v>4984</v>
      </c>
      <c r="C3249" s="3">
        <v>34432</v>
      </c>
      <c r="D3249" s="3" t="str">
        <f>VLOOKUP(B3249,[1]LifeList!$E$2:$G$2036,1)</f>
        <v>Summer Tanager</v>
      </c>
      <c r="E3249" s="3" t="str">
        <f>VLOOKUP(B3249,[1]LifeList!$E$2:$G$2036,2)</f>
        <v>Piranga vermillon</v>
      </c>
      <c r="F3249" s="3" t="str">
        <f>VLOOKUP(B3249,[1]LifeList!$E$2:$G$2036,3)</f>
        <v>Piranga rubra</v>
      </c>
      <c r="G3249" s="3" t="str">
        <f>VLOOKUP(B3249,[1]LifeList!$E$2:$I$2036,4)</f>
        <v>Passeriformes</v>
      </c>
      <c r="H3249" s="3" t="str">
        <f>VLOOKUP(B3249,[1]LifeList!$E$2:$I$2036,5)</f>
        <v>Cardinalidae (Cardinals and Allies)</v>
      </c>
    </row>
    <row r="3250" spans="1:8" x14ac:dyDescent="0.15">
      <c r="A3250" s="3" t="s">
        <v>3130</v>
      </c>
      <c r="B3250" s="3" t="s">
        <v>4984</v>
      </c>
      <c r="C3250" s="3">
        <v>34432</v>
      </c>
      <c r="D3250" s="3" t="str">
        <f>VLOOKUP(B3250,[1]LifeList!$E$2:$G$2036,1)</f>
        <v>Summer Tanager</v>
      </c>
      <c r="E3250" s="3" t="str">
        <f>VLOOKUP(B3250,[1]LifeList!$E$2:$G$2036,2)</f>
        <v>Piranga vermillon</v>
      </c>
      <c r="F3250" s="3" t="str">
        <f>VLOOKUP(B3250,[1]LifeList!$E$2:$G$2036,3)</f>
        <v>Piranga rubra</v>
      </c>
      <c r="G3250" s="3" t="str">
        <f>VLOOKUP(B3250,[1]LifeList!$E$2:$I$2036,4)</f>
        <v>Passeriformes</v>
      </c>
      <c r="H3250" s="3" t="str">
        <f>VLOOKUP(B3250,[1]LifeList!$E$2:$I$2036,5)</f>
        <v>Cardinalidae (Cardinals and Allies)</v>
      </c>
    </row>
    <row r="3251" spans="1:8" x14ac:dyDescent="0.15">
      <c r="A3251" s="3" t="s">
        <v>3131</v>
      </c>
      <c r="B3251" s="3" t="s">
        <v>4984</v>
      </c>
      <c r="C3251" s="3">
        <v>34432</v>
      </c>
      <c r="D3251" s="3" t="str">
        <f>VLOOKUP(B3251,[1]LifeList!$E$2:$G$2036,1)</f>
        <v>Summer Tanager</v>
      </c>
      <c r="E3251" s="3" t="str">
        <f>VLOOKUP(B3251,[1]LifeList!$E$2:$G$2036,2)</f>
        <v>Piranga vermillon</v>
      </c>
      <c r="F3251" s="3" t="str">
        <f>VLOOKUP(B3251,[1]LifeList!$E$2:$G$2036,3)</f>
        <v>Piranga rubra</v>
      </c>
      <c r="G3251" s="3" t="str">
        <f>VLOOKUP(B3251,[1]LifeList!$E$2:$I$2036,4)</f>
        <v>Passeriformes</v>
      </c>
      <c r="H3251" s="3" t="str">
        <f>VLOOKUP(B3251,[1]LifeList!$E$2:$I$2036,5)</f>
        <v>Cardinalidae (Cardinals and Allies)</v>
      </c>
    </row>
    <row r="3252" spans="1:8" x14ac:dyDescent="0.15">
      <c r="A3252" s="3" t="s">
        <v>3132</v>
      </c>
      <c r="B3252" s="3" t="s">
        <v>4985</v>
      </c>
      <c r="C3252" s="3">
        <v>6902</v>
      </c>
      <c r="D3252" s="3" t="str">
        <f>VLOOKUP(B3252,[1]LifeList!$E$2:$G$2036,1)</f>
        <v>Sunbittern</v>
      </c>
      <c r="E3252" s="3" t="str">
        <f>VLOOKUP(B3252,[1]LifeList!$E$2:$G$2036,2)</f>
        <v>Caurale soleil</v>
      </c>
      <c r="F3252" s="3" t="str">
        <f>VLOOKUP(B3252,[1]LifeList!$E$2:$G$2036,3)</f>
        <v>Eurypyga helias</v>
      </c>
      <c r="G3252" s="3" t="str">
        <f>VLOOKUP(B3252,[1]LifeList!$E$2:$I$2036,4)</f>
        <v>Eurypygiformes</v>
      </c>
      <c r="H3252" s="3" t="str">
        <f>VLOOKUP(B3252,[1]LifeList!$E$2:$I$2036,5)</f>
        <v>Eurypygidae (Sunbittern)</v>
      </c>
    </row>
    <row r="3253" spans="1:8" x14ac:dyDescent="0.15">
      <c r="A3253" s="3" t="s">
        <v>3133</v>
      </c>
      <c r="B3253" s="3" t="s">
        <v>4985</v>
      </c>
      <c r="C3253" s="3">
        <v>6902</v>
      </c>
      <c r="D3253" s="3" t="str">
        <f>VLOOKUP(B3253,[1]LifeList!$E$2:$G$2036,1)</f>
        <v>Sunbittern</v>
      </c>
      <c r="E3253" s="3" t="str">
        <f>VLOOKUP(B3253,[1]LifeList!$E$2:$G$2036,2)</f>
        <v>Caurale soleil</v>
      </c>
      <c r="F3253" s="3" t="str">
        <f>VLOOKUP(B3253,[1]LifeList!$E$2:$G$2036,3)</f>
        <v>Eurypyga helias</v>
      </c>
      <c r="G3253" s="3" t="str">
        <f>VLOOKUP(B3253,[1]LifeList!$E$2:$I$2036,4)</f>
        <v>Eurypygiformes</v>
      </c>
      <c r="H3253" s="3" t="str">
        <f>VLOOKUP(B3253,[1]LifeList!$E$2:$I$2036,5)</f>
        <v>Eurypygidae (Sunbittern)</v>
      </c>
    </row>
    <row r="3254" spans="1:8" x14ac:dyDescent="0.15">
      <c r="A3254" s="3" t="s">
        <v>3134</v>
      </c>
      <c r="B3254" s="3" t="s">
        <v>4985</v>
      </c>
      <c r="C3254" s="3">
        <v>6902</v>
      </c>
      <c r="D3254" s="3" t="str">
        <f>VLOOKUP(B3254,[1]LifeList!$E$2:$G$2036,1)</f>
        <v>Sunbittern</v>
      </c>
      <c r="E3254" s="3" t="str">
        <f>VLOOKUP(B3254,[1]LifeList!$E$2:$G$2036,2)</f>
        <v>Caurale soleil</v>
      </c>
      <c r="F3254" s="3" t="str">
        <f>VLOOKUP(B3254,[1]LifeList!$E$2:$G$2036,3)</f>
        <v>Eurypyga helias</v>
      </c>
      <c r="G3254" s="3" t="str">
        <f>VLOOKUP(B3254,[1]LifeList!$E$2:$I$2036,4)</f>
        <v>Eurypygiformes</v>
      </c>
      <c r="H3254" s="3" t="str">
        <f>VLOOKUP(B3254,[1]LifeList!$E$2:$I$2036,5)</f>
        <v>Eurypygidae (Sunbittern)</v>
      </c>
    </row>
    <row r="3255" spans="1:8" x14ac:dyDescent="0.15">
      <c r="A3255" s="3" t="s">
        <v>3135</v>
      </c>
      <c r="B3255" s="3" t="s">
        <v>4985</v>
      </c>
      <c r="C3255" s="3">
        <v>6902</v>
      </c>
      <c r="D3255" s="3" t="str">
        <f>VLOOKUP(B3255,[1]LifeList!$E$2:$G$2036,1)</f>
        <v>Sunbittern</v>
      </c>
      <c r="E3255" s="3" t="str">
        <f>VLOOKUP(B3255,[1]LifeList!$E$2:$G$2036,2)</f>
        <v>Caurale soleil</v>
      </c>
      <c r="F3255" s="3" t="str">
        <f>VLOOKUP(B3255,[1]LifeList!$E$2:$G$2036,3)</f>
        <v>Eurypyga helias</v>
      </c>
      <c r="G3255" s="3" t="str">
        <f>VLOOKUP(B3255,[1]LifeList!$E$2:$I$2036,4)</f>
        <v>Eurypygiformes</v>
      </c>
      <c r="H3255" s="3" t="str">
        <f>VLOOKUP(B3255,[1]LifeList!$E$2:$I$2036,5)</f>
        <v>Eurypygidae (Sunbittern)</v>
      </c>
    </row>
    <row r="3256" spans="1:8" x14ac:dyDescent="0.15">
      <c r="A3256" s="3" t="s">
        <v>3136</v>
      </c>
      <c r="B3256" s="3" t="s">
        <v>4986</v>
      </c>
      <c r="C3256" s="3">
        <v>17670</v>
      </c>
      <c r="D3256" s="3" t="str">
        <f>VLOOKUP(B3256,[1]LifeList!$E$2:$G$2036,1)</f>
        <v>Superb Fairywren</v>
      </c>
      <c r="E3256" s="3" t="str">
        <f>VLOOKUP(B3256,[1]LifeList!$E$2:$G$2036,2)</f>
        <v>Mérion superbe</v>
      </c>
      <c r="F3256" s="3" t="str">
        <f>VLOOKUP(B3256,[1]LifeList!$E$2:$G$2036,3)</f>
        <v>Malurus cyaneus</v>
      </c>
      <c r="G3256" s="3" t="str">
        <f>VLOOKUP(B3256,[1]LifeList!$E$2:$I$2036,4)</f>
        <v>Passeriformes</v>
      </c>
      <c r="H3256" s="3" t="str">
        <f>VLOOKUP(B3256,[1]LifeList!$E$2:$I$2036,5)</f>
        <v>Maluridae (Fairywrens)</v>
      </c>
    </row>
    <row r="3257" spans="1:8" x14ac:dyDescent="0.15">
      <c r="A3257" s="3" t="s">
        <v>3137</v>
      </c>
      <c r="B3257" s="3" t="s">
        <v>4986</v>
      </c>
      <c r="C3257" s="3">
        <v>17670</v>
      </c>
      <c r="D3257" s="3" t="str">
        <f>VLOOKUP(B3257,[1]LifeList!$E$2:$G$2036,1)</f>
        <v>Superb Fairywren</v>
      </c>
      <c r="E3257" s="3" t="str">
        <f>VLOOKUP(B3257,[1]LifeList!$E$2:$G$2036,2)</f>
        <v>Mérion superbe</v>
      </c>
      <c r="F3257" s="3" t="str">
        <f>VLOOKUP(B3257,[1]LifeList!$E$2:$G$2036,3)</f>
        <v>Malurus cyaneus</v>
      </c>
      <c r="G3257" s="3" t="str">
        <f>VLOOKUP(B3257,[1]LifeList!$E$2:$I$2036,4)</f>
        <v>Passeriformes</v>
      </c>
      <c r="H3257" s="3" t="str">
        <f>VLOOKUP(B3257,[1]LifeList!$E$2:$I$2036,5)</f>
        <v>Maluridae (Fairywrens)</v>
      </c>
    </row>
    <row r="3258" spans="1:8" x14ac:dyDescent="0.15">
      <c r="A3258" s="3" t="s">
        <v>3138</v>
      </c>
      <c r="B3258" s="3" t="s">
        <v>4987</v>
      </c>
      <c r="C3258" s="3">
        <v>27965</v>
      </c>
      <c r="D3258" s="3" t="str">
        <f>VLOOKUP(B3258,[1]LifeList!$E$2:$G$2036,1)</f>
        <v>Superb Starling</v>
      </c>
      <c r="E3258" s="3" t="str">
        <f>VLOOKUP(B3258,[1]LifeList!$E$2:$G$2036,2)</f>
        <v>Choucador superbe</v>
      </c>
      <c r="F3258" s="3" t="str">
        <f>VLOOKUP(B3258,[1]LifeList!$E$2:$G$2036,3)</f>
        <v>Lamprotornis superbus</v>
      </c>
      <c r="G3258" s="3" t="str">
        <f>VLOOKUP(B3258,[1]LifeList!$E$2:$I$2036,4)</f>
        <v>Passeriformes</v>
      </c>
      <c r="H3258" s="3" t="str">
        <f>VLOOKUP(B3258,[1]LifeList!$E$2:$I$2036,5)</f>
        <v>Sturnidae (Starlings)</v>
      </c>
    </row>
    <row r="3259" spans="1:8" x14ac:dyDescent="0.15">
      <c r="A3259" s="3" t="s">
        <v>3139</v>
      </c>
      <c r="B3259" s="3" t="s">
        <v>4988</v>
      </c>
      <c r="C3259" s="3">
        <v>34708</v>
      </c>
      <c r="D3259" s="3" t="str">
        <f>VLOOKUP(B3259,[1]LifeList!$E$2:$G$2036,1)</f>
        <v>Superciliaried Hemispingus</v>
      </c>
      <c r="E3259" s="3" t="str">
        <f>VLOOKUP(B3259,[1]LifeList!$E$2:$G$2036,2)</f>
        <v>Tangara bridé</v>
      </c>
      <c r="F3259" s="3" t="str">
        <f>VLOOKUP(B3259,[1]LifeList!$E$2:$G$2036,3)</f>
        <v>Thlypopsis superciliaris</v>
      </c>
      <c r="G3259" s="3" t="str">
        <f>VLOOKUP(B3259,[1]LifeList!$E$2:$I$2036,4)</f>
        <v>Passeriformes</v>
      </c>
      <c r="H3259" s="3" t="str">
        <f>VLOOKUP(B3259,[1]LifeList!$E$2:$I$2036,5)</f>
        <v>Thraupidae (Tanagers and Allies)</v>
      </c>
    </row>
    <row r="3260" spans="1:8" x14ac:dyDescent="0.15">
      <c r="A3260" s="3" t="s">
        <v>3140</v>
      </c>
      <c r="B3260" s="3" t="s">
        <v>4989</v>
      </c>
      <c r="C3260" s="3">
        <v>728</v>
      </c>
      <c r="D3260" s="3" t="str">
        <f>VLOOKUP(B3260,[1]LifeList!$E$2:$G$2036,1)</f>
        <v>Surf Scoter</v>
      </c>
      <c r="E3260" s="3" t="str">
        <f>VLOOKUP(B3260,[1]LifeList!$E$2:$G$2036,2)</f>
        <v>Macreuse à front blanc</v>
      </c>
      <c r="F3260" s="3" t="str">
        <f>VLOOKUP(B3260,[1]LifeList!$E$2:$G$2036,3)</f>
        <v>Melanitta perspicillata</v>
      </c>
      <c r="G3260" s="3" t="str">
        <f>VLOOKUP(B3260,[1]LifeList!$E$2:$I$2036,4)</f>
        <v>Anseriformes</v>
      </c>
      <c r="H3260" s="3" t="str">
        <f>VLOOKUP(B3260,[1]LifeList!$E$2:$I$2036,5)</f>
        <v>Anatidae (Ducks, Geese, and Waterfowl)</v>
      </c>
    </row>
    <row r="3261" spans="1:8" x14ac:dyDescent="0.15">
      <c r="A3261" s="3" t="s">
        <v>3141</v>
      </c>
      <c r="B3261" s="3" t="s">
        <v>4989</v>
      </c>
      <c r="C3261" s="3">
        <v>728</v>
      </c>
      <c r="D3261" s="3" t="str">
        <f>VLOOKUP(B3261,[1]LifeList!$E$2:$G$2036,1)</f>
        <v>Surf Scoter</v>
      </c>
      <c r="E3261" s="3" t="str">
        <f>VLOOKUP(B3261,[1]LifeList!$E$2:$G$2036,2)</f>
        <v>Macreuse à front blanc</v>
      </c>
      <c r="F3261" s="3" t="str">
        <f>VLOOKUP(B3261,[1]LifeList!$E$2:$G$2036,3)</f>
        <v>Melanitta perspicillata</v>
      </c>
      <c r="G3261" s="3" t="str">
        <f>VLOOKUP(B3261,[1]LifeList!$E$2:$I$2036,4)</f>
        <v>Anseriformes</v>
      </c>
      <c r="H3261" s="3" t="str">
        <f>VLOOKUP(B3261,[1]LifeList!$E$2:$I$2036,5)</f>
        <v>Anatidae (Ducks, Geese, and Waterfowl)</v>
      </c>
    </row>
    <row r="3262" spans="1:8" x14ac:dyDescent="0.15">
      <c r="A3262" s="3" t="s">
        <v>3142</v>
      </c>
      <c r="B3262" s="3" t="s">
        <v>4989</v>
      </c>
      <c r="C3262" s="3">
        <v>728</v>
      </c>
      <c r="D3262" s="3" t="str">
        <f>VLOOKUP(B3262,[1]LifeList!$E$2:$G$2036,1)</f>
        <v>Surf Scoter</v>
      </c>
      <c r="E3262" s="3" t="str">
        <f>VLOOKUP(B3262,[1]LifeList!$E$2:$G$2036,2)</f>
        <v>Macreuse à front blanc</v>
      </c>
      <c r="F3262" s="3" t="str">
        <f>VLOOKUP(B3262,[1]LifeList!$E$2:$G$2036,3)</f>
        <v>Melanitta perspicillata</v>
      </c>
      <c r="G3262" s="3" t="str">
        <f>VLOOKUP(B3262,[1]LifeList!$E$2:$I$2036,4)</f>
        <v>Anseriformes</v>
      </c>
      <c r="H3262" s="3" t="str">
        <f>VLOOKUP(B3262,[1]LifeList!$E$2:$I$2036,5)</f>
        <v>Anatidae (Ducks, Geese, and Waterfowl)</v>
      </c>
    </row>
    <row r="3263" spans="1:8" x14ac:dyDescent="0.15">
      <c r="A3263" s="3" t="s">
        <v>3143</v>
      </c>
      <c r="B3263" s="3" t="s">
        <v>4989</v>
      </c>
      <c r="C3263" s="3">
        <v>728</v>
      </c>
      <c r="D3263" s="3" t="str">
        <f>VLOOKUP(B3263,[1]LifeList!$E$2:$G$2036,1)</f>
        <v>Surf Scoter</v>
      </c>
      <c r="E3263" s="3" t="str">
        <f>VLOOKUP(B3263,[1]LifeList!$E$2:$G$2036,2)</f>
        <v>Macreuse à front blanc</v>
      </c>
      <c r="F3263" s="3" t="str">
        <f>VLOOKUP(B3263,[1]LifeList!$E$2:$G$2036,3)</f>
        <v>Melanitta perspicillata</v>
      </c>
      <c r="G3263" s="3" t="str">
        <f>VLOOKUP(B3263,[1]LifeList!$E$2:$I$2036,4)</f>
        <v>Anseriformes</v>
      </c>
      <c r="H3263" s="3" t="str">
        <f>VLOOKUP(B3263,[1]LifeList!$E$2:$I$2036,5)</f>
        <v>Anatidae (Ducks, Geese, and Waterfowl)</v>
      </c>
    </row>
    <row r="3264" spans="1:8" x14ac:dyDescent="0.15">
      <c r="A3264" s="3" t="s">
        <v>3920</v>
      </c>
      <c r="B3264" s="3" t="s">
        <v>5243</v>
      </c>
      <c r="C3264" s="3">
        <v>17808</v>
      </c>
      <c r="D3264" s="3" t="str">
        <f>VLOOKUP(B3264,[1]LifeList!$E$2:$G$2036,1)</f>
        <v>Swainson's Spurfowl</v>
      </c>
      <c r="E3264" s="3" t="str">
        <f>VLOOKUP(B3264,[1]LifeList!$E$2:$G$2036,2)</f>
        <v>Francolin de Swainson</v>
      </c>
      <c r="F3264" s="3" t="str">
        <f>VLOOKUP(B3264,[1]LifeList!$E$2:$G$2036,3)</f>
        <v>Pternistis swainsonii</v>
      </c>
      <c r="G3264" s="3" t="str">
        <f>VLOOKUP(B3264,[1]LifeList!$E$2:$I$2036,4)</f>
        <v>Galliformes</v>
      </c>
      <c r="H3264" s="3" t="str">
        <f>VLOOKUP(B3264,[1]LifeList!$E$2:$I$2036,5)</f>
        <v>Phasianidae (Pheasants, Grouse, and Allies)</v>
      </c>
    </row>
    <row r="3265" spans="1:8" x14ac:dyDescent="0.15">
      <c r="A3265" s="3" t="s">
        <v>3921</v>
      </c>
      <c r="B3265" s="3" t="s">
        <v>5242</v>
      </c>
      <c r="C3265" s="3">
        <v>17808</v>
      </c>
      <c r="D3265" s="3" t="str">
        <f>VLOOKUP(B3265,[1]LifeList!$E$2:$G$2036,1)</f>
        <v>Swainson's Thrush</v>
      </c>
      <c r="E3265" s="3" t="str">
        <f>VLOOKUP(B3265,[1]LifeList!$E$2:$G$2036,2)</f>
        <v>Grive à dos olive</v>
      </c>
      <c r="F3265" s="3" t="str">
        <f>VLOOKUP(B3265,[1]LifeList!$E$2:$G$2036,3)</f>
        <v>Catharus ustulatus</v>
      </c>
      <c r="G3265" s="3" t="str">
        <f>VLOOKUP(B3265,[1]LifeList!$E$2:$I$2036,4)</f>
        <v>Passeriformes</v>
      </c>
      <c r="H3265" s="3" t="str">
        <f>VLOOKUP(B3265,[1]LifeList!$E$2:$I$2036,5)</f>
        <v>Turdidae (Thrushes and Allies)</v>
      </c>
    </row>
    <row r="3266" spans="1:8" x14ac:dyDescent="0.15">
      <c r="A3266" s="3" t="s">
        <v>3922</v>
      </c>
      <c r="B3266" s="3" t="s">
        <v>5242</v>
      </c>
      <c r="C3266" s="3">
        <v>17808</v>
      </c>
      <c r="D3266" s="3" t="str">
        <f>VLOOKUP(B3266,[1]LifeList!$E$2:$G$2036,1)</f>
        <v>Swainson's Thrush</v>
      </c>
      <c r="E3266" s="3" t="str">
        <f>VLOOKUP(B3266,[1]LifeList!$E$2:$G$2036,2)</f>
        <v>Grive à dos olive</v>
      </c>
      <c r="F3266" s="3" t="str">
        <f>VLOOKUP(B3266,[1]LifeList!$E$2:$G$2036,3)</f>
        <v>Catharus ustulatus</v>
      </c>
      <c r="G3266" s="3" t="str">
        <f>VLOOKUP(B3266,[1]LifeList!$E$2:$I$2036,4)</f>
        <v>Passeriformes</v>
      </c>
      <c r="H3266" s="3" t="str">
        <f>VLOOKUP(B3266,[1]LifeList!$E$2:$I$2036,5)</f>
        <v>Turdidae (Thrushes and Allies)</v>
      </c>
    </row>
    <row r="3267" spans="1:8" x14ac:dyDescent="0.15">
      <c r="A3267" s="3" t="s">
        <v>3923</v>
      </c>
      <c r="B3267" s="3" t="s">
        <v>5242</v>
      </c>
      <c r="C3267" s="3">
        <v>17808</v>
      </c>
      <c r="D3267" s="3" t="str">
        <f>VLOOKUP(B3267,[1]LifeList!$E$2:$G$2036,1)</f>
        <v>Swainson's Thrush</v>
      </c>
      <c r="E3267" s="3" t="str">
        <f>VLOOKUP(B3267,[1]LifeList!$E$2:$G$2036,2)</f>
        <v>Grive à dos olive</v>
      </c>
      <c r="F3267" s="3" t="str">
        <f>VLOOKUP(B3267,[1]LifeList!$E$2:$G$2036,3)</f>
        <v>Catharus ustulatus</v>
      </c>
      <c r="G3267" s="3" t="str">
        <f>VLOOKUP(B3267,[1]LifeList!$E$2:$I$2036,4)</f>
        <v>Passeriformes</v>
      </c>
      <c r="H3267" s="3" t="str">
        <f>VLOOKUP(B3267,[1]LifeList!$E$2:$I$2036,5)</f>
        <v>Turdidae (Thrushes and Allies)</v>
      </c>
    </row>
    <row r="3268" spans="1:8" x14ac:dyDescent="0.15">
      <c r="A3268" s="3" t="s">
        <v>3924</v>
      </c>
      <c r="B3268" s="3" t="s">
        <v>5242</v>
      </c>
      <c r="C3268" s="3">
        <v>17808</v>
      </c>
      <c r="D3268" s="3" t="str">
        <f>VLOOKUP(B3268,[1]LifeList!$E$2:$G$2036,1)</f>
        <v>Swainson's Thrush</v>
      </c>
      <c r="E3268" s="3" t="str">
        <f>VLOOKUP(B3268,[1]LifeList!$E$2:$G$2036,2)</f>
        <v>Grive à dos olive</v>
      </c>
      <c r="F3268" s="3" t="str">
        <f>VLOOKUP(B3268,[1]LifeList!$E$2:$G$2036,3)</f>
        <v>Catharus ustulatus</v>
      </c>
      <c r="G3268" s="3" t="str">
        <f>VLOOKUP(B3268,[1]LifeList!$E$2:$I$2036,4)</f>
        <v>Passeriformes</v>
      </c>
      <c r="H3268" s="3" t="str">
        <f>VLOOKUP(B3268,[1]LifeList!$E$2:$I$2036,5)</f>
        <v>Turdidae (Thrushes and Allies)</v>
      </c>
    </row>
    <row r="3269" spans="1:8" x14ac:dyDescent="0.15">
      <c r="A3269" s="3" t="s">
        <v>3925</v>
      </c>
      <c r="B3269" s="3" t="s">
        <v>5242</v>
      </c>
      <c r="C3269" s="3">
        <v>17808</v>
      </c>
      <c r="D3269" s="3" t="str">
        <f>VLOOKUP(B3269,[1]LifeList!$E$2:$G$2036,1)</f>
        <v>Swainson's Thrush</v>
      </c>
      <c r="E3269" s="3" t="str">
        <f>VLOOKUP(B3269,[1]LifeList!$E$2:$G$2036,2)</f>
        <v>Grive à dos olive</v>
      </c>
      <c r="F3269" s="3" t="str">
        <f>VLOOKUP(B3269,[1]LifeList!$E$2:$G$2036,3)</f>
        <v>Catharus ustulatus</v>
      </c>
      <c r="G3269" s="3" t="str">
        <f>VLOOKUP(B3269,[1]LifeList!$E$2:$I$2036,4)</f>
        <v>Passeriformes</v>
      </c>
      <c r="H3269" s="3" t="str">
        <f>VLOOKUP(B3269,[1]LifeList!$E$2:$I$2036,5)</f>
        <v>Turdidae (Thrushes and Allies)</v>
      </c>
    </row>
    <row r="3270" spans="1:8" x14ac:dyDescent="0.15">
      <c r="A3270" s="3" t="s">
        <v>3926</v>
      </c>
      <c r="B3270" s="3" t="s">
        <v>5242</v>
      </c>
      <c r="C3270" s="3">
        <v>17808</v>
      </c>
      <c r="D3270" s="3" t="str">
        <f>VLOOKUP(B3270,[1]LifeList!$E$2:$G$2036,1)</f>
        <v>Swainson's Thrush</v>
      </c>
      <c r="E3270" s="3" t="str">
        <f>VLOOKUP(B3270,[1]LifeList!$E$2:$G$2036,2)</f>
        <v>Grive à dos olive</v>
      </c>
      <c r="F3270" s="3" t="str">
        <f>VLOOKUP(B3270,[1]LifeList!$E$2:$G$2036,3)</f>
        <v>Catharus ustulatus</v>
      </c>
      <c r="G3270" s="3" t="str">
        <f>VLOOKUP(B3270,[1]LifeList!$E$2:$I$2036,4)</f>
        <v>Passeriformes</v>
      </c>
      <c r="H3270" s="3" t="str">
        <f>VLOOKUP(B3270,[1]LifeList!$E$2:$I$2036,5)</f>
        <v>Turdidae (Thrushes and Allies)</v>
      </c>
    </row>
    <row r="3271" spans="1:8" x14ac:dyDescent="0.15">
      <c r="A3271" s="3" t="s">
        <v>3927</v>
      </c>
      <c r="B3271" s="3" t="s">
        <v>5242</v>
      </c>
      <c r="C3271" s="3">
        <v>17808</v>
      </c>
      <c r="D3271" s="3" t="str">
        <f>VLOOKUP(B3271,[1]LifeList!$E$2:$G$2036,1)</f>
        <v>Swainson's Thrush</v>
      </c>
      <c r="E3271" s="3" t="str">
        <f>VLOOKUP(B3271,[1]LifeList!$E$2:$G$2036,2)</f>
        <v>Grive à dos olive</v>
      </c>
      <c r="F3271" s="3" t="str">
        <f>VLOOKUP(B3271,[1]LifeList!$E$2:$G$2036,3)</f>
        <v>Catharus ustulatus</v>
      </c>
      <c r="G3271" s="3" t="str">
        <f>VLOOKUP(B3271,[1]LifeList!$E$2:$I$2036,4)</f>
        <v>Passeriformes</v>
      </c>
      <c r="H3271" s="3" t="str">
        <f>VLOOKUP(B3271,[1]LifeList!$E$2:$I$2036,5)</f>
        <v>Turdidae (Thrushes and Allies)</v>
      </c>
    </row>
    <row r="3272" spans="1:8" x14ac:dyDescent="0.15">
      <c r="A3272" s="3" t="s">
        <v>3156</v>
      </c>
      <c r="B3272" s="3" t="s">
        <v>4990</v>
      </c>
      <c r="C3272" s="3">
        <v>35137</v>
      </c>
      <c r="D3272" s="3" t="str">
        <f>VLOOKUP(B3272,[1]LifeList!$E$2:$G$2036,1)</f>
        <v>Swallow Tanager</v>
      </c>
      <c r="E3272" s="3" t="str">
        <f>VLOOKUP(B3272,[1]LifeList!$E$2:$G$2036,2)</f>
        <v>Tersine hirondelle</v>
      </c>
      <c r="F3272" s="3" t="str">
        <f>VLOOKUP(B3272,[1]LifeList!$E$2:$G$2036,3)</f>
        <v>Tersina viridis</v>
      </c>
      <c r="G3272" s="3" t="str">
        <f>VLOOKUP(B3272,[1]LifeList!$E$2:$I$2036,4)</f>
        <v>Passeriformes</v>
      </c>
      <c r="H3272" s="3" t="str">
        <f>VLOOKUP(B3272,[1]LifeList!$E$2:$I$2036,5)</f>
        <v>Thraupidae (Tanagers and Allies)</v>
      </c>
    </row>
    <row r="3273" spans="1:8" x14ac:dyDescent="0.15">
      <c r="A3273" s="3" t="s">
        <v>3157</v>
      </c>
      <c r="B3273" s="3" t="s">
        <v>4990</v>
      </c>
      <c r="C3273" s="3">
        <v>35137</v>
      </c>
      <c r="D3273" s="3" t="str">
        <f>VLOOKUP(B3273,[1]LifeList!$E$2:$G$2036,1)</f>
        <v>Swallow Tanager</v>
      </c>
      <c r="E3273" s="3" t="str">
        <f>VLOOKUP(B3273,[1]LifeList!$E$2:$G$2036,2)</f>
        <v>Tersine hirondelle</v>
      </c>
      <c r="F3273" s="3" t="str">
        <f>VLOOKUP(B3273,[1]LifeList!$E$2:$G$2036,3)</f>
        <v>Tersina viridis</v>
      </c>
      <c r="G3273" s="3" t="str">
        <f>VLOOKUP(B3273,[1]LifeList!$E$2:$I$2036,4)</f>
        <v>Passeriformes</v>
      </c>
      <c r="H3273" s="3" t="str">
        <f>VLOOKUP(B3273,[1]LifeList!$E$2:$I$2036,5)</f>
        <v>Thraupidae (Tanagers and Allies)</v>
      </c>
    </row>
    <row r="3274" spans="1:8" x14ac:dyDescent="0.15">
      <c r="A3274" s="3" t="s">
        <v>3158</v>
      </c>
      <c r="B3274" s="3" t="s">
        <v>4990</v>
      </c>
      <c r="C3274" s="3">
        <v>35137</v>
      </c>
      <c r="D3274" s="3" t="str">
        <f>VLOOKUP(B3274,[1]LifeList!$E$2:$G$2036,1)</f>
        <v>Swallow Tanager</v>
      </c>
      <c r="E3274" s="3" t="str">
        <f>VLOOKUP(B3274,[1]LifeList!$E$2:$G$2036,2)</f>
        <v>Tersine hirondelle</v>
      </c>
      <c r="F3274" s="3" t="str">
        <f>VLOOKUP(B3274,[1]LifeList!$E$2:$G$2036,3)</f>
        <v>Tersina viridis</v>
      </c>
      <c r="G3274" s="3" t="str">
        <f>VLOOKUP(B3274,[1]LifeList!$E$2:$I$2036,4)</f>
        <v>Passeriformes</v>
      </c>
      <c r="H3274" s="3" t="str">
        <f>VLOOKUP(B3274,[1]LifeList!$E$2:$I$2036,5)</f>
        <v>Thraupidae (Tanagers and Allies)</v>
      </c>
    </row>
    <row r="3275" spans="1:8" x14ac:dyDescent="0.15">
      <c r="A3275" s="3" t="s">
        <v>3159</v>
      </c>
      <c r="B3275" s="3" t="s">
        <v>4990</v>
      </c>
      <c r="C3275" s="3">
        <v>35137</v>
      </c>
      <c r="D3275" s="3" t="str">
        <f>VLOOKUP(B3275,[1]LifeList!$E$2:$G$2036,1)</f>
        <v>Swallow Tanager</v>
      </c>
      <c r="E3275" s="3" t="str">
        <f>VLOOKUP(B3275,[1]LifeList!$E$2:$G$2036,2)</f>
        <v>Tersine hirondelle</v>
      </c>
      <c r="F3275" s="3" t="str">
        <f>VLOOKUP(B3275,[1]LifeList!$E$2:$G$2036,3)</f>
        <v>Tersina viridis</v>
      </c>
      <c r="G3275" s="3" t="str">
        <f>VLOOKUP(B3275,[1]LifeList!$E$2:$I$2036,4)</f>
        <v>Passeriformes</v>
      </c>
      <c r="H3275" s="3" t="str">
        <f>VLOOKUP(B3275,[1]LifeList!$E$2:$I$2036,5)</f>
        <v>Thraupidae (Tanagers and Allies)</v>
      </c>
    </row>
    <row r="3276" spans="1:8" x14ac:dyDescent="0.15">
      <c r="A3276" s="3" t="s">
        <v>3144</v>
      </c>
      <c r="B3276" s="3" t="s">
        <v>4991</v>
      </c>
      <c r="C3276" s="3">
        <v>6446</v>
      </c>
      <c r="D3276" s="3" t="str">
        <f>VLOOKUP(B3276,[1]LifeList!$E$2:$G$2036,1)</f>
        <v>Swallow-tailed Gull</v>
      </c>
      <c r="E3276" s="3" t="str">
        <f>VLOOKUP(B3276,[1]LifeList!$E$2:$G$2036,2)</f>
        <v>Mouette à queue fourchue</v>
      </c>
      <c r="F3276" s="3" t="str">
        <f>VLOOKUP(B3276,[1]LifeList!$E$2:$G$2036,3)</f>
        <v>Creagrus furcatus</v>
      </c>
      <c r="G3276" s="3" t="str">
        <f>VLOOKUP(B3276,[1]LifeList!$E$2:$I$2036,4)</f>
        <v>Charadriiformes</v>
      </c>
      <c r="H3276" s="3" t="str">
        <f>VLOOKUP(B3276,[1]LifeList!$E$2:$I$2036,5)</f>
        <v>Laridae (Gulls, Terns, and Skimmers)</v>
      </c>
    </row>
    <row r="3277" spans="1:8" x14ac:dyDescent="0.15">
      <c r="A3277" s="3" t="s">
        <v>3145</v>
      </c>
      <c r="B3277" s="3" t="s">
        <v>4992</v>
      </c>
      <c r="C3277" s="3">
        <v>7921</v>
      </c>
      <c r="D3277" s="3" t="str">
        <f>VLOOKUP(B3277,[1]LifeList!$E$2:$G$2036,1)</f>
        <v>Swallow-tailed Kite</v>
      </c>
      <c r="E3277" s="3" t="str">
        <f>VLOOKUP(B3277,[1]LifeList!$E$2:$G$2036,2)</f>
        <v>Naucler à queue fourchue</v>
      </c>
      <c r="F3277" s="3" t="str">
        <f>VLOOKUP(B3277,[1]LifeList!$E$2:$G$2036,3)</f>
        <v>Elanoides forficatus</v>
      </c>
      <c r="G3277" s="3" t="str">
        <f>VLOOKUP(B3277,[1]LifeList!$E$2:$I$2036,4)</f>
        <v>Accipitriformes</v>
      </c>
      <c r="H3277" s="3" t="str">
        <f>VLOOKUP(B3277,[1]LifeList!$E$2:$I$2036,5)</f>
        <v>Accipitridae (Hawks, Eagles, and Kites)</v>
      </c>
    </row>
    <row r="3278" spans="1:8" x14ac:dyDescent="0.15">
      <c r="A3278" s="3" t="s">
        <v>3146</v>
      </c>
      <c r="B3278" s="3" t="s">
        <v>4992</v>
      </c>
      <c r="C3278" s="3">
        <v>7921</v>
      </c>
      <c r="D3278" s="3" t="str">
        <f>VLOOKUP(B3278,[1]LifeList!$E$2:$G$2036,1)</f>
        <v>Swallow-tailed Kite</v>
      </c>
      <c r="E3278" s="3" t="str">
        <f>VLOOKUP(B3278,[1]LifeList!$E$2:$G$2036,2)</f>
        <v>Naucler à queue fourchue</v>
      </c>
      <c r="F3278" s="3" t="str">
        <f>VLOOKUP(B3278,[1]LifeList!$E$2:$G$2036,3)</f>
        <v>Elanoides forficatus</v>
      </c>
      <c r="G3278" s="3" t="str">
        <f>VLOOKUP(B3278,[1]LifeList!$E$2:$I$2036,4)</f>
        <v>Accipitriformes</v>
      </c>
      <c r="H3278" s="3" t="str">
        <f>VLOOKUP(B3278,[1]LifeList!$E$2:$I$2036,5)</f>
        <v>Accipitridae (Hawks, Eagles, and Kites)</v>
      </c>
    </row>
    <row r="3279" spans="1:8" x14ac:dyDescent="0.15">
      <c r="A3279" s="3" t="s">
        <v>3147</v>
      </c>
      <c r="B3279" s="3" t="s">
        <v>4992</v>
      </c>
      <c r="C3279" s="3">
        <v>7921</v>
      </c>
      <c r="D3279" s="3" t="str">
        <f>VLOOKUP(B3279,[1]LifeList!$E$2:$G$2036,1)</f>
        <v>Swallow-tailed Kite</v>
      </c>
      <c r="E3279" s="3" t="str">
        <f>VLOOKUP(B3279,[1]LifeList!$E$2:$G$2036,2)</f>
        <v>Naucler à queue fourchue</v>
      </c>
      <c r="F3279" s="3" t="str">
        <f>VLOOKUP(B3279,[1]LifeList!$E$2:$G$2036,3)</f>
        <v>Elanoides forficatus</v>
      </c>
      <c r="G3279" s="3" t="str">
        <f>VLOOKUP(B3279,[1]LifeList!$E$2:$I$2036,4)</f>
        <v>Accipitriformes</v>
      </c>
      <c r="H3279" s="3" t="str">
        <f>VLOOKUP(B3279,[1]LifeList!$E$2:$I$2036,5)</f>
        <v>Accipitridae (Hawks, Eagles, and Kites)</v>
      </c>
    </row>
    <row r="3280" spans="1:8" x14ac:dyDescent="0.15">
      <c r="A3280" s="3" t="s">
        <v>3148</v>
      </c>
      <c r="B3280" s="3" t="s">
        <v>4992</v>
      </c>
      <c r="C3280" s="3">
        <v>7921</v>
      </c>
      <c r="D3280" s="3" t="str">
        <f>VLOOKUP(B3280,[1]LifeList!$E$2:$G$2036,1)</f>
        <v>Swallow-tailed Kite</v>
      </c>
      <c r="E3280" s="3" t="str">
        <f>VLOOKUP(B3280,[1]LifeList!$E$2:$G$2036,2)</f>
        <v>Naucler à queue fourchue</v>
      </c>
      <c r="F3280" s="3" t="str">
        <f>VLOOKUP(B3280,[1]LifeList!$E$2:$G$2036,3)</f>
        <v>Elanoides forficatus</v>
      </c>
      <c r="G3280" s="3" t="str">
        <f>VLOOKUP(B3280,[1]LifeList!$E$2:$I$2036,4)</f>
        <v>Accipitriformes</v>
      </c>
      <c r="H3280" s="3" t="str">
        <f>VLOOKUP(B3280,[1]LifeList!$E$2:$I$2036,5)</f>
        <v>Accipitridae (Hawks, Eagles, and Kites)</v>
      </c>
    </row>
    <row r="3281" spans="1:8" x14ac:dyDescent="0.15">
      <c r="A3281" s="3" t="s">
        <v>3149</v>
      </c>
      <c r="B3281" s="3" t="s">
        <v>4992</v>
      </c>
      <c r="C3281" s="3">
        <v>7921</v>
      </c>
      <c r="D3281" s="3" t="str">
        <f>VLOOKUP(B3281,[1]LifeList!$E$2:$G$2036,1)</f>
        <v>Swallow-tailed Kite</v>
      </c>
      <c r="E3281" s="3" t="str">
        <f>VLOOKUP(B3281,[1]LifeList!$E$2:$G$2036,2)</f>
        <v>Naucler à queue fourchue</v>
      </c>
      <c r="F3281" s="3" t="str">
        <f>VLOOKUP(B3281,[1]LifeList!$E$2:$G$2036,3)</f>
        <v>Elanoides forficatus</v>
      </c>
      <c r="G3281" s="3" t="str">
        <f>VLOOKUP(B3281,[1]LifeList!$E$2:$I$2036,4)</f>
        <v>Accipitriformes</v>
      </c>
      <c r="H3281" s="3" t="str">
        <f>VLOOKUP(B3281,[1]LifeList!$E$2:$I$2036,5)</f>
        <v>Accipitridae (Hawks, Eagles, and Kites)</v>
      </c>
    </row>
    <row r="3282" spans="1:8" x14ac:dyDescent="0.15">
      <c r="A3282" s="3" t="s">
        <v>3150</v>
      </c>
      <c r="B3282" s="3" t="s">
        <v>4992</v>
      </c>
      <c r="C3282" s="3">
        <v>7921</v>
      </c>
      <c r="D3282" s="3" t="str">
        <f>VLOOKUP(B3282,[1]LifeList!$E$2:$G$2036,1)</f>
        <v>Swallow-tailed Kite</v>
      </c>
      <c r="E3282" s="3" t="str">
        <f>VLOOKUP(B3282,[1]LifeList!$E$2:$G$2036,2)</f>
        <v>Naucler à queue fourchue</v>
      </c>
      <c r="F3282" s="3" t="str">
        <f>VLOOKUP(B3282,[1]LifeList!$E$2:$G$2036,3)</f>
        <v>Elanoides forficatus</v>
      </c>
      <c r="G3282" s="3" t="str">
        <f>VLOOKUP(B3282,[1]LifeList!$E$2:$I$2036,4)</f>
        <v>Accipitriformes</v>
      </c>
      <c r="H3282" s="3" t="str">
        <f>VLOOKUP(B3282,[1]LifeList!$E$2:$I$2036,5)</f>
        <v>Accipitridae (Hawks, Eagles, and Kites)</v>
      </c>
    </row>
    <row r="3283" spans="1:8" x14ac:dyDescent="0.15">
      <c r="A3283" s="3" t="s">
        <v>3151</v>
      </c>
      <c r="B3283" s="3" t="s">
        <v>4992</v>
      </c>
      <c r="C3283" s="3">
        <v>7921</v>
      </c>
      <c r="D3283" s="3" t="str">
        <f>VLOOKUP(B3283,[1]LifeList!$E$2:$G$2036,1)</f>
        <v>Swallow-tailed Kite</v>
      </c>
      <c r="E3283" s="3" t="str">
        <f>VLOOKUP(B3283,[1]LifeList!$E$2:$G$2036,2)</f>
        <v>Naucler à queue fourchue</v>
      </c>
      <c r="F3283" s="3" t="str">
        <f>VLOOKUP(B3283,[1]LifeList!$E$2:$G$2036,3)</f>
        <v>Elanoides forficatus</v>
      </c>
      <c r="G3283" s="3" t="str">
        <f>VLOOKUP(B3283,[1]LifeList!$E$2:$I$2036,4)</f>
        <v>Accipitriformes</v>
      </c>
      <c r="H3283" s="3" t="str">
        <f>VLOOKUP(B3283,[1]LifeList!$E$2:$I$2036,5)</f>
        <v>Accipitridae (Hawks, Eagles, and Kites)</v>
      </c>
    </row>
    <row r="3284" spans="1:8" x14ac:dyDescent="0.15">
      <c r="A3284" s="3" t="s">
        <v>3152</v>
      </c>
      <c r="B3284" s="3" t="s">
        <v>4992</v>
      </c>
      <c r="C3284" s="3">
        <v>7921</v>
      </c>
      <c r="D3284" s="3" t="str">
        <f>VLOOKUP(B3284,[1]LifeList!$E$2:$G$2036,1)</f>
        <v>Swallow-tailed Kite</v>
      </c>
      <c r="E3284" s="3" t="str">
        <f>VLOOKUP(B3284,[1]LifeList!$E$2:$G$2036,2)</f>
        <v>Naucler à queue fourchue</v>
      </c>
      <c r="F3284" s="3" t="str">
        <f>VLOOKUP(B3284,[1]LifeList!$E$2:$G$2036,3)</f>
        <v>Elanoides forficatus</v>
      </c>
      <c r="G3284" s="3" t="str">
        <f>VLOOKUP(B3284,[1]LifeList!$E$2:$I$2036,4)</f>
        <v>Accipitriformes</v>
      </c>
      <c r="H3284" s="3" t="str">
        <f>VLOOKUP(B3284,[1]LifeList!$E$2:$I$2036,5)</f>
        <v>Accipitridae (Hawks, Eagles, and Kites)</v>
      </c>
    </row>
    <row r="3285" spans="1:8" x14ac:dyDescent="0.15">
      <c r="A3285" s="3" t="s">
        <v>3153</v>
      </c>
      <c r="B3285" s="3" t="s">
        <v>4992</v>
      </c>
      <c r="C3285" s="3">
        <v>7921</v>
      </c>
      <c r="D3285" s="3" t="str">
        <f>VLOOKUP(B3285,[1]LifeList!$E$2:$G$2036,1)</f>
        <v>Swallow-tailed Kite</v>
      </c>
      <c r="E3285" s="3" t="str">
        <f>VLOOKUP(B3285,[1]LifeList!$E$2:$G$2036,2)</f>
        <v>Naucler à queue fourchue</v>
      </c>
      <c r="F3285" s="3" t="str">
        <f>VLOOKUP(B3285,[1]LifeList!$E$2:$G$2036,3)</f>
        <v>Elanoides forficatus</v>
      </c>
      <c r="G3285" s="3" t="str">
        <f>VLOOKUP(B3285,[1]LifeList!$E$2:$I$2036,4)</f>
        <v>Accipitriformes</v>
      </c>
      <c r="H3285" s="3" t="str">
        <f>VLOOKUP(B3285,[1]LifeList!$E$2:$I$2036,5)</f>
        <v>Accipitridae (Hawks, Eagles, and Kites)</v>
      </c>
    </row>
    <row r="3286" spans="1:8" x14ac:dyDescent="0.15">
      <c r="A3286" s="3" t="s">
        <v>3154</v>
      </c>
      <c r="B3286" s="3" t="s">
        <v>4992</v>
      </c>
      <c r="C3286" s="3">
        <v>7921</v>
      </c>
      <c r="D3286" s="3" t="str">
        <f>VLOOKUP(B3286,[1]LifeList!$E$2:$G$2036,1)</f>
        <v>Swallow-tailed Kite</v>
      </c>
      <c r="E3286" s="3" t="str">
        <f>VLOOKUP(B3286,[1]LifeList!$E$2:$G$2036,2)</f>
        <v>Naucler à queue fourchue</v>
      </c>
      <c r="F3286" s="3" t="str">
        <f>VLOOKUP(B3286,[1]LifeList!$E$2:$G$2036,3)</f>
        <v>Elanoides forficatus</v>
      </c>
      <c r="G3286" s="3" t="str">
        <f>VLOOKUP(B3286,[1]LifeList!$E$2:$I$2036,4)</f>
        <v>Accipitriformes</v>
      </c>
      <c r="H3286" s="3" t="str">
        <f>VLOOKUP(B3286,[1]LifeList!$E$2:$I$2036,5)</f>
        <v>Accipitridae (Hawks, Eagles, and Kites)</v>
      </c>
    </row>
    <row r="3287" spans="1:8" x14ac:dyDescent="0.15">
      <c r="A3287" s="3" t="s">
        <v>3155</v>
      </c>
      <c r="B3287" s="3" t="s">
        <v>4992</v>
      </c>
      <c r="C3287" s="3">
        <v>7921</v>
      </c>
      <c r="D3287" s="3" t="str">
        <f>VLOOKUP(B3287,[1]LifeList!$E$2:$G$2036,1)</f>
        <v>Swallow-tailed Kite</v>
      </c>
      <c r="E3287" s="3" t="str">
        <f>VLOOKUP(B3287,[1]LifeList!$E$2:$G$2036,2)</f>
        <v>Naucler à queue fourchue</v>
      </c>
      <c r="F3287" s="3" t="str">
        <f>VLOOKUP(B3287,[1]LifeList!$E$2:$G$2036,3)</f>
        <v>Elanoides forficatus</v>
      </c>
      <c r="G3287" s="3" t="str">
        <f>VLOOKUP(B3287,[1]LifeList!$E$2:$I$2036,4)</f>
        <v>Accipitriformes</v>
      </c>
      <c r="H3287" s="3" t="str">
        <f>VLOOKUP(B3287,[1]LifeList!$E$2:$I$2036,5)</f>
        <v>Accipitridae (Hawks, Eagles, and Kites)</v>
      </c>
    </row>
    <row r="3288" spans="1:8" x14ac:dyDescent="0.15">
      <c r="A3288" s="3" t="s">
        <v>3160</v>
      </c>
      <c r="B3288" s="3" t="s">
        <v>4993</v>
      </c>
      <c r="C3288" s="3">
        <v>8315</v>
      </c>
      <c r="D3288" s="3" t="str">
        <f>VLOOKUP(B3288,[1]LifeList!$E$2:$G$2036,1)</f>
        <v>Swamp Harrier</v>
      </c>
      <c r="E3288" s="3" t="str">
        <f>VLOOKUP(B3288,[1]LifeList!$E$2:$G$2036,2)</f>
        <v>Busard de Gould</v>
      </c>
      <c r="F3288" s="3" t="str">
        <f>VLOOKUP(B3288,[1]LifeList!$E$2:$G$2036,3)</f>
        <v>Circus approximans</v>
      </c>
      <c r="G3288" s="3" t="str">
        <f>VLOOKUP(B3288,[1]LifeList!$E$2:$I$2036,4)</f>
        <v>Accipitriformes</v>
      </c>
      <c r="H3288" s="3" t="str">
        <f>VLOOKUP(B3288,[1]LifeList!$E$2:$I$2036,5)</f>
        <v>Accipitridae (Hawks, Eagles, and Kites)</v>
      </c>
    </row>
    <row r="3289" spans="1:8" x14ac:dyDescent="0.15">
      <c r="A3289" s="3" t="s">
        <v>3162</v>
      </c>
      <c r="B3289" s="3" t="s">
        <v>4994</v>
      </c>
      <c r="C3289" s="3">
        <v>33315</v>
      </c>
      <c r="D3289" s="3" t="str">
        <f>VLOOKUP(B3289,[1]LifeList!$E$2:$G$2036,1)</f>
        <v>Swamp Sparrow</v>
      </c>
      <c r="E3289" s="3" t="str">
        <f>VLOOKUP(B3289,[1]LifeList!$E$2:$G$2036,2)</f>
        <v>Bruant des marais</v>
      </c>
      <c r="F3289" s="3" t="str">
        <f>VLOOKUP(B3289,[1]LifeList!$E$2:$G$2036,3)</f>
        <v>Melospiza georgiana</v>
      </c>
      <c r="G3289" s="3" t="str">
        <f>VLOOKUP(B3289,[1]LifeList!$E$2:$I$2036,4)</f>
        <v>Passeriformes</v>
      </c>
      <c r="H3289" s="3" t="str">
        <f>VLOOKUP(B3289,[1]LifeList!$E$2:$I$2036,5)</f>
        <v>Passerellidae (New World Sparrows)</v>
      </c>
    </row>
    <row r="3290" spans="1:8" x14ac:dyDescent="0.15">
      <c r="A3290" s="3" t="s">
        <v>3163</v>
      </c>
      <c r="B3290" s="3" t="s">
        <v>4994</v>
      </c>
      <c r="C3290" s="3">
        <v>33315</v>
      </c>
      <c r="D3290" s="3" t="str">
        <f>VLOOKUP(B3290,[1]LifeList!$E$2:$G$2036,1)</f>
        <v>Swamp Sparrow</v>
      </c>
      <c r="E3290" s="3" t="str">
        <f>VLOOKUP(B3290,[1]LifeList!$E$2:$G$2036,2)</f>
        <v>Bruant des marais</v>
      </c>
      <c r="F3290" s="3" t="str">
        <f>VLOOKUP(B3290,[1]LifeList!$E$2:$G$2036,3)</f>
        <v>Melospiza georgiana</v>
      </c>
      <c r="G3290" s="3" t="str">
        <f>VLOOKUP(B3290,[1]LifeList!$E$2:$I$2036,4)</f>
        <v>Passeriformes</v>
      </c>
      <c r="H3290" s="3" t="str">
        <f>VLOOKUP(B3290,[1]LifeList!$E$2:$I$2036,5)</f>
        <v>Passerellidae (New World Sparrows)</v>
      </c>
    </row>
    <row r="3291" spans="1:8" x14ac:dyDescent="0.15">
      <c r="A3291" s="3" t="s">
        <v>3164</v>
      </c>
      <c r="B3291" s="3" t="s">
        <v>4994</v>
      </c>
      <c r="C3291" s="3">
        <v>33315</v>
      </c>
      <c r="D3291" s="3" t="str">
        <f>VLOOKUP(B3291,[1]LifeList!$E$2:$G$2036,1)</f>
        <v>Swamp Sparrow</v>
      </c>
      <c r="E3291" s="3" t="str">
        <f>VLOOKUP(B3291,[1]LifeList!$E$2:$G$2036,2)</f>
        <v>Bruant des marais</v>
      </c>
      <c r="F3291" s="3" t="str">
        <f>VLOOKUP(B3291,[1]LifeList!$E$2:$G$2036,3)</f>
        <v>Melospiza georgiana</v>
      </c>
      <c r="G3291" s="3" t="str">
        <f>VLOOKUP(B3291,[1]LifeList!$E$2:$I$2036,4)</f>
        <v>Passeriformes</v>
      </c>
      <c r="H3291" s="3" t="str">
        <f>VLOOKUP(B3291,[1]LifeList!$E$2:$I$2036,5)</f>
        <v>Passerellidae (New World Sparrows)</v>
      </c>
    </row>
    <row r="3292" spans="1:8" x14ac:dyDescent="0.15">
      <c r="A3292" s="3" t="s">
        <v>3165</v>
      </c>
      <c r="B3292" s="3" t="s">
        <v>4994</v>
      </c>
      <c r="C3292" s="3">
        <v>33315</v>
      </c>
      <c r="D3292" s="3" t="str">
        <f>VLOOKUP(B3292,[1]LifeList!$E$2:$G$2036,1)</f>
        <v>Swamp Sparrow</v>
      </c>
      <c r="E3292" s="3" t="str">
        <f>VLOOKUP(B3292,[1]LifeList!$E$2:$G$2036,2)</f>
        <v>Bruant des marais</v>
      </c>
      <c r="F3292" s="3" t="str">
        <f>VLOOKUP(B3292,[1]LifeList!$E$2:$G$2036,3)</f>
        <v>Melospiza georgiana</v>
      </c>
      <c r="G3292" s="3" t="str">
        <f>VLOOKUP(B3292,[1]LifeList!$E$2:$I$2036,4)</f>
        <v>Passeriformes</v>
      </c>
      <c r="H3292" s="3" t="str">
        <f>VLOOKUP(B3292,[1]LifeList!$E$2:$I$2036,5)</f>
        <v>Passerellidae (New World Sparrows)</v>
      </c>
    </row>
    <row r="3293" spans="1:8" x14ac:dyDescent="0.15">
      <c r="A3293" s="3" t="s">
        <v>3166</v>
      </c>
      <c r="B3293" s="3" t="s">
        <v>4994</v>
      </c>
      <c r="C3293" s="3">
        <v>33315</v>
      </c>
      <c r="D3293" s="3" t="str">
        <f>VLOOKUP(B3293,[1]LifeList!$E$2:$G$2036,1)</f>
        <v>Swamp Sparrow</v>
      </c>
      <c r="E3293" s="3" t="str">
        <f>VLOOKUP(B3293,[1]LifeList!$E$2:$G$2036,2)</f>
        <v>Bruant des marais</v>
      </c>
      <c r="F3293" s="3" t="str">
        <f>VLOOKUP(B3293,[1]LifeList!$E$2:$G$2036,3)</f>
        <v>Melospiza georgiana</v>
      </c>
      <c r="G3293" s="3" t="str">
        <f>VLOOKUP(B3293,[1]LifeList!$E$2:$I$2036,4)</f>
        <v>Passeriformes</v>
      </c>
      <c r="H3293" s="3" t="str">
        <f>VLOOKUP(B3293,[1]LifeList!$E$2:$I$2036,5)</f>
        <v>Passerellidae (New World Sparrows)</v>
      </c>
    </row>
    <row r="3294" spans="1:8" x14ac:dyDescent="0.15">
      <c r="A3294" s="3" t="s">
        <v>3167</v>
      </c>
      <c r="B3294" s="3" t="s">
        <v>4994</v>
      </c>
      <c r="C3294" s="3">
        <v>33315</v>
      </c>
      <c r="D3294" s="3" t="str">
        <f>VLOOKUP(B3294,[1]LifeList!$E$2:$G$2036,1)</f>
        <v>Swamp Sparrow</v>
      </c>
      <c r="E3294" s="3" t="str">
        <f>VLOOKUP(B3294,[1]LifeList!$E$2:$G$2036,2)</f>
        <v>Bruant des marais</v>
      </c>
      <c r="F3294" s="3" t="str">
        <f>VLOOKUP(B3294,[1]LifeList!$E$2:$G$2036,3)</f>
        <v>Melospiza georgiana</v>
      </c>
      <c r="G3294" s="3" t="str">
        <f>VLOOKUP(B3294,[1]LifeList!$E$2:$I$2036,4)</f>
        <v>Passeriformes</v>
      </c>
      <c r="H3294" s="3" t="str">
        <f>VLOOKUP(B3294,[1]LifeList!$E$2:$I$2036,5)</f>
        <v>Passerellidae (New World Sparrows)</v>
      </c>
    </row>
    <row r="3295" spans="1:8" x14ac:dyDescent="0.15">
      <c r="A3295" s="3" t="s">
        <v>3168</v>
      </c>
      <c r="B3295" s="3" t="s">
        <v>4994</v>
      </c>
      <c r="C3295" s="3">
        <v>33315</v>
      </c>
      <c r="D3295" s="3" t="str">
        <f>VLOOKUP(B3295,[1]LifeList!$E$2:$G$2036,1)</f>
        <v>Swamp Sparrow</v>
      </c>
      <c r="E3295" s="3" t="str">
        <f>VLOOKUP(B3295,[1]LifeList!$E$2:$G$2036,2)</f>
        <v>Bruant des marais</v>
      </c>
      <c r="F3295" s="3" t="str">
        <f>VLOOKUP(B3295,[1]LifeList!$E$2:$G$2036,3)</f>
        <v>Melospiza georgiana</v>
      </c>
      <c r="G3295" s="3" t="str">
        <f>VLOOKUP(B3295,[1]LifeList!$E$2:$I$2036,4)</f>
        <v>Passeriformes</v>
      </c>
      <c r="H3295" s="3" t="str">
        <f>VLOOKUP(B3295,[1]LifeList!$E$2:$I$2036,5)</f>
        <v>Passerellidae (New World Sparrows)</v>
      </c>
    </row>
    <row r="3296" spans="1:8" x14ac:dyDescent="0.15">
      <c r="A3296" s="3" t="s">
        <v>3169</v>
      </c>
      <c r="B3296" s="3" t="s">
        <v>4994</v>
      </c>
      <c r="C3296" s="3">
        <v>33315</v>
      </c>
      <c r="D3296" s="3" t="str">
        <f>VLOOKUP(B3296,[1]LifeList!$E$2:$G$2036,1)</f>
        <v>Swamp Sparrow</v>
      </c>
      <c r="E3296" s="3" t="str">
        <f>VLOOKUP(B3296,[1]LifeList!$E$2:$G$2036,2)</f>
        <v>Bruant des marais</v>
      </c>
      <c r="F3296" s="3" t="str">
        <f>VLOOKUP(B3296,[1]LifeList!$E$2:$G$2036,3)</f>
        <v>Melospiza georgiana</v>
      </c>
      <c r="G3296" s="3" t="str">
        <f>VLOOKUP(B3296,[1]LifeList!$E$2:$I$2036,4)</f>
        <v>Passeriformes</v>
      </c>
      <c r="H3296" s="3" t="str">
        <f>VLOOKUP(B3296,[1]LifeList!$E$2:$I$2036,5)</f>
        <v>Passerellidae (New World Sparrows)</v>
      </c>
    </row>
    <row r="3297" spans="1:8" x14ac:dyDescent="0.15">
      <c r="A3297" s="3" t="s">
        <v>3170</v>
      </c>
      <c r="B3297" s="3" t="s">
        <v>4994</v>
      </c>
      <c r="C3297" s="3">
        <v>33315</v>
      </c>
      <c r="D3297" s="3" t="str">
        <f>VLOOKUP(B3297,[1]LifeList!$E$2:$G$2036,1)</f>
        <v>Swamp Sparrow</v>
      </c>
      <c r="E3297" s="3" t="str">
        <f>VLOOKUP(B3297,[1]LifeList!$E$2:$G$2036,2)</f>
        <v>Bruant des marais</v>
      </c>
      <c r="F3297" s="3" t="str">
        <f>VLOOKUP(B3297,[1]LifeList!$E$2:$G$2036,3)</f>
        <v>Melospiza georgiana</v>
      </c>
      <c r="G3297" s="3" t="str">
        <f>VLOOKUP(B3297,[1]LifeList!$E$2:$I$2036,4)</f>
        <v>Passeriformes</v>
      </c>
      <c r="H3297" s="3" t="str">
        <f>VLOOKUP(B3297,[1]LifeList!$E$2:$I$2036,5)</f>
        <v>Passerellidae (New World Sparrows)</v>
      </c>
    </row>
    <row r="3298" spans="1:8" x14ac:dyDescent="0.15">
      <c r="A3298" s="3" t="s">
        <v>3171</v>
      </c>
      <c r="B3298" s="3" t="s">
        <v>4994</v>
      </c>
      <c r="C3298" s="3">
        <v>33315</v>
      </c>
      <c r="D3298" s="3" t="str">
        <f>VLOOKUP(B3298,[1]LifeList!$E$2:$G$2036,1)</f>
        <v>Swamp Sparrow</v>
      </c>
      <c r="E3298" s="3" t="str">
        <f>VLOOKUP(B3298,[1]LifeList!$E$2:$G$2036,2)</f>
        <v>Bruant des marais</v>
      </c>
      <c r="F3298" s="3" t="str">
        <f>VLOOKUP(B3298,[1]LifeList!$E$2:$G$2036,3)</f>
        <v>Melospiza georgiana</v>
      </c>
      <c r="G3298" s="3" t="str">
        <f>VLOOKUP(B3298,[1]LifeList!$E$2:$I$2036,4)</f>
        <v>Passeriformes</v>
      </c>
      <c r="H3298" s="3" t="str">
        <f>VLOOKUP(B3298,[1]LifeList!$E$2:$I$2036,5)</f>
        <v>Passerellidae (New World Sparrows)</v>
      </c>
    </row>
    <row r="3299" spans="1:8" x14ac:dyDescent="0.15">
      <c r="A3299" s="3" t="s">
        <v>3172</v>
      </c>
      <c r="B3299" s="3" t="s">
        <v>4994</v>
      </c>
      <c r="C3299" s="3">
        <v>33315</v>
      </c>
      <c r="D3299" s="3" t="str">
        <f>VLOOKUP(B3299,[1]LifeList!$E$2:$G$2036,1)</f>
        <v>Swamp Sparrow</v>
      </c>
      <c r="E3299" s="3" t="str">
        <f>VLOOKUP(B3299,[1]LifeList!$E$2:$G$2036,2)</f>
        <v>Bruant des marais</v>
      </c>
      <c r="F3299" s="3" t="str">
        <f>VLOOKUP(B3299,[1]LifeList!$E$2:$G$2036,3)</f>
        <v>Melospiza georgiana</v>
      </c>
      <c r="G3299" s="3" t="str">
        <f>VLOOKUP(B3299,[1]LifeList!$E$2:$I$2036,4)</f>
        <v>Passeriformes</v>
      </c>
      <c r="H3299" s="3" t="str">
        <f>VLOOKUP(B3299,[1]LifeList!$E$2:$I$2036,5)</f>
        <v>Passerellidae (New World Sparrows)</v>
      </c>
    </row>
    <row r="3300" spans="1:8" x14ac:dyDescent="0.15">
      <c r="A3300" s="3" t="s">
        <v>3173</v>
      </c>
      <c r="B3300" s="3" t="s">
        <v>4994</v>
      </c>
      <c r="C3300" s="3">
        <v>33315</v>
      </c>
      <c r="D3300" s="3" t="str">
        <f>VLOOKUP(B3300,[1]LifeList!$E$2:$G$2036,1)</f>
        <v>Swamp Sparrow</v>
      </c>
      <c r="E3300" s="3" t="str">
        <f>VLOOKUP(B3300,[1]LifeList!$E$2:$G$2036,2)</f>
        <v>Bruant des marais</v>
      </c>
      <c r="F3300" s="3" t="str">
        <f>VLOOKUP(B3300,[1]LifeList!$E$2:$G$2036,3)</f>
        <v>Melospiza georgiana</v>
      </c>
      <c r="G3300" s="3" t="str">
        <f>VLOOKUP(B3300,[1]LifeList!$E$2:$I$2036,4)</f>
        <v>Passeriformes</v>
      </c>
      <c r="H3300" s="3" t="str">
        <f>VLOOKUP(B3300,[1]LifeList!$E$2:$I$2036,5)</f>
        <v>Passerellidae (New World Sparrows)</v>
      </c>
    </row>
    <row r="3301" spans="1:8" x14ac:dyDescent="0.15">
      <c r="A3301" s="3" t="s">
        <v>3161</v>
      </c>
      <c r="B3301" s="3" t="s">
        <v>4994</v>
      </c>
      <c r="C3301" s="3">
        <v>33315</v>
      </c>
      <c r="D3301" s="3" t="str">
        <f>VLOOKUP(B3301,[1]LifeList!$E$2:$G$2036,1)</f>
        <v>Swamp Sparrow</v>
      </c>
      <c r="E3301" s="3" t="str">
        <f>VLOOKUP(B3301,[1]LifeList!$E$2:$G$2036,2)</f>
        <v>Bruant des marais</v>
      </c>
      <c r="F3301" s="3" t="str">
        <f>VLOOKUP(B3301,[1]LifeList!$E$2:$G$2036,3)</f>
        <v>Melospiza georgiana</v>
      </c>
      <c r="G3301" s="3" t="str">
        <f>VLOOKUP(B3301,[1]LifeList!$E$2:$I$2036,4)</f>
        <v>Passeriformes</v>
      </c>
      <c r="H3301" s="3" t="str">
        <f>VLOOKUP(B3301,[1]LifeList!$E$2:$I$2036,5)</f>
        <v>Passerellidae (New World Sparrows)</v>
      </c>
    </row>
    <row r="3302" spans="1:8" x14ac:dyDescent="0.15">
      <c r="A3302" s="3" t="s">
        <v>3174</v>
      </c>
      <c r="B3302" s="3" t="s">
        <v>4995</v>
      </c>
      <c r="C3302" s="3">
        <v>4667</v>
      </c>
      <c r="D3302" s="3" t="str">
        <f>VLOOKUP(B3302,[1]LifeList!$E$2:$G$2036,1)</f>
        <v>Sword-billed Hummingbird</v>
      </c>
      <c r="E3302" s="3" t="str">
        <f>VLOOKUP(B3302,[1]LifeList!$E$2:$G$2036,2)</f>
        <v>Colibri porte-épée</v>
      </c>
      <c r="F3302" s="3" t="str">
        <f>VLOOKUP(B3302,[1]LifeList!$E$2:$G$2036,3)</f>
        <v>Ensifera ensifera</v>
      </c>
      <c r="G3302" s="3" t="str">
        <f>VLOOKUP(B3302,[1]LifeList!$E$2:$I$2036,4)</f>
        <v>Apodiformes</v>
      </c>
      <c r="H3302" s="3" t="str">
        <f>VLOOKUP(B3302,[1]LifeList!$E$2:$I$2036,5)</f>
        <v>Trochilidae (Hummingbirds)</v>
      </c>
    </row>
    <row r="3303" spans="1:8" x14ac:dyDescent="0.15">
      <c r="A3303" s="3" t="s">
        <v>3175</v>
      </c>
      <c r="B3303" s="3" t="s">
        <v>4996</v>
      </c>
      <c r="C3303" s="3">
        <v>4724</v>
      </c>
      <c r="D3303" s="3" t="str">
        <f>VLOOKUP(B3303,[1]LifeList!$E$2:$G$2036,1)</f>
        <v>Talamanca Hummingbird</v>
      </c>
      <c r="E3303" s="3" t="str">
        <f>VLOOKUP(B3303,[1]LifeList!$E$2:$G$2036,2)</f>
        <v>Colibri de la Talamanca</v>
      </c>
      <c r="F3303" s="3" t="str">
        <f>VLOOKUP(B3303,[1]LifeList!$E$2:$G$2036,3)</f>
        <v>Eugenes spectabilis</v>
      </c>
      <c r="G3303" s="3" t="str">
        <f>VLOOKUP(B3303,[1]LifeList!$E$2:$I$2036,4)</f>
        <v>Apodiformes</v>
      </c>
      <c r="H3303" s="3" t="str">
        <f>VLOOKUP(B3303,[1]LifeList!$E$2:$I$2036,5)</f>
        <v>Trochilidae (Hummingbirds)</v>
      </c>
    </row>
    <row r="3304" spans="1:8" x14ac:dyDescent="0.15">
      <c r="A3304" s="3" t="s">
        <v>3176</v>
      </c>
      <c r="B3304" s="3" t="s">
        <v>4996</v>
      </c>
      <c r="C3304" s="3">
        <v>4724</v>
      </c>
      <c r="D3304" s="3" t="str">
        <f>VLOOKUP(B3304,[1]LifeList!$E$2:$G$2036,1)</f>
        <v>Talamanca Hummingbird</v>
      </c>
      <c r="E3304" s="3" t="str">
        <f>VLOOKUP(B3304,[1]LifeList!$E$2:$G$2036,2)</f>
        <v>Colibri de la Talamanca</v>
      </c>
      <c r="F3304" s="3" t="str">
        <f>VLOOKUP(B3304,[1]LifeList!$E$2:$G$2036,3)</f>
        <v>Eugenes spectabilis</v>
      </c>
      <c r="G3304" s="3" t="str">
        <f>VLOOKUP(B3304,[1]LifeList!$E$2:$I$2036,4)</f>
        <v>Apodiformes</v>
      </c>
      <c r="H3304" s="3" t="str">
        <f>VLOOKUP(B3304,[1]LifeList!$E$2:$I$2036,5)</f>
        <v>Trochilidae (Hummingbirds)</v>
      </c>
    </row>
    <row r="3305" spans="1:8" x14ac:dyDescent="0.15">
      <c r="A3305" s="3" t="s">
        <v>3928</v>
      </c>
      <c r="B3305" s="3" t="s">
        <v>4996</v>
      </c>
      <c r="C3305" s="3">
        <v>4724</v>
      </c>
      <c r="D3305" s="3" t="str">
        <f>VLOOKUP(B3305,[1]LifeList!$E$2:$G$2036,1)</f>
        <v>Talamanca Hummingbird</v>
      </c>
      <c r="E3305" s="3" t="str">
        <f>VLOOKUP(B3305,[1]LifeList!$E$2:$G$2036,2)</f>
        <v>Colibri de la Talamanca</v>
      </c>
      <c r="F3305" s="3" t="str">
        <f>VLOOKUP(B3305,[1]LifeList!$E$2:$G$2036,3)</f>
        <v>Eugenes spectabilis</v>
      </c>
      <c r="G3305" s="3" t="str">
        <f>VLOOKUP(B3305,[1]LifeList!$E$2:$I$2036,4)</f>
        <v>Apodiformes</v>
      </c>
      <c r="H3305" s="3" t="str">
        <f>VLOOKUP(B3305,[1]LifeList!$E$2:$I$2036,5)</f>
        <v>Trochilidae (Hummingbirds)</v>
      </c>
    </row>
    <row r="3306" spans="1:8" x14ac:dyDescent="0.15">
      <c r="A3306" s="3" t="s">
        <v>3177</v>
      </c>
      <c r="B3306" s="3" t="s">
        <v>4996</v>
      </c>
      <c r="C3306" s="3">
        <v>4724</v>
      </c>
      <c r="D3306" s="3" t="str">
        <f>VLOOKUP(B3306,[1]LifeList!$E$2:$G$2036,1)</f>
        <v>Talamanca Hummingbird</v>
      </c>
      <c r="E3306" s="3" t="str">
        <f>VLOOKUP(B3306,[1]LifeList!$E$2:$G$2036,2)</f>
        <v>Colibri de la Talamanca</v>
      </c>
      <c r="F3306" s="3" t="str">
        <f>VLOOKUP(B3306,[1]LifeList!$E$2:$G$2036,3)</f>
        <v>Eugenes spectabilis</v>
      </c>
      <c r="G3306" s="3" t="str">
        <f>VLOOKUP(B3306,[1]LifeList!$E$2:$I$2036,4)</f>
        <v>Apodiformes</v>
      </c>
      <c r="H3306" s="3" t="str">
        <f>VLOOKUP(B3306,[1]LifeList!$E$2:$I$2036,5)</f>
        <v>Trochilidae (Hummingbirds)</v>
      </c>
    </row>
    <row r="3307" spans="1:8" x14ac:dyDescent="0.15">
      <c r="A3307" s="3" t="s">
        <v>3178</v>
      </c>
      <c r="B3307" s="3" t="s">
        <v>4997</v>
      </c>
      <c r="C3307" s="3">
        <v>5450</v>
      </c>
      <c r="D3307" s="3" t="str">
        <f>VLOOKUP(B3307,[1]LifeList!$E$2:$G$2036,1)</f>
        <v>Tasmanian Nativehen</v>
      </c>
      <c r="E3307" s="3" t="str">
        <f>VLOOKUP(B3307,[1]LifeList!$E$2:$G$2036,2)</f>
        <v>Gallinule de Tasmanie</v>
      </c>
      <c r="F3307" s="3" t="str">
        <f>VLOOKUP(B3307,[1]LifeList!$E$2:$G$2036,3)</f>
        <v>Tribonyx mortierii</v>
      </c>
      <c r="G3307" s="3" t="str">
        <f>VLOOKUP(B3307,[1]LifeList!$E$2:$I$2036,4)</f>
        <v>Gruiformes</v>
      </c>
      <c r="H3307" s="3" t="str">
        <f>VLOOKUP(B3307,[1]LifeList!$E$2:$I$2036,5)</f>
        <v>Rallidae (Rails, Gallinules, and Coots)</v>
      </c>
    </row>
    <row r="3308" spans="1:8" x14ac:dyDescent="0.15">
      <c r="A3308" s="3" t="s">
        <v>3179</v>
      </c>
      <c r="B3308" s="3" t="s">
        <v>4998</v>
      </c>
      <c r="C3308" s="3">
        <v>18398</v>
      </c>
      <c r="D3308" s="3" t="str">
        <f>VLOOKUP(B3308,[1]LifeList!$E$2:$G$2036,1)</f>
        <v>Tasmanian Thornbill</v>
      </c>
      <c r="E3308" s="3" t="str">
        <f>VLOOKUP(B3308,[1]LifeList!$E$2:$G$2036,2)</f>
        <v>Acanthize de Tasmanie</v>
      </c>
      <c r="F3308" s="3" t="str">
        <f>VLOOKUP(B3308,[1]LifeList!$E$2:$G$2036,3)</f>
        <v>Acanthiza ewingii</v>
      </c>
      <c r="G3308" s="3" t="str">
        <f>VLOOKUP(B3308,[1]LifeList!$E$2:$I$2036,4)</f>
        <v>Passeriformes</v>
      </c>
      <c r="H3308" s="3" t="str">
        <f>VLOOKUP(B3308,[1]LifeList!$E$2:$I$2036,5)</f>
        <v>Acanthizidae (Thornbills and Allies)</v>
      </c>
    </row>
    <row r="3309" spans="1:8" x14ac:dyDescent="0.15">
      <c r="A3309" s="3" t="s">
        <v>3180</v>
      </c>
      <c r="B3309" s="3" t="s">
        <v>4998</v>
      </c>
      <c r="C3309" s="3">
        <v>18398</v>
      </c>
      <c r="D3309" s="3" t="str">
        <f>VLOOKUP(B3309,[1]LifeList!$E$2:$G$2036,1)</f>
        <v>Tasmanian Thornbill</v>
      </c>
      <c r="E3309" s="3" t="str">
        <f>VLOOKUP(B3309,[1]LifeList!$E$2:$G$2036,2)</f>
        <v>Acanthize de Tasmanie</v>
      </c>
      <c r="F3309" s="3" t="str">
        <f>VLOOKUP(B3309,[1]LifeList!$E$2:$G$2036,3)</f>
        <v>Acanthiza ewingii</v>
      </c>
      <c r="G3309" s="3" t="str">
        <f>VLOOKUP(B3309,[1]LifeList!$E$2:$I$2036,4)</f>
        <v>Passeriformes</v>
      </c>
      <c r="H3309" s="3" t="str">
        <f>VLOOKUP(B3309,[1]LifeList!$E$2:$I$2036,5)</f>
        <v>Acanthizidae (Thornbills and Allies)</v>
      </c>
    </row>
    <row r="3310" spans="1:8" x14ac:dyDescent="0.15">
      <c r="A3310" s="3" t="s">
        <v>3186</v>
      </c>
      <c r="B3310" s="3" t="s">
        <v>4999</v>
      </c>
      <c r="C3310" s="3">
        <v>8054</v>
      </c>
      <c r="D3310" s="3" t="str">
        <f>VLOOKUP(B3310,[1]LifeList!$E$2:$G$2036,1)</f>
        <v>Tawny Eagle</v>
      </c>
      <c r="E3310" s="3" t="str">
        <f>VLOOKUP(B3310,[1]LifeList!$E$2:$G$2036,2)</f>
        <v>Aigle ravisseur</v>
      </c>
      <c r="F3310" s="3" t="str">
        <f>VLOOKUP(B3310,[1]LifeList!$E$2:$G$2036,3)</f>
        <v>Aquila rapax</v>
      </c>
      <c r="G3310" s="3" t="str">
        <f>VLOOKUP(B3310,[1]LifeList!$E$2:$I$2036,4)</f>
        <v>Accipitriformes</v>
      </c>
      <c r="H3310" s="3" t="str">
        <f>VLOOKUP(B3310,[1]LifeList!$E$2:$I$2036,5)</f>
        <v>Accipitridae (Hawks, Eagles, and Kites)</v>
      </c>
    </row>
    <row r="3311" spans="1:8" x14ac:dyDescent="0.15">
      <c r="A3311" s="3" t="s">
        <v>3187</v>
      </c>
      <c r="B3311" s="3" t="s">
        <v>4999</v>
      </c>
      <c r="C3311" s="3">
        <v>8054</v>
      </c>
      <c r="D3311" s="3" t="str">
        <f>VLOOKUP(B3311,[1]LifeList!$E$2:$G$2036,1)</f>
        <v>Tawny Eagle</v>
      </c>
      <c r="E3311" s="3" t="str">
        <f>VLOOKUP(B3311,[1]LifeList!$E$2:$G$2036,2)</f>
        <v>Aigle ravisseur</v>
      </c>
      <c r="F3311" s="3" t="str">
        <f>VLOOKUP(B3311,[1]LifeList!$E$2:$G$2036,3)</f>
        <v>Aquila rapax</v>
      </c>
      <c r="G3311" s="3" t="str">
        <f>VLOOKUP(B3311,[1]LifeList!$E$2:$I$2036,4)</f>
        <v>Accipitriformes</v>
      </c>
      <c r="H3311" s="3" t="str">
        <f>VLOOKUP(B3311,[1]LifeList!$E$2:$I$2036,5)</f>
        <v>Accipitridae (Hawks, Eagles, and Kites)</v>
      </c>
    </row>
    <row r="3312" spans="1:8" x14ac:dyDescent="0.15">
      <c r="A3312" s="3" t="s">
        <v>3188</v>
      </c>
      <c r="B3312" s="3" t="s">
        <v>5000</v>
      </c>
      <c r="C3312" s="3">
        <v>3768</v>
      </c>
      <c r="D3312" s="3" t="str">
        <f>VLOOKUP(B3312,[1]LifeList!$E$2:$G$2036,1)</f>
        <v>Tawny Frogmouth</v>
      </c>
      <c r="E3312" s="3" t="str">
        <f>VLOOKUP(B3312,[1]LifeList!$E$2:$G$2036,2)</f>
        <v>Podarge gris</v>
      </c>
      <c r="F3312" s="3" t="str">
        <f>VLOOKUP(B3312,[1]LifeList!$E$2:$G$2036,3)</f>
        <v>Podargus strigoides</v>
      </c>
      <c r="G3312" s="3" t="str">
        <f>VLOOKUP(B3312,[1]LifeList!$E$2:$I$2036,4)</f>
        <v>Podargiformes</v>
      </c>
      <c r="H3312" s="3" t="str">
        <f>VLOOKUP(B3312,[1]LifeList!$E$2:$I$2036,5)</f>
        <v>Podargidae (Frogmouths)</v>
      </c>
    </row>
    <row r="3313" spans="1:8" x14ac:dyDescent="0.15">
      <c r="A3313" s="3" t="s">
        <v>3181</v>
      </c>
      <c r="B3313" s="3" t="s">
        <v>5001</v>
      </c>
      <c r="C3313" s="3">
        <v>32049</v>
      </c>
      <c r="D3313" s="3" t="str">
        <f>VLOOKUP(B3313,[1]LifeList!$E$2:$G$2036,1)</f>
        <v>Tawny-capped Euphonia</v>
      </c>
      <c r="E3313" s="3" t="str">
        <f>VLOOKUP(B3313,[1]LifeList!$E$2:$G$2036,2)</f>
        <v>Organiste à couronne rousse</v>
      </c>
      <c r="F3313" s="3" t="str">
        <f>VLOOKUP(B3313,[1]LifeList!$E$2:$G$2036,3)</f>
        <v>Euphonia anneae</v>
      </c>
      <c r="G3313" s="3" t="str">
        <f>VLOOKUP(B3313,[1]LifeList!$E$2:$I$2036,4)</f>
        <v>Passeriformes</v>
      </c>
      <c r="H3313" s="3" t="str">
        <f>VLOOKUP(B3313,[1]LifeList!$E$2:$I$2036,5)</f>
        <v>Fringillidae (Finches, Euphonias, and Allies)</v>
      </c>
    </row>
    <row r="3314" spans="1:8" x14ac:dyDescent="0.15">
      <c r="A3314" s="3" t="s">
        <v>3182</v>
      </c>
      <c r="B3314" s="3" t="s">
        <v>5002</v>
      </c>
      <c r="C3314" s="3">
        <v>34775</v>
      </c>
      <c r="D3314" s="3" t="str">
        <f>VLOOKUP(B3314,[1]LifeList!$E$2:$G$2036,1)</f>
        <v>Tawny-crested Tanager</v>
      </c>
      <c r="E3314" s="3" t="str">
        <f>VLOOKUP(B3314,[1]LifeList!$E$2:$G$2036,2)</f>
        <v>Tangara de Delattre</v>
      </c>
      <c r="F3314" s="3" t="str">
        <f>VLOOKUP(B3314,[1]LifeList!$E$2:$G$2036,3)</f>
        <v>Tachyphonus delatrii</v>
      </c>
      <c r="G3314" s="3" t="str">
        <f>VLOOKUP(B3314,[1]LifeList!$E$2:$I$2036,4)</f>
        <v>Passeriformes</v>
      </c>
      <c r="H3314" s="3" t="str">
        <f>VLOOKUP(B3314,[1]LifeList!$E$2:$I$2036,5)</f>
        <v>Thraupidae (Tanagers and Allies)</v>
      </c>
    </row>
    <row r="3315" spans="1:8" x14ac:dyDescent="0.15">
      <c r="A3315" s="3" t="s">
        <v>3183</v>
      </c>
      <c r="B3315" s="3" t="s">
        <v>5002</v>
      </c>
      <c r="C3315" s="3">
        <v>34775</v>
      </c>
      <c r="D3315" s="3" t="str">
        <f>VLOOKUP(B3315,[1]LifeList!$E$2:$G$2036,1)</f>
        <v>Tawny-crested Tanager</v>
      </c>
      <c r="E3315" s="3" t="str">
        <f>VLOOKUP(B3315,[1]LifeList!$E$2:$G$2036,2)</f>
        <v>Tangara de Delattre</v>
      </c>
      <c r="F3315" s="3" t="str">
        <f>VLOOKUP(B3315,[1]LifeList!$E$2:$G$2036,3)</f>
        <v>Tachyphonus delatrii</v>
      </c>
      <c r="G3315" s="3" t="str">
        <f>VLOOKUP(B3315,[1]LifeList!$E$2:$I$2036,4)</f>
        <v>Passeriformes</v>
      </c>
      <c r="H3315" s="3" t="str">
        <f>VLOOKUP(B3315,[1]LifeList!$E$2:$I$2036,5)</f>
        <v>Thraupidae (Tanagers and Allies)</v>
      </c>
    </row>
    <row r="3316" spans="1:8" x14ac:dyDescent="0.15">
      <c r="A3316" s="3" t="s">
        <v>3184</v>
      </c>
      <c r="B3316" s="3" t="s">
        <v>5003</v>
      </c>
      <c r="C3316" s="3">
        <v>23278</v>
      </c>
      <c r="D3316" s="3" t="str">
        <f>VLOOKUP(B3316,[1]LifeList!$E$2:$G$2036,1)</f>
        <v>Tawny-flanked Prinia</v>
      </c>
      <c r="E3316" s="3" t="str">
        <f>VLOOKUP(B3316,[1]LifeList!$E$2:$G$2036,2)</f>
        <v>Prinia modeste</v>
      </c>
      <c r="F3316" s="3" t="str">
        <f>VLOOKUP(B3316,[1]LifeList!$E$2:$G$2036,3)</f>
        <v>Prinia subflava</v>
      </c>
      <c r="G3316" s="3" t="str">
        <f>VLOOKUP(B3316,[1]LifeList!$E$2:$I$2036,4)</f>
        <v>Passeriformes</v>
      </c>
      <c r="H3316" s="3" t="str">
        <f>VLOOKUP(B3316,[1]LifeList!$E$2:$I$2036,5)</f>
        <v>Cisticolidae (Cisticolas and Allies)</v>
      </c>
    </row>
    <row r="3317" spans="1:8" x14ac:dyDescent="0.15">
      <c r="A3317" s="3" t="s">
        <v>3185</v>
      </c>
      <c r="B3317" s="3" t="s">
        <v>5004</v>
      </c>
      <c r="C3317" s="3">
        <v>14660</v>
      </c>
      <c r="D3317" s="3" t="str">
        <f>VLOOKUP(B3317,[1]LifeList!$E$2:$G$2036,1)</f>
        <v>Tawny-winged Woodcreeper</v>
      </c>
      <c r="E3317" s="3" t="str">
        <f>VLOOKUP(B3317,[1]LifeList!$E$2:$G$2036,2)</f>
        <v>Grimpar à ailes rousses</v>
      </c>
      <c r="F3317" s="3" t="str">
        <f>VLOOKUP(B3317,[1]LifeList!$E$2:$G$2036,3)</f>
        <v>Dendrocincla anabatina</v>
      </c>
      <c r="G3317" s="3" t="str">
        <f>VLOOKUP(B3317,[1]LifeList!$E$2:$I$2036,4)</f>
        <v>Passeriformes</v>
      </c>
      <c r="H3317" s="3" t="str">
        <f>VLOOKUP(B3317,[1]LifeList!$E$2:$I$2036,5)</f>
        <v>Furnariidae (Ovenbirds and Woodcreepers)</v>
      </c>
    </row>
    <row r="3318" spans="1:8" x14ac:dyDescent="0.15">
      <c r="A3318" s="3" t="s">
        <v>3189</v>
      </c>
      <c r="B3318" s="3" t="s">
        <v>5005</v>
      </c>
      <c r="C3318" s="3">
        <v>33972</v>
      </c>
      <c r="D3318" s="3" t="str">
        <f>VLOOKUP(B3318,[1]LifeList!$E$2:$G$2036,1)</f>
        <v>Tennessee Warbler</v>
      </c>
      <c r="E3318" s="3" t="str">
        <f>VLOOKUP(B3318,[1]LifeList!$E$2:$G$2036,2)</f>
        <v>Paruline obscure</v>
      </c>
      <c r="F3318" s="3" t="str">
        <f>VLOOKUP(B3318,[1]LifeList!$E$2:$G$2036,3)</f>
        <v>Leiothlypis peregrina</v>
      </c>
      <c r="G3318" s="3" t="str">
        <f>VLOOKUP(B3318,[1]LifeList!$E$2:$I$2036,4)</f>
        <v>Passeriformes</v>
      </c>
      <c r="H3318" s="3" t="str">
        <f>VLOOKUP(B3318,[1]LifeList!$E$2:$I$2036,5)</f>
        <v>Parulidae (New World Warblers)</v>
      </c>
    </row>
    <row r="3319" spans="1:8" x14ac:dyDescent="0.15">
      <c r="A3319" s="3" t="s">
        <v>3190</v>
      </c>
      <c r="B3319" s="3" t="s">
        <v>5005</v>
      </c>
      <c r="C3319" s="3">
        <v>33972</v>
      </c>
      <c r="D3319" s="3" t="str">
        <f>VLOOKUP(B3319,[1]LifeList!$E$2:$G$2036,1)</f>
        <v>Tennessee Warbler</v>
      </c>
      <c r="E3319" s="3" t="str">
        <f>VLOOKUP(B3319,[1]LifeList!$E$2:$G$2036,2)</f>
        <v>Paruline obscure</v>
      </c>
      <c r="F3319" s="3" t="str">
        <f>VLOOKUP(B3319,[1]LifeList!$E$2:$G$2036,3)</f>
        <v>Leiothlypis peregrina</v>
      </c>
      <c r="G3319" s="3" t="str">
        <f>VLOOKUP(B3319,[1]LifeList!$E$2:$I$2036,4)</f>
        <v>Passeriformes</v>
      </c>
      <c r="H3319" s="3" t="str">
        <f>VLOOKUP(B3319,[1]LifeList!$E$2:$I$2036,5)</f>
        <v>Parulidae (New World Warblers)</v>
      </c>
    </row>
    <row r="3320" spans="1:8" x14ac:dyDescent="0.15">
      <c r="A3320" s="3" t="s">
        <v>3191</v>
      </c>
      <c r="B3320" s="3" t="s">
        <v>5005</v>
      </c>
      <c r="C3320" s="3">
        <v>33972</v>
      </c>
      <c r="D3320" s="3" t="str">
        <f>VLOOKUP(B3320,[1]LifeList!$E$2:$G$2036,1)</f>
        <v>Tennessee Warbler</v>
      </c>
      <c r="E3320" s="3" t="str">
        <f>VLOOKUP(B3320,[1]LifeList!$E$2:$G$2036,2)</f>
        <v>Paruline obscure</v>
      </c>
      <c r="F3320" s="3" t="str">
        <f>VLOOKUP(B3320,[1]LifeList!$E$2:$G$2036,3)</f>
        <v>Leiothlypis peregrina</v>
      </c>
      <c r="G3320" s="3" t="str">
        <f>VLOOKUP(B3320,[1]LifeList!$E$2:$I$2036,4)</f>
        <v>Passeriformes</v>
      </c>
      <c r="H3320" s="3" t="str">
        <f>VLOOKUP(B3320,[1]LifeList!$E$2:$I$2036,5)</f>
        <v>Parulidae (New World Warblers)</v>
      </c>
    </row>
    <row r="3321" spans="1:8" x14ac:dyDescent="0.15">
      <c r="A3321" s="3" t="s">
        <v>3192</v>
      </c>
      <c r="B3321" s="3" t="s">
        <v>5005</v>
      </c>
      <c r="C3321" s="3">
        <v>33972</v>
      </c>
      <c r="D3321" s="3" t="str">
        <f>VLOOKUP(B3321,[1]LifeList!$E$2:$G$2036,1)</f>
        <v>Tennessee Warbler</v>
      </c>
      <c r="E3321" s="3" t="str">
        <f>VLOOKUP(B3321,[1]LifeList!$E$2:$G$2036,2)</f>
        <v>Paruline obscure</v>
      </c>
      <c r="F3321" s="3" t="str">
        <f>VLOOKUP(B3321,[1]LifeList!$E$2:$G$2036,3)</f>
        <v>Leiothlypis peregrina</v>
      </c>
      <c r="G3321" s="3" t="str">
        <f>VLOOKUP(B3321,[1]LifeList!$E$2:$I$2036,4)</f>
        <v>Passeriformes</v>
      </c>
      <c r="H3321" s="3" t="str">
        <f>VLOOKUP(B3321,[1]LifeList!$E$2:$I$2036,5)</f>
        <v>Parulidae (New World Warblers)</v>
      </c>
    </row>
    <row r="3322" spans="1:8" x14ac:dyDescent="0.15">
      <c r="A3322" s="3" t="s">
        <v>3193</v>
      </c>
      <c r="B3322" s="3" t="s">
        <v>5005</v>
      </c>
      <c r="C3322" s="3">
        <v>33972</v>
      </c>
      <c r="D3322" s="3" t="str">
        <f>VLOOKUP(B3322,[1]LifeList!$E$2:$G$2036,1)</f>
        <v>Tennessee Warbler</v>
      </c>
      <c r="E3322" s="3" t="str">
        <f>VLOOKUP(B3322,[1]LifeList!$E$2:$G$2036,2)</f>
        <v>Paruline obscure</v>
      </c>
      <c r="F3322" s="3" t="str">
        <f>VLOOKUP(B3322,[1]LifeList!$E$2:$G$2036,3)</f>
        <v>Leiothlypis peregrina</v>
      </c>
      <c r="G3322" s="3" t="str">
        <f>VLOOKUP(B3322,[1]LifeList!$E$2:$I$2036,4)</f>
        <v>Passeriformes</v>
      </c>
      <c r="H3322" s="3" t="str">
        <f>VLOOKUP(B3322,[1]LifeList!$E$2:$I$2036,5)</f>
        <v>Parulidae (New World Warblers)</v>
      </c>
    </row>
    <row r="3323" spans="1:8" x14ac:dyDescent="0.15">
      <c r="A3323" s="3" t="s">
        <v>3194</v>
      </c>
      <c r="B3323" s="3" t="s">
        <v>5006</v>
      </c>
      <c r="C3323" s="3">
        <v>32033</v>
      </c>
      <c r="D3323" s="3" t="str">
        <f>VLOOKUP(B3323,[1]LifeList!$E$2:$G$2036,1)</f>
        <v>Thick-billed Euphonia</v>
      </c>
      <c r="E3323" s="3" t="str">
        <f>VLOOKUP(B3323,[1]LifeList!$E$2:$G$2036,2)</f>
        <v>Organiste à bec épais</v>
      </c>
      <c r="F3323" s="3" t="str">
        <f>VLOOKUP(B3323,[1]LifeList!$E$2:$G$2036,3)</f>
        <v>Euphonia laniirostris</v>
      </c>
      <c r="G3323" s="3" t="str">
        <f>VLOOKUP(B3323,[1]LifeList!$E$2:$I$2036,4)</f>
        <v>Passeriformes</v>
      </c>
      <c r="H3323" s="3" t="str">
        <f>VLOOKUP(B3323,[1]LifeList!$E$2:$I$2036,5)</f>
        <v>Fringillidae (Finches, Euphonias, and Allies)</v>
      </c>
    </row>
    <row r="3324" spans="1:8" x14ac:dyDescent="0.15">
      <c r="A3324" s="3" t="s">
        <v>3195</v>
      </c>
      <c r="B3324" s="3" t="s">
        <v>5006</v>
      </c>
      <c r="C3324" s="3">
        <v>32033</v>
      </c>
      <c r="D3324" s="3" t="str">
        <f>VLOOKUP(B3324,[1]LifeList!$E$2:$G$2036,1)</f>
        <v>Thick-billed Euphonia</v>
      </c>
      <c r="E3324" s="3" t="str">
        <f>VLOOKUP(B3324,[1]LifeList!$E$2:$G$2036,2)</f>
        <v>Organiste à bec épais</v>
      </c>
      <c r="F3324" s="3" t="str">
        <f>VLOOKUP(B3324,[1]LifeList!$E$2:$G$2036,3)</f>
        <v>Euphonia laniirostris</v>
      </c>
      <c r="G3324" s="3" t="str">
        <f>VLOOKUP(B3324,[1]LifeList!$E$2:$I$2036,4)</f>
        <v>Passeriformes</v>
      </c>
      <c r="H3324" s="3" t="str">
        <f>VLOOKUP(B3324,[1]LifeList!$E$2:$I$2036,5)</f>
        <v>Fringillidae (Finches, Euphonias, and Allies)</v>
      </c>
    </row>
    <row r="3325" spans="1:8" x14ac:dyDescent="0.15">
      <c r="A3325" s="3" t="s">
        <v>3196</v>
      </c>
      <c r="B3325" s="3" t="s">
        <v>5006</v>
      </c>
      <c r="C3325" s="3">
        <v>32033</v>
      </c>
      <c r="D3325" s="3" t="str">
        <f>VLOOKUP(B3325,[1]LifeList!$E$2:$G$2036,1)</f>
        <v>Thick-billed Euphonia</v>
      </c>
      <c r="E3325" s="3" t="str">
        <f>VLOOKUP(B3325,[1]LifeList!$E$2:$G$2036,2)</f>
        <v>Organiste à bec épais</v>
      </c>
      <c r="F3325" s="3" t="str">
        <f>VLOOKUP(B3325,[1]LifeList!$E$2:$G$2036,3)</f>
        <v>Euphonia laniirostris</v>
      </c>
      <c r="G3325" s="3" t="str">
        <f>VLOOKUP(B3325,[1]LifeList!$E$2:$I$2036,4)</f>
        <v>Passeriformes</v>
      </c>
      <c r="H3325" s="3" t="str">
        <f>VLOOKUP(B3325,[1]LifeList!$E$2:$I$2036,5)</f>
        <v>Fringillidae (Finches, Euphonias, and Allies)</v>
      </c>
    </row>
    <row r="3326" spans="1:8" x14ac:dyDescent="0.15">
      <c r="A3326" s="3" t="s">
        <v>3197</v>
      </c>
      <c r="B3326" s="3" t="s">
        <v>5006</v>
      </c>
      <c r="C3326" s="3">
        <v>32033</v>
      </c>
      <c r="D3326" s="3" t="str">
        <f>VLOOKUP(B3326,[1]LifeList!$E$2:$G$2036,1)</f>
        <v>Thick-billed Euphonia</v>
      </c>
      <c r="E3326" s="3" t="str">
        <f>VLOOKUP(B3326,[1]LifeList!$E$2:$G$2036,2)</f>
        <v>Organiste à bec épais</v>
      </c>
      <c r="F3326" s="3" t="str">
        <f>VLOOKUP(B3326,[1]LifeList!$E$2:$G$2036,3)</f>
        <v>Euphonia laniirostris</v>
      </c>
      <c r="G3326" s="3" t="str">
        <f>VLOOKUP(B3326,[1]LifeList!$E$2:$I$2036,4)</f>
        <v>Passeriformes</v>
      </c>
      <c r="H3326" s="3" t="str">
        <f>VLOOKUP(B3326,[1]LifeList!$E$2:$I$2036,5)</f>
        <v>Fringillidae (Finches, Euphonias, and Allies)</v>
      </c>
    </row>
    <row r="3327" spans="1:8" x14ac:dyDescent="0.15">
      <c r="A3327" s="3" t="s">
        <v>3198</v>
      </c>
      <c r="B3327" s="3" t="s">
        <v>5006</v>
      </c>
      <c r="C3327" s="3">
        <v>32033</v>
      </c>
      <c r="D3327" s="3" t="str">
        <f>VLOOKUP(B3327,[1]LifeList!$E$2:$G$2036,1)</f>
        <v>Thick-billed Euphonia</v>
      </c>
      <c r="E3327" s="3" t="str">
        <f>VLOOKUP(B3327,[1]LifeList!$E$2:$G$2036,2)</f>
        <v>Organiste à bec épais</v>
      </c>
      <c r="F3327" s="3" t="str">
        <f>VLOOKUP(B3327,[1]LifeList!$E$2:$G$2036,3)</f>
        <v>Euphonia laniirostris</v>
      </c>
      <c r="G3327" s="3" t="str">
        <f>VLOOKUP(B3327,[1]LifeList!$E$2:$I$2036,4)</f>
        <v>Passeriformes</v>
      </c>
      <c r="H3327" s="3" t="str">
        <f>VLOOKUP(B3327,[1]LifeList!$E$2:$I$2036,5)</f>
        <v>Fringillidae (Finches, Euphonias, and Allies)</v>
      </c>
    </row>
    <row r="3328" spans="1:8" x14ac:dyDescent="0.15">
      <c r="A3328" s="3" t="s">
        <v>3199</v>
      </c>
      <c r="B3328" s="3" t="s">
        <v>5007</v>
      </c>
      <c r="C3328" s="3">
        <v>35546</v>
      </c>
      <c r="D3328" s="3" t="str">
        <f>VLOOKUP(B3328,[1]LifeList!$E$2:$G$2036,1)</f>
        <v>Thick-billed Seed-Finch</v>
      </c>
      <c r="E3328" s="3" t="str">
        <f>VLOOKUP(B3328,[1]LifeList!$E$2:$G$2036,2)</f>
        <v>Sporophile à bec fort</v>
      </c>
      <c r="F3328" s="3" t="str">
        <f>VLOOKUP(B3328,[1]LifeList!$E$2:$G$2036,3)</f>
        <v>Sporophila funerea</v>
      </c>
      <c r="G3328" s="3" t="str">
        <f>VLOOKUP(B3328,[1]LifeList!$E$2:$I$2036,4)</f>
        <v>Passeriformes</v>
      </c>
      <c r="H3328" s="3" t="str">
        <f>VLOOKUP(B3328,[1]LifeList!$E$2:$I$2036,5)</f>
        <v>Thraupidae (Tanagers and Allies)</v>
      </c>
    </row>
    <row r="3329" spans="1:8" x14ac:dyDescent="0.15">
      <c r="A3329" s="3" t="s">
        <v>3200</v>
      </c>
      <c r="B3329" s="3" t="s">
        <v>5008</v>
      </c>
      <c r="C3329" s="3">
        <v>5845</v>
      </c>
      <c r="D3329" s="3" t="str">
        <f>VLOOKUP(B3329,[1]LifeList!$E$2:$G$2036,1)</f>
        <v>Three-banded Plover</v>
      </c>
      <c r="E3329" s="3" t="str">
        <f>VLOOKUP(B3329,[1]LifeList!$E$2:$G$2036,2)</f>
        <v>Pluvier à triple collier</v>
      </c>
      <c r="F3329" s="3" t="str">
        <f>VLOOKUP(B3329,[1]LifeList!$E$2:$G$2036,3)</f>
        <v>Thinornis tricollaris</v>
      </c>
      <c r="G3329" s="3" t="str">
        <f>VLOOKUP(B3329,[1]LifeList!$E$2:$I$2036,4)</f>
        <v>Charadriiformes</v>
      </c>
      <c r="H3329" s="3" t="str">
        <f>VLOOKUP(B3329,[1]LifeList!$E$2:$I$2036,5)</f>
        <v>Charadriidae (Plovers and Lapwings)</v>
      </c>
    </row>
    <row r="3330" spans="1:8" x14ac:dyDescent="0.15">
      <c r="A3330" s="3" t="s">
        <v>3201</v>
      </c>
      <c r="B3330" s="3" t="s">
        <v>5008</v>
      </c>
      <c r="C3330" s="3">
        <v>5845</v>
      </c>
      <c r="D3330" s="3" t="str">
        <f>VLOOKUP(B3330,[1]LifeList!$E$2:$G$2036,1)</f>
        <v>Three-banded Plover</v>
      </c>
      <c r="E3330" s="3" t="str">
        <f>VLOOKUP(B3330,[1]LifeList!$E$2:$G$2036,2)</f>
        <v>Pluvier à triple collier</v>
      </c>
      <c r="F3330" s="3" t="str">
        <f>VLOOKUP(B3330,[1]LifeList!$E$2:$G$2036,3)</f>
        <v>Thinornis tricollaris</v>
      </c>
      <c r="G3330" s="3" t="str">
        <f>VLOOKUP(B3330,[1]LifeList!$E$2:$I$2036,4)</f>
        <v>Charadriiformes</v>
      </c>
      <c r="H3330" s="3" t="str">
        <f>VLOOKUP(B3330,[1]LifeList!$E$2:$I$2036,5)</f>
        <v>Charadriidae (Plovers and Lapwings)</v>
      </c>
    </row>
    <row r="3331" spans="1:8" x14ac:dyDescent="0.15">
      <c r="A3331" s="3" t="s">
        <v>3202</v>
      </c>
      <c r="B3331" s="3" t="s">
        <v>5009</v>
      </c>
      <c r="C3331" s="3">
        <v>15940</v>
      </c>
      <c r="D3331" s="3" t="str">
        <f>VLOOKUP(B3331,[1]LifeList!$E$2:$G$2036,1)</f>
        <v>Three-wattled Bellbird</v>
      </c>
      <c r="E3331" s="3" t="str">
        <f>VLOOKUP(B3331,[1]LifeList!$E$2:$G$2036,2)</f>
        <v>Araponga tricaronculé</v>
      </c>
      <c r="F3331" s="3" t="str">
        <f>VLOOKUP(B3331,[1]LifeList!$E$2:$G$2036,3)</f>
        <v>Procnias tricarunculatus</v>
      </c>
      <c r="G3331" s="3" t="str">
        <f>VLOOKUP(B3331,[1]LifeList!$E$2:$I$2036,4)</f>
        <v>Passeriformes</v>
      </c>
      <c r="H3331" s="3" t="str">
        <f>VLOOKUP(B3331,[1]LifeList!$E$2:$I$2036,5)</f>
        <v>Cotingidae (Cotingas)</v>
      </c>
    </row>
    <row r="3332" spans="1:8" x14ac:dyDescent="0.15">
      <c r="A3332" s="3" t="s">
        <v>3203</v>
      </c>
      <c r="B3332" s="3" t="s">
        <v>5009</v>
      </c>
      <c r="C3332" s="3">
        <v>15940</v>
      </c>
      <c r="D3332" s="3" t="str">
        <f>VLOOKUP(B3332,[1]LifeList!$E$2:$G$2036,1)</f>
        <v>Three-wattled Bellbird</v>
      </c>
      <c r="E3332" s="3" t="str">
        <f>VLOOKUP(B3332,[1]LifeList!$E$2:$G$2036,2)</f>
        <v>Araponga tricaronculé</v>
      </c>
      <c r="F3332" s="3" t="str">
        <f>VLOOKUP(B3332,[1]LifeList!$E$2:$G$2036,3)</f>
        <v>Procnias tricarunculatus</v>
      </c>
      <c r="G3332" s="3" t="str">
        <f>VLOOKUP(B3332,[1]LifeList!$E$2:$I$2036,4)</f>
        <v>Passeriformes</v>
      </c>
      <c r="H3332" s="3" t="str">
        <f>VLOOKUP(B3332,[1]LifeList!$E$2:$I$2036,5)</f>
        <v>Cotingidae (Cotingas)</v>
      </c>
    </row>
    <row r="3333" spans="1:8" x14ac:dyDescent="0.15">
      <c r="A3333" s="3" t="s">
        <v>3204</v>
      </c>
      <c r="B3333" s="3" t="s">
        <v>5010</v>
      </c>
      <c r="C3333" s="3">
        <v>27299</v>
      </c>
      <c r="D3333" s="3" t="str">
        <f>VLOOKUP(B3333,[1]LifeList!$E$2:$G$2036,1)</f>
        <v>Timberline Wren</v>
      </c>
      <c r="E3333" s="3" t="str">
        <f>VLOOKUP(B3333,[1]LifeList!$E$2:$G$2036,2)</f>
        <v>Troglodyte des volcans</v>
      </c>
      <c r="F3333" s="3" t="str">
        <f>VLOOKUP(B3333,[1]LifeList!$E$2:$G$2036,3)</f>
        <v>Thryorchilus browni</v>
      </c>
      <c r="G3333" s="3" t="str">
        <f>VLOOKUP(B3333,[1]LifeList!$E$2:$I$2036,4)</f>
        <v>Passeriformes</v>
      </c>
      <c r="H3333" s="3" t="str">
        <f>VLOOKUP(B3333,[1]LifeList!$E$2:$I$2036,5)</f>
        <v>Troglodytidae (Wrens)</v>
      </c>
    </row>
    <row r="3334" spans="1:8" x14ac:dyDescent="0.15">
      <c r="A3334" s="3" t="s">
        <v>3205</v>
      </c>
      <c r="B3334" s="3" t="s">
        <v>5011</v>
      </c>
      <c r="C3334" s="3">
        <v>8334</v>
      </c>
      <c r="D3334" s="3" t="str">
        <f>VLOOKUP(B3334,[1]LifeList!$E$2:$G$2036,1)</f>
        <v>Tiny Hawk</v>
      </c>
      <c r="E3334" s="3" t="str">
        <f>VLOOKUP(B3334,[1]LifeList!$E$2:$G$2036,2)</f>
        <v>Épervier nain</v>
      </c>
      <c r="F3334" s="3" t="str">
        <f>VLOOKUP(B3334,[1]LifeList!$E$2:$G$2036,3)</f>
        <v>Microspizias superciliosus</v>
      </c>
      <c r="G3334" s="3" t="str">
        <f>VLOOKUP(B3334,[1]LifeList!$E$2:$I$2036,4)</f>
        <v>Accipitriformes</v>
      </c>
      <c r="H3334" s="3" t="str">
        <f>VLOOKUP(B3334,[1]LifeList!$E$2:$I$2036,5)</f>
        <v>Accipitridae (Hawks, Eagles, and Kites)</v>
      </c>
    </row>
    <row r="3335" spans="1:8" x14ac:dyDescent="0.15">
      <c r="A3335" s="3" t="s">
        <v>3206</v>
      </c>
      <c r="B3335" s="3" t="s">
        <v>5011</v>
      </c>
      <c r="C3335" s="3">
        <v>8334</v>
      </c>
      <c r="D3335" s="3" t="str">
        <f>VLOOKUP(B3335,[1]LifeList!$E$2:$G$2036,1)</f>
        <v>Tiny Hawk</v>
      </c>
      <c r="E3335" s="3" t="str">
        <f>VLOOKUP(B3335,[1]LifeList!$E$2:$G$2036,2)</f>
        <v>Épervier nain</v>
      </c>
      <c r="F3335" s="3" t="str">
        <f>VLOOKUP(B3335,[1]LifeList!$E$2:$G$2036,3)</f>
        <v>Microspizias superciliosus</v>
      </c>
      <c r="G3335" s="3" t="str">
        <f>VLOOKUP(B3335,[1]LifeList!$E$2:$I$2036,4)</f>
        <v>Accipitriformes</v>
      </c>
      <c r="H3335" s="3" t="str">
        <f>VLOOKUP(B3335,[1]LifeList!$E$2:$I$2036,5)</f>
        <v>Accipitridae (Hawks, Eagles, and Kites)</v>
      </c>
    </row>
    <row r="3336" spans="1:8" x14ac:dyDescent="0.15">
      <c r="A3336" s="3" t="s">
        <v>3208</v>
      </c>
      <c r="B3336" s="3" t="s">
        <v>5012</v>
      </c>
      <c r="C3336" s="3">
        <v>9846</v>
      </c>
      <c r="D3336" s="3" t="str">
        <f>VLOOKUP(B3336,[1]LifeList!$E$2:$G$2036,1)</f>
        <v>Tody Motmot</v>
      </c>
      <c r="E3336" s="3" t="str">
        <f>VLOOKUP(B3336,[1]LifeList!$E$2:$G$2036,2)</f>
        <v>Motmot nain</v>
      </c>
      <c r="F3336" s="3" t="str">
        <f>VLOOKUP(B3336,[1]LifeList!$E$2:$G$2036,3)</f>
        <v>Hylomanes momotula</v>
      </c>
      <c r="G3336" s="3" t="str">
        <f>VLOOKUP(B3336,[1]LifeList!$E$2:$I$2036,4)</f>
        <v>Coraciiformes</v>
      </c>
      <c r="H3336" s="3" t="str">
        <f>VLOOKUP(B3336,[1]LifeList!$E$2:$I$2036,5)</f>
        <v>Momotidae (Motmots)</v>
      </c>
    </row>
    <row r="3337" spans="1:8" x14ac:dyDescent="0.15">
      <c r="A3337" s="3" t="s">
        <v>3207</v>
      </c>
      <c r="B3337" s="3" t="s">
        <v>5012</v>
      </c>
      <c r="C3337" s="3">
        <v>9846</v>
      </c>
      <c r="D3337" s="3" t="str">
        <f>VLOOKUP(B3337,[1]LifeList!$E$2:$G$2036,1)</f>
        <v>Tody Motmot</v>
      </c>
      <c r="E3337" s="3" t="str">
        <f>VLOOKUP(B3337,[1]LifeList!$E$2:$G$2036,2)</f>
        <v>Motmot nain</v>
      </c>
      <c r="F3337" s="3" t="str">
        <f>VLOOKUP(B3337,[1]LifeList!$E$2:$G$2036,3)</f>
        <v>Hylomanes momotula</v>
      </c>
      <c r="G3337" s="3" t="str">
        <f>VLOOKUP(B3337,[1]LifeList!$E$2:$I$2036,4)</f>
        <v>Coraciiformes</v>
      </c>
      <c r="H3337" s="3" t="str">
        <f>VLOOKUP(B3337,[1]LifeList!$E$2:$I$2036,5)</f>
        <v>Momotidae (Motmots)</v>
      </c>
    </row>
    <row r="3338" spans="1:8" x14ac:dyDescent="0.15">
      <c r="A3338" s="3" t="s">
        <v>3209</v>
      </c>
      <c r="B3338" s="3" t="s">
        <v>5013</v>
      </c>
      <c r="C3338" s="3">
        <v>468</v>
      </c>
      <c r="D3338" s="3" t="str">
        <f>VLOOKUP(B3338,[1]LifeList!$E$2:$G$2036,1)</f>
        <v>Torrent Duck</v>
      </c>
      <c r="E3338" s="3" t="str">
        <f>VLOOKUP(B3338,[1]LifeList!$E$2:$G$2036,2)</f>
        <v>Merganette des torrents</v>
      </c>
      <c r="F3338" s="3" t="str">
        <f>VLOOKUP(B3338,[1]LifeList!$E$2:$G$2036,3)</f>
        <v>Merganetta armata</v>
      </c>
      <c r="G3338" s="3" t="str">
        <f>VLOOKUP(B3338,[1]LifeList!$E$2:$I$2036,4)</f>
        <v>Anseriformes</v>
      </c>
      <c r="H3338" s="3" t="str">
        <f>VLOOKUP(B3338,[1]LifeList!$E$2:$I$2036,5)</f>
        <v>Anatidae (Ducks, Geese, and Waterfowl)</v>
      </c>
    </row>
    <row r="3339" spans="1:8" x14ac:dyDescent="0.15">
      <c r="A3339" s="3" t="s">
        <v>3210</v>
      </c>
      <c r="B3339" s="3" t="s">
        <v>5014</v>
      </c>
      <c r="C3339" s="3">
        <v>16746</v>
      </c>
      <c r="D3339" s="3" t="str">
        <f>VLOOKUP(B3339,[1]LifeList!$E$2:$G$2036,1)</f>
        <v>Torrent Tyrannulet</v>
      </c>
      <c r="E3339" s="3" t="str">
        <f>VLOOKUP(B3339,[1]LifeList!$E$2:$G$2036,2)</f>
        <v>Tyranneau des torrents</v>
      </c>
      <c r="F3339" s="3" t="str">
        <f>VLOOKUP(B3339,[1]LifeList!$E$2:$G$2036,3)</f>
        <v>Serpophaga cinerea</v>
      </c>
      <c r="G3339" s="3" t="str">
        <f>VLOOKUP(B3339,[1]LifeList!$E$2:$I$2036,4)</f>
        <v>Passeriformes</v>
      </c>
      <c r="H3339" s="3" t="str">
        <f>VLOOKUP(B3339,[1]LifeList!$E$2:$I$2036,5)</f>
        <v>Tyrannidae (Tyrant Flycatchers)</v>
      </c>
    </row>
    <row r="3340" spans="1:8" x14ac:dyDescent="0.15">
      <c r="A3340" s="3" t="s">
        <v>3211</v>
      </c>
      <c r="B3340" s="3" t="s">
        <v>5014</v>
      </c>
      <c r="C3340" s="3">
        <v>16746</v>
      </c>
      <c r="D3340" s="3" t="str">
        <f>VLOOKUP(B3340,[1]LifeList!$E$2:$G$2036,1)</f>
        <v>Torrent Tyrannulet</v>
      </c>
      <c r="E3340" s="3" t="str">
        <f>VLOOKUP(B3340,[1]LifeList!$E$2:$G$2036,2)</f>
        <v>Tyranneau des torrents</v>
      </c>
      <c r="F3340" s="3" t="str">
        <f>VLOOKUP(B3340,[1]LifeList!$E$2:$G$2036,3)</f>
        <v>Serpophaga cinerea</v>
      </c>
      <c r="G3340" s="3" t="str">
        <f>VLOOKUP(B3340,[1]LifeList!$E$2:$I$2036,4)</f>
        <v>Passeriformes</v>
      </c>
      <c r="H3340" s="3" t="str">
        <f>VLOOKUP(B3340,[1]LifeList!$E$2:$I$2036,5)</f>
        <v>Tyrannidae (Tyrant Flycatchers)</v>
      </c>
    </row>
    <row r="3341" spans="1:8" x14ac:dyDescent="0.15">
      <c r="A3341" s="3" t="s">
        <v>3212</v>
      </c>
      <c r="B3341" s="3" t="s">
        <v>5014</v>
      </c>
      <c r="C3341" s="3">
        <v>16746</v>
      </c>
      <c r="D3341" s="3" t="str">
        <f>VLOOKUP(B3341,[1]LifeList!$E$2:$G$2036,1)</f>
        <v>Torrent Tyrannulet</v>
      </c>
      <c r="E3341" s="3" t="str">
        <f>VLOOKUP(B3341,[1]LifeList!$E$2:$G$2036,2)</f>
        <v>Tyranneau des torrents</v>
      </c>
      <c r="F3341" s="3" t="str">
        <f>VLOOKUP(B3341,[1]LifeList!$E$2:$G$2036,3)</f>
        <v>Serpophaga cinerea</v>
      </c>
      <c r="G3341" s="3" t="str">
        <f>VLOOKUP(B3341,[1]LifeList!$E$2:$I$2036,4)</f>
        <v>Passeriformes</v>
      </c>
      <c r="H3341" s="3" t="str">
        <f>VLOOKUP(B3341,[1]LifeList!$E$2:$I$2036,5)</f>
        <v>Tyrannidae (Tyrant Flycatchers)</v>
      </c>
    </row>
    <row r="3342" spans="1:8" x14ac:dyDescent="0.15">
      <c r="A3342" s="3" t="s">
        <v>3213</v>
      </c>
      <c r="B3342" s="3" t="s">
        <v>5014</v>
      </c>
      <c r="C3342" s="3">
        <v>16746</v>
      </c>
      <c r="D3342" s="3" t="str">
        <f>VLOOKUP(B3342,[1]LifeList!$E$2:$G$2036,1)</f>
        <v>Torrent Tyrannulet</v>
      </c>
      <c r="E3342" s="3" t="str">
        <f>VLOOKUP(B3342,[1]LifeList!$E$2:$G$2036,2)</f>
        <v>Tyranneau des torrents</v>
      </c>
      <c r="F3342" s="3" t="str">
        <f>VLOOKUP(B3342,[1]LifeList!$E$2:$G$2036,3)</f>
        <v>Serpophaga cinerea</v>
      </c>
      <c r="G3342" s="3" t="str">
        <f>VLOOKUP(B3342,[1]LifeList!$E$2:$I$2036,4)</f>
        <v>Passeriformes</v>
      </c>
      <c r="H3342" s="3" t="str">
        <f>VLOOKUP(B3342,[1]LifeList!$E$2:$I$2036,5)</f>
        <v>Tyrannidae (Tyrant Flycatchers)</v>
      </c>
    </row>
    <row r="3343" spans="1:8" x14ac:dyDescent="0.15">
      <c r="A3343" s="3" t="s">
        <v>3214</v>
      </c>
      <c r="B3343" s="3" t="s">
        <v>5014</v>
      </c>
      <c r="C3343" s="3">
        <v>16746</v>
      </c>
      <c r="D3343" s="3" t="str">
        <f>VLOOKUP(B3343,[1]LifeList!$E$2:$G$2036,1)</f>
        <v>Torrent Tyrannulet</v>
      </c>
      <c r="E3343" s="3" t="str">
        <f>VLOOKUP(B3343,[1]LifeList!$E$2:$G$2036,2)</f>
        <v>Tyranneau des torrents</v>
      </c>
      <c r="F3343" s="3" t="str">
        <f>VLOOKUP(B3343,[1]LifeList!$E$2:$G$2036,3)</f>
        <v>Serpophaga cinerea</v>
      </c>
      <c r="G3343" s="3" t="str">
        <f>VLOOKUP(B3343,[1]LifeList!$E$2:$I$2036,4)</f>
        <v>Passeriformes</v>
      </c>
      <c r="H3343" s="3" t="str">
        <f>VLOOKUP(B3343,[1]LifeList!$E$2:$I$2036,5)</f>
        <v>Tyrannidae (Tyrant Flycatchers)</v>
      </c>
    </row>
    <row r="3344" spans="1:8" x14ac:dyDescent="0.15">
      <c r="A3344" s="3" t="s">
        <v>3215</v>
      </c>
      <c r="B3344" s="3" t="s">
        <v>5015</v>
      </c>
      <c r="C3344" s="3">
        <v>10832</v>
      </c>
      <c r="D3344" s="3" t="str">
        <f>VLOOKUP(B3344,[1]LifeList!$E$2:$G$2036,1)</f>
        <v>Toucan Barbet</v>
      </c>
      <c r="E3344" s="3" t="str">
        <f>VLOOKUP(B3344,[1]LifeList!$E$2:$G$2036,2)</f>
        <v>Cabézon toucan</v>
      </c>
      <c r="F3344" s="3" t="str">
        <f>VLOOKUP(B3344,[1]LifeList!$E$2:$G$2036,3)</f>
        <v>Semnornis ramphastinus</v>
      </c>
      <c r="G3344" s="3" t="str">
        <f>VLOOKUP(B3344,[1]LifeList!$E$2:$I$2036,4)</f>
        <v>Piciformes</v>
      </c>
      <c r="H3344" s="3" t="str">
        <f>VLOOKUP(B3344,[1]LifeList!$E$2:$I$2036,5)</f>
        <v>Semnornithidae (Toucan-Barbets)</v>
      </c>
    </row>
    <row r="3345" spans="1:8" x14ac:dyDescent="0.15">
      <c r="A3345" s="3" t="s">
        <v>3216</v>
      </c>
      <c r="B3345" s="3" t="s">
        <v>5016</v>
      </c>
      <c r="C3345" s="3">
        <v>4414</v>
      </c>
      <c r="D3345" s="3" t="str">
        <f>VLOOKUP(B3345,[1]LifeList!$E$2:$G$2036,1)</f>
        <v>Tourmaline Sunangel</v>
      </c>
      <c r="E3345" s="3" t="str">
        <f>VLOOKUP(B3345,[1]LifeList!$E$2:$G$2036,2)</f>
        <v>Héliange tourmaline</v>
      </c>
      <c r="F3345" s="3" t="str">
        <f>VLOOKUP(B3345,[1]LifeList!$E$2:$G$2036,3)</f>
        <v>Heliangelus exortis</v>
      </c>
      <c r="G3345" s="3" t="str">
        <f>VLOOKUP(B3345,[1]LifeList!$E$2:$I$2036,4)</f>
        <v>Apodiformes</v>
      </c>
      <c r="H3345" s="3" t="str">
        <f>VLOOKUP(B3345,[1]LifeList!$E$2:$I$2036,5)</f>
        <v>Trochilidae (Hummingbirds)</v>
      </c>
    </row>
    <row r="3346" spans="1:8" x14ac:dyDescent="0.15">
      <c r="A3346" s="3" t="s">
        <v>3217</v>
      </c>
      <c r="B3346" s="3" t="s">
        <v>5016</v>
      </c>
      <c r="C3346" s="3">
        <v>4414</v>
      </c>
      <c r="D3346" s="3" t="str">
        <f>VLOOKUP(B3346,[1]LifeList!$E$2:$G$2036,1)</f>
        <v>Tourmaline Sunangel</v>
      </c>
      <c r="E3346" s="3" t="str">
        <f>VLOOKUP(B3346,[1]LifeList!$E$2:$G$2036,2)</f>
        <v>Héliange tourmaline</v>
      </c>
      <c r="F3346" s="3" t="str">
        <f>VLOOKUP(B3346,[1]LifeList!$E$2:$G$2036,3)</f>
        <v>Heliangelus exortis</v>
      </c>
      <c r="G3346" s="3" t="str">
        <f>VLOOKUP(B3346,[1]LifeList!$E$2:$I$2036,4)</f>
        <v>Apodiformes</v>
      </c>
      <c r="H3346" s="3" t="str">
        <f>VLOOKUP(B3346,[1]LifeList!$E$2:$I$2036,5)</f>
        <v>Trochilidae (Hummingbirds)</v>
      </c>
    </row>
    <row r="3347" spans="1:8" x14ac:dyDescent="0.15">
      <c r="A3347" s="3" t="s">
        <v>3218</v>
      </c>
      <c r="B3347" s="3" t="s">
        <v>5017</v>
      </c>
      <c r="C3347" s="3">
        <v>24064</v>
      </c>
      <c r="D3347" s="3" t="str">
        <f>VLOOKUP(B3347,[1]LifeList!$E$2:$G$2036,1)</f>
        <v>Tree Swallow</v>
      </c>
      <c r="E3347" s="3" t="str">
        <f>VLOOKUP(B3347,[1]LifeList!$E$2:$G$2036,2)</f>
        <v>Hirondelle bicolore</v>
      </c>
      <c r="F3347" s="3" t="str">
        <f>VLOOKUP(B3347,[1]LifeList!$E$2:$G$2036,3)</f>
        <v>Tachycineta bicolor</v>
      </c>
      <c r="G3347" s="3" t="str">
        <f>VLOOKUP(B3347,[1]LifeList!$E$2:$I$2036,4)</f>
        <v>Passeriformes</v>
      </c>
      <c r="H3347" s="3" t="str">
        <f>VLOOKUP(B3347,[1]LifeList!$E$2:$I$2036,5)</f>
        <v>Hirundinidae (Swallows)</v>
      </c>
    </row>
    <row r="3348" spans="1:8" x14ac:dyDescent="0.15">
      <c r="A3348" s="3" t="s">
        <v>3219</v>
      </c>
      <c r="B3348" s="3" t="s">
        <v>5017</v>
      </c>
      <c r="C3348" s="3">
        <v>24064</v>
      </c>
      <c r="D3348" s="3" t="str">
        <f>VLOOKUP(B3348,[1]LifeList!$E$2:$G$2036,1)</f>
        <v>Tree Swallow</v>
      </c>
      <c r="E3348" s="3" t="str">
        <f>VLOOKUP(B3348,[1]LifeList!$E$2:$G$2036,2)</f>
        <v>Hirondelle bicolore</v>
      </c>
      <c r="F3348" s="3" t="str">
        <f>VLOOKUP(B3348,[1]LifeList!$E$2:$G$2036,3)</f>
        <v>Tachycineta bicolor</v>
      </c>
      <c r="G3348" s="3" t="str">
        <f>VLOOKUP(B3348,[1]LifeList!$E$2:$I$2036,4)</f>
        <v>Passeriformes</v>
      </c>
      <c r="H3348" s="3" t="str">
        <f>VLOOKUP(B3348,[1]LifeList!$E$2:$I$2036,5)</f>
        <v>Hirundinidae (Swallows)</v>
      </c>
    </row>
    <row r="3349" spans="1:8" x14ac:dyDescent="0.15">
      <c r="A3349" s="3" t="s">
        <v>3220</v>
      </c>
      <c r="B3349" s="3" t="s">
        <v>5018</v>
      </c>
      <c r="C3349" s="3">
        <v>7630</v>
      </c>
      <c r="D3349" s="3" t="str">
        <f>VLOOKUP(B3349,[1]LifeList!$E$2:$G$2036,1)</f>
        <v>Tricolored Heron</v>
      </c>
      <c r="E3349" s="3" t="str">
        <f>VLOOKUP(B3349,[1]LifeList!$E$2:$G$2036,2)</f>
        <v>Aigrette tricolore</v>
      </c>
      <c r="F3349" s="3" t="str">
        <f>VLOOKUP(B3349,[1]LifeList!$E$2:$G$2036,3)</f>
        <v>Egretta tricolor</v>
      </c>
      <c r="G3349" s="3" t="str">
        <f>VLOOKUP(B3349,[1]LifeList!$E$2:$I$2036,4)</f>
        <v>Pelecaniformes</v>
      </c>
      <c r="H3349" s="3" t="str">
        <f>VLOOKUP(B3349,[1]LifeList!$E$2:$I$2036,5)</f>
        <v>Ardeidae (Herons, Egrets, and Bitterns)</v>
      </c>
    </row>
    <row r="3350" spans="1:8" x14ac:dyDescent="0.15">
      <c r="A3350" s="3" t="s">
        <v>3221</v>
      </c>
      <c r="B3350" s="3" t="s">
        <v>5018</v>
      </c>
      <c r="C3350" s="3">
        <v>7630</v>
      </c>
      <c r="D3350" s="3" t="str">
        <f>VLOOKUP(B3350,[1]LifeList!$E$2:$G$2036,1)</f>
        <v>Tricolored Heron</v>
      </c>
      <c r="E3350" s="3" t="str">
        <f>VLOOKUP(B3350,[1]LifeList!$E$2:$G$2036,2)</f>
        <v>Aigrette tricolore</v>
      </c>
      <c r="F3350" s="3" t="str">
        <f>VLOOKUP(B3350,[1]LifeList!$E$2:$G$2036,3)</f>
        <v>Egretta tricolor</v>
      </c>
      <c r="G3350" s="3" t="str">
        <f>VLOOKUP(B3350,[1]LifeList!$E$2:$I$2036,4)</f>
        <v>Pelecaniformes</v>
      </c>
      <c r="H3350" s="3" t="str">
        <f>VLOOKUP(B3350,[1]LifeList!$E$2:$I$2036,5)</f>
        <v>Ardeidae (Herons, Egrets, and Bitterns)</v>
      </c>
    </row>
    <row r="3351" spans="1:8" x14ac:dyDescent="0.15">
      <c r="A3351" s="3" t="s">
        <v>3222</v>
      </c>
      <c r="B3351" s="3" t="s">
        <v>5018</v>
      </c>
      <c r="C3351" s="3">
        <v>7630</v>
      </c>
      <c r="D3351" s="3" t="str">
        <f>VLOOKUP(B3351,[1]LifeList!$E$2:$G$2036,1)</f>
        <v>Tricolored Heron</v>
      </c>
      <c r="E3351" s="3" t="str">
        <f>VLOOKUP(B3351,[1]LifeList!$E$2:$G$2036,2)</f>
        <v>Aigrette tricolore</v>
      </c>
      <c r="F3351" s="3" t="str">
        <f>VLOOKUP(B3351,[1]LifeList!$E$2:$G$2036,3)</f>
        <v>Egretta tricolor</v>
      </c>
      <c r="G3351" s="3" t="str">
        <f>VLOOKUP(B3351,[1]LifeList!$E$2:$I$2036,4)</f>
        <v>Pelecaniformes</v>
      </c>
      <c r="H3351" s="3" t="str">
        <f>VLOOKUP(B3351,[1]LifeList!$E$2:$I$2036,5)</f>
        <v>Ardeidae (Herons, Egrets, and Bitterns)</v>
      </c>
    </row>
    <row r="3352" spans="1:8" x14ac:dyDescent="0.15">
      <c r="A3352" s="3" t="s">
        <v>3223</v>
      </c>
      <c r="B3352" s="3" t="s">
        <v>5018</v>
      </c>
      <c r="C3352" s="3">
        <v>7630</v>
      </c>
      <c r="D3352" s="3" t="str">
        <f>VLOOKUP(B3352,[1]LifeList!$E$2:$G$2036,1)</f>
        <v>Tricolored Heron</v>
      </c>
      <c r="E3352" s="3" t="str">
        <f>VLOOKUP(B3352,[1]LifeList!$E$2:$G$2036,2)</f>
        <v>Aigrette tricolore</v>
      </c>
      <c r="F3352" s="3" t="str">
        <f>VLOOKUP(B3352,[1]LifeList!$E$2:$G$2036,3)</f>
        <v>Egretta tricolor</v>
      </c>
      <c r="G3352" s="3" t="str">
        <f>VLOOKUP(B3352,[1]LifeList!$E$2:$I$2036,4)</f>
        <v>Pelecaniformes</v>
      </c>
      <c r="H3352" s="3" t="str">
        <f>VLOOKUP(B3352,[1]LifeList!$E$2:$I$2036,5)</f>
        <v>Ardeidae (Herons, Egrets, and Bitterns)</v>
      </c>
    </row>
    <row r="3353" spans="1:8" x14ac:dyDescent="0.15">
      <c r="A3353" s="3" t="s">
        <v>3224</v>
      </c>
      <c r="B3353" s="3" t="s">
        <v>5018</v>
      </c>
      <c r="C3353" s="3">
        <v>7630</v>
      </c>
      <c r="D3353" s="3" t="str">
        <f>VLOOKUP(B3353,[1]LifeList!$E$2:$G$2036,1)</f>
        <v>Tricolored Heron</v>
      </c>
      <c r="E3353" s="3" t="str">
        <f>VLOOKUP(B3353,[1]LifeList!$E$2:$G$2036,2)</f>
        <v>Aigrette tricolore</v>
      </c>
      <c r="F3353" s="3" t="str">
        <f>VLOOKUP(B3353,[1]LifeList!$E$2:$G$2036,3)</f>
        <v>Egretta tricolor</v>
      </c>
      <c r="G3353" s="3" t="str">
        <f>VLOOKUP(B3353,[1]LifeList!$E$2:$I$2036,4)</f>
        <v>Pelecaniformes</v>
      </c>
      <c r="H3353" s="3" t="str">
        <f>VLOOKUP(B3353,[1]LifeList!$E$2:$I$2036,5)</f>
        <v>Ardeidae (Herons, Egrets, and Bitterns)</v>
      </c>
    </row>
    <row r="3354" spans="1:8" x14ac:dyDescent="0.15">
      <c r="A3354" s="3" t="s">
        <v>3225</v>
      </c>
      <c r="B3354" s="3" t="s">
        <v>5018</v>
      </c>
      <c r="C3354" s="3">
        <v>7630</v>
      </c>
      <c r="D3354" s="3" t="str">
        <f>VLOOKUP(B3354,[1]LifeList!$E$2:$G$2036,1)</f>
        <v>Tricolored Heron</v>
      </c>
      <c r="E3354" s="3" t="str">
        <f>VLOOKUP(B3354,[1]LifeList!$E$2:$G$2036,2)</f>
        <v>Aigrette tricolore</v>
      </c>
      <c r="F3354" s="3" t="str">
        <f>VLOOKUP(B3354,[1]LifeList!$E$2:$G$2036,3)</f>
        <v>Egretta tricolor</v>
      </c>
      <c r="G3354" s="3" t="str">
        <f>VLOOKUP(B3354,[1]LifeList!$E$2:$I$2036,4)</f>
        <v>Pelecaniformes</v>
      </c>
      <c r="H3354" s="3" t="str">
        <f>VLOOKUP(B3354,[1]LifeList!$E$2:$I$2036,5)</f>
        <v>Ardeidae (Herons, Egrets, and Bitterns)</v>
      </c>
    </row>
    <row r="3355" spans="1:8" x14ac:dyDescent="0.15">
      <c r="A3355" s="3" t="s">
        <v>3226</v>
      </c>
      <c r="B3355" s="3" t="s">
        <v>5018</v>
      </c>
      <c r="C3355" s="3">
        <v>7630</v>
      </c>
      <c r="D3355" s="3" t="str">
        <f>VLOOKUP(B3355,[1]LifeList!$E$2:$G$2036,1)</f>
        <v>Tricolored Heron</v>
      </c>
      <c r="E3355" s="3" t="str">
        <f>VLOOKUP(B3355,[1]LifeList!$E$2:$G$2036,2)</f>
        <v>Aigrette tricolore</v>
      </c>
      <c r="F3355" s="3" t="str">
        <f>VLOOKUP(B3355,[1]LifeList!$E$2:$G$2036,3)</f>
        <v>Egretta tricolor</v>
      </c>
      <c r="G3355" s="3" t="str">
        <f>VLOOKUP(B3355,[1]LifeList!$E$2:$I$2036,4)</f>
        <v>Pelecaniformes</v>
      </c>
      <c r="H3355" s="3" t="str">
        <f>VLOOKUP(B3355,[1]LifeList!$E$2:$I$2036,5)</f>
        <v>Ardeidae (Herons, Egrets, and Bitterns)</v>
      </c>
    </row>
    <row r="3356" spans="1:8" x14ac:dyDescent="0.15">
      <c r="A3356" s="3" t="s">
        <v>3227</v>
      </c>
      <c r="B3356" s="3" t="s">
        <v>5018</v>
      </c>
      <c r="C3356" s="3">
        <v>7630</v>
      </c>
      <c r="D3356" s="3" t="str">
        <f>VLOOKUP(B3356,[1]LifeList!$E$2:$G$2036,1)</f>
        <v>Tricolored Heron</v>
      </c>
      <c r="E3356" s="3" t="str">
        <f>VLOOKUP(B3356,[1]LifeList!$E$2:$G$2036,2)</f>
        <v>Aigrette tricolore</v>
      </c>
      <c r="F3356" s="3" t="str">
        <f>VLOOKUP(B3356,[1]LifeList!$E$2:$G$2036,3)</f>
        <v>Egretta tricolor</v>
      </c>
      <c r="G3356" s="3" t="str">
        <f>VLOOKUP(B3356,[1]LifeList!$E$2:$I$2036,4)</f>
        <v>Pelecaniformes</v>
      </c>
      <c r="H3356" s="3" t="str">
        <f>VLOOKUP(B3356,[1]LifeList!$E$2:$I$2036,5)</f>
        <v>Ardeidae (Herons, Egrets, and Bitterns)</v>
      </c>
    </row>
    <row r="3357" spans="1:8" x14ac:dyDescent="0.15">
      <c r="A3357" s="3" t="s">
        <v>3228</v>
      </c>
      <c r="B3357" s="3" t="s">
        <v>5018</v>
      </c>
      <c r="C3357" s="3">
        <v>7630</v>
      </c>
      <c r="D3357" s="3" t="str">
        <f>VLOOKUP(B3357,[1]LifeList!$E$2:$G$2036,1)</f>
        <v>Tricolored Heron</v>
      </c>
      <c r="E3357" s="3" t="str">
        <f>VLOOKUP(B3357,[1]LifeList!$E$2:$G$2036,2)</f>
        <v>Aigrette tricolore</v>
      </c>
      <c r="F3357" s="3" t="str">
        <f>VLOOKUP(B3357,[1]LifeList!$E$2:$G$2036,3)</f>
        <v>Egretta tricolor</v>
      </c>
      <c r="G3357" s="3" t="str">
        <f>VLOOKUP(B3357,[1]LifeList!$E$2:$I$2036,4)</f>
        <v>Pelecaniformes</v>
      </c>
      <c r="H3357" s="3" t="str">
        <f>VLOOKUP(B3357,[1]LifeList!$E$2:$I$2036,5)</f>
        <v>Ardeidae (Herons, Egrets, and Bitterns)</v>
      </c>
    </row>
    <row r="3358" spans="1:8" x14ac:dyDescent="0.15">
      <c r="A3358" s="3" t="s">
        <v>3229</v>
      </c>
      <c r="B3358" s="3" t="s">
        <v>5018</v>
      </c>
      <c r="C3358" s="3">
        <v>7630</v>
      </c>
      <c r="D3358" s="3" t="str">
        <f>VLOOKUP(B3358,[1]LifeList!$E$2:$G$2036,1)</f>
        <v>Tricolored Heron</v>
      </c>
      <c r="E3358" s="3" t="str">
        <f>VLOOKUP(B3358,[1]LifeList!$E$2:$G$2036,2)</f>
        <v>Aigrette tricolore</v>
      </c>
      <c r="F3358" s="3" t="str">
        <f>VLOOKUP(B3358,[1]LifeList!$E$2:$G$2036,3)</f>
        <v>Egretta tricolor</v>
      </c>
      <c r="G3358" s="3" t="str">
        <f>VLOOKUP(B3358,[1]LifeList!$E$2:$I$2036,4)</f>
        <v>Pelecaniformes</v>
      </c>
      <c r="H3358" s="3" t="str">
        <f>VLOOKUP(B3358,[1]LifeList!$E$2:$I$2036,5)</f>
        <v>Ardeidae (Herons, Egrets, and Bitterns)</v>
      </c>
    </row>
    <row r="3359" spans="1:8" x14ac:dyDescent="0.15">
      <c r="A3359" s="3" t="s">
        <v>3230</v>
      </c>
      <c r="B3359" s="3" t="s">
        <v>5018</v>
      </c>
      <c r="C3359" s="3">
        <v>7630</v>
      </c>
      <c r="D3359" s="3" t="str">
        <f>VLOOKUP(B3359,[1]LifeList!$E$2:$G$2036,1)</f>
        <v>Tricolored Heron</v>
      </c>
      <c r="E3359" s="3" t="str">
        <f>VLOOKUP(B3359,[1]LifeList!$E$2:$G$2036,2)</f>
        <v>Aigrette tricolore</v>
      </c>
      <c r="F3359" s="3" t="str">
        <f>VLOOKUP(B3359,[1]LifeList!$E$2:$G$2036,3)</f>
        <v>Egretta tricolor</v>
      </c>
      <c r="G3359" s="3" t="str">
        <f>VLOOKUP(B3359,[1]LifeList!$E$2:$I$2036,4)</f>
        <v>Pelecaniformes</v>
      </c>
      <c r="H3359" s="3" t="str">
        <f>VLOOKUP(B3359,[1]LifeList!$E$2:$I$2036,5)</f>
        <v>Ardeidae (Herons, Egrets, and Bitterns)</v>
      </c>
    </row>
    <row r="3360" spans="1:8" x14ac:dyDescent="0.15">
      <c r="A3360" s="3" t="s">
        <v>3231</v>
      </c>
      <c r="B3360" s="3" t="s">
        <v>5018</v>
      </c>
      <c r="C3360" s="3">
        <v>7630</v>
      </c>
      <c r="D3360" s="3" t="str">
        <f>VLOOKUP(B3360,[1]LifeList!$E$2:$G$2036,1)</f>
        <v>Tricolored Heron</v>
      </c>
      <c r="E3360" s="3" t="str">
        <f>VLOOKUP(B3360,[1]LifeList!$E$2:$G$2036,2)</f>
        <v>Aigrette tricolore</v>
      </c>
      <c r="F3360" s="3" t="str">
        <f>VLOOKUP(B3360,[1]LifeList!$E$2:$G$2036,3)</f>
        <v>Egretta tricolor</v>
      </c>
      <c r="G3360" s="3" t="str">
        <f>VLOOKUP(B3360,[1]LifeList!$E$2:$I$2036,4)</f>
        <v>Pelecaniformes</v>
      </c>
      <c r="H3360" s="3" t="str">
        <f>VLOOKUP(B3360,[1]LifeList!$E$2:$I$2036,5)</f>
        <v>Ardeidae (Herons, Egrets, and Bitterns)</v>
      </c>
    </row>
    <row r="3361" spans="1:8" x14ac:dyDescent="0.15">
      <c r="A3361" s="3" t="s">
        <v>3232</v>
      </c>
      <c r="B3361" s="3" t="s">
        <v>5018</v>
      </c>
      <c r="C3361" s="3">
        <v>7630</v>
      </c>
      <c r="D3361" s="3" t="str">
        <f>VLOOKUP(B3361,[1]LifeList!$E$2:$G$2036,1)</f>
        <v>Tricolored Heron</v>
      </c>
      <c r="E3361" s="3" t="str">
        <f>VLOOKUP(B3361,[1]LifeList!$E$2:$G$2036,2)</f>
        <v>Aigrette tricolore</v>
      </c>
      <c r="F3361" s="3" t="str">
        <f>VLOOKUP(B3361,[1]LifeList!$E$2:$G$2036,3)</f>
        <v>Egretta tricolor</v>
      </c>
      <c r="G3361" s="3" t="str">
        <f>VLOOKUP(B3361,[1]LifeList!$E$2:$I$2036,4)</f>
        <v>Pelecaniformes</v>
      </c>
      <c r="H3361" s="3" t="str">
        <f>VLOOKUP(B3361,[1]LifeList!$E$2:$I$2036,5)</f>
        <v>Ardeidae (Herons, Egrets, and Bitterns)</v>
      </c>
    </row>
    <row r="3362" spans="1:8" x14ac:dyDescent="0.15">
      <c r="A3362" s="3" t="s">
        <v>3233</v>
      </c>
      <c r="B3362" s="3" t="s">
        <v>5018</v>
      </c>
      <c r="C3362" s="3">
        <v>7630</v>
      </c>
      <c r="D3362" s="3" t="str">
        <f>VLOOKUP(B3362,[1]LifeList!$E$2:$G$2036,1)</f>
        <v>Tricolored Heron</v>
      </c>
      <c r="E3362" s="3" t="str">
        <f>VLOOKUP(B3362,[1]LifeList!$E$2:$G$2036,2)</f>
        <v>Aigrette tricolore</v>
      </c>
      <c r="F3362" s="3" t="str">
        <f>VLOOKUP(B3362,[1]LifeList!$E$2:$G$2036,3)</f>
        <v>Egretta tricolor</v>
      </c>
      <c r="G3362" s="3" t="str">
        <f>VLOOKUP(B3362,[1]LifeList!$E$2:$I$2036,4)</f>
        <v>Pelecaniformes</v>
      </c>
      <c r="H3362" s="3" t="str">
        <f>VLOOKUP(B3362,[1]LifeList!$E$2:$I$2036,5)</f>
        <v>Ardeidae (Herons, Egrets, and Bitterns)</v>
      </c>
    </row>
    <row r="3363" spans="1:8" x14ac:dyDescent="0.15">
      <c r="A3363" s="3" t="s">
        <v>3234</v>
      </c>
      <c r="B3363" s="3" t="s">
        <v>5018</v>
      </c>
      <c r="C3363" s="3">
        <v>7630</v>
      </c>
      <c r="D3363" s="3" t="str">
        <f>VLOOKUP(B3363,[1]LifeList!$E$2:$G$2036,1)</f>
        <v>Tricolored Heron</v>
      </c>
      <c r="E3363" s="3" t="str">
        <f>VLOOKUP(B3363,[1]LifeList!$E$2:$G$2036,2)</f>
        <v>Aigrette tricolore</v>
      </c>
      <c r="F3363" s="3" t="str">
        <f>VLOOKUP(B3363,[1]LifeList!$E$2:$G$2036,3)</f>
        <v>Egretta tricolor</v>
      </c>
      <c r="G3363" s="3" t="str">
        <f>VLOOKUP(B3363,[1]LifeList!$E$2:$I$2036,4)</f>
        <v>Pelecaniformes</v>
      </c>
      <c r="H3363" s="3" t="str">
        <f>VLOOKUP(B3363,[1]LifeList!$E$2:$I$2036,5)</f>
        <v>Ardeidae (Herons, Egrets, and Bitterns)</v>
      </c>
    </row>
    <row r="3364" spans="1:8" x14ac:dyDescent="0.15">
      <c r="A3364" s="3" t="s">
        <v>3235</v>
      </c>
      <c r="B3364" s="3" t="s">
        <v>5018</v>
      </c>
      <c r="C3364" s="3">
        <v>7630</v>
      </c>
      <c r="D3364" s="3" t="str">
        <f>VLOOKUP(B3364,[1]LifeList!$E$2:$G$2036,1)</f>
        <v>Tricolored Heron</v>
      </c>
      <c r="E3364" s="3" t="str">
        <f>VLOOKUP(B3364,[1]LifeList!$E$2:$G$2036,2)</f>
        <v>Aigrette tricolore</v>
      </c>
      <c r="F3364" s="3" t="str">
        <f>VLOOKUP(B3364,[1]LifeList!$E$2:$G$2036,3)</f>
        <v>Egretta tricolor</v>
      </c>
      <c r="G3364" s="3" t="str">
        <f>VLOOKUP(B3364,[1]LifeList!$E$2:$I$2036,4)</f>
        <v>Pelecaniformes</v>
      </c>
      <c r="H3364" s="3" t="str">
        <f>VLOOKUP(B3364,[1]LifeList!$E$2:$I$2036,5)</f>
        <v>Ardeidae (Herons, Egrets, and Bitterns)</v>
      </c>
    </row>
    <row r="3365" spans="1:8" x14ac:dyDescent="0.15">
      <c r="A3365" s="3" t="s">
        <v>3236</v>
      </c>
      <c r="B3365" s="3" t="s">
        <v>5019</v>
      </c>
      <c r="C3365" s="3">
        <v>32011</v>
      </c>
      <c r="D3365" s="3" t="str">
        <f>VLOOKUP(B3365,[1]LifeList!$E$2:$G$2036,1)</f>
        <v>Trinidad Euphonia</v>
      </c>
      <c r="E3365" s="3" t="str">
        <f>VLOOKUP(B3365,[1]LifeList!$E$2:$G$2036,2)</f>
        <v>Organiste de Trinidad</v>
      </c>
      <c r="F3365" s="3" t="str">
        <f>VLOOKUP(B3365,[1]LifeList!$E$2:$G$2036,3)</f>
        <v>Euphonia trinitatis</v>
      </c>
      <c r="G3365" s="3" t="str">
        <f>VLOOKUP(B3365,[1]LifeList!$E$2:$I$2036,4)</f>
        <v>Passeriformes</v>
      </c>
      <c r="H3365" s="3" t="str">
        <f>VLOOKUP(B3365,[1]LifeList!$E$2:$I$2036,5)</f>
        <v>Fringillidae (Finches, Euphonias, and Allies)</v>
      </c>
    </row>
    <row r="3366" spans="1:8" x14ac:dyDescent="0.15">
      <c r="A3366" s="3" t="s">
        <v>3237</v>
      </c>
      <c r="B3366" s="3" t="s">
        <v>5020</v>
      </c>
      <c r="C3366" s="3">
        <v>9869</v>
      </c>
      <c r="D3366" s="3" t="str">
        <f>VLOOKUP(B3366,[1]LifeList!$E$2:$G$2036,1)</f>
        <v>Trinidad Motmot</v>
      </c>
      <c r="E3366" s="3" t="str">
        <f>VLOOKUP(B3366,[1]LifeList!$E$2:$G$2036,2)</f>
        <v>Motmot de Trinidad</v>
      </c>
      <c r="F3366" s="3" t="str">
        <f>VLOOKUP(B3366,[1]LifeList!$E$2:$G$2036,3)</f>
        <v>Momotus bahamensis</v>
      </c>
      <c r="G3366" s="3" t="str">
        <f>VLOOKUP(B3366,[1]LifeList!$E$2:$I$2036,4)</f>
        <v>Coraciiformes</v>
      </c>
      <c r="H3366" s="3" t="str">
        <f>VLOOKUP(B3366,[1]LifeList!$E$2:$I$2036,5)</f>
        <v>Momotidae (Motmots)</v>
      </c>
    </row>
    <row r="3367" spans="1:8" x14ac:dyDescent="0.15">
      <c r="A3367" s="3" t="s">
        <v>3238</v>
      </c>
      <c r="B3367" s="3" t="s">
        <v>5021</v>
      </c>
      <c r="C3367" s="3">
        <v>27107</v>
      </c>
      <c r="D3367" s="3" t="str">
        <f>VLOOKUP(B3367,[1]LifeList!$E$2:$G$2036,1)</f>
        <v>Tropical Gnatcatcher</v>
      </c>
      <c r="E3367" s="3" t="str">
        <f>VLOOKUP(B3367,[1]LifeList!$E$2:$G$2036,2)</f>
        <v>Gobemoucheron tropical</v>
      </c>
      <c r="F3367" s="3" t="str">
        <f>VLOOKUP(B3367,[1]LifeList!$E$2:$G$2036,3)</f>
        <v>Polioptila plumbea</v>
      </c>
      <c r="G3367" s="3" t="str">
        <f>VLOOKUP(B3367,[1]LifeList!$E$2:$I$2036,4)</f>
        <v>Passeriformes</v>
      </c>
      <c r="H3367" s="3" t="str">
        <f>VLOOKUP(B3367,[1]LifeList!$E$2:$I$2036,5)</f>
        <v>Polioptilidae (Gnatcatchers)</v>
      </c>
    </row>
    <row r="3368" spans="1:8" x14ac:dyDescent="0.15">
      <c r="A3368" s="3" t="s">
        <v>3239</v>
      </c>
      <c r="B3368" s="3" t="s">
        <v>5021</v>
      </c>
      <c r="C3368" s="3">
        <v>27107</v>
      </c>
      <c r="D3368" s="3" t="str">
        <f>VLOOKUP(B3368,[1]LifeList!$E$2:$G$2036,1)</f>
        <v>Tropical Gnatcatcher</v>
      </c>
      <c r="E3368" s="3" t="str">
        <f>VLOOKUP(B3368,[1]LifeList!$E$2:$G$2036,2)</f>
        <v>Gobemoucheron tropical</v>
      </c>
      <c r="F3368" s="3" t="str">
        <f>VLOOKUP(B3368,[1]LifeList!$E$2:$G$2036,3)</f>
        <v>Polioptila plumbea</v>
      </c>
      <c r="G3368" s="3" t="str">
        <f>VLOOKUP(B3368,[1]LifeList!$E$2:$I$2036,4)</f>
        <v>Passeriformes</v>
      </c>
      <c r="H3368" s="3" t="str">
        <f>VLOOKUP(B3368,[1]LifeList!$E$2:$I$2036,5)</f>
        <v>Polioptilidae (Gnatcatchers)</v>
      </c>
    </row>
    <row r="3369" spans="1:8" x14ac:dyDescent="0.15">
      <c r="A3369" s="3" t="s">
        <v>3240</v>
      </c>
      <c r="B3369" s="3" t="s">
        <v>5021</v>
      </c>
      <c r="C3369" s="3">
        <v>27107</v>
      </c>
      <c r="D3369" s="3" t="str">
        <f>VLOOKUP(B3369,[1]LifeList!$E$2:$G$2036,1)</f>
        <v>Tropical Gnatcatcher</v>
      </c>
      <c r="E3369" s="3" t="str">
        <f>VLOOKUP(B3369,[1]LifeList!$E$2:$G$2036,2)</f>
        <v>Gobemoucheron tropical</v>
      </c>
      <c r="F3369" s="3" t="str">
        <f>VLOOKUP(B3369,[1]LifeList!$E$2:$G$2036,3)</f>
        <v>Polioptila plumbea</v>
      </c>
      <c r="G3369" s="3" t="str">
        <f>VLOOKUP(B3369,[1]LifeList!$E$2:$I$2036,4)</f>
        <v>Passeriformes</v>
      </c>
      <c r="H3369" s="3" t="str">
        <f>VLOOKUP(B3369,[1]LifeList!$E$2:$I$2036,5)</f>
        <v>Polioptilidae (Gnatcatchers)</v>
      </c>
    </row>
    <row r="3370" spans="1:8" x14ac:dyDescent="0.15">
      <c r="A3370" s="3" t="s">
        <v>3241</v>
      </c>
      <c r="B3370" s="3" t="s">
        <v>5022</v>
      </c>
      <c r="C3370" s="3">
        <v>17452</v>
      </c>
      <c r="D3370" s="3" t="str">
        <f>VLOOKUP(B3370,[1]LifeList!$E$2:$G$2036,1)</f>
        <v>Tropical Kingbird</v>
      </c>
      <c r="E3370" s="3" t="str">
        <f>VLOOKUP(B3370,[1]LifeList!$E$2:$G$2036,2)</f>
        <v>Tyran mélancolique</v>
      </c>
      <c r="F3370" s="3" t="str">
        <f>VLOOKUP(B3370,[1]LifeList!$E$2:$G$2036,3)</f>
        <v>Tyrannus melancholicus</v>
      </c>
      <c r="G3370" s="3" t="str">
        <f>VLOOKUP(B3370,[1]LifeList!$E$2:$I$2036,4)</f>
        <v>Passeriformes</v>
      </c>
      <c r="H3370" s="3" t="str">
        <f>VLOOKUP(B3370,[1]LifeList!$E$2:$I$2036,5)</f>
        <v>Tyrannidae (Tyrant Flycatchers)</v>
      </c>
    </row>
    <row r="3371" spans="1:8" x14ac:dyDescent="0.15">
      <c r="A3371" s="3" t="s">
        <v>3242</v>
      </c>
      <c r="B3371" s="3" t="s">
        <v>5022</v>
      </c>
      <c r="C3371" s="3">
        <v>17452</v>
      </c>
      <c r="D3371" s="3" t="str">
        <f>VLOOKUP(B3371,[1]LifeList!$E$2:$G$2036,1)</f>
        <v>Tropical Kingbird</v>
      </c>
      <c r="E3371" s="3" t="str">
        <f>VLOOKUP(B3371,[1]LifeList!$E$2:$G$2036,2)</f>
        <v>Tyran mélancolique</v>
      </c>
      <c r="F3371" s="3" t="str">
        <f>VLOOKUP(B3371,[1]LifeList!$E$2:$G$2036,3)</f>
        <v>Tyrannus melancholicus</v>
      </c>
      <c r="G3371" s="3" t="str">
        <f>VLOOKUP(B3371,[1]LifeList!$E$2:$I$2036,4)</f>
        <v>Passeriformes</v>
      </c>
      <c r="H3371" s="3" t="str">
        <f>VLOOKUP(B3371,[1]LifeList!$E$2:$I$2036,5)</f>
        <v>Tyrannidae (Tyrant Flycatchers)</v>
      </c>
    </row>
    <row r="3372" spans="1:8" x14ac:dyDescent="0.15">
      <c r="A3372" s="3" t="s">
        <v>3243</v>
      </c>
      <c r="B3372" s="3" t="s">
        <v>5022</v>
      </c>
      <c r="C3372" s="3">
        <v>17452</v>
      </c>
      <c r="D3372" s="3" t="str">
        <f>VLOOKUP(B3372,[1]LifeList!$E$2:$G$2036,1)</f>
        <v>Tropical Kingbird</v>
      </c>
      <c r="E3372" s="3" t="str">
        <f>VLOOKUP(B3372,[1]LifeList!$E$2:$G$2036,2)</f>
        <v>Tyran mélancolique</v>
      </c>
      <c r="F3372" s="3" t="str">
        <f>VLOOKUP(B3372,[1]LifeList!$E$2:$G$2036,3)</f>
        <v>Tyrannus melancholicus</v>
      </c>
      <c r="G3372" s="3" t="str">
        <f>VLOOKUP(B3372,[1]LifeList!$E$2:$I$2036,4)</f>
        <v>Passeriformes</v>
      </c>
      <c r="H3372" s="3" t="str">
        <f>VLOOKUP(B3372,[1]LifeList!$E$2:$I$2036,5)</f>
        <v>Tyrannidae (Tyrant Flycatchers)</v>
      </c>
    </row>
    <row r="3373" spans="1:8" x14ac:dyDescent="0.15">
      <c r="A3373" s="3" t="s">
        <v>3244</v>
      </c>
      <c r="B3373" s="3" t="s">
        <v>5022</v>
      </c>
      <c r="C3373" s="3">
        <v>17452</v>
      </c>
      <c r="D3373" s="3" t="str">
        <f>VLOOKUP(B3373,[1]LifeList!$E$2:$G$2036,1)</f>
        <v>Tropical Kingbird</v>
      </c>
      <c r="E3373" s="3" t="str">
        <f>VLOOKUP(B3373,[1]LifeList!$E$2:$G$2036,2)</f>
        <v>Tyran mélancolique</v>
      </c>
      <c r="F3373" s="3" t="str">
        <f>VLOOKUP(B3373,[1]LifeList!$E$2:$G$2036,3)</f>
        <v>Tyrannus melancholicus</v>
      </c>
      <c r="G3373" s="3" t="str">
        <f>VLOOKUP(B3373,[1]LifeList!$E$2:$I$2036,4)</f>
        <v>Passeriformes</v>
      </c>
      <c r="H3373" s="3" t="str">
        <f>VLOOKUP(B3373,[1]LifeList!$E$2:$I$2036,5)</f>
        <v>Tyrannidae (Tyrant Flycatchers)</v>
      </c>
    </row>
    <row r="3374" spans="1:8" x14ac:dyDescent="0.15">
      <c r="A3374" s="3" t="s">
        <v>3245</v>
      </c>
      <c r="B3374" s="3" t="s">
        <v>5022</v>
      </c>
      <c r="C3374" s="3">
        <v>17452</v>
      </c>
      <c r="D3374" s="3" t="str">
        <f>VLOOKUP(B3374,[1]LifeList!$E$2:$G$2036,1)</f>
        <v>Tropical Kingbird</v>
      </c>
      <c r="E3374" s="3" t="str">
        <f>VLOOKUP(B3374,[1]LifeList!$E$2:$G$2036,2)</f>
        <v>Tyran mélancolique</v>
      </c>
      <c r="F3374" s="3" t="str">
        <f>VLOOKUP(B3374,[1]LifeList!$E$2:$G$2036,3)</f>
        <v>Tyrannus melancholicus</v>
      </c>
      <c r="G3374" s="3" t="str">
        <f>VLOOKUP(B3374,[1]LifeList!$E$2:$I$2036,4)</f>
        <v>Passeriformes</v>
      </c>
      <c r="H3374" s="3" t="str">
        <f>VLOOKUP(B3374,[1]LifeList!$E$2:$I$2036,5)</f>
        <v>Tyrannidae (Tyrant Flycatchers)</v>
      </c>
    </row>
    <row r="3375" spans="1:8" x14ac:dyDescent="0.15">
      <c r="A3375" s="3" t="s">
        <v>3246</v>
      </c>
      <c r="B3375" s="3" t="s">
        <v>5022</v>
      </c>
      <c r="C3375" s="3">
        <v>17452</v>
      </c>
      <c r="D3375" s="3" t="str">
        <f>VLOOKUP(B3375,[1]LifeList!$E$2:$G$2036,1)</f>
        <v>Tropical Kingbird</v>
      </c>
      <c r="E3375" s="3" t="str">
        <f>VLOOKUP(B3375,[1]LifeList!$E$2:$G$2036,2)</f>
        <v>Tyran mélancolique</v>
      </c>
      <c r="F3375" s="3" t="str">
        <f>VLOOKUP(B3375,[1]LifeList!$E$2:$G$2036,3)</f>
        <v>Tyrannus melancholicus</v>
      </c>
      <c r="G3375" s="3" t="str">
        <f>VLOOKUP(B3375,[1]LifeList!$E$2:$I$2036,4)</f>
        <v>Passeriformes</v>
      </c>
      <c r="H3375" s="3" t="str">
        <f>VLOOKUP(B3375,[1]LifeList!$E$2:$I$2036,5)</f>
        <v>Tyrannidae (Tyrant Flycatchers)</v>
      </c>
    </row>
    <row r="3376" spans="1:8" x14ac:dyDescent="0.15">
      <c r="A3376" s="3" t="s">
        <v>3247</v>
      </c>
      <c r="B3376" s="3" t="s">
        <v>5022</v>
      </c>
      <c r="C3376" s="3">
        <v>17452</v>
      </c>
      <c r="D3376" s="3" t="str">
        <f>VLOOKUP(B3376,[1]LifeList!$E$2:$G$2036,1)</f>
        <v>Tropical Kingbird</v>
      </c>
      <c r="E3376" s="3" t="str">
        <f>VLOOKUP(B3376,[1]LifeList!$E$2:$G$2036,2)</f>
        <v>Tyran mélancolique</v>
      </c>
      <c r="F3376" s="3" t="str">
        <f>VLOOKUP(B3376,[1]LifeList!$E$2:$G$2036,3)</f>
        <v>Tyrannus melancholicus</v>
      </c>
      <c r="G3376" s="3" t="str">
        <f>VLOOKUP(B3376,[1]LifeList!$E$2:$I$2036,4)</f>
        <v>Passeriformes</v>
      </c>
      <c r="H3376" s="3" t="str">
        <f>VLOOKUP(B3376,[1]LifeList!$E$2:$I$2036,5)</f>
        <v>Tyrannidae (Tyrant Flycatchers)</v>
      </c>
    </row>
    <row r="3377" spans="1:8" x14ac:dyDescent="0.15">
      <c r="A3377" s="3" t="s">
        <v>3248</v>
      </c>
      <c r="B3377" s="3" t="s">
        <v>5022</v>
      </c>
      <c r="C3377" s="3">
        <v>17452</v>
      </c>
      <c r="D3377" s="3" t="str">
        <f>VLOOKUP(B3377,[1]LifeList!$E$2:$G$2036,1)</f>
        <v>Tropical Kingbird</v>
      </c>
      <c r="E3377" s="3" t="str">
        <f>VLOOKUP(B3377,[1]LifeList!$E$2:$G$2036,2)</f>
        <v>Tyran mélancolique</v>
      </c>
      <c r="F3377" s="3" t="str">
        <f>VLOOKUP(B3377,[1]LifeList!$E$2:$G$2036,3)</f>
        <v>Tyrannus melancholicus</v>
      </c>
      <c r="G3377" s="3" t="str">
        <f>VLOOKUP(B3377,[1]LifeList!$E$2:$I$2036,4)</f>
        <v>Passeriformes</v>
      </c>
      <c r="H3377" s="3" t="str">
        <f>VLOOKUP(B3377,[1]LifeList!$E$2:$I$2036,5)</f>
        <v>Tyrannidae (Tyrant Flycatchers)</v>
      </c>
    </row>
    <row r="3378" spans="1:8" x14ac:dyDescent="0.15">
      <c r="A3378" s="3" t="s">
        <v>3250</v>
      </c>
      <c r="B3378" s="3" t="s">
        <v>5023</v>
      </c>
      <c r="C3378" s="3">
        <v>28101</v>
      </c>
      <c r="D3378" s="3" t="str">
        <f>VLOOKUP(B3378,[1]LifeList!$E$2:$G$2036,1)</f>
        <v>Tropical Mockingbird</v>
      </c>
      <c r="E3378" s="3" t="str">
        <f>VLOOKUP(B3378,[1]LifeList!$E$2:$G$2036,2)</f>
        <v>Moqueur des savanes</v>
      </c>
      <c r="F3378" s="3" t="str">
        <f>VLOOKUP(B3378,[1]LifeList!$E$2:$G$2036,3)</f>
        <v>Mimus gilvus</v>
      </c>
      <c r="G3378" s="3" t="str">
        <f>VLOOKUP(B3378,[1]LifeList!$E$2:$I$2036,4)</f>
        <v>Passeriformes</v>
      </c>
      <c r="H3378" s="3" t="str">
        <f>VLOOKUP(B3378,[1]LifeList!$E$2:$I$2036,5)</f>
        <v>Mimidae (Mockingbirds and Thrashers)</v>
      </c>
    </row>
    <row r="3379" spans="1:8" x14ac:dyDescent="0.15">
      <c r="A3379" s="3" t="s">
        <v>3251</v>
      </c>
      <c r="B3379" s="3" t="s">
        <v>5023</v>
      </c>
      <c r="C3379" s="3">
        <v>28101</v>
      </c>
      <c r="D3379" s="3" t="str">
        <f>VLOOKUP(B3379,[1]LifeList!$E$2:$G$2036,1)</f>
        <v>Tropical Mockingbird</v>
      </c>
      <c r="E3379" s="3" t="str">
        <f>VLOOKUP(B3379,[1]LifeList!$E$2:$G$2036,2)</f>
        <v>Moqueur des savanes</v>
      </c>
      <c r="F3379" s="3" t="str">
        <f>VLOOKUP(B3379,[1]LifeList!$E$2:$G$2036,3)</f>
        <v>Mimus gilvus</v>
      </c>
      <c r="G3379" s="3" t="str">
        <f>VLOOKUP(B3379,[1]LifeList!$E$2:$I$2036,4)</f>
        <v>Passeriformes</v>
      </c>
      <c r="H3379" s="3" t="str">
        <f>VLOOKUP(B3379,[1]LifeList!$E$2:$I$2036,5)</f>
        <v>Mimidae (Mockingbirds and Thrashers)</v>
      </c>
    </row>
    <row r="3380" spans="1:8" x14ac:dyDescent="0.15">
      <c r="A3380" s="3" t="s">
        <v>3252</v>
      </c>
      <c r="B3380" s="3" t="s">
        <v>5023</v>
      </c>
      <c r="C3380" s="3">
        <v>28101</v>
      </c>
      <c r="D3380" s="3" t="str">
        <f>VLOOKUP(B3380,[1]LifeList!$E$2:$G$2036,1)</f>
        <v>Tropical Mockingbird</v>
      </c>
      <c r="E3380" s="3" t="str">
        <f>VLOOKUP(B3380,[1]LifeList!$E$2:$G$2036,2)</f>
        <v>Moqueur des savanes</v>
      </c>
      <c r="F3380" s="3" t="str">
        <f>VLOOKUP(B3380,[1]LifeList!$E$2:$G$2036,3)</f>
        <v>Mimus gilvus</v>
      </c>
      <c r="G3380" s="3" t="str">
        <f>VLOOKUP(B3380,[1]LifeList!$E$2:$I$2036,4)</f>
        <v>Passeriformes</v>
      </c>
      <c r="H3380" s="3" t="str">
        <f>VLOOKUP(B3380,[1]LifeList!$E$2:$I$2036,5)</f>
        <v>Mimidae (Mockingbirds and Thrashers)</v>
      </c>
    </row>
    <row r="3381" spans="1:8" x14ac:dyDescent="0.15">
      <c r="A3381" s="3" t="s">
        <v>3253</v>
      </c>
      <c r="B3381" s="3" t="s">
        <v>5023</v>
      </c>
      <c r="C3381" s="3">
        <v>28101</v>
      </c>
      <c r="D3381" s="3" t="str">
        <f>VLOOKUP(B3381,[1]LifeList!$E$2:$G$2036,1)</f>
        <v>Tropical Mockingbird</v>
      </c>
      <c r="E3381" s="3" t="str">
        <f>VLOOKUP(B3381,[1]LifeList!$E$2:$G$2036,2)</f>
        <v>Moqueur des savanes</v>
      </c>
      <c r="F3381" s="3" t="str">
        <f>VLOOKUP(B3381,[1]LifeList!$E$2:$G$2036,3)</f>
        <v>Mimus gilvus</v>
      </c>
      <c r="G3381" s="3" t="str">
        <f>VLOOKUP(B3381,[1]LifeList!$E$2:$I$2036,4)</f>
        <v>Passeriformes</v>
      </c>
      <c r="H3381" s="3" t="str">
        <f>VLOOKUP(B3381,[1]LifeList!$E$2:$I$2036,5)</f>
        <v>Mimidae (Mockingbirds and Thrashers)</v>
      </c>
    </row>
    <row r="3382" spans="1:8" x14ac:dyDescent="0.15">
      <c r="A3382" s="3" t="s">
        <v>3254</v>
      </c>
      <c r="B3382" s="3" t="s">
        <v>5023</v>
      </c>
      <c r="C3382" s="3">
        <v>28101</v>
      </c>
      <c r="D3382" s="3" t="str">
        <f>VLOOKUP(B3382,[1]LifeList!$E$2:$G$2036,1)</f>
        <v>Tropical Mockingbird</v>
      </c>
      <c r="E3382" s="3" t="str">
        <f>VLOOKUP(B3382,[1]LifeList!$E$2:$G$2036,2)</f>
        <v>Moqueur des savanes</v>
      </c>
      <c r="F3382" s="3" t="str">
        <f>VLOOKUP(B3382,[1]LifeList!$E$2:$G$2036,3)</f>
        <v>Mimus gilvus</v>
      </c>
      <c r="G3382" s="3" t="str">
        <f>VLOOKUP(B3382,[1]LifeList!$E$2:$I$2036,4)</f>
        <v>Passeriformes</v>
      </c>
      <c r="H3382" s="3" t="str">
        <f>VLOOKUP(B3382,[1]LifeList!$E$2:$I$2036,5)</f>
        <v>Mimidae (Mockingbirds and Thrashers)</v>
      </c>
    </row>
    <row r="3383" spans="1:8" x14ac:dyDescent="0.15">
      <c r="A3383" s="3" t="s">
        <v>3255</v>
      </c>
      <c r="B3383" s="3" t="s">
        <v>5023</v>
      </c>
      <c r="C3383" s="3">
        <v>28101</v>
      </c>
      <c r="D3383" s="3" t="str">
        <f>VLOOKUP(B3383,[1]LifeList!$E$2:$G$2036,1)</f>
        <v>Tropical Mockingbird</v>
      </c>
      <c r="E3383" s="3" t="str">
        <f>VLOOKUP(B3383,[1]LifeList!$E$2:$G$2036,2)</f>
        <v>Moqueur des savanes</v>
      </c>
      <c r="F3383" s="3" t="str">
        <f>VLOOKUP(B3383,[1]LifeList!$E$2:$G$2036,3)</f>
        <v>Mimus gilvus</v>
      </c>
      <c r="G3383" s="3" t="str">
        <f>VLOOKUP(B3383,[1]LifeList!$E$2:$I$2036,4)</f>
        <v>Passeriformes</v>
      </c>
      <c r="H3383" s="3" t="str">
        <f>VLOOKUP(B3383,[1]LifeList!$E$2:$I$2036,5)</f>
        <v>Mimidae (Mockingbirds and Thrashers)</v>
      </c>
    </row>
    <row r="3384" spans="1:8" x14ac:dyDescent="0.15">
      <c r="A3384" s="3" t="s">
        <v>3256</v>
      </c>
      <c r="B3384" s="3" t="s">
        <v>5023</v>
      </c>
      <c r="C3384" s="3">
        <v>28101</v>
      </c>
      <c r="D3384" s="3" t="str">
        <f>VLOOKUP(B3384,[1]LifeList!$E$2:$G$2036,1)</f>
        <v>Tropical Mockingbird</v>
      </c>
      <c r="E3384" s="3" t="str">
        <f>VLOOKUP(B3384,[1]LifeList!$E$2:$G$2036,2)</f>
        <v>Moqueur des savanes</v>
      </c>
      <c r="F3384" s="3" t="str">
        <f>VLOOKUP(B3384,[1]LifeList!$E$2:$G$2036,3)</f>
        <v>Mimus gilvus</v>
      </c>
      <c r="G3384" s="3" t="str">
        <f>VLOOKUP(B3384,[1]LifeList!$E$2:$I$2036,4)</f>
        <v>Passeriformes</v>
      </c>
      <c r="H3384" s="3" t="str">
        <f>VLOOKUP(B3384,[1]LifeList!$E$2:$I$2036,5)</f>
        <v>Mimidae (Mockingbirds and Thrashers)</v>
      </c>
    </row>
    <row r="3385" spans="1:8" x14ac:dyDescent="0.15">
      <c r="A3385" s="3" t="s">
        <v>3249</v>
      </c>
      <c r="B3385" s="3" t="s">
        <v>5023</v>
      </c>
      <c r="C3385" s="3">
        <v>28101</v>
      </c>
      <c r="D3385" s="3" t="str">
        <f>VLOOKUP(B3385,[1]LifeList!$E$2:$G$2036,1)</f>
        <v>Tropical Mockingbird</v>
      </c>
      <c r="E3385" s="3" t="str">
        <f>VLOOKUP(B3385,[1]LifeList!$E$2:$G$2036,2)</f>
        <v>Moqueur des savanes</v>
      </c>
      <c r="F3385" s="3" t="str">
        <f>VLOOKUP(B3385,[1]LifeList!$E$2:$G$2036,3)</f>
        <v>Mimus gilvus</v>
      </c>
      <c r="G3385" s="3" t="str">
        <f>VLOOKUP(B3385,[1]LifeList!$E$2:$I$2036,4)</f>
        <v>Passeriformes</v>
      </c>
      <c r="H3385" s="3" t="str">
        <f>VLOOKUP(B3385,[1]LifeList!$E$2:$I$2036,5)</f>
        <v>Mimidae (Mockingbirds and Thrashers)</v>
      </c>
    </row>
    <row r="3386" spans="1:8" x14ac:dyDescent="0.15">
      <c r="A3386" s="3" t="s">
        <v>3257</v>
      </c>
      <c r="B3386" s="3" t="s">
        <v>5024</v>
      </c>
      <c r="C3386" s="3">
        <v>34066</v>
      </c>
      <c r="D3386" s="3" t="str">
        <f>VLOOKUP(B3386,[1]LifeList!$E$2:$G$2036,1)</f>
        <v>Tropical Parula</v>
      </c>
      <c r="E3386" s="3" t="str">
        <f>VLOOKUP(B3386,[1]LifeList!$E$2:$G$2036,2)</f>
        <v>Paruline à joues noires</v>
      </c>
      <c r="F3386" s="3" t="str">
        <f>VLOOKUP(B3386,[1]LifeList!$E$2:$G$2036,3)</f>
        <v>Setophaga pitiayumi</v>
      </c>
      <c r="G3386" s="3" t="str">
        <f>VLOOKUP(B3386,[1]LifeList!$E$2:$I$2036,4)</f>
        <v>Passeriformes</v>
      </c>
      <c r="H3386" s="3" t="str">
        <f>VLOOKUP(B3386,[1]LifeList!$E$2:$I$2036,5)</f>
        <v>Parulidae (New World Warblers)</v>
      </c>
    </row>
    <row r="3387" spans="1:8" x14ac:dyDescent="0.15">
      <c r="A3387" s="3" t="s">
        <v>3258</v>
      </c>
      <c r="B3387" s="3" t="s">
        <v>5024</v>
      </c>
      <c r="C3387" s="3">
        <v>34066</v>
      </c>
      <c r="D3387" s="3" t="str">
        <f>VLOOKUP(B3387,[1]LifeList!$E$2:$G$2036,1)</f>
        <v>Tropical Parula</v>
      </c>
      <c r="E3387" s="3" t="str">
        <f>VLOOKUP(B3387,[1]LifeList!$E$2:$G$2036,2)</f>
        <v>Paruline à joues noires</v>
      </c>
      <c r="F3387" s="3" t="str">
        <f>VLOOKUP(B3387,[1]LifeList!$E$2:$G$2036,3)</f>
        <v>Setophaga pitiayumi</v>
      </c>
      <c r="G3387" s="3" t="str">
        <f>VLOOKUP(B3387,[1]LifeList!$E$2:$I$2036,4)</f>
        <v>Passeriformes</v>
      </c>
      <c r="H3387" s="3" t="str">
        <f>VLOOKUP(B3387,[1]LifeList!$E$2:$I$2036,5)</f>
        <v>Parulidae (New World Warblers)</v>
      </c>
    </row>
    <row r="3388" spans="1:8" x14ac:dyDescent="0.15">
      <c r="A3388" s="3" t="s">
        <v>3259</v>
      </c>
      <c r="B3388" s="3" t="s">
        <v>3796</v>
      </c>
      <c r="C3388" s="3">
        <v>16101</v>
      </c>
      <c r="D3388" s="3" t="str">
        <f>VLOOKUP(B3388,[1]LifeList!$E$2:$G$2036,1)</f>
        <v>Tropical Royal Flycatcher</v>
      </c>
      <c r="E3388" s="3" t="str">
        <f>VLOOKUP(B3388,[1]LifeList!$E$2:$G$2036,2)</f>
        <v>Porte-éventail roi</v>
      </c>
      <c r="F3388" s="3" t="str">
        <f>VLOOKUP(B3388,[1]LifeList!$E$2:$G$2036,3)</f>
        <v>Onychorhynchus coronatus</v>
      </c>
      <c r="G3388" s="3" t="str">
        <f>VLOOKUP(B3388,[1]LifeList!$E$2:$I$2036,4)</f>
        <v>Passeriformes</v>
      </c>
      <c r="H3388" s="3" t="str">
        <f>VLOOKUP(B3388,[1]LifeList!$E$2:$I$2036,5)</f>
        <v>Onychorhynchidae (Royal Flycatchers and Allies)</v>
      </c>
    </row>
    <row r="3389" spans="1:8" x14ac:dyDescent="0.15">
      <c r="A3389" s="3" t="s">
        <v>3260</v>
      </c>
      <c r="B3389" s="3" t="s">
        <v>3796</v>
      </c>
      <c r="C3389" s="3">
        <v>16101</v>
      </c>
      <c r="D3389" s="3" t="str">
        <f>VLOOKUP(B3389,[1]LifeList!$E$2:$G$2036,1)</f>
        <v>Tropical Royal Flycatcher</v>
      </c>
      <c r="E3389" s="3" t="str">
        <f>VLOOKUP(B3389,[1]LifeList!$E$2:$G$2036,2)</f>
        <v>Porte-éventail roi</v>
      </c>
      <c r="F3389" s="3" t="str">
        <f>VLOOKUP(B3389,[1]LifeList!$E$2:$G$2036,3)</f>
        <v>Onychorhynchus coronatus</v>
      </c>
      <c r="G3389" s="3" t="str">
        <f>VLOOKUP(B3389,[1]LifeList!$E$2:$I$2036,4)</f>
        <v>Passeriformes</v>
      </c>
      <c r="H3389" s="3" t="str">
        <f>VLOOKUP(B3389,[1]LifeList!$E$2:$I$2036,5)</f>
        <v>Onychorhynchidae (Royal Flycatchers and Allies)</v>
      </c>
    </row>
    <row r="3390" spans="1:8" x14ac:dyDescent="0.15">
      <c r="A3390" s="3" t="s">
        <v>3261</v>
      </c>
      <c r="B3390" s="3" t="s">
        <v>5025</v>
      </c>
      <c r="C3390" s="3">
        <v>8810</v>
      </c>
      <c r="D3390" s="3" t="str">
        <f>VLOOKUP(B3390,[1]LifeList!$E$2:$G$2036,1)</f>
        <v>Tropical Screech-Owl</v>
      </c>
      <c r="E3390" s="3" t="str">
        <f>VLOOKUP(B3390,[1]LifeList!$E$2:$G$2036,2)</f>
        <v>Petit-duc choliba</v>
      </c>
      <c r="F3390" s="3" t="str">
        <f>VLOOKUP(B3390,[1]LifeList!$E$2:$G$2036,3)</f>
        <v>Megascops choliba</v>
      </c>
      <c r="G3390" s="3" t="str">
        <f>VLOOKUP(B3390,[1]LifeList!$E$2:$I$2036,4)</f>
        <v>Strigiformes</v>
      </c>
      <c r="H3390" s="3" t="str">
        <f>VLOOKUP(B3390,[1]LifeList!$E$2:$I$2036,5)</f>
        <v>Strigidae (Owls)</v>
      </c>
    </row>
    <row r="3391" spans="1:8" x14ac:dyDescent="0.15">
      <c r="A3391" s="3" t="s">
        <v>3262</v>
      </c>
      <c r="B3391" s="3" t="s">
        <v>5025</v>
      </c>
      <c r="C3391" s="3">
        <v>8810</v>
      </c>
      <c r="D3391" s="3" t="str">
        <f>VLOOKUP(B3391,[1]LifeList!$E$2:$G$2036,1)</f>
        <v>Tropical Screech-Owl</v>
      </c>
      <c r="E3391" s="3" t="str">
        <f>VLOOKUP(B3391,[1]LifeList!$E$2:$G$2036,2)</f>
        <v>Petit-duc choliba</v>
      </c>
      <c r="F3391" s="3" t="str">
        <f>VLOOKUP(B3391,[1]LifeList!$E$2:$G$2036,3)</f>
        <v>Megascops choliba</v>
      </c>
      <c r="G3391" s="3" t="str">
        <f>VLOOKUP(B3391,[1]LifeList!$E$2:$I$2036,4)</f>
        <v>Strigiformes</v>
      </c>
      <c r="H3391" s="3" t="str">
        <f>VLOOKUP(B3391,[1]LifeList!$E$2:$I$2036,5)</f>
        <v>Strigidae (Owls)</v>
      </c>
    </row>
    <row r="3392" spans="1:8" x14ac:dyDescent="0.15">
      <c r="A3392" s="3" t="s">
        <v>3263</v>
      </c>
      <c r="B3392" s="3" t="s">
        <v>5026</v>
      </c>
      <c r="C3392" s="3">
        <v>382</v>
      </c>
      <c r="D3392" s="3" t="str">
        <f>VLOOKUP(B3392,[1]LifeList!$E$2:$G$2036,1)</f>
        <v>Trumpeter Swan</v>
      </c>
      <c r="E3392" s="3" t="str">
        <f>VLOOKUP(B3392,[1]LifeList!$E$2:$G$2036,2)</f>
        <v>Cygne trompette</v>
      </c>
      <c r="F3392" s="3" t="str">
        <f>VLOOKUP(B3392,[1]LifeList!$E$2:$G$2036,3)</f>
        <v>Cygnus buccinator</v>
      </c>
      <c r="G3392" s="3" t="str">
        <f>VLOOKUP(B3392,[1]LifeList!$E$2:$I$2036,4)</f>
        <v>Anseriformes</v>
      </c>
      <c r="H3392" s="3" t="str">
        <f>VLOOKUP(B3392,[1]LifeList!$E$2:$I$2036,5)</f>
        <v>Anatidae (Ducks, Geese, and Waterfowl)</v>
      </c>
    </row>
    <row r="3393" spans="1:8" x14ac:dyDescent="0.15">
      <c r="A3393" s="3" t="s">
        <v>3264</v>
      </c>
      <c r="B3393" s="3" t="s">
        <v>5026</v>
      </c>
      <c r="C3393" s="3">
        <v>382</v>
      </c>
      <c r="D3393" s="3" t="str">
        <f>VLOOKUP(B3393,[1]LifeList!$E$2:$G$2036,1)</f>
        <v>Trumpeter Swan</v>
      </c>
      <c r="E3393" s="3" t="str">
        <f>VLOOKUP(B3393,[1]LifeList!$E$2:$G$2036,2)</f>
        <v>Cygne trompette</v>
      </c>
      <c r="F3393" s="3" t="str">
        <f>VLOOKUP(B3393,[1]LifeList!$E$2:$G$2036,3)</f>
        <v>Cygnus buccinator</v>
      </c>
      <c r="G3393" s="3" t="str">
        <f>VLOOKUP(B3393,[1]LifeList!$E$2:$I$2036,4)</f>
        <v>Anseriformes</v>
      </c>
      <c r="H3393" s="3" t="str">
        <f>VLOOKUP(B3393,[1]LifeList!$E$2:$I$2036,5)</f>
        <v>Anatidae (Ducks, Geese, and Waterfowl)</v>
      </c>
    </row>
    <row r="3394" spans="1:8" x14ac:dyDescent="0.15">
      <c r="A3394" s="3" t="s">
        <v>3265</v>
      </c>
      <c r="B3394" s="3" t="s">
        <v>5027</v>
      </c>
      <c r="C3394" s="3">
        <v>4440</v>
      </c>
      <c r="D3394" s="3" t="str">
        <f>VLOOKUP(B3394,[1]LifeList!$E$2:$G$2036,1)</f>
        <v>Tufted Coquette</v>
      </c>
      <c r="E3394" s="3" t="str">
        <f>VLOOKUP(B3394,[1]LifeList!$E$2:$G$2036,2)</f>
        <v>Coquette huppe-col</v>
      </c>
      <c r="F3394" s="3" t="str">
        <f>VLOOKUP(B3394,[1]LifeList!$E$2:$G$2036,3)</f>
        <v>Lophornis ornatus</v>
      </c>
      <c r="G3394" s="3" t="str">
        <f>VLOOKUP(B3394,[1]LifeList!$E$2:$I$2036,4)</f>
        <v>Apodiformes</v>
      </c>
      <c r="H3394" s="3" t="str">
        <f>VLOOKUP(B3394,[1]LifeList!$E$2:$I$2036,5)</f>
        <v>Trochilidae (Hummingbirds)</v>
      </c>
    </row>
    <row r="3395" spans="1:8" x14ac:dyDescent="0.15">
      <c r="A3395" s="3" t="s">
        <v>3266</v>
      </c>
      <c r="B3395" s="3" t="s">
        <v>5027</v>
      </c>
      <c r="C3395" s="3">
        <v>4440</v>
      </c>
      <c r="D3395" s="3" t="str">
        <f>VLOOKUP(B3395,[1]LifeList!$E$2:$G$2036,1)</f>
        <v>Tufted Coquette</v>
      </c>
      <c r="E3395" s="3" t="str">
        <f>VLOOKUP(B3395,[1]LifeList!$E$2:$G$2036,2)</f>
        <v>Coquette huppe-col</v>
      </c>
      <c r="F3395" s="3" t="str">
        <f>VLOOKUP(B3395,[1]LifeList!$E$2:$G$2036,3)</f>
        <v>Lophornis ornatus</v>
      </c>
      <c r="G3395" s="3" t="str">
        <f>VLOOKUP(B3395,[1]LifeList!$E$2:$I$2036,4)</f>
        <v>Apodiformes</v>
      </c>
      <c r="H3395" s="3" t="str">
        <f>VLOOKUP(B3395,[1]LifeList!$E$2:$I$2036,5)</f>
        <v>Trochilidae (Hummingbirds)</v>
      </c>
    </row>
    <row r="3396" spans="1:8" x14ac:dyDescent="0.15">
      <c r="A3396" s="3" t="s">
        <v>3267</v>
      </c>
      <c r="B3396" s="3" t="s">
        <v>5028</v>
      </c>
      <c r="C3396" s="3">
        <v>16883</v>
      </c>
      <c r="D3396" s="3" t="str">
        <f>VLOOKUP(B3396,[1]LifeList!$E$2:$G$2036,1)</f>
        <v>Tufted Flycatcher</v>
      </c>
      <c r="E3396" s="3" t="str">
        <f>VLOOKUP(B3396,[1]LifeList!$E$2:$G$2036,2)</f>
        <v>Moucherolle huppé</v>
      </c>
      <c r="F3396" s="3" t="str">
        <f>VLOOKUP(B3396,[1]LifeList!$E$2:$G$2036,3)</f>
        <v>Mitrephanes phaeocercus</v>
      </c>
      <c r="G3396" s="3" t="str">
        <f>VLOOKUP(B3396,[1]LifeList!$E$2:$I$2036,4)</f>
        <v>Passeriformes</v>
      </c>
      <c r="H3396" s="3" t="str">
        <f>VLOOKUP(B3396,[1]LifeList!$E$2:$I$2036,5)</f>
        <v>Tyrannidae (Tyrant Flycatchers)</v>
      </c>
    </row>
    <row r="3397" spans="1:8" x14ac:dyDescent="0.15">
      <c r="A3397" s="3" t="s">
        <v>3268</v>
      </c>
      <c r="B3397" s="3" t="s">
        <v>5029</v>
      </c>
      <c r="C3397" s="3">
        <v>22160</v>
      </c>
      <c r="D3397" s="3" t="str">
        <f>VLOOKUP(B3397,[1]LifeList!$E$2:$G$2036,1)</f>
        <v>Tufted Titmouse</v>
      </c>
      <c r="E3397" s="3" t="str">
        <f>VLOOKUP(B3397,[1]LifeList!$E$2:$G$2036,2)</f>
        <v>Mésange bicolore</v>
      </c>
      <c r="F3397" s="3" t="str">
        <f>VLOOKUP(B3397,[1]LifeList!$E$2:$G$2036,3)</f>
        <v>Baeolophus bicolor</v>
      </c>
      <c r="G3397" s="3" t="str">
        <f>VLOOKUP(B3397,[1]LifeList!$E$2:$I$2036,4)</f>
        <v>Passeriformes</v>
      </c>
      <c r="H3397" s="3" t="str">
        <f>VLOOKUP(B3397,[1]LifeList!$E$2:$I$2036,5)</f>
        <v>Paridae (Tits, Chickadees, and Titmice)</v>
      </c>
    </row>
    <row r="3398" spans="1:8" x14ac:dyDescent="0.15">
      <c r="A3398" s="3" t="s">
        <v>3269</v>
      </c>
      <c r="B3398" s="3" t="s">
        <v>5029</v>
      </c>
      <c r="C3398" s="3">
        <v>22160</v>
      </c>
      <c r="D3398" s="3" t="str">
        <f>VLOOKUP(B3398,[1]LifeList!$E$2:$G$2036,1)</f>
        <v>Tufted Titmouse</v>
      </c>
      <c r="E3398" s="3" t="str">
        <f>VLOOKUP(B3398,[1]LifeList!$E$2:$G$2036,2)</f>
        <v>Mésange bicolore</v>
      </c>
      <c r="F3398" s="3" t="str">
        <f>VLOOKUP(B3398,[1]LifeList!$E$2:$G$2036,3)</f>
        <v>Baeolophus bicolor</v>
      </c>
      <c r="G3398" s="3" t="str">
        <f>VLOOKUP(B3398,[1]LifeList!$E$2:$I$2036,4)</f>
        <v>Passeriformes</v>
      </c>
      <c r="H3398" s="3" t="str">
        <f>VLOOKUP(B3398,[1]LifeList!$E$2:$I$2036,5)</f>
        <v>Paridae (Tits, Chickadees, and Titmice)</v>
      </c>
    </row>
    <row r="3399" spans="1:8" x14ac:dyDescent="0.15">
      <c r="A3399" s="3" t="s">
        <v>3270</v>
      </c>
      <c r="B3399" s="3" t="s">
        <v>5029</v>
      </c>
      <c r="C3399" s="3">
        <v>22160</v>
      </c>
      <c r="D3399" s="3" t="str">
        <f>VLOOKUP(B3399,[1]LifeList!$E$2:$G$2036,1)</f>
        <v>Tufted Titmouse</v>
      </c>
      <c r="E3399" s="3" t="str">
        <f>VLOOKUP(B3399,[1]LifeList!$E$2:$G$2036,2)</f>
        <v>Mésange bicolore</v>
      </c>
      <c r="F3399" s="3" t="str">
        <f>VLOOKUP(B3399,[1]LifeList!$E$2:$G$2036,3)</f>
        <v>Baeolophus bicolor</v>
      </c>
      <c r="G3399" s="3" t="str">
        <f>VLOOKUP(B3399,[1]LifeList!$E$2:$I$2036,4)</f>
        <v>Passeriformes</v>
      </c>
      <c r="H3399" s="3" t="str">
        <f>VLOOKUP(B3399,[1]LifeList!$E$2:$I$2036,5)</f>
        <v>Paridae (Tits, Chickadees, and Titmice)</v>
      </c>
    </row>
    <row r="3400" spans="1:8" x14ac:dyDescent="0.15">
      <c r="A3400" s="3" t="s">
        <v>3271</v>
      </c>
      <c r="B3400" s="3" t="s">
        <v>5029</v>
      </c>
      <c r="C3400" s="3">
        <v>22160</v>
      </c>
      <c r="D3400" s="3" t="str">
        <f>VLOOKUP(B3400,[1]LifeList!$E$2:$G$2036,1)</f>
        <v>Tufted Titmouse</v>
      </c>
      <c r="E3400" s="3" t="str">
        <f>VLOOKUP(B3400,[1]LifeList!$E$2:$G$2036,2)</f>
        <v>Mésange bicolore</v>
      </c>
      <c r="F3400" s="3" t="str">
        <f>VLOOKUP(B3400,[1]LifeList!$E$2:$G$2036,3)</f>
        <v>Baeolophus bicolor</v>
      </c>
      <c r="G3400" s="3" t="str">
        <f>VLOOKUP(B3400,[1]LifeList!$E$2:$I$2036,4)</f>
        <v>Passeriformes</v>
      </c>
      <c r="H3400" s="3" t="str">
        <f>VLOOKUP(B3400,[1]LifeList!$E$2:$I$2036,5)</f>
        <v>Paridae (Tits, Chickadees, and Titmice)</v>
      </c>
    </row>
    <row r="3401" spans="1:8" x14ac:dyDescent="0.15">
      <c r="A3401" s="3" t="s">
        <v>3272</v>
      </c>
      <c r="B3401" s="3" t="s">
        <v>5029</v>
      </c>
      <c r="C3401" s="3">
        <v>22160</v>
      </c>
      <c r="D3401" s="3" t="str">
        <f>VLOOKUP(B3401,[1]LifeList!$E$2:$G$2036,1)</f>
        <v>Tufted Titmouse</v>
      </c>
      <c r="E3401" s="3" t="str">
        <f>VLOOKUP(B3401,[1]LifeList!$E$2:$G$2036,2)</f>
        <v>Mésange bicolore</v>
      </c>
      <c r="F3401" s="3" t="str">
        <f>VLOOKUP(B3401,[1]LifeList!$E$2:$G$2036,3)</f>
        <v>Baeolophus bicolor</v>
      </c>
      <c r="G3401" s="3" t="str">
        <f>VLOOKUP(B3401,[1]LifeList!$E$2:$I$2036,4)</f>
        <v>Passeriformes</v>
      </c>
      <c r="H3401" s="3" t="str">
        <f>VLOOKUP(B3401,[1]LifeList!$E$2:$I$2036,5)</f>
        <v>Paridae (Tits, Chickadees, and Titmice)</v>
      </c>
    </row>
    <row r="3402" spans="1:8" x14ac:dyDescent="0.15">
      <c r="A3402" s="3" t="s">
        <v>3273</v>
      </c>
      <c r="B3402" s="3" t="s">
        <v>5030</v>
      </c>
      <c r="C3402" s="3">
        <v>384</v>
      </c>
      <c r="D3402" s="3" t="str">
        <f>VLOOKUP(B3402,[1]LifeList!$E$2:$G$2036,1)</f>
        <v>Tundra Swan</v>
      </c>
      <c r="E3402" s="3" t="str">
        <f>VLOOKUP(B3402,[1]LifeList!$E$2:$G$2036,2)</f>
        <v>Cygne siffleur</v>
      </c>
      <c r="F3402" s="3" t="str">
        <f>VLOOKUP(B3402,[1]LifeList!$E$2:$G$2036,3)</f>
        <v>Cygnus columbianus</v>
      </c>
      <c r="G3402" s="3" t="str">
        <f>VLOOKUP(B3402,[1]LifeList!$E$2:$I$2036,4)</f>
        <v>Anseriformes</v>
      </c>
      <c r="H3402" s="3" t="str">
        <f>VLOOKUP(B3402,[1]LifeList!$E$2:$I$2036,5)</f>
        <v>Anatidae (Ducks, Geese, and Waterfowl)</v>
      </c>
    </row>
    <row r="3403" spans="1:8" x14ac:dyDescent="0.15">
      <c r="A3403" s="3" t="s">
        <v>3274</v>
      </c>
      <c r="B3403" s="3" t="s">
        <v>5030</v>
      </c>
      <c r="C3403" s="3">
        <v>384</v>
      </c>
      <c r="D3403" s="3" t="str">
        <f>VLOOKUP(B3403,[1]LifeList!$E$2:$G$2036,1)</f>
        <v>Tundra Swan</v>
      </c>
      <c r="E3403" s="3" t="str">
        <f>VLOOKUP(B3403,[1]LifeList!$E$2:$G$2036,2)</f>
        <v>Cygne siffleur</v>
      </c>
      <c r="F3403" s="3" t="str">
        <f>VLOOKUP(B3403,[1]LifeList!$E$2:$G$2036,3)</f>
        <v>Cygnus columbianus</v>
      </c>
      <c r="G3403" s="3" t="str">
        <f>VLOOKUP(B3403,[1]LifeList!$E$2:$I$2036,4)</f>
        <v>Anseriformes</v>
      </c>
      <c r="H3403" s="3" t="str">
        <f>VLOOKUP(B3403,[1]LifeList!$E$2:$I$2036,5)</f>
        <v>Anatidae (Ducks, Geese, and Waterfowl)</v>
      </c>
    </row>
    <row r="3404" spans="1:8" x14ac:dyDescent="0.15">
      <c r="A3404" s="3" t="s">
        <v>3275</v>
      </c>
      <c r="B3404" s="3" t="s">
        <v>5031</v>
      </c>
      <c r="C3404" s="3">
        <v>7815</v>
      </c>
      <c r="D3404" s="3" t="str">
        <f>VLOOKUP(B3404,[1]LifeList!$E$2:$G$2036,1)</f>
        <v>Turkey Vulture</v>
      </c>
      <c r="E3404" s="3" t="str">
        <f>VLOOKUP(B3404,[1]LifeList!$E$2:$G$2036,2)</f>
        <v>Urubu à tête rouge</v>
      </c>
      <c r="F3404" s="3" t="str">
        <f>VLOOKUP(B3404,[1]LifeList!$E$2:$G$2036,3)</f>
        <v>Cathartes aura</v>
      </c>
      <c r="G3404" s="3" t="str">
        <f>VLOOKUP(B3404,[1]LifeList!$E$2:$I$2036,4)</f>
        <v>Cathartiformes</v>
      </c>
      <c r="H3404" s="3" t="str">
        <f>VLOOKUP(B3404,[1]LifeList!$E$2:$I$2036,5)</f>
        <v>Cathartidae (New World Vultures)</v>
      </c>
    </row>
    <row r="3405" spans="1:8" x14ac:dyDescent="0.15">
      <c r="A3405" s="3" t="s">
        <v>3276</v>
      </c>
      <c r="B3405" s="3" t="s">
        <v>5031</v>
      </c>
      <c r="C3405" s="3">
        <v>7815</v>
      </c>
      <c r="D3405" s="3" t="str">
        <f>VLOOKUP(B3405,[1]LifeList!$E$2:$G$2036,1)</f>
        <v>Turkey Vulture</v>
      </c>
      <c r="E3405" s="3" t="str">
        <f>VLOOKUP(B3405,[1]LifeList!$E$2:$G$2036,2)</f>
        <v>Urubu à tête rouge</v>
      </c>
      <c r="F3405" s="3" t="str">
        <f>VLOOKUP(B3405,[1]LifeList!$E$2:$G$2036,3)</f>
        <v>Cathartes aura</v>
      </c>
      <c r="G3405" s="3" t="str">
        <f>VLOOKUP(B3405,[1]LifeList!$E$2:$I$2036,4)</f>
        <v>Cathartiformes</v>
      </c>
      <c r="H3405" s="3" t="str">
        <f>VLOOKUP(B3405,[1]LifeList!$E$2:$I$2036,5)</f>
        <v>Cathartidae (New World Vultures)</v>
      </c>
    </row>
    <row r="3406" spans="1:8" x14ac:dyDescent="0.15">
      <c r="A3406" s="3" t="s">
        <v>3277</v>
      </c>
      <c r="B3406" s="3" t="s">
        <v>5031</v>
      </c>
      <c r="C3406" s="3">
        <v>7815</v>
      </c>
      <c r="D3406" s="3" t="str">
        <f>VLOOKUP(B3406,[1]LifeList!$E$2:$G$2036,1)</f>
        <v>Turkey Vulture</v>
      </c>
      <c r="E3406" s="3" t="str">
        <f>VLOOKUP(B3406,[1]LifeList!$E$2:$G$2036,2)</f>
        <v>Urubu à tête rouge</v>
      </c>
      <c r="F3406" s="3" t="str">
        <f>VLOOKUP(B3406,[1]LifeList!$E$2:$G$2036,3)</f>
        <v>Cathartes aura</v>
      </c>
      <c r="G3406" s="3" t="str">
        <f>VLOOKUP(B3406,[1]LifeList!$E$2:$I$2036,4)</f>
        <v>Cathartiformes</v>
      </c>
      <c r="H3406" s="3" t="str">
        <f>VLOOKUP(B3406,[1]LifeList!$E$2:$I$2036,5)</f>
        <v>Cathartidae (New World Vultures)</v>
      </c>
    </row>
    <row r="3407" spans="1:8" x14ac:dyDescent="0.15">
      <c r="A3407" s="3" t="s">
        <v>3278</v>
      </c>
      <c r="B3407" s="3" t="s">
        <v>5031</v>
      </c>
      <c r="C3407" s="3">
        <v>7815</v>
      </c>
      <c r="D3407" s="3" t="str">
        <f>VLOOKUP(B3407,[1]LifeList!$E$2:$G$2036,1)</f>
        <v>Turkey Vulture</v>
      </c>
      <c r="E3407" s="3" t="str">
        <f>VLOOKUP(B3407,[1]LifeList!$E$2:$G$2036,2)</f>
        <v>Urubu à tête rouge</v>
      </c>
      <c r="F3407" s="3" t="str">
        <f>VLOOKUP(B3407,[1]LifeList!$E$2:$G$2036,3)</f>
        <v>Cathartes aura</v>
      </c>
      <c r="G3407" s="3" t="str">
        <f>VLOOKUP(B3407,[1]LifeList!$E$2:$I$2036,4)</f>
        <v>Cathartiformes</v>
      </c>
      <c r="H3407" s="3" t="str">
        <f>VLOOKUP(B3407,[1]LifeList!$E$2:$I$2036,5)</f>
        <v>Cathartidae (New World Vultures)</v>
      </c>
    </row>
    <row r="3408" spans="1:8" x14ac:dyDescent="0.15">
      <c r="A3408" s="3" t="s">
        <v>3279</v>
      </c>
      <c r="B3408" s="3" t="s">
        <v>5031</v>
      </c>
      <c r="C3408" s="3">
        <v>7815</v>
      </c>
      <c r="D3408" s="3" t="str">
        <f>VLOOKUP(B3408,[1]LifeList!$E$2:$G$2036,1)</f>
        <v>Turkey Vulture</v>
      </c>
      <c r="E3408" s="3" t="str">
        <f>VLOOKUP(B3408,[1]LifeList!$E$2:$G$2036,2)</f>
        <v>Urubu à tête rouge</v>
      </c>
      <c r="F3408" s="3" t="str">
        <f>VLOOKUP(B3408,[1]LifeList!$E$2:$G$2036,3)</f>
        <v>Cathartes aura</v>
      </c>
      <c r="G3408" s="3" t="str">
        <f>VLOOKUP(B3408,[1]LifeList!$E$2:$I$2036,4)</f>
        <v>Cathartiformes</v>
      </c>
      <c r="H3408" s="3" t="str">
        <f>VLOOKUP(B3408,[1]LifeList!$E$2:$I$2036,5)</f>
        <v>Cathartidae (New World Vultures)</v>
      </c>
    </row>
    <row r="3409" spans="1:8" x14ac:dyDescent="0.15">
      <c r="A3409" s="3" t="s">
        <v>3280</v>
      </c>
      <c r="B3409" s="3" t="s">
        <v>5031</v>
      </c>
      <c r="C3409" s="3">
        <v>7815</v>
      </c>
      <c r="D3409" s="3" t="str">
        <f>VLOOKUP(B3409,[1]LifeList!$E$2:$G$2036,1)</f>
        <v>Turkey Vulture</v>
      </c>
      <c r="E3409" s="3" t="str">
        <f>VLOOKUP(B3409,[1]LifeList!$E$2:$G$2036,2)</f>
        <v>Urubu à tête rouge</v>
      </c>
      <c r="F3409" s="3" t="str">
        <f>VLOOKUP(B3409,[1]LifeList!$E$2:$G$2036,3)</f>
        <v>Cathartes aura</v>
      </c>
      <c r="G3409" s="3" t="str">
        <f>VLOOKUP(B3409,[1]LifeList!$E$2:$I$2036,4)</f>
        <v>Cathartiformes</v>
      </c>
      <c r="H3409" s="3" t="str">
        <f>VLOOKUP(B3409,[1]LifeList!$E$2:$I$2036,5)</f>
        <v>Cathartidae (New World Vultures)</v>
      </c>
    </row>
    <row r="3410" spans="1:8" x14ac:dyDescent="0.15">
      <c r="A3410" s="3" t="s">
        <v>3281</v>
      </c>
      <c r="B3410" s="3" t="s">
        <v>5032</v>
      </c>
      <c r="C3410" s="3">
        <v>9901</v>
      </c>
      <c r="D3410" s="3" t="str">
        <f>VLOOKUP(B3410,[1]LifeList!$E$2:$G$2036,1)</f>
        <v>Turquoise-browed Motmot</v>
      </c>
      <c r="E3410" s="3" t="str">
        <f>VLOOKUP(B3410,[1]LifeList!$E$2:$G$2036,2)</f>
        <v>Motmot à sourcils bleus</v>
      </c>
      <c r="F3410" s="3" t="str">
        <f>VLOOKUP(B3410,[1]LifeList!$E$2:$G$2036,3)</f>
        <v>Eumomota superciliosa</v>
      </c>
      <c r="G3410" s="3" t="str">
        <f>VLOOKUP(B3410,[1]LifeList!$E$2:$I$2036,4)</f>
        <v>Coraciiformes</v>
      </c>
      <c r="H3410" s="3" t="str">
        <f>VLOOKUP(B3410,[1]LifeList!$E$2:$I$2036,5)</f>
        <v>Momotidae (Motmots)</v>
      </c>
    </row>
    <row r="3411" spans="1:8" x14ac:dyDescent="0.15">
      <c r="A3411" s="3" t="s">
        <v>3282</v>
      </c>
      <c r="B3411" s="3" t="s">
        <v>5032</v>
      </c>
      <c r="C3411" s="3">
        <v>9901</v>
      </c>
      <c r="D3411" s="3" t="str">
        <f>VLOOKUP(B3411,[1]LifeList!$E$2:$G$2036,1)</f>
        <v>Turquoise-browed Motmot</v>
      </c>
      <c r="E3411" s="3" t="str">
        <f>VLOOKUP(B3411,[1]LifeList!$E$2:$G$2036,2)</f>
        <v>Motmot à sourcils bleus</v>
      </c>
      <c r="F3411" s="3" t="str">
        <f>VLOOKUP(B3411,[1]LifeList!$E$2:$G$2036,3)</f>
        <v>Eumomota superciliosa</v>
      </c>
      <c r="G3411" s="3" t="str">
        <f>VLOOKUP(B3411,[1]LifeList!$E$2:$I$2036,4)</f>
        <v>Coraciiformes</v>
      </c>
      <c r="H3411" s="3" t="str">
        <f>VLOOKUP(B3411,[1]LifeList!$E$2:$I$2036,5)</f>
        <v>Momotidae (Motmots)</v>
      </c>
    </row>
    <row r="3412" spans="1:8" x14ac:dyDescent="0.15">
      <c r="A3412" s="3" t="s">
        <v>3283</v>
      </c>
      <c r="B3412" s="3" t="s">
        <v>5033</v>
      </c>
      <c r="C3412" s="3">
        <v>12984</v>
      </c>
      <c r="D3412" s="3" t="str">
        <f>VLOOKUP(B3412,[1]LifeList!$E$2:$G$2036,1)</f>
        <v>Turquoise-winged Parrotlet</v>
      </c>
      <c r="E3412" s="3" t="str">
        <f>VLOOKUP(B3412,[1]LifeList!$E$2:$G$2036,2)</f>
        <v>Toui de Spengel</v>
      </c>
      <c r="F3412" s="3" t="str">
        <f>VLOOKUP(B3412,[1]LifeList!$E$2:$G$2036,3)</f>
        <v>Forpus spengeli</v>
      </c>
      <c r="G3412" s="3" t="str">
        <f>VLOOKUP(B3412,[1]LifeList!$E$2:$I$2036,4)</f>
        <v>Psittaciformes</v>
      </c>
      <c r="H3412" s="3" t="str">
        <f>VLOOKUP(B3412,[1]LifeList!$E$2:$I$2036,5)</f>
        <v>Psittacidae (New World and African Parrots)</v>
      </c>
    </row>
    <row r="3413" spans="1:8" x14ac:dyDescent="0.15">
      <c r="A3413" s="3" t="s">
        <v>3284</v>
      </c>
      <c r="B3413" s="3" t="s">
        <v>5034</v>
      </c>
      <c r="C3413" s="3">
        <v>19977</v>
      </c>
      <c r="D3413" s="3" t="str">
        <f>VLOOKUP(B3413,[1]LifeList!$E$2:$G$2036,1)</f>
        <v>Tylas Vanga</v>
      </c>
      <c r="E3413" s="3" t="str">
        <f>VLOOKUP(B3413,[1]LifeList!$E$2:$G$2036,2)</f>
        <v>Tylas à tête noire</v>
      </c>
      <c r="F3413" s="3" t="str">
        <f>VLOOKUP(B3413,[1]LifeList!$E$2:$G$2036,3)</f>
        <v>Tylas eduardi</v>
      </c>
      <c r="G3413" s="3" t="str">
        <f>VLOOKUP(B3413,[1]LifeList!$E$2:$I$2036,4)</f>
        <v>Passeriformes</v>
      </c>
      <c r="H3413" s="3" t="str">
        <f>VLOOKUP(B3413,[1]LifeList!$E$2:$I$2036,5)</f>
        <v>Vangidae (Vangas, Helmetshrikes, and Allies)</v>
      </c>
    </row>
    <row r="3414" spans="1:8" x14ac:dyDescent="0.15">
      <c r="A3414" s="3" t="s">
        <v>3285</v>
      </c>
      <c r="B3414" s="3" t="s">
        <v>5035</v>
      </c>
      <c r="C3414" s="3">
        <v>14642</v>
      </c>
      <c r="D3414" s="3" t="str">
        <f>VLOOKUP(B3414,[1]LifeList!$E$2:$G$2036,1)</f>
        <v>Tyrannine Woodcreeper</v>
      </c>
      <c r="E3414" s="3" t="str">
        <f>VLOOKUP(B3414,[1]LifeList!$E$2:$G$2036,2)</f>
        <v>Grimpar tyran</v>
      </c>
      <c r="F3414" s="3" t="str">
        <f>VLOOKUP(B3414,[1]LifeList!$E$2:$G$2036,3)</f>
        <v>Dendrocincla tyrannina</v>
      </c>
      <c r="G3414" s="3" t="str">
        <f>VLOOKUP(B3414,[1]LifeList!$E$2:$I$2036,4)</f>
        <v>Passeriformes</v>
      </c>
      <c r="H3414" s="3" t="str">
        <f>VLOOKUP(B3414,[1]LifeList!$E$2:$I$2036,5)</f>
        <v>Furnariidae (Ovenbirds and Woodcreepers)</v>
      </c>
    </row>
    <row r="3415" spans="1:8" x14ac:dyDescent="0.15">
      <c r="A3415" s="3" t="s">
        <v>3286</v>
      </c>
      <c r="B3415" s="3" t="s">
        <v>5036</v>
      </c>
      <c r="C3415" s="3">
        <v>5432</v>
      </c>
      <c r="D3415" s="3" t="str">
        <f>VLOOKUP(B3415,[1]LifeList!$E$2:$G$2036,1)</f>
        <v>Uniform Crake</v>
      </c>
      <c r="E3415" s="3" t="str">
        <f>VLOOKUP(B3415,[1]LifeList!$E$2:$G$2036,2)</f>
        <v>Râle concolore</v>
      </c>
      <c r="F3415" s="3" t="str">
        <f>VLOOKUP(B3415,[1]LifeList!$E$2:$G$2036,3)</f>
        <v>Amaurolimnas concolor</v>
      </c>
      <c r="G3415" s="3" t="str">
        <f>VLOOKUP(B3415,[1]LifeList!$E$2:$I$2036,4)</f>
        <v>Gruiformes</v>
      </c>
      <c r="H3415" s="3" t="str">
        <f>VLOOKUP(B3415,[1]LifeList!$E$2:$I$2036,5)</f>
        <v>Rallidae (Rails, Gallinules, and Coots)</v>
      </c>
    </row>
    <row r="3416" spans="1:8" x14ac:dyDescent="0.15">
      <c r="A3416" s="3" t="s">
        <v>3287</v>
      </c>
      <c r="B3416" s="3" t="s">
        <v>5037</v>
      </c>
      <c r="C3416" s="3">
        <v>6009</v>
      </c>
      <c r="D3416" s="3" t="str">
        <f>VLOOKUP(B3416,[1]LifeList!$E$2:$G$2036,1)</f>
        <v>Upland Sandpiper</v>
      </c>
      <c r="E3416" s="3" t="str">
        <f>VLOOKUP(B3416,[1]LifeList!$E$2:$G$2036,2)</f>
        <v>Maubèche des champs</v>
      </c>
      <c r="F3416" s="3" t="str">
        <f>VLOOKUP(B3416,[1]LifeList!$E$2:$G$2036,3)</f>
        <v>Bartramia longicauda</v>
      </c>
      <c r="G3416" s="3" t="str">
        <f>VLOOKUP(B3416,[1]LifeList!$E$2:$I$2036,4)</f>
        <v>Charadriiformes</v>
      </c>
      <c r="H3416" s="3" t="str">
        <f>VLOOKUP(B3416,[1]LifeList!$E$2:$I$2036,5)</f>
        <v>Scolopacidae (Sandpipers and Allies)</v>
      </c>
    </row>
    <row r="3417" spans="1:8" x14ac:dyDescent="0.15">
      <c r="A3417" s="3" t="s">
        <v>3288</v>
      </c>
      <c r="B3417" s="3" t="s">
        <v>5038</v>
      </c>
      <c r="C3417" s="3">
        <v>35560</v>
      </c>
      <c r="D3417" s="3" t="str">
        <f>VLOOKUP(B3417,[1]LifeList!$E$2:$G$2036,1)</f>
        <v>Variable Seedeater</v>
      </c>
      <c r="E3417" s="3" t="str">
        <f>VLOOKUP(B3417,[1]LifeList!$E$2:$G$2036,2)</f>
        <v>Sporophile variable</v>
      </c>
      <c r="F3417" s="3" t="str">
        <f>VLOOKUP(B3417,[1]LifeList!$E$2:$G$2036,3)</f>
        <v>Sporophila corvina</v>
      </c>
      <c r="G3417" s="3" t="str">
        <f>VLOOKUP(B3417,[1]LifeList!$E$2:$I$2036,4)</f>
        <v>Passeriformes</v>
      </c>
      <c r="H3417" s="3" t="str">
        <f>VLOOKUP(B3417,[1]LifeList!$E$2:$I$2036,5)</f>
        <v>Thraupidae (Tanagers and Allies)</v>
      </c>
    </row>
    <row r="3418" spans="1:8" x14ac:dyDescent="0.15">
      <c r="A3418" s="3" t="s">
        <v>3289</v>
      </c>
      <c r="B3418" s="3" t="s">
        <v>5039</v>
      </c>
      <c r="C3418" s="3">
        <v>28313</v>
      </c>
      <c r="D3418" s="3" t="str">
        <f>VLOOKUP(B3418,[1]LifeList!$E$2:$G$2036,1)</f>
        <v>Veery</v>
      </c>
      <c r="E3418" s="3" t="str">
        <f>VLOOKUP(B3418,[1]LifeList!$E$2:$G$2036,2)</f>
        <v>Grive fauve</v>
      </c>
      <c r="F3418" s="3" t="str">
        <f>VLOOKUP(B3418,[1]LifeList!$E$2:$G$2036,3)</f>
        <v>Catharus fuscescens</v>
      </c>
      <c r="G3418" s="3" t="str">
        <f>VLOOKUP(B3418,[1]LifeList!$E$2:$I$2036,4)</f>
        <v>Passeriformes</v>
      </c>
      <c r="H3418" s="3" t="str">
        <f>VLOOKUP(B3418,[1]LifeList!$E$2:$I$2036,5)</f>
        <v>Turdidae (Thrushes and Allies)</v>
      </c>
    </row>
    <row r="3419" spans="1:8" x14ac:dyDescent="0.15">
      <c r="A3419" s="3" t="s">
        <v>3290</v>
      </c>
      <c r="B3419" s="3" t="s">
        <v>5039</v>
      </c>
      <c r="C3419" s="3">
        <v>28313</v>
      </c>
      <c r="D3419" s="3" t="str">
        <f>VLOOKUP(B3419,[1]LifeList!$E$2:$G$2036,1)</f>
        <v>Veery</v>
      </c>
      <c r="E3419" s="3" t="str">
        <f>VLOOKUP(B3419,[1]LifeList!$E$2:$G$2036,2)</f>
        <v>Grive fauve</v>
      </c>
      <c r="F3419" s="3" t="str">
        <f>VLOOKUP(B3419,[1]LifeList!$E$2:$G$2036,3)</f>
        <v>Catharus fuscescens</v>
      </c>
      <c r="G3419" s="3" t="str">
        <f>VLOOKUP(B3419,[1]LifeList!$E$2:$I$2036,4)</f>
        <v>Passeriformes</v>
      </c>
      <c r="H3419" s="3" t="str">
        <f>VLOOKUP(B3419,[1]LifeList!$E$2:$I$2036,5)</f>
        <v>Turdidae (Thrushes and Allies)</v>
      </c>
    </row>
    <row r="3420" spans="1:8" x14ac:dyDescent="0.15">
      <c r="A3420" s="3" t="s">
        <v>3291</v>
      </c>
      <c r="B3420" s="3" t="s">
        <v>5039</v>
      </c>
      <c r="C3420" s="3">
        <v>28313</v>
      </c>
      <c r="D3420" s="3" t="str">
        <f>VLOOKUP(B3420,[1]LifeList!$E$2:$G$2036,1)</f>
        <v>Veery</v>
      </c>
      <c r="E3420" s="3" t="str">
        <f>VLOOKUP(B3420,[1]LifeList!$E$2:$G$2036,2)</f>
        <v>Grive fauve</v>
      </c>
      <c r="F3420" s="3" t="str">
        <f>VLOOKUP(B3420,[1]LifeList!$E$2:$G$2036,3)</f>
        <v>Catharus fuscescens</v>
      </c>
      <c r="G3420" s="3" t="str">
        <f>VLOOKUP(B3420,[1]LifeList!$E$2:$I$2036,4)</f>
        <v>Passeriformes</v>
      </c>
      <c r="H3420" s="3" t="str">
        <f>VLOOKUP(B3420,[1]LifeList!$E$2:$I$2036,5)</f>
        <v>Turdidae (Thrushes and Allies)</v>
      </c>
    </row>
    <row r="3421" spans="1:8" x14ac:dyDescent="0.15">
      <c r="A3421" s="3" t="s">
        <v>3292</v>
      </c>
      <c r="B3421" s="3" t="s">
        <v>5039</v>
      </c>
      <c r="C3421" s="3">
        <v>28313</v>
      </c>
      <c r="D3421" s="3" t="str">
        <f>VLOOKUP(B3421,[1]LifeList!$E$2:$G$2036,1)</f>
        <v>Veery</v>
      </c>
      <c r="E3421" s="3" t="str">
        <f>VLOOKUP(B3421,[1]LifeList!$E$2:$G$2036,2)</f>
        <v>Grive fauve</v>
      </c>
      <c r="F3421" s="3" t="str">
        <f>VLOOKUP(B3421,[1]LifeList!$E$2:$G$2036,3)</f>
        <v>Catharus fuscescens</v>
      </c>
      <c r="G3421" s="3" t="str">
        <f>VLOOKUP(B3421,[1]LifeList!$E$2:$I$2036,4)</f>
        <v>Passeriformes</v>
      </c>
      <c r="H3421" s="3" t="str">
        <f>VLOOKUP(B3421,[1]LifeList!$E$2:$I$2036,5)</f>
        <v>Turdidae (Thrushes and Allies)</v>
      </c>
    </row>
    <row r="3422" spans="1:8" x14ac:dyDescent="0.15">
      <c r="A3422" s="3" t="s">
        <v>3293</v>
      </c>
      <c r="B3422" s="3" t="s">
        <v>5039</v>
      </c>
      <c r="C3422" s="3">
        <v>28313</v>
      </c>
      <c r="D3422" s="3" t="str">
        <f>VLOOKUP(B3422,[1]LifeList!$E$2:$G$2036,1)</f>
        <v>Veery</v>
      </c>
      <c r="E3422" s="3" t="str">
        <f>VLOOKUP(B3422,[1]LifeList!$E$2:$G$2036,2)</f>
        <v>Grive fauve</v>
      </c>
      <c r="F3422" s="3" t="str">
        <f>VLOOKUP(B3422,[1]LifeList!$E$2:$G$2036,3)</f>
        <v>Catharus fuscescens</v>
      </c>
      <c r="G3422" s="3" t="str">
        <f>VLOOKUP(B3422,[1]LifeList!$E$2:$I$2036,4)</f>
        <v>Passeriformes</v>
      </c>
      <c r="H3422" s="3" t="str">
        <f>VLOOKUP(B3422,[1]LifeList!$E$2:$I$2036,5)</f>
        <v>Turdidae (Thrushes and Allies)</v>
      </c>
    </row>
    <row r="3423" spans="1:8" x14ac:dyDescent="0.15">
      <c r="A3423" s="3" t="s">
        <v>3294</v>
      </c>
      <c r="B3423" s="3" t="s">
        <v>5039</v>
      </c>
      <c r="C3423" s="3">
        <v>28313</v>
      </c>
      <c r="D3423" s="3" t="str">
        <f>VLOOKUP(B3423,[1]LifeList!$E$2:$G$2036,1)</f>
        <v>Veery</v>
      </c>
      <c r="E3423" s="3" t="str">
        <f>VLOOKUP(B3423,[1]LifeList!$E$2:$G$2036,2)</f>
        <v>Grive fauve</v>
      </c>
      <c r="F3423" s="3" t="str">
        <f>VLOOKUP(B3423,[1]LifeList!$E$2:$G$2036,3)</f>
        <v>Catharus fuscescens</v>
      </c>
      <c r="G3423" s="3" t="str">
        <f>VLOOKUP(B3423,[1]LifeList!$E$2:$I$2036,4)</f>
        <v>Passeriformes</v>
      </c>
      <c r="H3423" s="3" t="str">
        <f>VLOOKUP(B3423,[1]LifeList!$E$2:$I$2036,5)</f>
        <v>Turdidae (Thrushes and Allies)</v>
      </c>
    </row>
    <row r="3424" spans="1:8" x14ac:dyDescent="0.15">
      <c r="A3424" s="3" t="s">
        <v>3295</v>
      </c>
      <c r="B3424" s="3" t="s">
        <v>5039</v>
      </c>
      <c r="C3424" s="3">
        <v>28313</v>
      </c>
      <c r="D3424" s="3" t="str">
        <f>VLOOKUP(B3424,[1]LifeList!$E$2:$G$2036,1)</f>
        <v>Veery</v>
      </c>
      <c r="E3424" s="3" t="str">
        <f>VLOOKUP(B3424,[1]LifeList!$E$2:$G$2036,2)</f>
        <v>Grive fauve</v>
      </c>
      <c r="F3424" s="3" t="str">
        <f>VLOOKUP(B3424,[1]LifeList!$E$2:$G$2036,3)</f>
        <v>Catharus fuscescens</v>
      </c>
      <c r="G3424" s="3" t="str">
        <f>VLOOKUP(B3424,[1]LifeList!$E$2:$I$2036,4)</f>
        <v>Passeriformes</v>
      </c>
      <c r="H3424" s="3" t="str">
        <f>VLOOKUP(B3424,[1]LifeList!$E$2:$I$2036,5)</f>
        <v>Turdidae (Thrushes and Allies)</v>
      </c>
    </row>
    <row r="3425" spans="1:8" x14ac:dyDescent="0.15">
      <c r="A3425" s="3" t="s">
        <v>3297</v>
      </c>
      <c r="B3425" s="3" t="s">
        <v>5040</v>
      </c>
      <c r="C3425" s="3">
        <v>13300</v>
      </c>
      <c r="D3425" s="3" t="str">
        <f>VLOOKUP(B3425,[1]LifeList!$E$2:$G$2036,1)</f>
        <v>Velvet Asity</v>
      </c>
      <c r="E3425" s="3" t="str">
        <f>VLOOKUP(B3425,[1]LifeList!$E$2:$G$2036,2)</f>
        <v>Philépitte veloutée</v>
      </c>
      <c r="F3425" s="3" t="str">
        <f>VLOOKUP(B3425,[1]LifeList!$E$2:$G$2036,3)</f>
        <v>Philepitta castanea</v>
      </c>
      <c r="G3425" s="3" t="str">
        <f>VLOOKUP(B3425,[1]LifeList!$E$2:$I$2036,4)</f>
        <v>Passeriformes</v>
      </c>
      <c r="H3425" s="3" t="str">
        <f>VLOOKUP(B3425,[1]LifeList!$E$2:$I$2036,5)</f>
        <v>Philepittidae (Asities)</v>
      </c>
    </row>
    <row r="3426" spans="1:8" x14ac:dyDescent="0.15">
      <c r="A3426" s="3" t="s">
        <v>3300</v>
      </c>
      <c r="B3426" s="3" t="s">
        <v>5040</v>
      </c>
      <c r="C3426" s="3">
        <v>13300</v>
      </c>
      <c r="D3426" s="3" t="str">
        <f>VLOOKUP(B3426,[1]LifeList!$E$2:$G$2036,1)</f>
        <v>Velvet Asity</v>
      </c>
      <c r="E3426" s="3" t="str">
        <f>VLOOKUP(B3426,[1]LifeList!$E$2:$G$2036,2)</f>
        <v>Philépitte veloutée</v>
      </c>
      <c r="F3426" s="3" t="str">
        <f>VLOOKUP(B3426,[1]LifeList!$E$2:$G$2036,3)</f>
        <v>Philepitta castanea</v>
      </c>
      <c r="G3426" s="3" t="str">
        <f>VLOOKUP(B3426,[1]LifeList!$E$2:$I$2036,4)</f>
        <v>Passeriformes</v>
      </c>
      <c r="H3426" s="3" t="str">
        <f>VLOOKUP(B3426,[1]LifeList!$E$2:$I$2036,5)</f>
        <v>Philepittidae (Asities)</v>
      </c>
    </row>
    <row r="3427" spans="1:8" x14ac:dyDescent="0.15">
      <c r="A3427" s="3" t="s">
        <v>3298</v>
      </c>
      <c r="B3427" s="3" t="s">
        <v>5040</v>
      </c>
      <c r="C3427" s="3">
        <v>13300</v>
      </c>
      <c r="D3427" s="3" t="str">
        <f>VLOOKUP(B3427,[1]LifeList!$E$2:$G$2036,1)</f>
        <v>Velvet Asity</v>
      </c>
      <c r="E3427" s="3" t="str">
        <f>VLOOKUP(B3427,[1]LifeList!$E$2:$G$2036,2)</f>
        <v>Philépitte veloutée</v>
      </c>
      <c r="F3427" s="3" t="str">
        <f>VLOOKUP(B3427,[1]LifeList!$E$2:$G$2036,3)</f>
        <v>Philepitta castanea</v>
      </c>
      <c r="G3427" s="3" t="str">
        <f>VLOOKUP(B3427,[1]LifeList!$E$2:$I$2036,4)</f>
        <v>Passeriformes</v>
      </c>
      <c r="H3427" s="3" t="str">
        <f>VLOOKUP(B3427,[1]LifeList!$E$2:$I$2036,5)</f>
        <v>Philepittidae (Asities)</v>
      </c>
    </row>
    <row r="3428" spans="1:8" x14ac:dyDescent="0.15">
      <c r="A3428" s="3" t="s">
        <v>3299</v>
      </c>
      <c r="B3428" s="3" t="s">
        <v>5040</v>
      </c>
      <c r="C3428" s="3">
        <v>13300</v>
      </c>
      <c r="D3428" s="3" t="str">
        <f>VLOOKUP(B3428,[1]LifeList!$E$2:$G$2036,1)</f>
        <v>Velvet Asity</v>
      </c>
      <c r="E3428" s="3" t="str">
        <f>VLOOKUP(B3428,[1]LifeList!$E$2:$G$2036,2)</f>
        <v>Philépitte veloutée</v>
      </c>
      <c r="F3428" s="3" t="str">
        <f>VLOOKUP(B3428,[1]LifeList!$E$2:$G$2036,3)</f>
        <v>Philepitta castanea</v>
      </c>
      <c r="G3428" s="3" t="str">
        <f>VLOOKUP(B3428,[1]LifeList!$E$2:$I$2036,4)</f>
        <v>Passeriformes</v>
      </c>
      <c r="H3428" s="3" t="str">
        <f>VLOOKUP(B3428,[1]LifeList!$E$2:$I$2036,5)</f>
        <v>Philepittidae (Asities)</v>
      </c>
    </row>
    <row r="3429" spans="1:8" x14ac:dyDescent="0.15">
      <c r="A3429" s="3" t="s">
        <v>3301</v>
      </c>
      <c r="B3429" s="3" t="s">
        <v>5040</v>
      </c>
      <c r="C3429" s="3">
        <v>13300</v>
      </c>
      <c r="D3429" s="3" t="str">
        <f>VLOOKUP(B3429,[1]LifeList!$E$2:$G$2036,1)</f>
        <v>Velvet Asity</v>
      </c>
      <c r="E3429" s="3" t="str">
        <f>VLOOKUP(B3429,[1]LifeList!$E$2:$G$2036,2)</f>
        <v>Philépitte veloutée</v>
      </c>
      <c r="F3429" s="3" t="str">
        <f>VLOOKUP(B3429,[1]LifeList!$E$2:$G$2036,3)</f>
        <v>Philepitta castanea</v>
      </c>
      <c r="G3429" s="3" t="str">
        <f>VLOOKUP(B3429,[1]LifeList!$E$2:$I$2036,4)</f>
        <v>Passeriformes</v>
      </c>
      <c r="H3429" s="3" t="str">
        <f>VLOOKUP(B3429,[1]LifeList!$E$2:$I$2036,5)</f>
        <v>Philepittidae (Asities)</v>
      </c>
    </row>
    <row r="3430" spans="1:8" x14ac:dyDescent="0.15">
      <c r="A3430" s="3" t="s">
        <v>3302</v>
      </c>
      <c r="B3430" s="3" t="s">
        <v>5040</v>
      </c>
      <c r="C3430" s="3">
        <v>13300</v>
      </c>
      <c r="D3430" s="3" t="str">
        <f>VLOOKUP(B3430,[1]LifeList!$E$2:$G$2036,1)</f>
        <v>Velvet Asity</v>
      </c>
      <c r="E3430" s="3" t="str">
        <f>VLOOKUP(B3430,[1]LifeList!$E$2:$G$2036,2)</f>
        <v>Philépitte veloutée</v>
      </c>
      <c r="F3430" s="3" t="str">
        <f>VLOOKUP(B3430,[1]LifeList!$E$2:$G$2036,3)</f>
        <v>Philepitta castanea</v>
      </c>
      <c r="G3430" s="3" t="str">
        <f>VLOOKUP(B3430,[1]LifeList!$E$2:$I$2036,4)</f>
        <v>Passeriformes</v>
      </c>
      <c r="H3430" s="3" t="str">
        <f>VLOOKUP(B3430,[1]LifeList!$E$2:$I$2036,5)</f>
        <v>Philepittidae (Asities)</v>
      </c>
    </row>
    <row r="3431" spans="1:8" x14ac:dyDescent="0.15">
      <c r="A3431" s="3" t="s">
        <v>3296</v>
      </c>
      <c r="B3431" s="3" t="s">
        <v>5041</v>
      </c>
      <c r="C3431" s="3">
        <v>4676</v>
      </c>
      <c r="D3431" s="3" t="str">
        <f>VLOOKUP(B3431,[1]LifeList!$E$2:$G$2036,1)</f>
        <v>Velvet-purple Coronet</v>
      </c>
      <c r="E3431" s="3" t="str">
        <f>VLOOKUP(B3431,[1]LifeList!$E$2:$G$2036,2)</f>
        <v>Colibri de Jardine</v>
      </c>
      <c r="F3431" s="3" t="str">
        <f>VLOOKUP(B3431,[1]LifeList!$E$2:$G$2036,3)</f>
        <v>Boissonneaua jardini</v>
      </c>
      <c r="G3431" s="3" t="str">
        <f>VLOOKUP(B3431,[1]LifeList!$E$2:$I$2036,4)</f>
        <v>Apodiformes</v>
      </c>
      <c r="H3431" s="3" t="str">
        <f>VLOOKUP(B3431,[1]LifeList!$E$2:$I$2036,5)</f>
        <v>Trochilidae (Hummingbirds)</v>
      </c>
    </row>
    <row r="3432" spans="1:8" x14ac:dyDescent="0.15">
      <c r="A3432" s="3" t="s">
        <v>3303</v>
      </c>
      <c r="B3432" s="3" t="s">
        <v>5042</v>
      </c>
      <c r="C3432" s="3">
        <v>15733</v>
      </c>
      <c r="D3432" s="3" t="str">
        <f>VLOOKUP(B3432,[1]LifeList!$E$2:$G$2036,1)</f>
        <v>Velvety Manakin</v>
      </c>
      <c r="E3432" s="3" t="str">
        <f>VLOOKUP(B3432,[1]LifeList!$E$2:$G$2036,2)</f>
        <v>Manakin velouté</v>
      </c>
      <c r="F3432" s="3" t="str">
        <f>VLOOKUP(B3432,[1]LifeList!$E$2:$G$2036,3)</f>
        <v>Lepidothrix velutina</v>
      </c>
      <c r="G3432" s="3" t="str">
        <f>VLOOKUP(B3432,[1]LifeList!$E$2:$I$2036,4)</f>
        <v>Passeriformes</v>
      </c>
      <c r="H3432" s="3" t="str">
        <f>VLOOKUP(B3432,[1]LifeList!$E$2:$I$2036,5)</f>
        <v>Pipridae (Manakins)</v>
      </c>
    </row>
    <row r="3433" spans="1:8" x14ac:dyDescent="0.15">
      <c r="A3433" s="3" t="s">
        <v>3304</v>
      </c>
      <c r="B3433" s="3" t="s">
        <v>5043</v>
      </c>
      <c r="C3433" s="3">
        <v>17307</v>
      </c>
      <c r="D3433" s="3" t="str">
        <f>VLOOKUP(B3433,[1]LifeList!$E$2:$G$2036,1)</f>
        <v>Venezuelan Flycatcher</v>
      </c>
      <c r="E3433" s="3" t="str">
        <f>VLOOKUP(B3433,[1]LifeList!$E$2:$G$2036,2)</f>
        <v>Tyran du Venezuela</v>
      </c>
      <c r="F3433" s="3" t="str">
        <f>VLOOKUP(B3433,[1]LifeList!$E$2:$G$2036,3)</f>
        <v>Myiarchus venezuelensis</v>
      </c>
      <c r="G3433" s="3" t="str">
        <f>VLOOKUP(B3433,[1]LifeList!$E$2:$I$2036,4)</f>
        <v>Passeriformes</v>
      </c>
      <c r="H3433" s="3" t="str">
        <f>VLOOKUP(B3433,[1]LifeList!$E$2:$I$2036,5)</f>
        <v>Tyrannidae (Tyrant Flycatchers)</v>
      </c>
    </row>
    <row r="3434" spans="1:8" x14ac:dyDescent="0.15">
      <c r="A3434" s="3" t="s">
        <v>3306</v>
      </c>
      <c r="B3434" s="3" t="s">
        <v>5044</v>
      </c>
      <c r="C3434" s="3">
        <v>34514</v>
      </c>
      <c r="D3434" s="3" t="str">
        <f>VLOOKUP(B3434,[1]LifeList!$E$2:$G$2036,1)</f>
        <v>Vermilion Cardinal</v>
      </c>
      <c r="E3434" s="3" t="str">
        <f>VLOOKUP(B3434,[1]LifeList!$E$2:$G$2036,2)</f>
        <v>Cardinal vermillon</v>
      </c>
      <c r="F3434" s="3" t="str">
        <f>VLOOKUP(B3434,[1]LifeList!$E$2:$G$2036,3)</f>
        <v>Cardinalis phoeniceus</v>
      </c>
      <c r="G3434" s="3" t="str">
        <f>VLOOKUP(B3434,[1]LifeList!$E$2:$I$2036,4)</f>
        <v>Passeriformes</v>
      </c>
      <c r="H3434" s="3" t="str">
        <f>VLOOKUP(B3434,[1]LifeList!$E$2:$I$2036,5)</f>
        <v>Cardinalidae (Cardinals and Allies)</v>
      </c>
    </row>
    <row r="3435" spans="1:8" x14ac:dyDescent="0.15">
      <c r="A3435" s="3" t="s">
        <v>3307</v>
      </c>
      <c r="B3435" s="3" t="s">
        <v>5044</v>
      </c>
      <c r="C3435" s="3">
        <v>34514</v>
      </c>
      <c r="D3435" s="3" t="str">
        <f>VLOOKUP(B3435,[1]LifeList!$E$2:$G$2036,1)</f>
        <v>Vermilion Cardinal</v>
      </c>
      <c r="E3435" s="3" t="str">
        <f>VLOOKUP(B3435,[1]LifeList!$E$2:$G$2036,2)</f>
        <v>Cardinal vermillon</v>
      </c>
      <c r="F3435" s="3" t="str">
        <f>VLOOKUP(B3435,[1]LifeList!$E$2:$G$2036,3)</f>
        <v>Cardinalis phoeniceus</v>
      </c>
      <c r="G3435" s="3" t="str">
        <f>VLOOKUP(B3435,[1]LifeList!$E$2:$I$2036,4)</f>
        <v>Passeriformes</v>
      </c>
      <c r="H3435" s="3" t="str">
        <f>VLOOKUP(B3435,[1]LifeList!$E$2:$I$2036,5)</f>
        <v>Cardinalidae (Cardinals and Allies)</v>
      </c>
    </row>
    <row r="3436" spans="1:8" x14ac:dyDescent="0.15">
      <c r="A3436" s="3" t="s">
        <v>3308</v>
      </c>
      <c r="B3436" s="3" t="s">
        <v>5044</v>
      </c>
      <c r="C3436" s="3">
        <v>34514</v>
      </c>
      <c r="D3436" s="3" t="str">
        <f>VLOOKUP(B3436,[1]LifeList!$E$2:$G$2036,1)</f>
        <v>Vermilion Cardinal</v>
      </c>
      <c r="E3436" s="3" t="str">
        <f>VLOOKUP(B3436,[1]LifeList!$E$2:$G$2036,2)</f>
        <v>Cardinal vermillon</v>
      </c>
      <c r="F3436" s="3" t="str">
        <f>VLOOKUP(B3436,[1]LifeList!$E$2:$G$2036,3)</f>
        <v>Cardinalis phoeniceus</v>
      </c>
      <c r="G3436" s="3" t="str">
        <f>VLOOKUP(B3436,[1]LifeList!$E$2:$I$2036,4)</f>
        <v>Passeriformes</v>
      </c>
      <c r="H3436" s="3" t="str">
        <f>VLOOKUP(B3436,[1]LifeList!$E$2:$I$2036,5)</f>
        <v>Cardinalidae (Cardinals and Allies)</v>
      </c>
    </row>
    <row r="3437" spans="1:8" x14ac:dyDescent="0.15">
      <c r="A3437" s="3" t="s">
        <v>3309</v>
      </c>
      <c r="B3437" s="3" t="s">
        <v>5044</v>
      </c>
      <c r="C3437" s="3">
        <v>34514</v>
      </c>
      <c r="D3437" s="3" t="str">
        <f>VLOOKUP(B3437,[1]LifeList!$E$2:$G$2036,1)</f>
        <v>Vermilion Cardinal</v>
      </c>
      <c r="E3437" s="3" t="str">
        <f>VLOOKUP(B3437,[1]LifeList!$E$2:$G$2036,2)</f>
        <v>Cardinal vermillon</v>
      </c>
      <c r="F3437" s="3" t="str">
        <f>VLOOKUP(B3437,[1]LifeList!$E$2:$G$2036,3)</f>
        <v>Cardinalis phoeniceus</v>
      </c>
      <c r="G3437" s="3" t="str">
        <f>VLOOKUP(B3437,[1]LifeList!$E$2:$I$2036,4)</f>
        <v>Passeriformes</v>
      </c>
      <c r="H3437" s="3" t="str">
        <f>VLOOKUP(B3437,[1]LifeList!$E$2:$I$2036,5)</f>
        <v>Cardinalidae (Cardinals and Allies)</v>
      </c>
    </row>
    <row r="3438" spans="1:8" x14ac:dyDescent="0.15">
      <c r="A3438" s="3" t="s">
        <v>3305</v>
      </c>
      <c r="B3438" s="3" t="s">
        <v>5044</v>
      </c>
      <c r="C3438" s="3">
        <v>34514</v>
      </c>
      <c r="D3438" s="3" t="str">
        <f>VLOOKUP(B3438,[1]LifeList!$E$2:$G$2036,1)</f>
        <v>Vermilion Cardinal</v>
      </c>
      <c r="E3438" s="3" t="str">
        <f>VLOOKUP(B3438,[1]LifeList!$E$2:$G$2036,2)</f>
        <v>Cardinal vermillon</v>
      </c>
      <c r="F3438" s="3" t="str">
        <f>VLOOKUP(B3438,[1]LifeList!$E$2:$G$2036,3)</f>
        <v>Cardinalis phoeniceus</v>
      </c>
      <c r="G3438" s="3" t="str">
        <f>VLOOKUP(B3438,[1]LifeList!$E$2:$I$2036,4)</f>
        <v>Passeriformes</v>
      </c>
      <c r="H3438" s="3" t="str">
        <f>VLOOKUP(B3438,[1]LifeList!$E$2:$I$2036,5)</f>
        <v>Cardinalidae (Cardinals and Allies)</v>
      </c>
    </row>
    <row r="3439" spans="1:8" x14ac:dyDescent="0.15">
      <c r="A3439" s="3" t="s">
        <v>3310</v>
      </c>
      <c r="B3439" s="3" t="s">
        <v>5045</v>
      </c>
      <c r="C3439" s="3">
        <v>17029</v>
      </c>
      <c r="D3439" s="3" t="str">
        <f>VLOOKUP(B3439,[1]LifeList!$E$2:$G$2036,1)</f>
        <v>Vermilion Flycatcher</v>
      </c>
      <c r="E3439" s="3" t="str">
        <f>VLOOKUP(B3439,[1]LifeList!$E$2:$G$2036,2)</f>
        <v>Moucherolle vermillon</v>
      </c>
      <c r="F3439" s="3" t="str">
        <f>VLOOKUP(B3439,[1]LifeList!$E$2:$G$2036,3)</f>
        <v>Pyrocephalus rubinus</v>
      </c>
      <c r="G3439" s="3" t="str">
        <f>VLOOKUP(B3439,[1]LifeList!$E$2:$I$2036,4)</f>
        <v>Passeriformes</v>
      </c>
      <c r="H3439" s="3" t="str">
        <f>VLOOKUP(B3439,[1]LifeList!$E$2:$I$2036,5)</f>
        <v>Tyrannidae (Tyrant Flycatchers)</v>
      </c>
    </row>
    <row r="3440" spans="1:8" x14ac:dyDescent="0.15">
      <c r="A3440" s="3" t="s">
        <v>3311</v>
      </c>
      <c r="B3440" s="3" t="s">
        <v>5045</v>
      </c>
      <c r="C3440" s="3">
        <v>17029</v>
      </c>
      <c r="D3440" s="3" t="str">
        <f>VLOOKUP(B3440,[1]LifeList!$E$2:$G$2036,1)</f>
        <v>Vermilion Flycatcher</v>
      </c>
      <c r="E3440" s="3" t="str">
        <f>VLOOKUP(B3440,[1]LifeList!$E$2:$G$2036,2)</f>
        <v>Moucherolle vermillon</v>
      </c>
      <c r="F3440" s="3" t="str">
        <f>VLOOKUP(B3440,[1]LifeList!$E$2:$G$2036,3)</f>
        <v>Pyrocephalus rubinus</v>
      </c>
      <c r="G3440" s="3" t="str">
        <f>VLOOKUP(B3440,[1]LifeList!$E$2:$I$2036,4)</f>
        <v>Passeriformes</v>
      </c>
      <c r="H3440" s="3" t="str">
        <f>VLOOKUP(B3440,[1]LifeList!$E$2:$I$2036,5)</f>
        <v>Tyrannidae (Tyrant Flycatchers)</v>
      </c>
    </row>
    <row r="3441" spans="1:8" x14ac:dyDescent="0.15">
      <c r="A3441" s="3" t="s">
        <v>3312</v>
      </c>
      <c r="B3441" s="3" t="s">
        <v>5045</v>
      </c>
      <c r="C3441" s="3">
        <v>17029</v>
      </c>
      <c r="D3441" s="3" t="str">
        <f>VLOOKUP(B3441,[1]LifeList!$E$2:$G$2036,1)</f>
        <v>Vermilion Flycatcher</v>
      </c>
      <c r="E3441" s="3" t="str">
        <f>VLOOKUP(B3441,[1]LifeList!$E$2:$G$2036,2)</f>
        <v>Moucherolle vermillon</v>
      </c>
      <c r="F3441" s="3" t="str">
        <f>VLOOKUP(B3441,[1]LifeList!$E$2:$G$2036,3)</f>
        <v>Pyrocephalus rubinus</v>
      </c>
      <c r="G3441" s="3" t="str">
        <f>VLOOKUP(B3441,[1]LifeList!$E$2:$I$2036,4)</f>
        <v>Passeriformes</v>
      </c>
      <c r="H3441" s="3" t="str">
        <f>VLOOKUP(B3441,[1]LifeList!$E$2:$I$2036,5)</f>
        <v>Tyrannidae (Tyrant Flycatchers)</v>
      </c>
    </row>
    <row r="3442" spans="1:8" x14ac:dyDescent="0.15">
      <c r="A3442" s="3" t="s">
        <v>3313</v>
      </c>
      <c r="B3442" s="3" t="s">
        <v>5045</v>
      </c>
      <c r="C3442" s="3">
        <v>17029</v>
      </c>
      <c r="D3442" s="3" t="str">
        <f>VLOOKUP(B3442,[1]LifeList!$E$2:$G$2036,1)</f>
        <v>Vermilion Flycatcher</v>
      </c>
      <c r="E3442" s="3" t="str">
        <f>VLOOKUP(B3442,[1]LifeList!$E$2:$G$2036,2)</f>
        <v>Moucherolle vermillon</v>
      </c>
      <c r="F3442" s="3" t="str">
        <f>VLOOKUP(B3442,[1]LifeList!$E$2:$G$2036,3)</f>
        <v>Pyrocephalus rubinus</v>
      </c>
      <c r="G3442" s="3" t="str">
        <f>VLOOKUP(B3442,[1]LifeList!$E$2:$I$2036,4)</f>
        <v>Passeriformes</v>
      </c>
      <c r="H3442" s="3" t="str">
        <f>VLOOKUP(B3442,[1]LifeList!$E$2:$I$2036,5)</f>
        <v>Tyrannidae (Tyrant Flycatchers)</v>
      </c>
    </row>
    <row r="3443" spans="1:8" x14ac:dyDescent="0.15">
      <c r="A3443" s="3" t="s">
        <v>3314</v>
      </c>
      <c r="B3443" s="3" t="s">
        <v>5045</v>
      </c>
      <c r="C3443" s="3">
        <v>17029</v>
      </c>
      <c r="D3443" s="3" t="str">
        <f>VLOOKUP(B3443,[1]LifeList!$E$2:$G$2036,1)</f>
        <v>Vermilion Flycatcher</v>
      </c>
      <c r="E3443" s="3" t="str">
        <f>VLOOKUP(B3443,[1]LifeList!$E$2:$G$2036,2)</f>
        <v>Moucherolle vermillon</v>
      </c>
      <c r="F3443" s="3" t="str">
        <f>VLOOKUP(B3443,[1]LifeList!$E$2:$G$2036,3)</f>
        <v>Pyrocephalus rubinus</v>
      </c>
      <c r="G3443" s="3" t="str">
        <f>VLOOKUP(B3443,[1]LifeList!$E$2:$I$2036,4)</f>
        <v>Passeriformes</v>
      </c>
      <c r="H3443" s="3" t="str">
        <f>VLOOKUP(B3443,[1]LifeList!$E$2:$I$2036,5)</f>
        <v>Tyrannidae (Tyrant Flycatchers)</v>
      </c>
    </row>
    <row r="3444" spans="1:8" x14ac:dyDescent="0.15">
      <c r="A3444" s="3" t="s">
        <v>3315</v>
      </c>
      <c r="B3444" s="3" t="s">
        <v>5045</v>
      </c>
      <c r="C3444" s="3">
        <v>17029</v>
      </c>
      <c r="D3444" s="3" t="str">
        <f>VLOOKUP(B3444,[1]LifeList!$E$2:$G$2036,1)</f>
        <v>Vermilion Flycatcher</v>
      </c>
      <c r="E3444" s="3" t="str">
        <f>VLOOKUP(B3444,[1]LifeList!$E$2:$G$2036,2)</f>
        <v>Moucherolle vermillon</v>
      </c>
      <c r="F3444" s="3" t="str">
        <f>VLOOKUP(B3444,[1]LifeList!$E$2:$G$2036,3)</f>
        <v>Pyrocephalus rubinus</v>
      </c>
      <c r="G3444" s="3" t="str">
        <f>VLOOKUP(B3444,[1]LifeList!$E$2:$I$2036,4)</f>
        <v>Passeriformes</v>
      </c>
      <c r="H3444" s="3" t="str">
        <f>VLOOKUP(B3444,[1]LifeList!$E$2:$I$2036,5)</f>
        <v>Tyrannidae (Tyrant Flycatchers)</v>
      </c>
    </row>
    <row r="3445" spans="1:8" x14ac:dyDescent="0.15">
      <c r="A3445" s="3" t="s">
        <v>3317</v>
      </c>
      <c r="B3445" s="3" t="s">
        <v>5045</v>
      </c>
      <c r="C3445" s="3">
        <v>17029</v>
      </c>
      <c r="D3445" s="3" t="str">
        <f>VLOOKUP(B3445,[1]LifeList!$E$2:$G$2036,1)</f>
        <v>Vermilion Flycatcher</v>
      </c>
      <c r="E3445" s="3" t="str">
        <f>VLOOKUP(B3445,[1]LifeList!$E$2:$G$2036,2)</f>
        <v>Moucherolle vermillon</v>
      </c>
      <c r="F3445" s="3" t="str">
        <f>VLOOKUP(B3445,[1]LifeList!$E$2:$G$2036,3)</f>
        <v>Pyrocephalus rubinus</v>
      </c>
      <c r="G3445" s="3" t="str">
        <f>VLOOKUP(B3445,[1]LifeList!$E$2:$I$2036,4)</f>
        <v>Passeriformes</v>
      </c>
      <c r="H3445" s="3" t="str">
        <f>VLOOKUP(B3445,[1]LifeList!$E$2:$I$2036,5)</f>
        <v>Tyrannidae (Tyrant Flycatchers)</v>
      </c>
    </row>
    <row r="3446" spans="1:8" x14ac:dyDescent="0.15">
      <c r="A3446" s="3" t="s">
        <v>3316</v>
      </c>
      <c r="B3446" s="3" t="s">
        <v>5045</v>
      </c>
      <c r="C3446" s="3">
        <v>17029</v>
      </c>
      <c r="D3446" s="3" t="str">
        <f>VLOOKUP(B3446,[1]LifeList!$E$2:$G$2036,1)</f>
        <v>Vermilion Flycatcher</v>
      </c>
      <c r="E3446" s="3" t="str">
        <f>VLOOKUP(B3446,[1]LifeList!$E$2:$G$2036,2)</f>
        <v>Moucherolle vermillon</v>
      </c>
      <c r="F3446" s="3" t="str">
        <f>VLOOKUP(B3446,[1]LifeList!$E$2:$G$2036,3)</f>
        <v>Pyrocephalus rubinus</v>
      </c>
      <c r="G3446" s="3" t="str">
        <f>VLOOKUP(B3446,[1]LifeList!$E$2:$I$2036,4)</f>
        <v>Passeriformes</v>
      </c>
      <c r="H3446" s="3" t="str">
        <f>VLOOKUP(B3446,[1]LifeList!$E$2:$I$2036,5)</f>
        <v>Tyrannidae (Tyrant Flycatchers)</v>
      </c>
    </row>
    <row r="3447" spans="1:8" x14ac:dyDescent="0.15">
      <c r="A3447" s="3" t="s">
        <v>3929</v>
      </c>
      <c r="B3447" s="3" t="s">
        <v>5241</v>
      </c>
      <c r="C3447" s="3">
        <v>17808</v>
      </c>
      <c r="D3447" s="3" t="str">
        <f>VLOOKUP(B3447,[1]LifeList!$E$2:$G$2036,1)</f>
        <v>Verreaux's Coua</v>
      </c>
      <c r="E3447" s="3" t="str">
        <f>VLOOKUP(B3447,[1]LifeList!$E$2:$G$2036,2)</f>
        <v>Coua de Verreaux</v>
      </c>
      <c r="F3447" s="3" t="str">
        <f>VLOOKUP(B3447,[1]LifeList!$E$2:$G$2036,3)</f>
        <v>Coua verreauxi</v>
      </c>
      <c r="G3447" s="3" t="str">
        <f>VLOOKUP(B3447,[1]LifeList!$E$2:$I$2036,4)</f>
        <v>Cuculiformes</v>
      </c>
      <c r="H3447" s="3" t="str">
        <f>VLOOKUP(B3447,[1]LifeList!$E$2:$I$2036,5)</f>
        <v>Cuculidae (Cuckoos)</v>
      </c>
    </row>
    <row r="3448" spans="1:8" x14ac:dyDescent="0.15">
      <c r="A3448" s="3" t="s">
        <v>3930</v>
      </c>
      <c r="B3448" s="3" t="s">
        <v>5241</v>
      </c>
      <c r="C3448" s="3">
        <v>17808</v>
      </c>
      <c r="D3448" s="3" t="str">
        <f>VLOOKUP(B3448,[1]LifeList!$E$2:$G$2036,1)</f>
        <v>Verreaux's Coua</v>
      </c>
      <c r="E3448" s="3" t="str">
        <f>VLOOKUP(B3448,[1]LifeList!$E$2:$G$2036,2)</f>
        <v>Coua de Verreaux</v>
      </c>
      <c r="F3448" s="3" t="str">
        <f>VLOOKUP(B3448,[1]LifeList!$E$2:$G$2036,3)</f>
        <v>Coua verreauxi</v>
      </c>
      <c r="G3448" s="3" t="str">
        <f>VLOOKUP(B3448,[1]LifeList!$E$2:$I$2036,4)</f>
        <v>Cuculiformes</v>
      </c>
      <c r="H3448" s="3" t="str">
        <f>VLOOKUP(B3448,[1]LifeList!$E$2:$I$2036,5)</f>
        <v>Cuculidae (Cuckoos)</v>
      </c>
    </row>
    <row r="3449" spans="1:8" x14ac:dyDescent="0.15">
      <c r="A3449" s="3" t="s">
        <v>3931</v>
      </c>
      <c r="B3449" s="3" t="s">
        <v>5240</v>
      </c>
      <c r="C3449" s="3">
        <v>17808</v>
      </c>
      <c r="D3449" s="3" t="str">
        <f>VLOOKUP(B3449,[1]LifeList!$E$2:$G$2036,1)</f>
        <v>Verreaux's Eagle-Owl</v>
      </c>
      <c r="E3449" s="3" t="str">
        <f>VLOOKUP(B3449,[1]LifeList!$E$2:$G$2036,2)</f>
        <v>Grand-duc de Verreaux</v>
      </c>
      <c r="F3449" s="3" t="str">
        <f>VLOOKUP(B3449,[1]LifeList!$E$2:$G$2036,3)</f>
        <v>Ketupa lactea</v>
      </c>
      <c r="G3449" s="3" t="str">
        <f>VLOOKUP(B3449,[1]LifeList!$E$2:$I$2036,4)</f>
        <v>Strigiformes</v>
      </c>
      <c r="H3449" s="3" t="str">
        <f>VLOOKUP(B3449,[1]LifeList!$E$2:$I$2036,5)</f>
        <v>Strigidae (Owls)</v>
      </c>
    </row>
    <row r="3450" spans="1:8" x14ac:dyDescent="0.15">
      <c r="A3450" s="3" t="s">
        <v>3318</v>
      </c>
      <c r="B3450" s="3" t="s">
        <v>5046</v>
      </c>
      <c r="C3450" s="3">
        <v>33217</v>
      </c>
      <c r="D3450" s="3" t="str">
        <f>VLOOKUP(B3450,[1]LifeList!$E$2:$G$2036,1)</f>
        <v>Vesper Sparrow</v>
      </c>
      <c r="E3450" s="3" t="str">
        <f>VLOOKUP(B3450,[1]LifeList!$E$2:$G$2036,2)</f>
        <v>Bruant vespéral</v>
      </c>
      <c r="F3450" s="3" t="str">
        <f>VLOOKUP(B3450,[1]LifeList!$E$2:$G$2036,3)</f>
        <v>Pooecetes gramineus</v>
      </c>
      <c r="G3450" s="3" t="str">
        <f>VLOOKUP(B3450,[1]LifeList!$E$2:$I$2036,4)</f>
        <v>Passeriformes</v>
      </c>
      <c r="H3450" s="3" t="str">
        <f>VLOOKUP(B3450,[1]LifeList!$E$2:$I$2036,5)</f>
        <v>Passerellidae (New World Sparrows)</v>
      </c>
    </row>
    <row r="3451" spans="1:8" x14ac:dyDescent="0.15">
      <c r="A3451" s="3" t="s">
        <v>3319</v>
      </c>
      <c r="B3451" s="3" t="s">
        <v>5047</v>
      </c>
      <c r="C3451" s="3">
        <v>30843</v>
      </c>
      <c r="D3451" s="3" t="str">
        <f>VLOOKUP(B3451,[1]LifeList!$E$2:$G$2036,1)</f>
        <v>Village Weaver</v>
      </c>
      <c r="E3451" s="3" t="str">
        <f>VLOOKUP(B3451,[1]LifeList!$E$2:$G$2036,2)</f>
        <v>Tisserin gendarme</v>
      </c>
      <c r="F3451" s="3" t="str">
        <f>VLOOKUP(B3451,[1]LifeList!$E$2:$G$2036,3)</f>
        <v>Ploceus cucullatus</v>
      </c>
      <c r="G3451" s="3" t="str">
        <f>VLOOKUP(B3451,[1]LifeList!$E$2:$I$2036,4)</f>
        <v>Passeriformes</v>
      </c>
      <c r="H3451" s="3" t="str">
        <f>VLOOKUP(B3451,[1]LifeList!$E$2:$I$2036,5)</f>
        <v>Ploceidae (Weavers and Allies)</v>
      </c>
    </row>
    <row r="3452" spans="1:8" x14ac:dyDescent="0.15">
      <c r="A3452" s="3" t="s">
        <v>3320</v>
      </c>
      <c r="B3452" s="3" t="s">
        <v>5047</v>
      </c>
      <c r="C3452" s="3">
        <v>30843</v>
      </c>
      <c r="D3452" s="3" t="str">
        <f>VLOOKUP(B3452,[1]LifeList!$E$2:$G$2036,1)</f>
        <v>Village Weaver</v>
      </c>
      <c r="E3452" s="3" t="str">
        <f>VLOOKUP(B3452,[1]LifeList!$E$2:$G$2036,2)</f>
        <v>Tisserin gendarme</v>
      </c>
      <c r="F3452" s="3" t="str">
        <f>VLOOKUP(B3452,[1]LifeList!$E$2:$G$2036,3)</f>
        <v>Ploceus cucullatus</v>
      </c>
      <c r="G3452" s="3" t="str">
        <f>VLOOKUP(B3452,[1]LifeList!$E$2:$I$2036,4)</f>
        <v>Passeriformes</v>
      </c>
      <c r="H3452" s="3" t="str">
        <f>VLOOKUP(B3452,[1]LifeList!$E$2:$I$2036,5)</f>
        <v>Ploceidae (Weavers and Allies)</v>
      </c>
    </row>
    <row r="3453" spans="1:8" x14ac:dyDescent="0.15">
      <c r="A3453" s="3" t="s">
        <v>3321</v>
      </c>
      <c r="B3453" s="3" t="s">
        <v>5047</v>
      </c>
      <c r="C3453" s="3">
        <v>30843</v>
      </c>
      <c r="D3453" s="3" t="str">
        <f>VLOOKUP(B3453,[1]LifeList!$E$2:$G$2036,1)</f>
        <v>Village Weaver</v>
      </c>
      <c r="E3453" s="3" t="str">
        <f>VLOOKUP(B3453,[1]LifeList!$E$2:$G$2036,2)</f>
        <v>Tisserin gendarme</v>
      </c>
      <c r="F3453" s="3" t="str">
        <f>VLOOKUP(B3453,[1]LifeList!$E$2:$G$2036,3)</f>
        <v>Ploceus cucullatus</v>
      </c>
      <c r="G3453" s="3" t="str">
        <f>VLOOKUP(B3453,[1]LifeList!$E$2:$I$2036,4)</f>
        <v>Passeriformes</v>
      </c>
      <c r="H3453" s="3" t="str">
        <f>VLOOKUP(B3453,[1]LifeList!$E$2:$I$2036,5)</f>
        <v>Ploceidae (Weavers and Allies)</v>
      </c>
    </row>
    <row r="3454" spans="1:8" x14ac:dyDescent="0.15">
      <c r="A3454" s="3" t="s">
        <v>3322</v>
      </c>
      <c r="B3454" s="3" t="s">
        <v>5048</v>
      </c>
      <c r="C3454" s="3">
        <v>32026</v>
      </c>
      <c r="D3454" s="3" t="str">
        <f>VLOOKUP(B3454,[1]LifeList!$E$2:$G$2036,1)</f>
        <v>Violaceous Euphonia</v>
      </c>
      <c r="E3454" s="3" t="str">
        <f>VLOOKUP(B3454,[1]LifeList!$E$2:$G$2036,2)</f>
        <v>Organiste teité</v>
      </c>
      <c r="F3454" s="3" t="str">
        <f>VLOOKUP(B3454,[1]LifeList!$E$2:$G$2036,3)</f>
        <v>Euphonia violacea</v>
      </c>
      <c r="G3454" s="3" t="str">
        <f>VLOOKUP(B3454,[1]LifeList!$E$2:$I$2036,4)</f>
        <v>Passeriformes</v>
      </c>
      <c r="H3454" s="3" t="str">
        <f>VLOOKUP(B3454,[1]LifeList!$E$2:$I$2036,5)</f>
        <v>Fringillidae (Finches, Euphonias, and Allies)</v>
      </c>
    </row>
    <row r="3455" spans="1:8" x14ac:dyDescent="0.15">
      <c r="A3455" s="3" t="s">
        <v>3328</v>
      </c>
      <c r="B3455" s="3" t="s">
        <v>5049</v>
      </c>
      <c r="C3455" s="3">
        <v>4952</v>
      </c>
      <c r="D3455" s="3" t="str">
        <f>VLOOKUP(B3455,[1]LifeList!$E$2:$G$2036,1)</f>
        <v>Violet Sabrewing</v>
      </c>
      <c r="E3455" s="3" t="str">
        <f>VLOOKUP(B3455,[1]LifeList!$E$2:$G$2036,2)</f>
        <v>Campyloptère violet</v>
      </c>
      <c r="F3455" s="3" t="str">
        <f>VLOOKUP(B3455,[1]LifeList!$E$2:$G$2036,3)</f>
        <v>Campylopterus hemileucurus</v>
      </c>
      <c r="G3455" s="3" t="str">
        <f>VLOOKUP(B3455,[1]LifeList!$E$2:$I$2036,4)</f>
        <v>Apodiformes</v>
      </c>
      <c r="H3455" s="3" t="str">
        <f>VLOOKUP(B3455,[1]LifeList!$E$2:$I$2036,5)</f>
        <v>Trochilidae (Hummingbirds)</v>
      </c>
    </row>
    <row r="3456" spans="1:8" x14ac:dyDescent="0.15">
      <c r="A3456" s="3" t="s">
        <v>3329</v>
      </c>
      <c r="B3456" s="3" t="s">
        <v>5049</v>
      </c>
      <c r="C3456" s="3">
        <v>4952</v>
      </c>
      <c r="D3456" s="3" t="str">
        <f>VLOOKUP(B3456,[1]LifeList!$E$2:$G$2036,1)</f>
        <v>Violet Sabrewing</v>
      </c>
      <c r="E3456" s="3" t="str">
        <f>VLOOKUP(B3456,[1]LifeList!$E$2:$G$2036,2)</f>
        <v>Campyloptère violet</v>
      </c>
      <c r="F3456" s="3" t="str">
        <f>VLOOKUP(B3456,[1]LifeList!$E$2:$G$2036,3)</f>
        <v>Campylopterus hemileucurus</v>
      </c>
      <c r="G3456" s="3" t="str">
        <f>VLOOKUP(B3456,[1]LifeList!$E$2:$I$2036,4)</f>
        <v>Apodiformes</v>
      </c>
      <c r="H3456" s="3" t="str">
        <f>VLOOKUP(B3456,[1]LifeList!$E$2:$I$2036,5)</f>
        <v>Trochilidae (Hummingbirds)</v>
      </c>
    </row>
    <row r="3457" spans="1:8" x14ac:dyDescent="0.15">
      <c r="A3457" s="3" t="s">
        <v>3330</v>
      </c>
      <c r="B3457" s="3" t="s">
        <v>5049</v>
      </c>
      <c r="C3457" s="3">
        <v>4952</v>
      </c>
      <c r="D3457" s="3" t="str">
        <f>VLOOKUP(B3457,[1]LifeList!$E$2:$G$2036,1)</f>
        <v>Violet Sabrewing</v>
      </c>
      <c r="E3457" s="3" t="str">
        <f>VLOOKUP(B3457,[1]LifeList!$E$2:$G$2036,2)</f>
        <v>Campyloptère violet</v>
      </c>
      <c r="F3457" s="3" t="str">
        <f>VLOOKUP(B3457,[1]LifeList!$E$2:$G$2036,3)</f>
        <v>Campylopterus hemileucurus</v>
      </c>
      <c r="G3457" s="3" t="str">
        <f>VLOOKUP(B3457,[1]LifeList!$E$2:$I$2036,4)</f>
        <v>Apodiformes</v>
      </c>
      <c r="H3457" s="3" t="str">
        <f>VLOOKUP(B3457,[1]LifeList!$E$2:$I$2036,5)</f>
        <v>Trochilidae (Hummingbirds)</v>
      </c>
    </row>
    <row r="3458" spans="1:8" x14ac:dyDescent="0.15">
      <c r="A3458" s="3" t="s">
        <v>3331</v>
      </c>
      <c r="B3458" s="3" t="s">
        <v>5049</v>
      </c>
      <c r="C3458" s="3">
        <v>4952</v>
      </c>
      <c r="D3458" s="3" t="str">
        <f>VLOOKUP(B3458,[1]LifeList!$E$2:$G$2036,1)</f>
        <v>Violet Sabrewing</v>
      </c>
      <c r="E3458" s="3" t="str">
        <f>VLOOKUP(B3458,[1]LifeList!$E$2:$G$2036,2)</f>
        <v>Campyloptère violet</v>
      </c>
      <c r="F3458" s="3" t="str">
        <f>VLOOKUP(B3458,[1]LifeList!$E$2:$G$2036,3)</f>
        <v>Campylopterus hemileucurus</v>
      </c>
      <c r="G3458" s="3" t="str">
        <f>VLOOKUP(B3458,[1]LifeList!$E$2:$I$2036,4)</f>
        <v>Apodiformes</v>
      </c>
      <c r="H3458" s="3" t="str">
        <f>VLOOKUP(B3458,[1]LifeList!$E$2:$I$2036,5)</f>
        <v>Trochilidae (Hummingbirds)</v>
      </c>
    </row>
    <row r="3459" spans="1:8" x14ac:dyDescent="0.15">
      <c r="A3459" s="3" t="s">
        <v>3323</v>
      </c>
      <c r="B3459" s="3" t="s">
        <v>5050</v>
      </c>
      <c r="C3459" s="3">
        <v>5205</v>
      </c>
      <c r="D3459" s="3" t="str">
        <f>VLOOKUP(B3459,[1]LifeList!$E$2:$G$2036,1)</f>
        <v>Violet-bellied Hummingbird</v>
      </c>
      <c r="E3459" s="3" t="str">
        <f>VLOOKUP(B3459,[1]LifeList!$E$2:$G$2036,2)</f>
        <v>Colibri de Julie</v>
      </c>
      <c r="F3459" s="3" t="str">
        <f>VLOOKUP(B3459,[1]LifeList!$E$2:$G$2036,3)</f>
        <v>Chlorestes julie</v>
      </c>
      <c r="G3459" s="3" t="str">
        <f>VLOOKUP(B3459,[1]LifeList!$E$2:$I$2036,4)</f>
        <v>Apodiformes</v>
      </c>
      <c r="H3459" s="3" t="str">
        <f>VLOOKUP(B3459,[1]LifeList!$E$2:$I$2036,5)</f>
        <v>Trochilidae (Hummingbirds)</v>
      </c>
    </row>
    <row r="3460" spans="1:8" x14ac:dyDescent="0.15">
      <c r="A3460" s="3" t="s">
        <v>3324</v>
      </c>
      <c r="B3460" s="3" t="s">
        <v>5051</v>
      </c>
      <c r="C3460" s="3">
        <v>31358</v>
      </c>
      <c r="D3460" s="3" t="str">
        <f>VLOOKUP(B3460,[1]LifeList!$E$2:$G$2036,1)</f>
        <v>Violet-eared Waxbill</v>
      </c>
      <c r="E3460" s="3" t="str">
        <f>VLOOKUP(B3460,[1]LifeList!$E$2:$G$2036,2)</f>
        <v>Cordonbleu grenadin</v>
      </c>
      <c r="F3460" s="3" t="str">
        <f>VLOOKUP(B3460,[1]LifeList!$E$2:$G$2036,3)</f>
        <v>Granatina granatina</v>
      </c>
      <c r="G3460" s="3" t="str">
        <f>VLOOKUP(B3460,[1]LifeList!$E$2:$I$2036,4)</f>
        <v>Passeriformes</v>
      </c>
      <c r="H3460" s="3" t="str">
        <f>VLOOKUP(B3460,[1]LifeList!$E$2:$I$2036,5)</f>
        <v>Estrildidae (Waxbills and Allies)</v>
      </c>
    </row>
    <row r="3461" spans="1:8" x14ac:dyDescent="0.15">
      <c r="A3461" s="3" t="s">
        <v>3325</v>
      </c>
      <c r="B3461" s="3" t="s">
        <v>5051</v>
      </c>
      <c r="C3461" s="3">
        <v>31358</v>
      </c>
      <c r="D3461" s="3" t="str">
        <f>VLOOKUP(B3461,[1]LifeList!$E$2:$G$2036,1)</f>
        <v>Violet-eared Waxbill</v>
      </c>
      <c r="E3461" s="3" t="str">
        <f>VLOOKUP(B3461,[1]LifeList!$E$2:$G$2036,2)</f>
        <v>Cordonbleu grenadin</v>
      </c>
      <c r="F3461" s="3" t="str">
        <f>VLOOKUP(B3461,[1]LifeList!$E$2:$G$2036,3)</f>
        <v>Granatina granatina</v>
      </c>
      <c r="G3461" s="3" t="str">
        <f>VLOOKUP(B3461,[1]LifeList!$E$2:$I$2036,4)</f>
        <v>Passeriformes</v>
      </c>
      <c r="H3461" s="3" t="str">
        <f>VLOOKUP(B3461,[1]LifeList!$E$2:$I$2036,5)</f>
        <v>Estrildidae (Waxbills and Allies)</v>
      </c>
    </row>
    <row r="3462" spans="1:8" x14ac:dyDescent="0.15">
      <c r="A3462" s="3" t="s">
        <v>3326</v>
      </c>
      <c r="B3462" s="3" t="s">
        <v>5052</v>
      </c>
      <c r="C3462" s="3">
        <v>4478</v>
      </c>
      <c r="D3462" s="3" t="str">
        <f>VLOOKUP(B3462,[1]LifeList!$E$2:$G$2036,1)</f>
        <v>Violet-tailed Sylph</v>
      </c>
      <c r="E3462" s="3" t="str">
        <f>VLOOKUP(B3462,[1]LifeList!$E$2:$G$2036,2)</f>
        <v>Sylphe à queue violette</v>
      </c>
      <c r="F3462" s="3" t="str">
        <f>VLOOKUP(B3462,[1]LifeList!$E$2:$G$2036,3)</f>
        <v>Aglaiocercus coelestis</v>
      </c>
      <c r="G3462" s="3" t="str">
        <f>VLOOKUP(B3462,[1]LifeList!$E$2:$I$2036,4)</f>
        <v>Apodiformes</v>
      </c>
      <c r="H3462" s="3" t="str">
        <f>VLOOKUP(B3462,[1]LifeList!$E$2:$I$2036,5)</f>
        <v>Trochilidae (Hummingbirds)</v>
      </c>
    </row>
    <row r="3463" spans="1:8" x14ac:dyDescent="0.15">
      <c r="A3463" s="3" t="s">
        <v>3327</v>
      </c>
      <c r="B3463" s="3" t="s">
        <v>5052</v>
      </c>
      <c r="C3463" s="3">
        <v>4478</v>
      </c>
      <c r="D3463" s="3" t="str">
        <f>VLOOKUP(B3463,[1]LifeList!$E$2:$G$2036,1)</f>
        <v>Violet-tailed Sylph</v>
      </c>
      <c r="E3463" s="3" t="str">
        <f>VLOOKUP(B3463,[1]LifeList!$E$2:$G$2036,2)</f>
        <v>Sylphe à queue violette</v>
      </c>
      <c r="F3463" s="3" t="str">
        <f>VLOOKUP(B3463,[1]LifeList!$E$2:$G$2036,3)</f>
        <v>Aglaiocercus coelestis</v>
      </c>
      <c r="G3463" s="3" t="str">
        <f>VLOOKUP(B3463,[1]LifeList!$E$2:$I$2036,4)</f>
        <v>Apodiformes</v>
      </c>
      <c r="H3463" s="3" t="str">
        <f>VLOOKUP(B3463,[1]LifeList!$E$2:$I$2036,5)</f>
        <v>Trochilidae (Hummingbirds)</v>
      </c>
    </row>
    <row r="3464" spans="1:8" x14ac:dyDescent="0.15">
      <c r="A3464" s="3" t="s">
        <v>3334</v>
      </c>
      <c r="B3464" s="3" t="s">
        <v>5053</v>
      </c>
      <c r="C3464" s="3">
        <v>5297</v>
      </c>
      <c r="D3464" s="3" t="str">
        <f>VLOOKUP(B3464,[1]LifeList!$E$2:$G$2036,1)</f>
        <v>Virginia Rail</v>
      </c>
      <c r="E3464" s="3" t="str">
        <f>VLOOKUP(B3464,[1]LifeList!$E$2:$G$2036,2)</f>
        <v>Râle de Virginie</v>
      </c>
      <c r="F3464" s="3" t="str">
        <f>VLOOKUP(B3464,[1]LifeList!$E$2:$G$2036,3)</f>
        <v>Rallus limicola</v>
      </c>
      <c r="G3464" s="3" t="str">
        <f>VLOOKUP(B3464,[1]LifeList!$E$2:$I$2036,4)</f>
        <v>Gruiformes</v>
      </c>
      <c r="H3464" s="3" t="str">
        <f>VLOOKUP(B3464,[1]LifeList!$E$2:$I$2036,5)</f>
        <v>Rallidae (Rails, Gallinules, and Coots)</v>
      </c>
    </row>
    <row r="3465" spans="1:8" x14ac:dyDescent="0.15">
      <c r="A3465" s="3" t="s">
        <v>3335</v>
      </c>
      <c r="B3465" s="3" t="s">
        <v>5053</v>
      </c>
      <c r="C3465" s="3">
        <v>5297</v>
      </c>
      <c r="D3465" s="3" t="str">
        <f>VLOOKUP(B3465,[1]LifeList!$E$2:$G$2036,1)</f>
        <v>Virginia Rail</v>
      </c>
      <c r="E3465" s="3" t="str">
        <f>VLOOKUP(B3465,[1]LifeList!$E$2:$G$2036,2)</f>
        <v>Râle de Virginie</v>
      </c>
      <c r="F3465" s="3" t="str">
        <f>VLOOKUP(B3465,[1]LifeList!$E$2:$G$2036,3)</f>
        <v>Rallus limicola</v>
      </c>
      <c r="G3465" s="3" t="str">
        <f>VLOOKUP(B3465,[1]LifeList!$E$2:$I$2036,4)</f>
        <v>Gruiformes</v>
      </c>
      <c r="H3465" s="3" t="str">
        <f>VLOOKUP(B3465,[1]LifeList!$E$2:$I$2036,5)</f>
        <v>Rallidae (Rails, Gallinules, and Coots)</v>
      </c>
    </row>
    <row r="3466" spans="1:8" x14ac:dyDescent="0.15">
      <c r="A3466" s="3" t="s">
        <v>3336</v>
      </c>
      <c r="B3466" s="3" t="s">
        <v>5053</v>
      </c>
      <c r="C3466" s="3">
        <v>5297</v>
      </c>
      <c r="D3466" s="3" t="str">
        <f>VLOOKUP(B3466,[1]LifeList!$E$2:$G$2036,1)</f>
        <v>Virginia Rail</v>
      </c>
      <c r="E3466" s="3" t="str">
        <f>VLOOKUP(B3466,[1]LifeList!$E$2:$G$2036,2)</f>
        <v>Râle de Virginie</v>
      </c>
      <c r="F3466" s="3" t="str">
        <f>VLOOKUP(B3466,[1]LifeList!$E$2:$G$2036,3)</f>
        <v>Rallus limicola</v>
      </c>
      <c r="G3466" s="3" t="str">
        <f>VLOOKUP(B3466,[1]LifeList!$E$2:$I$2036,4)</f>
        <v>Gruiformes</v>
      </c>
      <c r="H3466" s="3" t="str">
        <f>VLOOKUP(B3466,[1]LifeList!$E$2:$I$2036,5)</f>
        <v>Rallidae (Rails, Gallinules, and Coots)</v>
      </c>
    </row>
    <row r="3467" spans="1:8" x14ac:dyDescent="0.15">
      <c r="A3467" s="3" t="s">
        <v>3337</v>
      </c>
      <c r="B3467" s="3" t="s">
        <v>5053</v>
      </c>
      <c r="C3467" s="3">
        <v>5297</v>
      </c>
      <c r="D3467" s="3" t="str">
        <f>VLOOKUP(B3467,[1]LifeList!$E$2:$G$2036,1)</f>
        <v>Virginia Rail</v>
      </c>
      <c r="E3467" s="3" t="str">
        <f>VLOOKUP(B3467,[1]LifeList!$E$2:$G$2036,2)</f>
        <v>Râle de Virginie</v>
      </c>
      <c r="F3467" s="3" t="str">
        <f>VLOOKUP(B3467,[1]LifeList!$E$2:$G$2036,3)</f>
        <v>Rallus limicola</v>
      </c>
      <c r="G3467" s="3" t="str">
        <f>VLOOKUP(B3467,[1]LifeList!$E$2:$I$2036,4)</f>
        <v>Gruiformes</v>
      </c>
      <c r="H3467" s="3" t="str">
        <f>VLOOKUP(B3467,[1]LifeList!$E$2:$I$2036,5)</f>
        <v>Rallidae (Rails, Gallinules, and Coots)</v>
      </c>
    </row>
    <row r="3468" spans="1:8" x14ac:dyDescent="0.15">
      <c r="A3468" s="3" t="s">
        <v>3338</v>
      </c>
      <c r="B3468" s="3" t="s">
        <v>5053</v>
      </c>
      <c r="C3468" s="3">
        <v>5297</v>
      </c>
      <c r="D3468" s="3" t="str">
        <f>VLOOKUP(B3468,[1]LifeList!$E$2:$G$2036,1)</f>
        <v>Virginia Rail</v>
      </c>
      <c r="E3468" s="3" t="str">
        <f>VLOOKUP(B3468,[1]LifeList!$E$2:$G$2036,2)</f>
        <v>Râle de Virginie</v>
      </c>
      <c r="F3468" s="3" t="str">
        <f>VLOOKUP(B3468,[1]LifeList!$E$2:$G$2036,3)</f>
        <v>Rallus limicola</v>
      </c>
      <c r="G3468" s="3" t="str">
        <f>VLOOKUP(B3468,[1]LifeList!$E$2:$I$2036,4)</f>
        <v>Gruiformes</v>
      </c>
      <c r="H3468" s="3" t="str">
        <f>VLOOKUP(B3468,[1]LifeList!$E$2:$I$2036,5)</f>
        <v>Rallidae (Rails, Gallinules, and Coots)</v>
      </c>
    </row>
    <row r="3469" spans="1:8" x14ac:dyDescent="0.15">
      <c r="A3469" s="3" t="s">
        <v>3339</v>
      </c>
      <c r="B3469" s="3" t="s">
        <v>5053</v>
      </c>
      <c r="C3469" s="3">
        <v>5297</v>
      </c>
      <c r="D3469" s="3" t="str">
        <f>VLOOKUP(B3469,[1]LifeList!$E$2:$G$2036,1)</f>
        <v>Virginia Rail</v>
      </c>
      <c r="E3469" s="3" t="str">
        <f>VLOOKUP(B3469,[1]LifeList!$E$2:$G$2036,2)</f>
        <v>Râle de Virginie</v>
      </c>
      <c r="F3469" s="3" t="str">
        <f>VLOOKUP(B3469,[1]LifeList!$E$2:$G$2036,3)</f>
        <v>Rallus limicola</v>
      </c>
      <c r="G3469" s="3" t="str">
        <f>VLOOKUP(B3469,[1]LifeList!$E$2:$I$2036,4)</f>
        <v>Gruiformes</v>
      </c>
      <c r="H3469" s="3" t="str">
        <f>VLOOKUP(B3469,[1]LifeList!$E$2:$I$2036,5)</f>
        <v>Rallidae (Rails, Gallinules, and Coots)</v>
      </c>
    </row>
    <row r="3470" spans="1:8" x14ac:dyDescent="0.15">
      <c r="A3470" s="3" t="s">
        <v>3345</v>
      </c>
      <c r="B3470" s="3" t="s">
        <v>5053</v>
      </c>
      <c r="C3470" s="3">
        <v>5297</v>
      </c>
      <c r="D3470" s="3" t="str">
        <f>VLOOKUP(B3470,[1]LifeList!$E$2:$G$2036,1)</f>
        <v>Virginia Rail</v>
      </c>
      <c r="E3470" s="3" t="str">
        <f>VLOOKUP(B3470,[1]LifeList!$E$2:$G$2036,2)</f>
        <v>Râle de Virginie</v>
      </c>
      <c r="F3470" s="3" t="str">
        <f>VLOOKUP(B3470,[1]LifeList!$E$2:$G$2036,3)</f>
        <v>Rallus limicola</v>
      </c>
      <c r="G3470" s="3" t="str">
        <f>VLOOKUP(B3470,[1]LifeList!$E$2:$I$2036,4)</f>
        <v>Gruiformes</v>
      </c>
      <c r="H3470" s="3" t="str">
        <f>VLOOKUP(B3470,[1]LifeList!$E$2:$I$2036,5)</f>
        <v>Rallidae (Rails, Gallinules, and Coots)</v>
      </c>
    </row>
    <row r="3471" spans="1:8" x14ac:dyDescent="0.15">
      <c r="A3471" s="3" t="s">
        <v>3346</v>
      </c>
      <c r="B3471" s="3" t="s">
        <v>5053</v>
      </c>
      <c r="C3471" s="3">
        <v>5297</v>
      </c>
      <c r="D3471" s="3" t="str">
        <f>VLOOKUP(B3471,[1]LifeList!$E$2:$G$2036,1)</f>
        <v>Virginia Rail</v>
      </c>
      <c r="E3471" s="3" t="str">
        <f>VLOOKUP(B3471,[1]LifeList!$E$2:$G$2036,2)</f>
        <v>Râle de Virginie</v>
      </c>
      <c r="F3471" s="3" t="str">
        <f>VLOOKUP(B3471,[1]LifeList!$E$2:$G$2036,3)</f>
        <v>Rallus limicola</v>
      </c>
      <c r="G3471" s="3" t="str">
        <f>VLOOKUP(B3471,[1]LifeList!$E$2:$I$2036,4)</f>
        <v>Gruiformes</v>
      </c>
      <c r="H3471" s="3" t="str">
        <f>VLOOKUP(B3471,[1]LifeList!$E$2:$I$2036,5)</f>
        <v>Rallidae (Rails, Gallinules, and Coots)</v>
      </c>
    </row>
    <row r="3472" spans="1:8" x14ac:dyDescent="0.15">
      <c r="A3472" s="3" t="s">
        <v>3340</v>
      </c>
      <c r="B3472" s="3" t="s">
        <v>5053</v>
      </c>
      <c r="C3472" s="3">
        <v>5297</v>
      </c>
      <c r="D3472" s="3" t="str">
        <f>VLOOKUP(B3472,[1]LifeList!$E$2:$G$2036,1)</f>
        <v>Virginia Rail</v>
      </c>
      <c r="E3472" s="3" t="str">
        <f>VLOOKUP(B3472,[1]LifeList!$E$2:$G$2036,2)</f>
        <v>Râle de Virginie</v>
      </c>
      <c r="F3472" s="3" t="str">
        <f>VLOOKUP(B3472,[1]LifeList!$E$2:$G$2036,3)</f>
        <v>Rallus limicola</v>
      </c>
      <c r="G3472" s="3" t="str">
        <f>VLOOKUP(B3472,[1]LifeList!$E$2:$I$2036,4)</f>
        <v>Gruiformes</v>
      </c>
      <c r="H3472" s="3" t="str">
        <f>VLOOKUP(B3472,[1]LifeList!$E$2:$I$2036,5)</f>
        <v>Rallidae (Rails, Gallinules, and Coots)</v>
      </c>
    </row>
    <row r="3473" spans="1:8" x14ac:dyDescent="0.15">
      <c r="A3473" s="3" t="s">
        <v>3341</v>
      </c>
      <c r="B3473" s="3" t="s">
        <v>5053</v>
      </c>
      <c r="C3473" s="3">
        <v>5297</v>
      </c>
      <c r="D3473" s="3" t="str">
        <f>VLOOKUP(B3473,[1]LifeList!$E$2:$G$2036,1)</f>
        <v>Virginia Rail</v>
      </c>
      <c r="E3473" s="3" t="str">
        <f>VLOOKUP(B3473,[1]LifeList!$E$2:$G$2036,2)</f>
        <v>Râle de Virginie</v>
      </c>
      <c r="F3473" s="3" t="str">
        <f>VLOOKUP(B3473,[1]LifeList!$E$2:$G$2036,3)</f>
        <v>Rallus limicola</v>
      </c>
      <c r="G3473" s="3" t="str">
        <f>VLOOKUP(B3473,[1]LifeList!$E$2:$I$2036,4)</f>
        <v>Gruiformes</v>
      </c>
      <c r="H3473" s="3" t="str">
        <f>VLOOKUP(B3473,[1]LifeList!$E$2:$I$2036,5)</f>
        <v>Rallidae (Rails, Gallinules, and Coots)</v>
      </c>
    </row>
    <row r="3474" spans="1:8" x14ac:dyDescent="0.15">
      <c r="A3474" s="3" t="s">
        <v>3342</v>
      </c>
      <c r="B3474" s="3" t="s">
        <v>5053</v>
      </c>
      <c r="C3474" s="3">
        <v>5297</v>
      </c>
      <c r="D3474" s="3" t="str">
        <f>VLOOKUP(B3474,[1]LifeList!$E$2:$G$2036,1)</f>
        <v>Virginia Rail</v>
      </c>
      <c r="E3474" s="3" t="str">
        <f>VLOOKUP(B3474,[1]LifeList!$E$2:$G$2036,2)</f>
        <v>Râle de Virginie</v>
      </c>
      <c r="F3474" s="3" t="str">
        <f>VLOOKUP(B3474,[1]LifeList!$E$2:$G$2036,3)</f>
        <v>Rallus limicola</v>
      </c>
      <c r="G3474" s="3" t="str">
        <f>VLOOKUP(B3474,[1]LifeList!$E$2:$I$2036,4)</f>
        <v>Gruiformes</v>
      </c>
      <c r="H3474" s="3" t="str">
        <f>VLOOKUP(B3474,[1]LifeList!$E$2:$I$2036,5)</f>
        <v>Rallidae (Rails, Gallinules, and Coots)</v>
      </c>
    </row>
    <row r="3475" spans="1:8" x14ac:dyDescent="0.15">
      <c r="A3475" s="3" t="s">
        <v>3347</v>
      </c>
      <c r="B3475" s="3" t="s">
        <v>5053</v>
      </c>
      <c r="C3475" s="3">
        <v>5297</v>
      </c>
      <c r="D3475" s="3" t="str">
        <f>VLOOKUP(B3475,[1]LifeList!$E$2:$G$2036,1)</f>
        <v>Virginia Rail</v>
      </c>
      <c r="E3475" s="3" t="str">
        <f>VLOOKUP(B3475,[1]LifeList!$E$2:$G$2036,2)</f>
        <v>Râle de Virginie</v>
      </c>
      <c r="F3475" s="3" t="str">
        <f>VLOOKUP(B3475,[1]LifeList!$E$2:$G$2036,3)</f>
        <v>Rallus limicola</v>
      </c>
      <c r="G3475" s="3" t="str">
        <f>VLOOKUP(B3475,[1]LifeList!$E$2:$I$2036,4)</f>
        <v>Gruiformes</v>
      </c>
      <c r="H3475" s="3" t="str">
        <f>VLOOKUP(B3475,[1]LifeList!$E$2:$I$2036,5)</f>
        <v>Rallidae (Rails, Gallinules, and Coots)</v>
      </c>
    </row>
    <row r="3476" spans="1:8" x14ac:dyDescent="0.15">
      <c r="A3476" s="3" t="s">
        <v>3343</v>
      </c>
      <c r="B3476" s="3" t="s">
        <v>5053</v>
      </c>
      <c r="C3476" s="3">
        <v>5297</v>
      </c>
      <c r="D3476" s="3" t="str">
        <f>VLOOKUP(B3476,[1]LifeList!$E$2:$G$2036,1)</f>
        <v>Virginia Rail</v>
      </c>
      <c r="E3476" s="3" t="str">
        <f>VLOOKUP(B3476,[1]LifeList!$E$2:$G$2036,2)</f>
        <v>Râle de Virginie</v>
      </c>
      <c r="F3476" s="3" t="str">
        <f>VLOOKUP(B3476,[1]LifeList!$E$2:$G$2036,3)</f>
        <v>Rallus limicola</v>
      </c>
      <c r="G3476" s="3" t="str">
        <f>VLOOKUP(B3476,[1]LifeList!$E$2:$I$2036,4)</f>
        <v>Gruiformes</v>
      </c>
      <c r="H3476" s="3" t="str">
        <f>VLOOKUP(B3476,[1]LifeList!$E$2:$I$2036,5)</f>
        <v>Rallidae (Rails, Gallinules, and Coots)</v>
      </c>
    </row>
    <row r="3477" spans="1:8" x14ac:dyDescent="0.15">
      <c r="A3477" s="3" t="s">
        <v>3344</v>
      </c>
      <c r="B3477" s="3" t="s">
        <v>5053</v>
      </c>
      <c r="C3477" s="3">
        <v>5297</v>
      </c>
      <c r="D3477" s="3" t="str">
        <f>VLOOKUP(B3477,[1]LifeList!$E$2:$G$2036,1)</f>
        <v>Virginia Rail</v>
      </c>
      <c r="E3477" s="3" t="str">
        <f>VLOOKUP(B3477,[1]LifeList!$E$2:$G$2036,2)</f>
        <v>Râle de Virginie</v>
      </c>
      <c r="F3477" s="3" t="str">
        <f>VLOOKUP(B3477,[1]LifeList!$E$2:$G$2036,3)</f>
        <v>Rallus limicola</v>
      </c>
      <c r="G3477" s="3" t="str">
        <f>VLOOKUP(B3477,[1]LifeList!$E$2:$I$2036,4)</f>
        <v>Gruiformes</v>
      </c>
      <c r="H3477" s="3" t="str">
        <f>VLOOKUP(B3477,[1]LifeList!$E$2:$I$2036,5)</f>
        <v>Rallidae (Rails, Gallinules, and Coots)</v>
      </c>
    </row>
    <row r="3478" spans="1:8" x14ac:dyDescent="0.15">
      <c r="A3478" s="3" t="s">
        <v>3332</v>
      </c>
      <c r="B3478" s="3" t="s">
        <v>5053</v>
      </c>
      <c r="C3478" s="3">
        <v>5297</v>
      </c>
      <c r="D3478" s="3" t="str">
        <f>VLOOKUP(B3478,[1]LifeList!$E$2:$G$2036,1)</f>
        <v>Virginia Rail</v>
      </c>
      <c r="E3478" s="3" t="str">
        <f>VLOOKUP(B3478,[1]LifeList!$E$2:$G$2036,2)</f>
        <v>Râle de Virginie</v>
      </c>
      <c r="F3478" s="3" t="str">
        <f>VLOOKUP(B3478,[1]LifeList!$E$2:$G$2036,3)</f>
        <v>Rallus limicola</v>
      </c>
      <c r="G3478" s="3" t="str">
        <f>VLOOKUP(B3478,[1]LifeList!$E$2:$I$2036,4)</f>
        <v>Gruiformes</v>
      </c>
      <c r="H3478" s="3" t="str">
        <f>VLOOKUP(B3478,[1]LifeList!$E$2:$I$2036,5)</f>
        <v>Rallidae (Rails, Gallinules, and Coots)</v>
      </c>
    </row>
    <row r="3479" spans="1:8" x14ac:dyDescent="0.15">
      <c r="A3479" s="3" t="s">
        <v>3333</v>
      </c>
      <c r="B3479" s="3" t="s">
        <v>5053</v>
      </c>
      <c r="C3479" s="3">
        <v>5297</v>
      </c>
      <c r="D3479" s="3" t="str">
        <f>VLOOKUP(B3479,[1]LifeList!$E$2:$G$2036,1)</f>
        <v>Virginia Rail</v>
      </c>
      <c r="E3479" s="3" t="str">
        <f>VLOOKUP(B3479,[1]LifeList!$E$2:$G$2036,2)</f>
        <v>Râle de Virginie</v>
      </c>
      <c r="F3479" s="3" t="str">
        <f>VLOOKUP(B3479,[1]LifeList!$E$2:$G$2036,3)</f>
        <v>Rallus limicola</v>
      </c>
      <c r="G3479" s="3" t="str">
        <f>VLOOKUP(B3479,[1]LifeList!$E$2:$I$2036,4)</f>
        <v>Gruiformes</v>
      </c>
      <c r="H3479" s="3" t="str">
        <f>VLOOKUP(B3479,[1]LifeList!$E$2:$I$2036,5)</f>
        <v>Rallidae (Rails, Gallinules, and Coots)</v>
      </c>
    </row>
    <row r="3480" spans="1:8" x14ac:dyDescent="0.15">
      <c r="A3480" s="3" t="s">
        <v>3348</v>
      </c>
      <c r="B3480" s="3" t="s">
        <v>5054</v>
      </c>
      <c r="C3480" s="3">
        <v>4552</v>
      </c>
      <c r="D3480" s="3" t="str">
        <f>VLOOKUP(B3480,[1]LifeList!$E$2:$G$2036,1)</f>
        <v>Viridian Metaltail</v>
      </c>
      <c r="E3480" s="3" t="str">
        <f>VLOOKUP(B3480,[1]LifeList!$E$2:$G$2036,2)</f>
        <v>Métallure verte</v>
      </c>
      <c r="F3480" s="3" t="str">
        <f>VLOOKUP(B3480,[1]LifeList!$E$2:$G$2036,3)</f>
        <v>Metallura williami</v>
      </c>
      <c r="G3480" s="3" t="str">
        <f>VLOOKUP(B3480,[1]LifeList!$E$2:$I$2036,4)</f>
        <v>Apodiformes</v>
      </c>
      <c r="H3480" s="3" t="str">
        <f>VLOOKUP(B3480,[1]LifeList!$E$2:$I$2036,5)</f>
        <v>Trochilidae (Hummingbirds)</v>
      </c>
    </row>
    <row r="3481" spans="1:8" x14ac:dyDescent="0.15">
      <c r="A3481" s="3" t="s">
        <v>3349</v>
      </c>
      <c r="B3481" s="3" t="s">
        <v>5055</v>
      </c>
      <c r="C3481" s="3">
        <v>4852</v>
      </c>
      <c r="D3481" s="3" t="str">
        <f>VLOOKUP(B3481,[1]LifeList!$E$2:$G$2036,1)</f>
        <v>Volcano Hummingbird</v>
      </c>
      <c r="E3481" s="3" t="str">
        <f>VLOOKUP(B3481,[1]LifeList!$E$2:$G$2036,2)</f>
        <v>Colibri flammule</v>
      </c>
      <c r="F3481" s="3" t="str">
        <f>VLOOKUP(B3481,[1]LifeList!$E$2:$G$2036,3)</f>
        <v>Selasphorus flammula</v>
      </c>
      <c r="G3481" s="3" t="str">
        <f>VLOOKUP(B3481,[1]LifeList!$E$2:$I$2036,4)</f>
        <v>Apodiformes</v>
      </c>
      <c r="H3481" s="3" t="str">
        <f>VLOOKUP(B3481,[1]LifeList!$E$2:$I$2036,5)</f>
        <v>Trochilidae (Hummingbirds)</v>
      </c>
    </row>
    <row r="3482" spans="1:8" x14ac:dyDescent="0.15">
      <c r="A3482" s="3" t="s">
        <v>3350</v>
      </c>
      <c r="B3482" s="3" t="s">
        <v>5055</v>
      </c>
      <c r="C3482" s="3">
        <v>4852</v>
      </c>
      <c r="D3482" s="3" t="str">
        <f>VLOOKUP(B3482,[1]LifeList!$E$2:$G$2036,1)</f>
        <v>Volcano Hummingbird</v>
      </c>
      <c r="E3482" s="3" t="str">
        <f>VLOOKUP(B3482,[1]LifeList!$E$2:$G$2036,2)</f>
        <v>Colibri flammule</v>
      </c>
      <c r="F3482" s="3" t="str">
        <f>VLOOKUP(B3482,[1]LifeList!$E$2:$G$2036,3)</f>
        <v>Selasphorus flammula</v>
      </c>
      <c r="G3482" s="3" t="str">
        <f>VLOOKUP(B3482,[1]LifeList!$E$2:$I$2036,4)</f>
        <v>Apodiformes</v>
      </c>
      <c r="H3482" s="3" t="str">
        <f>VLOOKUP(B3482,[1]LifeList!$E$2:$I$2036,5)</f>
        <v>Trochilidae (Hummingbirds)</v>
      </c>
    </row>
    <row r="3483" spans="1:8" x14ac:dyDescent="0.15">
      <c r="A3483" s="3" t="s">
        <v>3932</v>
      </c>
      <c r="B3483" s="3" t="s">
        <v>5055</v>
      </c>
      <c r="C3483" s="3">
        <v>4852</v>
      </c>
      <c r="D3483" s="3" t="str">
        <f>VLOOKUP(B3483,[1]LifeList!$E$2:$G$2036,1)</f>
        <v>Volcano Hummingbird</v>
      </c>
      <c r="E3483" s="3" t="str">
        <f>VLOOKUP(B3483,[1]LifeList!$E$2:$G$2036,2)</f>
        <v>Colibri flammule</v>
      </c>
      <c r="F3483" s="3" t="str">
        <f>VLOOKUP(B3483,[1]LifeList!$E$2:$G$2036,3)</f>
        <v>Selasphorus flammula</v>
      </c>
      <c r="G3483" s="3" t="str">
        <f>VLOOKUP(B3483,[1]LifeList!$E$2:$I$2036,4)</f>
        <v>Apodiformes</v>
      </c>
      <c r="H3483" s="3" t="str">
        <f>VLOOKUP(B3483,[1]LifeList!$E$2:$I$2036,5)</f>
        <v>Trochilidae (Hummingbirds)</v>
      </c>
    </row>
    <row r="3484" spans="1:8" x14ac:dyDescent="0.15">
      <c r="A3484" s="3" t="s">
        <v>3351</v>
      </c>
      <c r="B3484" s="3" t="s">
        <v>5056</v>
      </c>
      <c r="C3484" s="3">
        <v>33157</v>
      </c>
      <c r="D3484" s="3" t="str">
        <f>VLOOKUP(B3484,[1]LifeList!$E$2:$G$2036,1)</f>
        <v>Volcano Junco</v>
      </c>
      <c r="E3484" s="3" t="str">
        <f>VLOOKUP(B3484,[1]LifeList!$E$2:$G$2036,2)</f>
        <v>Junco des volcans</v>
      </c>
      <c r="F3484" s="3" t="str">
        <f>VLOOKUP(B3484,[1]LifeList!$E$2:$G$2036,3)</f>
        <v>Junco vulcani</v>
      </c>
      <c r="G3484" s="3" t="str">
        <f>VLOOKUP(B3484,[1]LifeList!$E$2:$I$2036,4)</f>
        <v>Passeriformes</v>
      </c>
      <c r="H3484" s="3" t="str">
        <f>VLOOKUP(B3484,[1]LifeList!$E$2:$I$2036,5)</f>
        <v>Passerellidae (New World Sparrows)</v>
      </c>
    </row>
    <row r="3485" spans="1:8" x14ac:dyDescent="0.15">
      <c r="A3485" s="3" t="s">
        <v>3933</v>
      </c>
      <c r="B3485" s="3" t="s">
        <v>5239</v>
      </c>
      <c r="C3485" s="3">
        <v>17808</v>
      </c>
      <c r="D3485" s="3" t="str">
        <f>VLOOKUP(B3485,[1]LifeList!$E$2:$G$2036,1)</f>
        <v>Von der Decken's Hornbill</v>
      </c>
      <c r="E3485" s="3" t="str">
        <f>VLOOKUP(B3485,[1]LifeList!$E$2:$G$2036,2)</f>
        <v>Calao de der Decken</v>
      </c>
      <c r="F3485" s="3" t="str">
        <f>VLOOKUP(B3485,[1]LifeList!$E$2:$G$2036,3)</f>
        <v>Tockus deckeni</v>
      </c>
      <c r="G3485" s="3" t="str">
        <f>VLOOKUP(B3485,[1]LifeList!$E$2:$I$2036,4)</f>
        <v>Bucerotiformes</v>
      </c>
      <c r="H3485" s="3" t="str">
        <f>VLOOKUP(B3485,[1]LifeList!$E$2:$I$2036,5)</f>
        <v>Bucerotidae (Hornbills)</v>
      </c>
    </row>
    <row r="3486" spans="1:8" x14ac:dyDescent="0.15">
      <c r="A3486" s="3" t="s">
        <v>3934</v>
      </c>
      <c r="B3486" s="3" t="s">
        <v>5238</v>
      </c>
      <c r="C3486" s="3">
        <v>17808</v>
      </c>
      <c r="D3486" s="3" t="str">
        <f>VLOOKUP(B3486,[1]LifeList!$E$2:$G$2036,1)</f>
        <v>Wahlberg's Eagle</v>
      </c>
      <c r="E3486" s="3" t="str">
        <f>VLOOKUP(B3486,[1]LifeList!$E$2:$G$2036,2)</f>
        <v>Aigle de Wahlberg</v>
      </c>
      <c r="F3486" s="3" t="str">
        <f>VLOOKUP(B3486,[1]LifeList!$E$2:$G$2036,3)</f>
        <v>Hieraaetus wahlbergi</v>
      </c>
      <c r="G3486" s="3" t="str">
        <f>VLOOKUP(B3486,[1]LifeList!$E$2:$I$2036,4)</f>
        <v>Accipitriformes</v>
      </c>
      <c r="H3486" s="3" t="str">
        <f>VLOOKUP(B3486,[1]LifeList!$E$2:$I$2036,5)</f>
        <v>Accipitridae (Hawks, Eagles, and Kites)</v>
      </c>
    </row>
    <row r="3487" spans="1:8" x14ac:dyDescent="0.15">
      <c r="A3487" s="3" t="s">
        <v>3352</v>
      </c>
      <c r="B3487" s="3" t="s">
        <v>5057</v>
      </c>
      <c r="C3487" s="3">
        <v>6134</v>
      </c>
      <c r="D3487" s="3" t="str">
        <f>VLOOKUP(B3487,[1]LifeList!$E$2:$G$2036,1)</f>
        <v>Wandering Tattler</v>
      </c>
      <c r="E3487" s="3" t="str">
        <f>VLOOKUP(B3487,[1]LifeList!$E$2:$G$2036,2)</f>
        <v>Chevalier errant</v>
      </c>
      <c r="F3487" s="3" t="str">
        <f>VLOOKUP(B3487,[1]LifeList!$E$2:$G$2036,3)</f>
        <v>Tringa incana</v>
      </c>
      <c r="G3487" s="3" t="str">
        <f>VLOOKUP(B3487,[1]LifeList!$E$2:$I$2036,4)</f>
        <v>Charadriiformes</v>
      </c>
      <c r="H3487" s="3" t="str">
        <f>VLOOKUP(B3487,[1]LifeList!$E$2:$I$2036,5)</f>
        <v>Scolopacidae (Sandpipers and Allies)</v>
      </c>
    </row>
    <row r="3488" spans="1:8" x14ac:dyDescent="0.15">
      <c r="A3488" s="3" t="s">
        <v>3353</v>
      </c>
      <c r="B3488" s="3" t="s">
        <v>5058</v>
      </c>
      <c r="C3488" s="3">
        <v>25630</v>
      </c>
      <c r="D3488" s="3" t="str">
        <f>VLOOKUP(B3488,[1]LifeList!$E$2:$G$2036,1)</f>
        <v>Warbling White-eye</v>
      </c>
      <c r="E3488" s="3" t="str">
        <f>VLOOKUP(B3488,[1]LifeList!$E$2:$G$2036,2)</f>
        <v>Zostérops du Japon</v>
      </c>
      <c r="F3488" s="3" t="str">
        <f>VLOOKUP(B3488,[1]LifeList!$E$2:$G$2036,3)</f>
        <v>Zosterops japonicus</v>
      </c>
      <c r="G3488" s="3" t="str">
        <f>VLOOKUP(B3488,[1]LifeList!$E$2:$I$2036,4)</f>
        <v>Passeriformes</v>
      </c>
      <c r="H3488" s="3" t="str">
        <f>VLOOKUP(B3488,[1]LifeList!$E$2:$I$2036,5)</f>
        <v>Zosteropidae (White-eyes, Yuhinas, and Allies)</v>
      </c>
    </row>
    <row r="3489" spans="1:8" x14ac:dyDescent="0.15">
      <c r="A3489" s="3" t="s">
        <v>3354</v>
      </c>
      <c r="B3489" s="3" t="s">
        <v>5059</v>
      </c>
      <c r="C3489" s="3">
        <v>5747</v>
      </c>
      <c r="D3489" s="3" t="str">
        <f>VLOOKUP(B3489,[1]LifeList!$E$2:$G$2036,1)</f>
        <v>Water Thick-knee</v>
      </c>
      <c r="E3489" s="3" t="str">
        <f>VLOOKUP(B3489,[1]LifeList!$E$2:$G$2036,2)</f>
        <v>Oedicnème vermiculé</v>
      </c>
      <c r="F3489" s="3" t="str">
        <f>VLOOKUP(B3489,[1]LifeList!$E$2:$G$2036,3)</f>
        <v>Burhinus vermiculatus</v>
      </c>
      <c r="G3489" s="3" t="str">
        <f>VLOOKUP(B3489,[1]LifeList!$E$2:$I$2036,4)</f>
        <v>Charadriiformes</v>
      </c>
      <c r="H3489" s="3" t="str">
        <f>VLOOKUP(B3489,[1]LifeList!$E$2:$I$2036,5)</f>
        <v>Burhinidae (Thick-knees)</v>
      </c>
    </row>
    <row r="3490" spans="1:8" x14ac:dyDescent="0.15">
      <c r="A3490" s="3" t="s">
        <v>3355</v>
      </c>
      <c r="B3490" s="3" t="s">
        <v>5060</v>
      </c>
      <c r="C3490" s="3">
        <v>5712</v>
      </c>
      <c r="D3490" s="3" t="str">
        <f>VLOOKUP(B3490,[1]LifeList!$E$2:$G$2036,1)</f>
        <v>Wattled Crane</v>
      </c>
      <c r="E3490" s="3" t="str">
        <f>VLOOKUP(B3490,[1]LifeList!$E$2:$G$2036,2)</f>
        <v>Grue caronculée</v>
      </c>
      <c r="F3490" s="3" t="str">
        <f>VLOOKUP(B3490,[1]LifeList!$E$2:$G$2036,3)</f>
        <v>Grus carunculatus</v>
      </c>
      <c r="G3490" s="3" t="str">
        <f>VLOOKUP(B3490,[1]LifeList!$E$2:$I$2036,4)</f>
        <v>Gruiformes</v>
      </c>
      <c r="H3490" s="3" t="str">
        <f>VLOOKUP(B3490,[1]LifeList!$E$2:$I$2036,5)</f>
        <v>Gruidae (Cranes)</v>
      </c>
    </row>
    <row r="3491" spans="1:8" x14ac:dyDescent="0.15">
      <c r="A3491" s="3" t="s">
        <v>3357</v>
      </c>
      <c r="B3491" s="3" t="s">
        <v>5061</v>
      </c>
      <c r="C3491" s="3">
        <v>5989</v>
      </c>
      <c r="D3491" s="3" t="str">
        <f>VLOOKUP(B3491,[1]LifeList!$E$2:$G$2036,1)</f>
        <v>Wattled Jacana</v>
      </c>
      <c r="E3491" s="3" t="str">
        <f>VLOOKUP(B3491,[1]LifeList!$E$2:$G$2036,2)</f>
        <v>Jacana noir</v>
      </c>
      <c r="F3491" s="3" t="str">
        <f>VLOOKUP(B3491,[1]LifeList!$E$2:$G$2036,3)</f>
        <v>Jacana jacana</v>
      </c>
      <c r="G3491" s="3" t="str">
        <f>VLOOKUP(B3491,[1]LifeList!$E$2:$I$2036,4)</f>
        <v>Charadriiformes</v>
      </c>
      <c r="H3491" s="3" t="str">
        <f>VLOOKUP(B3491,[1]LifeList!$E$2:$I$2036,5)</f>
        <v>Jacanidae (Jacanas)</v>
      </c>
    </row>
    <row r="3492" spans="1:8" x14ac:dyDescent="0.15">
      <c r="A3492" s="3" t="s">
        <v>3358</v>
      </c>
      <c r="B3492" s="3" t="s">
        <v>5061</v>
      </c>
      <c r="C3492" s="3">
        <v>5989</v>
      </c>
      <c r="D3492" s="3" t="str">
        <f>VLOOKUP(B3492,[1]LifeList!$E$2:$G$2036,1)</f>
        <v>Wattled Jacana</v>
      </c>
      <c r="E3492" s="3" t="str">
        <f>VLOOKUP(B3492,[1]LifeList!$E$2:$G$2036,2)</f>
        <v>Jacana noir</v>
      </c>
      <c r="F3492" s="3" t="str">
        <f>VLOOKUP(B3492,[1]LifeList!$E$2:$G$2036,3)</f>
        <v>Jacana jacana</v>
      </c>
      <c r="G3492" s="3" t="str">
        <f>VLOOKUP(B3492,[1]LifeList!$E$2:$I$2036,4)</f>
        <v>Charadriiformes</v>
      </c>
      <c r="H3492" s="3" t="str">
        <f>VLOOKUP(B3492,[1]LifeList!$E$2:$I$2036,5)</f>
        <v>Jacanidae (Jacanas)</v>
      </c>
    </row>
    <row r="3493" spans="1:8" x14ac:dyDescent="0.15">
      <c r="A3493" s="3" t="s">
        <v>3359</v>
      </c>
      <c r="B3493" s="3" t="s">
        <v>5061</v>
      </c>
      <c r="C3493" s="3">
        <v>5989</v>
      </c>
      <c r="D3493" s="3" t="str">
        <f>VLOOKUP(B3493,[1]LifeList!$E$2:$G$2036,1)</f>
        <v>Wattled Jacana</v>
      </c>
      <c r="E3493" s="3" t="str">
        <f>VLOOKUP(B3493,[1]LifeList!$E$2:$G$2036,2)</f>
        <v>Jacana noir</v>
      </c>
      <c r="F3493" s="3" t="str">
        <f>VLOOKUP(B3493,[1]LifeList!$E$2:$G$2036,3)</f>
        <v>Jacana jacana</v>
      </c>
      <c r="G3493" s="3" t="str">
        <f>VLOOKUP(B3493,[1]LifeList!$E$2:$I$2036,4)</f>
        <v>Charadriiformes</v>
      </c>
      <c r="H3493" s="3" t="str">
        <f>VLOOKUP(B3493,[1]LifeList!$E$2:$I$2036,5)</f>
        <v>Jacanidae (Jacanas)</v>
      </c>
    </row>
    <row r="3494" spans="1:8" x14ac:dyDescent="0.15">
      <c r="A3494" s="3" t="s">
        <v>3360</v>
      </c>
      <c r="B3494" s="3" t="s">
        <v>5061</v>
      </c>
      <c r="C3494" s="3">
        <v>5989</v>
      </c>
      <c r="D3494" s="3" t="str">
        <f>VLOOKUP(B3494,[1]LifeList!$E$2:$G$2036,1)</f>
        <v>Wattled Jacana</v>
      </c>
      <c r="E3494" s="3" t="str">
        <f>VLOOKUP(B3494,[1]LifeList!$E$2:$G$2036,2)</f>
        <v>Jacana noir</v>
      </c>
      <c r="F3494" s="3" t="str">
        <f>VLOOKUP(B3494,[1]LifeList!$E$2:$G$2036,3)</f>
        <v>Jacana jacana</v>
      </c>
      <c r="G3494" s="3" t="str">
        <f>VLOOKUP(B3494,[1]LifeList!$E$2:$I$2036,4)</f>
        <v>Charadriiformes</v>
      </c>
      <c r="H3494" s="3" t="str">
        <f>VLOOKUP(B3494,[1]LifeList!$E$2:$I$2036,5)</f>
        <v>Jacanidae (Jacanas)</v>
      </c>
    </row>
    <row r="3495" spans="1:8" x14ac:dyDescent="0.15">
      <c r="A3495" s="3" t="s">
        <v>3363</v>
      </c>
      <c r="B3495" s="3" t="s">
        <v>5061</v>
      </c>
      <c r="C3495" s="3">
        <v>5989</v>
      </c>
      <c r="D3495" s="3" t="str">
        <f>VLOOKUP(B3495,[1]LifeList!$E$2:$G$2036,1)</f>
        <v>Wattled Jacana</v>
      </c>
      <c r="E3495" s="3" t="str">
        <f>VLOOKUP(B3495,[1]LifeList!$E$2:$G$2036,2)</f>
        <v>Jacana noir</v>
      </c>
      <c r="F3495" s="3" t="str">
        <f>VLOOKUP(B3495,[1]LifeList!$E$2:$G$2036,3)</f>
        <v>Jacana jacana</v>
      </c>
      <c r="G3495" s="3" t="str">
        <f>VLOOKUP(B3495,[1]LifeList!$E$2:$I$2036,4)</f>
        <v>Charadriiformes</v>
      </c>
      <c r="H3495" s="3" t="str">
        <f>VLOOKUP(B3495,[1]LifeList!$E$2:$I$2036,5)</f>
        <v>Jacanidae (Jacanas)</v>
      </c>
    </row>
    <row r="3496" spans="1:8" x14ac:dyDescent="0.15">
      <c r="A3496" s="3" t="s">
        <v>3364</v>
      </c>
      <c r="B3496" s="3" t="s">
        <v>5061</v>
      </c>
      <c r="C3496" s="3">
        <v>5989</v>
      </c>
      <c r="D3496" s="3" t="str">
        <f>VLOOKUP(B3496,[1]LifeList!$E$2:$G$2036,1)</f>
        <v>Wattled Jacana</v>
      </c>
      <c r="E3496" s="3" t="str">
        <f>VLOOKUP(B3496,[1]LifeList!$E$2:$G$2036,2)</f>
        <v>Jacana noir</v>
      </c>
      <c r="F3496" s="3" t="str">
        <f>VLOOKUP(B3496,[1]LifeList!$E$2:$G$2036,3)</f>
        <v>Jacana jacana</v>
      </c>
      <c r="G3496" s="3" t="str">
        <f>VLOOKUP(B3496,[1]LifeList!$E$2:$I$2036,4)</f>
        <v>Charadriiformes</v>
      </c>
      <c r="H3496" s="3" t="str">
        <f>VLOOKUP(B3496,[1]LifeList!$E$2:$I$2036,5)</f>
        <v>Jacanidae (Jacanas)</v>
      </c>
    </row>
    <row r="3497" spans="1:8" x14ac:dyDescent="0.15">
      <c r="A3497" s="3" t="s">
        <v>3935</v>
      </c>
      <c r="B3497" s="3" t="s">
        <v>5061</v>
      </c>
      <c r="C3497" s="3">
        <v>5989</v>
      </c>
      <c r="D3497" s="3" t="str">
        <f>VLOOKUP(B3497,[1]LifeList!$E$2:$G$2036,1)</f>
        <v>Wattled Jacana</v>
      </c>
      <c r="E3497" s="3" t="str">
        <f>VLOOKUP(B3497,[1]LifeList!$E$2:$G$2036,2)</f>
        <v>Jacana noir</v>
      </c>
      <c r="F3497" s="3" t="str">
        <f>VLOOKUP(B3497,[1]LifeList!$E$2:$G$2036,3)</f>
        <v>Jacana jacana</v>
      </c>
      <c r="G3497" s="3" t="str">
        <f>VLOOKUP(B3497,[1]LifeList!$E$2:$I$2036,4)</f>
        <v>Charadriiformes</v>
      </c>
      <c r="H3497" s="3" t="str">
        <f>VLOOKUP(B3497,[1]LifeList!$E$2:$I$2036,5)</f>
        <v>Jacanidae (Jacanas)</v>
      </c>
    </row>
    <row r="3498" spans="1:8" x14ac:dyDescent="0.15">
      <c r="A3498" s="3" t="s">
        <v>3356</v>
      </c>
      <c r="B3498" s="3" t="s">
        <v>5061</v>
      </c>
      <c r="C3498" s="3">
        <v>5989</v>
      </c>
      <c r="D3498" s="3" t="str">
        <f>VLOOKUP(B3498,[1]LifeList!$E$2:$G$2036,1)</f>
        <v>Wattled Jacana</v>
      </c>
      <c r="E3498" s="3" t="str">
        <f>VLOOKUP(B3498,[1]LifeList!$E$2:$G$2036,2)</f>
        <v>Jacana noir</v>
      </c>
      <c r="F3498" s="3" t="str">
        <f>VLOOKUP(B3498,[1]LifeList!$E$2:$G$2036,3)</f>
        <v>Jacana jacana</v>
      </c>
      <c r="G3498" s="3" t="str">
        <f>VLOOKUP(B3498,[1]LifeList!$E$2:$I$2036,4)</f>
        <v>Charadriiformes</v>
      </c>
      <c r="H3498" s="3" t="str">
        <f>VLOOKUP(B3498,[1]LifeList!$E$2:$I$2036,5)</f>
        <v>Jacanidae (Jacanas)</v>
      </c>
    </row>
    <row r="3499" spans="1:8" x14ac:dyDescent="0.15">
      <c r="A3499" s="3" t="s">
        <v>3361</v>
      </c>
      <c r="B3499" s="3" t="s">
        <v>5062</v>
      </c>
      <c r="C3499" s="3">
        <v>5876</v>
      </c>
      <c r="D3499" s="3" t="str">
        <f>VLOOKUP(B3499,[1]LifeList!$E$2:$G$2036,1)</f>
        <v>Wattled Lapwing</v>
      </c>
      <c r="E3499" s="3" t="str">
        <f>VLOOKUP(B3499,[1]LifeList!$E$2:$G$2036,2)</f>
        <v>Vanneau du Sénégal</v>
      </c>
      <c r="F3499" s="3" t="str">
        <f>VLOOKUP(B3499,[1]LifeList!$E$2:$G$2036,3)</f>
        <v>Vanellus senegallus</v>
      </c>
      <c r="G3499" s="3" t="str">
        <f>VLOOKUP(B3499,[1]LifeList!$E$2:$I$2036,4)</f>
        <v>Charadriiformes</v>
      </c>
      <c r="H3499" s="3" t="str">
        <f>VLOOKUP(B3499,[1]LifeList!$E$2:$I$2036,5)</f>
        <v>Charadriidae (Plovers and Lapwings)</v>
      </c>
    </row>
    <row r="3500" spans="1:8" x14ac:dyDescent="0.15">
      <c r="A3500" s="3" t="s">
        <v>3362</v>
      </c>
      <c r="B3500" s="3" t="s">
        <v>5063</v>
      </c>
      <c r="C3500" s="3">
        <v>27828</v>
      </c>
      <c r="D3500" s="3" t="str">
        <f>VLOOKUP(B3500,[1]LifeList!$E$2:$G$2036,1)</f>
        <v>Wattled Starling</v>
      </c>
      <c r="E3500" s="3" t="str">
        <f>VLOOKUP(B3500,[1]LifeList!$E$2:$G$2036,2)</f>
        <v>Étourneau caronculé</v>
      </c>
      <c r="F3500" s="3" t="str">
        <f>VLOOKUP(B3500,[1]LifeList!$E$2:$G$2036,3)</f>
        <v>Creatophora cinerea</v>
      </c>
      <c r="G3500" s="3" t="str">
        <f>VLOOKUP(B3500,[1]LifeList!$E$2:$I$2036,4)</f>
        <v>Passeriformes</v>
      </c>
      <c r="H3500" s="3" t="str">
        <f>VLOOKUP(B3500,[1]LifeList!$E$2:$I$2036,5)</f>
        <v>Sturnidae (Starlings)</v>
      </c>
    </row>
    <row r="3501" spans="1:8" x14ac:dyDescent="0.15">
      <c r="A3501" s="3" t="s">
        <v>3365</v>
      </c>
      <c r="B3501" s="3" t="s">
        <v>5064</v>
      </c>
      <c r="C3501" s="3">
        <v>6986</v>
      </c>
      <c r="D3501" s="3" t="str">
        <f>VLOOKUP(B3501,[1]LifeList!$E$2:$G$2036,1)</f>
        <v>Waved Albatross</v>
      </c>
      <c r="E3501" s="3" t="str">
        <f>VLOOKUP(B3501,[1]LifeList!$E$2:$G$2036,2)</f>
        <v>Albatros des Galapagos</v>
      </c>
      <c r="F3501" s="3" t="str">
        <f>VLOOKUP(B3501,[1]LifeList!$E$2:$G$2036,3)</f>
        <v>Phoebastria irrorata</v>
      </c>
      <c r="G3501" s="3" t="str">
        <f>VLOOKUP(B3501,[1]LifeList!$E$2:$I$2036,4)</f>
        <v>Procellariiformes</v>
      </c>
      <c r="H3501" s="3" t="str">
        <f>VLOOKUP(B3501,[1]LifeList!$E$2:$I$2036,5)</f>
        <v>Diomedeidae (Albatrosses)</v>
      </c>
    </row>
    <row r="3502" spans="1:8" x14ac:dyDescent="0.15">
      <c r="A3502" s="3" t="s">
        <v>3366</v>
      </c>
      <c r="B3502" s="3" t="s">
        <v>5065</v>
      </c>
      <c r="C3502" s="3">
        <v>8061</v>
      </c>
      <c r="D3502" s="3" t="str">
        <f>VLOOKUP(B3502,[1]LifeList!$E$2:$G$2036,1)</f>
        <v>Wedge-tailed Eagle</v>
      </c>
      <c r="E3502" s="3" t="str">
        <f>VLOOKUP(B3502,[1]LifeList!$E$2:$G$2036,2)</f>
        <v>Aigle d'Australie</v>
      </c>
      <c r="F3502" s="3" t="str">
        <f>VLOOKUP(B3502,[1]LifeList!$E$2:$G$2036,3)</f>
        <v>Aquila audax</v>
      </c>
      <c r="G3502" s="3" t="str">
        <f>VLOOKUP(B3502,[1]LifeList!$E$2:$I$2036,4)</f>
        <v>Accipitriformes</v>
      </c>
      <c r="H3502" s="3" t="str">
        <f>VLOOKUP(B3502,[1]LifeList!$E$2:$I$2036,5)</f>
        <v>Accipitridae (Hawks, Eagles, and Kites)</v>
      </c>
    </row>
    <row r="3503" spans="1:8" x14ac:dyDescent="0.15">
      <c r="A3503" s="3" t="s">
        <v>3367</v>
      </c>
      <c r="B3503" s="3" t="s">
        <v>5066</v>
      </c>
      <c r="C3503" s="3">
        <v>24184</v>
      </c>
      <c r="D3503" s="3" t="str">
        <f>VLOOKUP(B3503,[1]LifeList!$E$2:$G$2036,1)</f>
        <v>Welcome Swallow</v>
      </c>
      <c r="E3503" s="3" t="str">
        <f>VLOOKUP(B3503,[1]LifeList!$E$2:$G$2036,2)</f>
        <v>Hirondelle messagère</v>
      </c>
      <c r="F3503" s="3" t="str">
        <f>VLOOKUP(B3503,[1]LifeList!$E$2:$G$2036,3)</f>
        <v>Hirundo neoxena</v>
      </c>
      <c r="G3503" s="3" t="str">
        <f>VLOOKUP(B3503,[1]LifeList!$E$2:$I$2036,4)</f>
        <v>Passeriformes</v>
      </c>
      <c r="H3503" s="3" t="str">
        <f>VLOOKUP(B3503,[1]LifeList!$E$2:$I$2036,5)</f>
        <v>Hirundinidae (Swallows)</v>
      </c>
    </row>
    <row r="3504" spans="1:8" x14ac:dyDescent="0.15">
      <c r="A3504" s="3" t="s">
        <v>3368</v>
      </c>
      <c r="B3504" s="3" t="s">
        <v>5066</v>
      </c>
      <c r="C3504" s="3">
        <v>24184</v>
      </c>
      <c r="D3504" s="3" t="str">
        <f>VLOOKUP(B3504,[1]LifeList!$E$2:$G$2036,1)</f>
        <v>Welcome Swallow</v>
      </c>
      <c r="E3504" s="3" t="str">
        <f>VLOOKUP(B3504,[1]LifeList!$E$2:$G$2036,2)</f>
        <v>Hirondelle messagère</v>
      </c>
      <c r="F3504" s="3" t="str">
        <f>VLOOKUP(B3504,[1]LifeList!$E$2:$G$2036,3)</f>
        <v>Hirundo neoxena</v>
      </c>
      <c r="G3504" s="3" t="str">
        <f>VLOOKUP(B3504,[1]LifeList!$E$2:$I$2036,4)</f>
        <v>Passeriformes</v>
      </c>
      <c r="H3504" s="3" t="str">
        <f>VLOOKUP(B3504,[1]LifeList!$E$2:$I$2036,5)</f>
        <v>Hirundinidae (Swallows)</v>
      </c>
    </row>
    <row r="3505" spans="1:8" x14ac:dyDescent="0.15">
      <c r="A3505" s="3" t="s">
        <v>3369</v>
      </c>
      <c r="B3505" s="3" t="s">
        <v>5067</v>
      </c>
      <c r="C3505" s="3">
        <v>7724</v>
      </c>
      <c r="D3505" s="3" t="str">
        <f>VLOOKUP(B3505,[1]LifeList!$E$2:$G$2036,1)</f>
        <v>Western Cattle-Egret</v>
      </c>
      <c r="E3505" s="3" t="str">
        <f>VLOOKUP(B3505,[1]LifeList!$E$2:$G$2036,2)</f>
        <v>Héron garde-boeufs</v>
      </c>
      <c r="F3505" s="3" t="str">
        <f>VLOOKUP(B3505,[1]LifeList!$E$2:$G$2036,3)</f>
        <v>Ardea ibis</v>
      </c>
      <c r="G3505" s="3" t="str">
        <f>VLOOKUP(B3505,[1]LifeList!$E$2:$I$2036,4)</f>
        <v>Pelecaniformes</v>
      </c>
      <c r="H3505" s="3" t="str">
        <f>VLOOKUP(B3505,[1]LifeList!$E$2:$I$2036,5)</f>
        <v>Ardeidae (Herons, Egrets, and Bitterns)</v>
      </c>
    </row>
    <row r="3506" spans="1:8" x14ac:dyDescent="0.15">
      <c r="A3506" s="3" t="s">
        <v>3370</v>
      </c>
      <c r="B3506" s="3" t="s">
        <v>5067</v>
      </c>
      <c r="C3506" s="3">
        <v>7724</v>
      </c>
      <c r="D3506" s="3" t="str">
        <f>VLOOKUP(B3506,[1]LifeList!$E$2:$G$2036,1)</f>
        <v>Western Cattle-Egret</v>
      </c>
      <c r="E3506" s="3" t="str">
        <f>VLOOKUP(B3506,[1]LifeList!$E$2:$G$2036,2)</f>
        <v>Héron garde-boeufs</v>
      </c>
      <c r="F3506" s="3" t="str">
        <f>VLOOKUP(B3506,[1]LifeList!$E$2:$G$2036,3)</f>
        <v>Ardea ibis</v>
      </c>
      <c r="G3506" s="3" t="str">
        <f>VLOOKUP(B3506,[1]LifeList!$E$2:$I$2036,4)</f>
        <v>Pelecaniformes</v>
      </c>
      <c r="H3506" s="3" t="str">
        <f>VLOOKUP(B3506,[1]LifeList!$E$2:$I$2036,5)</f>
        <v>Ardeidae (Herons, Egrets, and Bitterns)</v>
      </c>
    </row>
    <row r="3507" spans="1:8" x14ac:dyDescent="0.15">
      <c r="A3507" s="3" t="s">
        <v>3371</v>
      </c>
      <c r="B3507" s="3" t="s">
        <v>5068</v>
      </c>
      <c r="C3507" s="3">
        <v>4914</v>
      </c>
      <c r="D3507" s="3" t="str">
        <f>VLOOKUP(B3507,[1]LifeList!$E$2:$G$2036,1)</f>
        <v>Western Emerald</v>
      </c>
      <c r="E3507" s="3" t="str">
        <f>VLOOKUP(B3507,[1]LifeList!$E$2:$G$2036,2)</f>
        <v>Émeraude à bec noir</v>
      </c>
      <c r="F3507" s="3" t="str">
        <f>VLOOKUP(B3507,[1]LifeList!$E$2:$G$2036,3)</f>
        <v>Chlorostilbon melanorhynchus</v>
      </c>
      <c r="G3507" s="3" t="str">
        <f>VLOOKUP(B3507,[1]LifeList!$E$2:$I$2036,4)</f>
        <v>Apodiformes</v>
      </c>
      <c r="H3507" s="3" t="str">
        <f>VLOOKUP(B3507,[1]LifeList!$E$2:$I$2036,5)</f>
        <v>Trochilidae (Hummingbirds)</v>
      </c>
    </row>
    <row r="3508" spans="1:8" x14ac:dyDescent="0.15">
      <c r="A3508" s="3" t="s">
        <v>3372</v>
      </c>
      <c r="B3508" s="3" t="s">
        <v>5069</v>
      </c>
      <c r="C3508" s="3">
        <v>6528</v>
      </c>
      <c r="D3508" s="3" t="str">
        <f>VLOOKUP(B3508,[1]LifeList!$E$2:$G$2036,1)</f>
        <v>Western Gull</v>
      </c>
      <c r="E3508" s="3" t="str">
        <f>VLOOKUP(B3508,[1]LifeList!$E$2:$G$2036,2)</f>
        <v>Goéland d'Audubon</v>
      </c>
      <c r="F3508" s="3" t="str">
        <f>VLOOKUP(B3508,[1]LifeList!$E$2:$G$2036,3)</f>
        <v>Larus occidentalis</v>
      </c>
      <c r="G3508" s="3" t="str">
        <f>VLOOKUP(B3508,[1]LifeList!$E$2:$I$2036,4)</f>
        <v>Charadriiformes</v>
      </c>
      <c r="H3508" s="3" t="str">
        <f>VLOOKUP(B3508,[1]LifeList!$E$2:$I$2036,5)</f>
        <v>Laridae (Gulls, Terns, and Skimmers)</v>
      </c>
    </row>
    <row r="3509" spans="1:8" x14ac:dyDescent="0.15">
      <c r="A3509" s="3" t="s">
        <v>3373</v>
      </c>
      <c r="B3509" s="3" t="s">
        <v>5070</v>
      </c>
      <c r="C3509" s="3">
        <v>17467</v>
      </c>
      <c r="D3509" s="3" t="str">
        <f>VLOOKUP(B3509,[1]LifeList!$E$2:$G$2036,1)</f>
        <v>Western Kingbird</v>
      </c>
      <c r="E3509" s="3" t="str">
        <f>VLOOKUP(B3509,[1]LifeList!$E$2:$G$2036,2)</f>
        <v>Tyran de l'Ouest</v>
      </c>
      <c r="F3509" s="3" t="str">
        <f>VLOOKUP(B3509,[1]LifeList!$E$2:$G$2036,3)</f>
        <v>Tyrannus verticalis</v>
      </c>
      <c r="G3509" s="3" t="str">
        <f>VLOOKUP(B3509,[1]LifeList!$E$2:$I$2036,4)</f>
        <v>Passeriformes</v>
      </c>
      <c r="H3509" s="3" t="str">
        <f>VLOOKUP(B3509,[1]LifeList!$E$2:$I$2036,5)</f>
        <v>Tyrannidae (Tyrant Flycatchers)</v>
      </c>
    </row>
    <row r="3510" spans="1:8" x14ac:dyDescent="0.15">
      <c r="A3510" s="3" t="s">
        <v>3374</v>
      </c>
      <c r="B3510" s="3" t="s">
        <v>5070</v>
      </c>
      <c r="C3510" s="3">
        <v>17467</v>
      </c>
      <c r="D3510" s="3" t="str">
        <f>VLOOKUP(B3510,[1]LifeList!$E$2:$G$2036,1)</f>
        <v>Western Kingbird</v>
      </c>
      <c r="E3510" s="3" t="str">
        <f>VLOOKUP(B3510,[1]LifeList!$E$2:$G$2036,2)</f>
        <v>Tyran de l'Ouest</v>
      </c>
      <c r="F3510" s="3" t="str">
        <f>VLOOKUP(B3510,[1]LifeList!$E$2:$G$2036,3)</f>
        <v>Tyrannus verticalis</v>
      </c>
      <c r="G3510" s="3" t="str">
        <f>VLOOKUP(B3510,[1]LifeList!$E$2:$I$2036,4)</f>
        <v>Passeriformes</v>
      </c>
      <c r="H3510" s="3" t="str">
        <f>VLOOKUP(B3510,[1]LifeList!$E$2:$I$2036,5)</f>
        <v>Tyrannidae (Tyrant Flycatchers)</v>
      </c>
    </row>
    <row r="3511" spans="1:8" x14ac:dyDescent="0.15">
      <c r="A3511" s="3" t="s">
        <v>3375</v>
      </c>
      <c r="B3511" s="3" t="s">
        <v>5071</v>
      </c>
      <c r="C3511" s="3">
        <v>33565</v>
      </c>
      <c r="D3511" s="3" t="str">
        <f>VLOOKUP(B3511,[1]LifeList!$E$2:$G$2036,1)</f>
        <v>Western Meadowlark</v>
      </c>
      <c r="E3511" s="3" t="str">
        <f>VLOOKUP(B3511,[1]LifeList!$E$2:$G$2036,2)</f>
        <v>Sturnelle de l'Ouest</v>
      </c>
      <c r="F3511" s="3" t="str">
        <f>VLOOKUP(B3511,[1]LifeList!$E$2:$G$2036,3)</f>
        <v>Sturnella neglecta</v>
      </c>
      <c r="G3511" s="3" t="str">
        <f>VLOOKUP(B3511,[1]LifeList!$E$2:$I$2036,4)</f>
        <v>Passeriformes</v>
      </c>
      <c r="H3511" s="3" t="str">
        <f>VLOOKUP(B3511,[1]LifeList!$E$2:$I$2036,5)</f>
        <v>Icteridae (Troupials and Allies)</v>
      </c>
    </row>
    <row r="3512" spans="1:8" x14ac:dyDescent="0.15">
      <c r="A3512" s="3" t="s">
        <v>3376</v>
      </c>
      <c r="B3512" s="3" t="s">
        <v>3797</v>
      </c>
      <c r="C3512" s="3">
        <v>16457</v>
      </c>
      <c r="D3512" s="3" t="str">
        <f>VLOOKUP(B3512,[1]LifeList!$E$2:$G$2036,1)</f>
        <v>Western Olivaceous Flatbill</v>
      </c>
      <c r="E3512" s="3" t="str">
        <f>VLOOKUP(B3512,[1]LifeList!$E$2:$G$2036,2)</f>
        <v>Tyranneau du Napo</v>
      </c>
      <c r="F3512" s="3" t="str">
        <f>VLOOKUP(B3512,[1]LifeList!$E$2:$G$2036,3)</f>
        <v>Rhynchocyclus aequinoctialis</v>
      </c>
      <c r="G3512" s="3" t="str">
        <f>VLOOKUP(B3512,[1]LifeList!$E$2:$I$2036,4)</f>
        <v>Passeriformes</v>
      </c>
      <c r="H3512" s="3" t="str">
        <f>VLOOKUP(B3512,[1]LifeList!$E$2:$I$2036,5)</f>
        <v>Tyrannidae (Tyrant Flycatchers)</v>
      </c>
    </row>
    <row r="3513" spans="1:8" x14ac:dyDescent="0.15">
      <c r="A3513" s="3" t="s">
        <v>3378</v>
      </c>
      <c r="B3513" s="3" t="s">
        <v>5072</v>
      </c>
      <c r="C3513" s="3">
        <v>6231</v>
      </c>
      <c r="D3513" s="3" t="str">
        <f>VLOOKUP(B3513,[1]LifeList!$E$2:$G$2036,1)</f>
        <v>Western Sandpiper</v>
      </c>
      <c r="E3513" s="3" t="str">
        <f>VLOOKUP(B3513,[1]LifeList!$E$2:$G$2036,2)</f>
        <v>Bécasseau d'Alaska</v>
      </c>
      <c r="F3513" s="3" t="str">
        <f>VLOOKUP(B3513,[1]LifeList!$E$2:$G$2036,3)</f>
        <v>Calidris mauri</v>
      </c>
      <c r="G3513" s="3" t="str">
        <f>VLOOKUP(B3513,[1]LifeList!$E$2:$I$2036,4)</f>
        <v>Charadriiformes</v>
      </c>
      <c r="H3513" s="3" t="str">
        <f>VLOOKUP(B3513,[1]LifeList!$E$2:$I$2036,5)</f>
        <v>Scolopacidae (Sandpipers and Allies)</v>
      </c>
    </row>
    <row r="3514" spans="1:8" x14ac:dyDescent="0.15">
      <c r="A3514" s="3" t="s">
        <v>3379</v>
      </c>
      <c r="B3514" s="3" t="s">
        <v>5072</v>
      </c>
      <c r="C3514" s="3">
        <v>6231</v>
      </c>
      <c r="D3514" s="3" t="str">
        <f>VLOOKUP(B3514,[1]LifeList!$E$2:$G$2036,1)</f>
        <v>Western Sandpiper</v>
      </c>
      <c r="E3514" s="3" t="str">
        <f>VLOOKUP(B3514,[1]LifeList!$E$2:$G$2036,2)</f>
        <v>Bécasseau d'Alaska</v>
      </c>
      <c r="F3514" s="3" t="str">
        <f>VLOOKUP(B3514,[1]LifeList!$E$2:$G$2036,3)</f>
        <v>Calidris mauri</v>
      </c>
      <c r="G3514" s="3" t="str">
        <f>VLOOKUP(B3514,[1]LifeList!$E$2:$I$2036,4)</f>
        <v>Charadriiformes</v>
      </c>
      <c r="H3514" s="3" t="str">
        <f>VLOOKUP(B3514,[1]LifeList!$E$2:$I$2036,5)</f>
        <v>Scolopacidae (Sandpipers and Allies)</v>
      </c>
    </row>
    <row r="3515" spans="1:8" x14ac:dyDescent="0.15">
      <c r="A3515" s="3" t="s">
        <v>3377</v>
      </c>
      <c r="B3515" s="3" t="s">
        <v>5072</v>
      </c>
      <c r="C3515" s="3">
        <v>6231</v>
      </c>
      <c r="D3515" s="3" t="str">
        <f>VLOOKUP(B3515,[1]LifeList!$E$2:$G$2036,1)</f>
        <v>Western Sandpiper</v>
      </c>
      <c r="E3515" s="3" t="str">
        <f>VLOOKUP(B3515,[1]LifeList!$E$2:$G$2036,2)</f>
        <v>Bécasseau d'Alaska</v>
      </c>
      <c r="F3515" s="3" t="str">
        <f>VLOOKUP(B3515,[1]LifeList!$E$2:$G$2036,3)</f>
        <v>Calidris mauri</v>
      </c>
      <c r="G3515" s="3" t="str">
        <f>VLOOKUP(B3515,[1]LifeList!$E$2:$I$2036,4)</f>
        <v>Charadriiformes</v>
      </c>
      <c r="H3515" s="3" t="str">
        <f>VLOOKUP(B3515,[1]LifeList!$E$2:$I$2036,5)</f>
        <v>Scolopacidae (Sandpipers and Allies)</v>
      </c>
    </row>
    <row r="3516" spans="1:8" x14ac:dyDescent="0.15">
      <c r="A3516" s="3" t="s">
        <v>3380</v>
      </c>
      <c r="B3516" s="3" t="s">
        <v>5073</v>
      </c>
      <c r="C3516" s="3">
        <v>16912</v>
      </c>
      <c r="D3516" s="3" t="str">
        <f>VLOOKUP(B3516,[1]LifeList!$E$2:$G$2036,1)</f>
        <v>Western Wood-Pewee</v>
      </c>
      <c r="E3516" s="3" t="str">
        <f>VLOOKUP(B3516,[1]LifeList!$E$2:$G$2036,2)</f>
        <v>Pioui de l'Ouest</v>
      </c>
      <c r="F3516" s="3" t="str">
        <f>VLOOKUP(B3516,[1]LifeList!$E$2:$G$2036,3)</f>
        <v>Contopus sordidulus</v>
      </c>
      <c r="G3516" s="3" t="str">
        <f>VLOOKUP(B3516,[1]LifeList!$E$2:$I$2036,4)</f>
        <v>Passeriformes</v>
      </c>
      <c r="H3516" s="3" t="str">
        <f>VLOOKUP(B3516,[1]LifeList!$E$2:$I$2036,5)</f>
        <v>Tyrannidae (Tyrant Flycatchers)</v>
      </c>
    </row>
    <row r="3517" spans="1:8" x14ac:dyDescent="0.15">
      <c r="A3517" s="3" t="s">
        <v>3381</v>
      </c>
      <c r="B3517" s="3" t="s">
        <v>5074</v>
      </c>
      <c r="C3517" s="3">
        <v>15265</v>
      </c>
      <c r="D3517" s="3" t="str">
        <f>VLOOKUP(B3517,[1]LifeList!$E$2:$G$2036,1)</f>
        <v>Western Woodhaunter</v>
      </c>
      <c r="E3517" s="3" t="str">
        <f>VLOOKUP(B3517,[1]LifeList!$E$2:$G$2036,2)</f>
        <v>Anabate de Lawrence</v>
      </c>
      <c r="F3517" s="3" t="str">
        <f>VLOOKUP(B3517,[1]LifeList!$E$2:$G$2036,3)</f>
        <v>Automolus virgatus</v>
      </c>
      <c r="G3517" s="3" t="str">
        <f>VLOOKUP(B3517,[1]LifeList!$E$2:$I$2036,4)</f>
        <v>Passeriformes</v>
      </c>
      <c r="H3517" s="3" t="str">
        <f>VLOOKUP(B3517,[1]LifeList!$E$2:$I$2036,5)</f>
        <v>Furnariidae (Ovenbirds and Woodcreepers)</v>
      </c>
    </row>
    <row r="3518" spans="1:8" x14ac:dyDescent="0.15">
      <c r="A3518" s="3" t="s">
        <v>3382</v>
      </c>
      <c r="B3518" s="3" t="s">
        <v>5075</v>
      </c>
      <c r="C3518" s="3">
        <v>6720</v>
      </c>
      <c r="D3518" s="3" t="str">
        <f>VLOOKUP(B3518,[1]LifeList!$E$2:$G$2036,1)</f>
        <v>Whiskered Tern</v>
      </c>
      <c r="E3518" s="3" t="str">
        <f>VLOOKUP(B3518,[1]LifeList!$E$2:$G$2036,2)</f>
        <v>Guifette moustac</v>
      </c>
      <c r="F3518" s="3" t="str">
        <f>VLOOKUP(B3518,[1]LifeList!$E$2:$G$2036,3)</f>
        <v>Chlidonias hybrida</v>
      </c>
      <c r="G3518" s="3" t="str">
        <f>VLOOKUP(B3518,[1]LifeList!$E$2:$I$2036,4)</f>
        <v>Charadriiformes</v>
      </c>
      <c r="H3518" s="3" t="str">
        <f>VLOOKUP(B3518,[1]LifeList!$E$2:$I$2036,5)</f>
        <v>Laridae (Gulls, Terns, and Skimmers)</v>
      </c>
    </row>
    <row r="3519" spans="1:8" x14ac:dyDescent="0.15">
      <c r="A3519" s="3" t="s">
        <v>3383</v>
      </c>
      <c r="B3519" s="3" t="s">
        <v>5076</v>
      </c>
      <c r="C3519" s="3">
        <v>8363</v>
      </c>
      <c r="D3519" s="3" t="str">
        <f>VLOOKUP(B3519,[1]LifeList!$E$2:$G$2036,1)</f>
        <v>Whistling Kite</v>
      </c>
      <c r="E3519" s="3" t="str">
        <f>VLOOKUP(B3519,[1]LifeList!$E$2:$G$2036,2)</f>
        <v>Milan siffleur</v>
      </c>
      <c r="F3519" s="3" t="str">
        <f>VLOOKUP(B3519,[1]LifeList!$E$2:$G$2036,3)</f>
        <v>Haliastur sphenurus</v>
      </c>
      <c r="G3519" s="3" t="str">
        <f>VLOOKUP(B3519,[1]LifeList!$E$2:$I$2036,4)</f>
        <v>Accipitriformes</v>
      </c>
      <c r="H3519" s="3" t="str">
        <f>VLOOKUP(B3519,[1]LifeList!$E$2:$I$2036,5)</f>
        <v>Accipitridae (Hawks, Eagles, and Kites)</v>
      </c>
    </row>
    <row r="3520" spans="1:8" x14ac:dyDescent="0.15">
      <c r="A3520" s="3" t="s">
        <v>3545</v>
      </c>
      <c r="B3520" s="3" t="s">
        <v>5077</v>
      </c>
      <c r="C3520" s="3">
        <v>8463</v>
      </c>
      <c r="D3520" s="3" t="str">
        <f>VLOOKUP(B3520,[1]LifeList!$E$2:$G$2036,1)</f>
        <v>White Hawk</v>
      </c>
      <c r="E3520" s="3" t="str">
        <f>VLOOKUP(B3520,[1]LifeList!$E$2:$G$2036,2)</f>
        <v>Buse blanche</v>
      </c>
      <c r="F3520" s="3" t="str">
        <f>VLOOKUP(B3520,[1]LifeList!$E$2:$G$2036,3)</f>
        <v>Pseudastur albicollis</v>
      </c>
      <c r="G3520" s="3" t="str">
        <f>VLOOKUP(B3520,[1]LifeList!$E$2:$I$2036,4)</f>
        <v>Accipitriformes</v>
      </c>
      <c r="H3520" s="3" t="str">
        <f>VLOOKUP(B3520,[1]LifeList!$E$2:$I$2036,5)</f>
        <v>Accipitridae (Hawks, Eagles, and Kites)</v>
      </c>
    </row>
    <row r="3521" spans="1:8" x14ac:dyDescent="0.15">
      <c r="A3521" s="3" t="s">
        <v>3546</v>
      </c>
      <c r="B3521" s="3" t="s">
        <v>5077</v>
      </c>
      <c r="C3521" s="3">
        <v>8463</v>
      </c>
      <c r="D3521" s="3" t="str">
        <f>VLOOKUP(B3521,[1]LifeList!$E$2:$G$2036,1)</f>
        <v>White Hawk</v>
      </c>
      <c r="E3521" s="3" t="str">
        <f>VLOOKUP(B3521,[1]LifeList!$E$2:$G$2036,2)</f>
        <v>Buse blanche</v>
      </c>
      <c r="F3521" s="3" t="str">
        <f>VLOOKUP(B3521,[1]LifeList!$E$2:$G$2036,3)</f>
        <v>Pseudastur albicollis</v>
      </c>
      <c r="G3521" s="3" t="str">
        <f>VLOOKUP(B3521,[1]LifeList!$E$2:$I$2036,4)</f>
        <v>Accipitriformes</v>
      </c>
      <c r="H3521" s="3" t="str">
        <f>VLOOKUP(B3521,[1]LifeList!$E$2:$I$2036,5)</f>
        <v>Accipitridae (Hawks, Eagles, and Kites)</v>
      </c>
    </row>
    <row r="3522" spans="1:8" x14ac:dyDescent="0.15">
      <c r="A3522" s="3" t="s">
        <v>3547</v>
      </c>
      <c r="B3522" s="3" t="s">
        <v>5078</v>
      </c>
      <c r="C3522" s="3">
        <v>7462</v>
      </c>
      <c r="D3522" s="3" t="str">
        <f>VLOOKUP(B3522,[1]LifeList!$E$2:$G$2036,1)</f>
        <v>White Ibis</v>
      </c>
      <c r="E3522" s="3" t="str">
        <f>VLOOKUP(B3522,[1]LifeList!$E$2:$G$2036,2)</f>
        <v>Ibis blanc</v>
      </c>
      <c r="F3522" s="3" t="str">
        <f>VLOOKUP(B3522,[1]LifeList!$E$2:$G$2036,3)</f>
        <v>Eudocimus albus</v>
      </c>
      <c r="G3522" s="3" t="str">
        <f>VLOOKUP(B3522,[1]LifeList!$E$2:$I$2036,4)</f>
        <v>Pelecaniformes</v>
      </c>
      <c r="H3522" s="3" t="str">
        <f>VLOOKUP(B3522,[1]LifeList!$E$2:$I$2036,5)</f>
        <v>Threskiornithidae (Ibises and Spoonbills)</v>
      </c>
    </row>
    <row r="3523" spans="1:8" x14ac:dyDescent="0.15">
      <c r="A3523" s="3" t="s">
        <v>3548</v>
      </c>
      <c r="B3523" s="3" t="s">
        <v>5078</v>
      </c>
      <c r="C3523" s="3">
        <v>7462</v>
      </c>
      <c r="D3523" s="3" t="str">
        <f>VLOOKUP(B3523,[1]LifeList!$E$2:$G$2036,1)</f>
        <v>White Ibis</v>
      </c>
      <c r="E3523" s="3" t="str">
        <f>VLOOKUP(B3523,[1]LifeList!$E$2:$G$2036,2)</f>
        <v>Ibis blanc</v>
      </c>
      <c r="F3523" s="3" t="str">
        <f>VLOOKUP(B3523,[1]LifeList!$E$2:$G$2036,3)</f>
        <v>Eudocimus albus</v>
      </c>
      <c r="G3523" s="3" t="str">
        <f>VLOOKUP(B3523,[1]LifeList!$E$2:$I$2036,4)</f>
        <v>Pelecaniformes</v>
      </c>
      <c r="H3523" s="3" t="str">
        <f>VLOOKUP(B3523,[1]LifeList!$E$2:$I$2036,5)</f>
        <v>Threskiornithidae (Ibises and Spoonbills)</v>
      </c>
    </row>
    <row r="3524" spans="1:8" x14ac:dyDescent="0.15">
      <c r="A3524" s="3" t="s">
        <v>3549</v>
      </c>
      <c r="B3524" s="3" t="s">
        <v>5078</v>
      </c>
      <c r="C3524" s="3">
        <v>7462</v>
      </c>
      <c r="D3524" s="3" t="str">
        <f>VLOOKUP(B3524,[1]LifeList!$E$2:$G$2036,1)</f>
        <v>White Ibis</v>
      </c>
      <c r="E3524" s="3" t="str">
        <f>VLOOKUP(B3524,[1]LifeList!$E$2:$G$2036,2)</f>
        <v>Ibis blanc</v>
      </c>
      <c r="F3524" s="3" t="str">
        <f>VLOOKUP(B3524,[1]LifeList!$E$2:$G$2036,3)</f>
        <v>Eudocimus albus</v>
      </c>
      <c r="G3524" s="3" t="str">
        <f>VLOOKUP(B3524,[1]LifeList!$E$2:$I$2036,4)</f>
        <v>Pelecaniformes</v>
      </c>
      <c r="H3524" s="3" t="str">
        <f>VLOOKUP(B3524,[1]LifeList!$E$2:$I$2036,5)</f>
        <v>Threskiornithidae (Ibises and Spoonbills)</v>
      </c>
    </row>
    <row r="3525" spans="1:8" x14ac:dyDescent="0.15">
      <c r="A3525" s="3" t="s">
        <v>3550</v>
      </c>
      <c r="B3525" s="3" t="s">
        <v>5078</v>
      </c>
      <c r="C3525" s="3">
        <v>7462</v>
      </c>
      <c r="D3525" s="3" t="str">
        <f>VLOOKUP(B3525,[1]LifeList!$E$2:$G$2036,1)</f>
        <v>White Ibis</v>
      </c>
      <c r="E3525" s="3" t="str">
        <f>VLOOKUP(B3525,[1]LifeList!$E$2:$G$2036,2)</f>
        <v>Ibis blanc</v>
      </c>
      <c r="F3525" s="3" t="str">
        <f>VLOOKUP(B3525,[1]LifeList!$E$2:$G$2036,3)</f>
        <v>Eudocimus albus</v>
      </c>
      <c r="G3525" s="3" t="str">
        <f>VLOOKUP(B3525,[1]LifeList!$E$2:$I$2036,4)</f>
        <v>Pelecaniformes</v>
      </c>
      <c r="H3525" s="3" t="str">
        <f>VLOOKUP(B3525,[1]LifeList!$E$2:$I$2036,5)</f>
        <v>Threskiornithidae (Ibises and Spoonbills)</v>
      </c>
    </row>
    <row r="3526" spans="1:8" x14ac:dyDescent="0.15">
      <c r="A3526" s="3" t="s">
        <v>3551</v>
      </c>
      <c r="B3526" s="3" t="s">
        <v>5078</v>
      </c>
      <c r="C3526" s="3">
        <v>7462</v>
      </c>
      <c r="D3526" s="3" t="str">
        <f>VLOOKUP(B3526,[1]LifeList!$E$2:$G$2036,1)</f>
        <v>White Ibis</v>
      </c>
      <c r="E3526" s="3" t="str">
        <f>VLOOKUP(B3526,[1]LifeList!$E$2:$G$2036,2)</f>
        <v>Ibis blanc</v>
      </c>
      <c r="F3526" s="3" t="str">
        <f>VLOOKUP(B3526,[1]LifeList!$E$2:$G$2036,3)</f>
        <v>Eudocimus albus</v>
      </c>
      <c r="G3526" s="3" t="str">
        <f>VLOOKUP(B3526,[1]LifeList!$E$2:$I$2036,4)</f>
        <v>Pelecaniformes</v>
      </c>
      <c r="H3526" s="3" t="str">
        <f>VLOOKUP(B3526,[1]LifeList!$E$2:$I$2036,5)</f>
        <v>Threskiornithidae (Ibises and Spoonbills)</v>
      </c>
    </row>
    <row r="3527" spans="1:8" x14ac:dyDescent="0.15">
      <c r="A3527" s="3" t="s">
        <v>3552</v>
      </c>
      <c r="B3527" s="3" t="s">
        <v>5078</v>
      </c>
      <c r="C3527" s="3">
        <v>7462</v>
      </c>
      <c r="D3527" s="3" t="str">
        <f>VLOOKUP(B3527,[1]LifeList!$E$2:$G$2036,1)</f>
        <v>White Ibis</v>
      </c>
      <c r="E3527" s="3" t="str">
        <f>VLOOKUP(B3527,[1]LifeList!$E$2:$G$2036,2)</f>
        <v>Ibis blanc</v>
      </c>
      <c r="F3527" s="3" t="str">
        <f>VLOOKUP(B3527,[1]LifeList!$E$2:$G$2036,3)</f>
        <v>Eudocimus albus</v>
      </c>
      <c r="G3527" s="3" t="str">
        <f>VLOOKUP(B3527,[1]LifeList!$E$2:$I$2036,4)</f>
        <v>Pelecaniformes</v>
      </c>
      <c r="H3527" s="3" t="str">
        <f>VLOOKUP(B3527,[1]LifeList!$E$2:$I$2036,5)</f>
        <v>Threskiornithidae (Ibises and Spoonbills)</v>
      </c>
    </row>
    <row r="3528" spans="1:8" x14ac:dyDescent="0.15">
      <c r="A3528" s="3" t="s">
        <v>3553</v>
      </c>
      <c r="B3528" s="3" t="s">
        <v>5078</v>
      </c>
      <c r="C3528" s="3">
        <v>7462</v>
      </c>
      <c r="D3528" s="3" t="str">
        <f>VLOOKUP(B3528,[1]LifeList!$E$2:$G$2036,1)</f>
        <v>White Ibis</v>
      </c>
      <c r="E3528" s="3" t="str">
        <f>VLOOKUP(B3528,[1]LifeList!$E$2:$G$2036,2)</f>
        <v>Ibis blanc</v>
      </c>
      <c r="F3528" s="3" t="str">
        <f>VLOOKUP(B3528,[1]LifeList!$E$2:$G$2036,3)</f>
        <v>Eudocimus albus</v>
      </c>
      <c r="G3528" s="3" t="str">
        <f>VLOOKUP(B3528,[1]LifeList!$E$2:$I$2036,4)</f>
        <v>Pelecaniformes</v>
      </c>
      <c r="H3528" s="3" t="str">
        <f>VLOOKUP(B3528,[1]LifeList!$E$2:$I$2036,5)</f>
        <v>Threskiornithidae (Ibises and Spoonbills)</v>
      </c>
    </row>
    <row r="3529" spans="1:8" x14ac:dyDescent="0.15">
      <c r="A3529" s="3" t="s">
        <v>3554</v>
      </c>
      <c r="B3529" s="3" t="s">
        <v>5078</v>
      </c>
      <c r="C3529" s="3">
        <v>7462</v>
      </c>
      <c r="D3529" s="3" t="str">
        <f>VLOOKUP(B3529,[1]LifeList!$E$2:$G$2036,1)</f>
        <v>White Ibis</v>
      </c>
      <c r="E3529" s="3" t="str">
        <f>VLOOKUP(B3529,[1]LifeList!$E$2:$G$2036,2)</f>
        <v>Ibis blanc</v>
      </c>
      <c r="F3529" s="3" t="str">
        <f>VLOOKUP(B3529,[1]LifeList!$E$2:$G$2036,3)</f>
        <v>Eudocimus albus</v>
      </c>
      <c r="G3529" s="3" t="str">
        <f>VLOOKUP(B3529,[1]LifeList!$E$2:$I$2036,4)</f>
        <v>Pelecaniformes</v>
      </c>
      <c r="H3529" s="3" t="str">
        <f>VLOOKUP(B3529,[1]LifeList!$E$2:$I$2036,5)</f>
        <v>Threskiornithidae (Ibises and Spoonbills)</v>
      </c>
    </row>
    <row r="3530" spans="1:8" x14ac:dyDescent="0.15">
      <c r="A3530" s="3" t="s">
        <v>3555</v>
      </c>
      <c r="B3530" s="3" t="s">
        <v>5078</v>
      </c>
      <c r="C3530" s="3">
        <v>7462</v>
      </c>
      <c r="D3530" s="3" t="str">
        <f>VLOOKUP(B3530,[1]LifeList!$E$2:$G$2036,1)</f>
        <v>White Ibis</v>
      </c>
      <c r="E3530" s="3" t="str">
        <f>VLOOKUP(B3530,[1]LifeList!$E$2:$G$2036,2)</f>
        <v>Ibis blanc</v>
      </c>
      <c r="F3530" s="3" t="str">
        <f>VLOOKUP(B3530,[1]LifeList!$E$2:$G$2036,3)</f>
        <v>Eudocimus albus</v>
      </c>
      <c r="G3530" s="3" t="str">
        <f>VLOOKUP(B3530,[1]LifeList!$E$2:$I$2036,4)</f>
        <v>Pelecaniformes</v>
      </c>
      <c r="H3530" s="3" t="str">
        <f>VLOOKUP(B3530,[1]LifeList!$E$2:$I$2036,5)</f>
        <v>Threskiornithidae (Ibises and Spoonbills)</v>
      </c>
    </row>
    <row r="3531" spans="1:8" x14ac:dyDescent="0.15">
      <c r="A3531" s="3" t="s">
        <v>3556</v>
      </c>
      <c r="B3531" s="3" t="s">
        <v>5078</v>
      </c>
      <c r="C3531" s="3">
        <v>7462</v>
      </c>
      <c r="D3531" s="3" t="str">
        <f>VLOOKUP(B3531,[1]LifeList!$E$2:$G$2036,1)</f>
        <v>White Ibis</v>
      </c>
      <c r="E3531" s="3" t="str">
        <f>VLOOKUP(B3531,[1]LifeList!$E$2:$G$2036,2)</f>
        <v>Ibis blanc</v>
      </c>
      <c r="F3531" s="3" t="str">
        <f>VLOOKUP(B3531,[1]LifeList!$E$2:$G$2036,3)</f>
        <v>Eudocimus albus</v>
      </c>
      <c r="G3531" s="3" t="str">
        <f>VLOOKUP(B3531,[1]LifeList!$E$2:$I$2036,4)</f>
        <v>Pelecaniformes</v>
      </c>
      <c r="H3531" s="3" t="str">
        <f>VLOOKUP(B3531,[1]LifeList!$E$2:$I$2036,5)</f>
        <v>Threskiornithidae (Ibises and Spoonbills)</v>
      </c>
    </row>
    <row r="3532" spans="1:8" x14ac:dyDescent="0.15">
      <c r="A3532" s="3" t="s">
        <v>3557</v>
      </c>
      <c r="B3532" s="3" t="s">
        <v>5078</v>
      </c>
      <c r="C3532" s="3">
        <v>7462</v>
      </c>
      <c r="D3532" s="3" t="str">
        <f>VLOOKUP(B3532,[1]LifeList!$E$2:$G$2036,1)</f>
        <v>White Ibis</v>
      </c>
      <c r="E3532" s="3" t="str">
        <f>VLOOKUP(B3532,[1]LifeList!$E$2:$G$2036,2)</f>
        <v>Ibis blanc</v>
      </c>
      <c r="F3532" s="3" t="str">
        <f>VLOOKUP(B3532,[1]LifeList!$E$2:$G$2036,3)</f>
        <v>Eudocimus albus</v>
      </c>
      <c r="G3532" s="3" t="str">
        <f>VLOOKUP(B3532,[1]LifeList!$E$2:$I$2036,4)</f>
        <v>Pelecaniformes</v>
      </c>
      <c r="H3532" s="3" t="str">
        <f>VLOOKUP(B3532,[1]LifeList!$E$2:$I$2036,5)</f>
        <v>Threskiornithidae (Ibises and Spoonbills)</v>
      </c>
    </row>
    <row r="3533" spans="1:8" x14ac:dyDescent="0.15">
      <c r="A3533" s="3" t="s">
        <v>3384</v>
      </c>
      <c r="B3533" s="3" t="s">
        <v>5079</v>
      </c>
      <c r="C3533" s="3">
        <v>16578</v>
      </c>
      <c r="D3533" s="3" t="str">
        <f>VLOOKUP(B3533,[1]LifeList!$E$2:$G$2036,1)</f>
        <v>White-banded Tyrannulet</v>
      </c>
      <c r="E3533" s="3" t="str">
        <f>VLOOKUP(B3533,[1]LifeList!$E$2:$G$2036,2)</f>
        <v>Tyranneau à sourcils blancs</v>
      </c>
      <c r="F3533" s="3" t="str">
        <f>VLOOKUP(B3533,[1]LifeList!$E$2:$G$2036,3)</f>
        <v>Mecocerculus stictopterus</v>
      </c>
      <c r="G3533" s="3" t="str">
        <f>VLOOKUP(B3533,[1]LifeList!$E$2:$I$2036,4)</f>
        <v>Passeriformes</v>
      </c>
      <c r="H3533" s="3" t="str">
        <f>VLOOKUP(B3533,[1]LifeList!$E$2:$I$2036,5)</f>
        <v>Tyrannidae (Tyrant Flycatchers)</v>
      </c>
    </row>
    <row r="3534" spans="1:8" x14ac:dyDescent="0.15">
      <c r="A3534" s="3" t="s">
        <v>3385</v>
      </c>
      <c r="B3534" s="3" t="s">
        <v>5080</v>
      </c>
      <c r="C3534" s="3">
        <v>15772</v>
      </c>
      <c r="D3534" s="3" t="str">
        <f>VLOOKUP(B3534,[1]LifeList!$E$2:$G$2036,1)</f>
        <v>White-bearded Manakin</v>
      </c>
      <c r="E3534" s="3" t="str">
        <f>VLOOKUP(B3534,[1]LifeList!$E$2:$G$2036,2)</f>
        <v>Manakin casse-noisette</v>
      </c>
      <c r="F3534" s="3" t="str">
        <f>VLOOKUP(B3534,[1]LifeList!$E$2:$G$2036,3)</f>
        <v>Manacus manacus</v>
      </c>
      <c r="G3534" s="3" t="str">
        <f>VLOOKUP(B3534,[1]LifeList!$E$2:$I$2036,4)</f>
        <v>Passeriformes</v>
      </c>
      <c r="H3534" s="3" t="str">
        <f>VLOOKUP(B3534,[1]LifeList!$E$2:$I$2036,5)</f>
        <v>Pipridae (Manakins)</v>
      </c>
    </row>
    <row r="3535" spans="1:8" x14ac:dyDescent="0.15">
      <c r="A3535" s="3" t="s">
        <v>3386</v>
      </c>
      <c r="B3535" s="3" t="s">
        <v>5081</v>
      </c>
      <c r="C3535" s="3">
        <v>14015</v>
      </c>
      <c r="D3535" s="3" t="str">
        <f>VLOOKUP(B3535,[1]LifeList!$E$2:$G$2036,1)</f>
        <v>White-bellied Antbird</v>
      </c>
      <c r="E3535" s="3" t="str">
        <f>VLOOKUP(B3535,[1]LifeList!$E$2:$G$2036,2)</f>
        <v>Alapi à ventre blanc</v>
      </c>
      <c r="F3535" s="3" t="str">
        <f>VLOOKUP(B3535,[1]LifeList!$E$2:$G$2036,3)</f>
        <v>Myrmeciza longipes</v>
      </c>
      <c r="G3535" s="3" t="str">
        <f>VLOOKUP(B3535,[1]LifeList!$E$2:$I$2036,4)</f>
        <v>Passeriformes</v>
      </c>
      <c r="H3535" s="3" t="str">
        <f>VLOOKUP(B3535,[1]LifeList!$E$2:$I$2036,5)</f>
        <v>Thamnophilidae (Typical Antbirds)</v>
      </c>
    </row>
    <row r="3536" spans="1:8" x14ac:dyDescent="0.15">
      <c r="A3536" s="3" t="s">
        <v>3387</v>
      </c>
      <c r="B3536" s="3" t="s">
        <v>5081</v>
      </c>
      <c r="C3536" s="3">
        <v>14015</v>
      </c>
      <c r="D3536" s="3" t="str">
        <f>VLOOKUP(B3536,[1]LifeList!$E$2:$G$2036,1)</f>
        <v>White-bellied Antbird</v>
      </c>
      <c r="E3536" s="3" t="str">
        <f>VLOOKUP(B3536,[1]LifeList!$E$2:$G$2036,2)</f>
        <v>Alapi à ventre blanc</v>
      </c>
      <c r="F3536" s="3" t="str">
        <f>VLOOKUP(B3536,[1]LifeList!$E$2:$G$2036,3)</f>
        <v>Myrmeciza longipes</v>
      </c>
      <c r="G3536" s="3" t="str">
        <f>VLOOKUP(B3536,[1]LifeList!$E$2:$I$2036,4)</f>
        <v>Passeriformes</v>
      </c>
      <c r="H3536" s="3" t="str">
        <f>VLOOKUP(B3536,[1]LifeList!$E$2:$I$2036,5)</f>
        <v>Thamnophilidae (Typical Antbirds)</v>
      </c>
    </row>
    <row r="3537" spans="1:8" x14ac:dyDescent="0.15">
      <c r="A3537" s="3" t="s">
        <v>3388</v>
      </c>
      <c r="B3537" s="3" t="s">
        <v>5082</v>
      </c>
      <c r="C3537" s="3">
        <v>2978</v>
      </c>
      <c r="D3537" s="3" t="str">
        <f>VLOOKUP(B3537,[1]LifeList!$E$2:$G$2036,1)</f>
        <v>White-bellied Go-away-bird</v>
      </c>
      <c r="E3537" s="3" t="str">
        <f>VLOOKUP(B3537,[1]LifeList!$E$2:$G$2036,2)</f>
        <v>Touraco à ventre blanc</v>
      </c>
      <c r="F3537" s="3" t="str">
        <f>VLOOKUP(B3537,[1]LifeList!$E$2:$G$2036,3)</f>
        <v>Crinifer leucogaster</v>
      </c>
      <c r="G3537" s="3" t="str">
        <f>VLOOKUP(B3537,[1]LifeList!$E$2:$I$2036,4)</f>
        <v>Musophagiformes</v>
      </c>
      <c r="H3537" s="3" t="str">
        <f>VLOOKUP(B3537,[1]LifeList!$E$2:$I$2036,5)</f>
        <v>Musophagidae (Turacos)</v>
      </c>
    </row>
    <row r="3538" spans="1:8" x14ac:dyDescent="0.15">
      <c r="A3538" s="3" t="s">
        <v>3389</v>
      </c>
      <c r="B3538" s="3" t="s">
        <v>5083</v>
      </c>
      <c r="C3538" s="3">
        <v>8376</v>
      </c>
      <c r="D3538" s="3" t="str">
        <f>VLOOKUP(B3538,[1]LifeList!$E$2:$G$2036,1)</f>
        <v>White-bellied Sea-Eagle</v>
      </c>
      <c r="E3538" s="3" t="str">
        <f>VLOOKUP(B3538,[1]LifeList!$E$2:$G$2036,2)</f>
        <v>Pygargue blagre</v>
      </c>
      <c r="F3538" s="3" t="str">
        <f>VLOOKUP(B3538,[1]LifeList!$E$2:$G$2036,3)</f>
        <v>Icthyophaga leucogaster</v>
      </c>
      <c r="G3538" s="3" t="str">
        <f>VLOOKUP(B3538,[1]LifeList!$E$2:$I$2036,4)</f>
        <v>Accipitriformes</v>
      </c>
      <c r="H3538" s="3" t="str">
        <f>VLOOKUP(B3538,[1]LifeList!$E$2:$I$2036,5)</f>
        <v>Accipitridae (Hawks, Eagles, and Kites)</v>
      </c>
    </row>
    <row r="3539" spans="1:8" x14ac:dyDescent="0.15">
      <c r="A3539" s="3" t="s">
        <v>3390</v>
      </c>
      <c r="B3539" s="3" t="s">
        <v>5084</v>
      </c>
      <c r="C3539" s="3">
        <v>30434</v>
      </c>
      <c r="D3539" s="3" t="str">
        <f>VLOOKUP(B3539,[1]LifeList!$E$2:$G$2036,1)</f>
        <v>White-bellied Sunbird</v>
      </c>
      <c r="E3539" s="3" t="str">
        <f>VLOOKUP(B3539,[1]LifeList!$E$2:$G$2036,2)</f>
        <v>Souimanga à ventre blanc</v>
      </c>
      <c r="F3539" s="3" t="str">
        <f>VLOOKUP(B3539,[1]LifeList!$E$2:$G$2036,3)</f>
        <v>Cinnyris talatala</v>
      </c>
      <c r="G3539" s="3" t="str">
        <f>VLOOKUP(B3539,[1]LifeList!$E$2:$I$2036,4)</f>
        <v>Passeriformes</v>
      </c>
      <c r="H3539" s="3" t="str">
        <f>VLOOKUP(B3539,[1]LifeList!$E$2:$I$2036,5)</f>
        <v>Nectariniidae (Sunbirds and Spiderhunters)</v>
      </c>
    </row>
    <row r="3540" spans="1:8" x14ac:dyDescent="0.15">
      <c r="A3540" s="3" t="s">
        <v>3392</v>
      </c>
      <c r="B3540" s="3" t="s">
        <v>5085</v>
      </c>
      <c r="C3540" s="3">
        <v>4782</v>
      </c>
      <c r="D3540" s="3" t="str">
        <f>VLOOKUP(B3540,[1]LifeList!$E$2:$G$2036,1)</f>
        <v>White-bellied Woodstar</v>
      </c>
      <c r="E3540" s="3" t="str">
        <f>VLOOKUP(B3540,[1]LifeList!$E$2:$G$2036,2)</f>
        <v>Colibri de Mulsant</v>
      </c>
      <c r="F3540" s="3" t="str">
        <f>VLOOKUP(B3540,[1]LifeList!$E$2:$G$2036,3)</f>
        <v>Chaetocercus mulsant</v>
      </c>
      <c r="G3540" s="3" t="str">
        <f>VLOOKUP(B3540,[1]LifeList!$E$2:$I$2036,4)</f>
        <v>Apodiformes</v>
      </c>
      <c r="H3540" s="3" t="str">
        <f>VLOOKUP(B3540,[1]LifeList!$E$2:$I$2036,5)</f>
        <v>Trochilidae (Hummingbirds)</v>
      </c>
    </row>
    <row r="3541" spans="1:8" x14ac:dyDescent="0.15">
      <c r="A3541" s="3" t="s">
        <v>3393</v>
      </c>
      <c r="B3541" s="3" t="s">
        <v>5085</v>
      </c>
      <c r="C3541" s="3">
        <v>4782</v>
      </c>
      <c r="D3541" s="3" t="str">
        <f>VLOOKUP(B3541,[1]LifeList!$E$2:$G$2036,1)</f>
        <v>White-bellied Woodstar</v>
      </c>
      <c r="E3541" s="3" t="str">
        <f>VLOOKUP(B3541,[1]LifeList!$E$2:$G$2036,2)</f>
        <v>Colibri de Mulsant</v>
      </c>
      <c r="F3541" s="3" t="str">
        <f>VLOOKUP(B3541,[1]LifeList!$E$2:$G$2036,3)</f>
        <v>Chaetocercus mulsant</v>
      </c>
      <c r="G3541" s="3" t="str">
        <f>VLOOKUP(B3541,[1]LifeList!$E$2:$I$2036,4)</f>
        <v>Apodiformes</v>
      </c>
      <c r="H3541" s="3" t="str">
        <f>VLOOKUP(B3541,[1]LifeList!$E$2:$I$2036,5)</f>
        <v>Trochilidae (Hummingbirds)</v>
      </c>
    </row>
    <row r="3542" spans="1:8" x14ac:dyDescent="0.15">
      <c r="A3542" s="3" t="s">
        <v>3391</v>
      </c>
      <c r="B3542" s="3" t="s">
        <v>5085</v>
      </c>
      <c r="C3542" s="3">
        <v>4782</v>
      </c>
      <c r="D3542" s="3" t="str">
        <f>VLOOKUP(B3542,[1]LifeList!$E$2:$G$2036,1)</f>
        <v>White-bellied Woodstar</v>
      </c>
      <c r="E3542" s="3" t="str">
        <f>VLOOKUP(B3542,[1]LifeList!$E$2:$G$2036,2)</f>
        <v>Colibri de Mulsant</v>
      </c>
      <c r="F3542" s="3" t="str">
        <f>VLOOKUP(B3542,[1]LifeList!$E$2:$G$2036,3)</f>
        <v>Chaetocercus mulsant</v>
      </c>
      <c r="G3542" s="3" t="str">
        <f>VLOOKUP(B3542,[1]LifeList!$E$2:$I$2036,4)</f>
        <v>Apodiformes</v>
      </c>
      <c r="H3542" s="3" t="str">
        <f>VLOOKUP(B3542,[1]LifeList!$E$2:$I$2036,5)</f>
        <v>Trochilidae (Hummingbirds)</v>
      </c>
    </row>
    <row r="3543" spans="1:8" x14ac:dyDescent="0.15">
      <c r="A3543" s="3" t="s">
        <v>3394</v>
      </c>
      <c r="B3543" s="3" t="s">
        <v>5086</v>
      </c>
      <c r="C3543" s="3">
        <v>4678</v>
      </c>
      <c r="D3543" s="3" t="str">
        <f>VLOOKUP(B3543,[1]LifeList!$E$2:$G$2036,1)</f>
        <v>White-booted Racket-tail</v>
      </c>
      <c r="E3543" s="3" t="str">
        <f>VLOOKUP(B3543,[1]LifeList!$E$2:$G$2036,2)</f>
        <v>Haut-de-chausses à palettes</v>
      </c>
      <c r="F3543" s="3" t="str">
        <f>VLOOKUP(B3543,[1]LifeList!$E$2:$G$2036,3)</f>
        <v>Ocreatus underwoodii</v>
      </c>
      <c r="G3543" s="3" t="str">
        <f>VLOOKUP(B3543,[1]LifeList!$E$2:$I$2036,4)</f>
        <v>Apodiformes</v>
      </c>
      <c r="H3543" s="3" t="str">
        <f>VLOOKUP(B3543,[1]LifeList!$E$2:$I$2036,5)</f>
        <v>Trochilidae (Hummingbirds)</v>
      </c>
    </row>
    <row r="3544" spans="1:8" x14ac:dyDescent="0.15">
      <c r="A3544" s="3" t="s">
        <v>3398</v>
      </c>
      <c r="B3544" s="3" t="s">
        <v>5087</v>
      </c>
      <c r="C3544" s="3">
        <v>26889</v>
      </c>
      <c r="D3544" s="3" t="str">
        <f>VLOOKUP(B3544,[1]LifeList!$E$2:$G$2036,1)</f>
        <v>White-breasted Nuthatch</v>
      </c>
      <c r="E3544" s="3" t="str">
        <f>VLOOKUP(B3544,[1]LifeList!$E$2:$G$2036,2)</f>
        <v>Sittelle à poitrine blanche</v>
      </c>
      <c r="F3544" s="3" t="str">
        <f>VLOOKUP(B3544,[1]LifeList!$E$2:$G$2036,3)</f>
        <v>Sitta carolinensis</v>
      </c>
      <c r="G3544" s="3" t="str">
        <f>VLOOKUP(B3544,[1]LifeList!$E$2:$I$2036,4)</f>
        <v>Passeriformes</v>
      </c>
      <c r="H3544" s="3" t="str">
        <f>VLOOKUP(B3544,[1]LifeList!$E$2:$I$2036,5)</f>
        <v>Sittidae (Nuthatches)</v>
      </c>
    </row>
    <row r="3545" spans="1:8" x14ac:dyDescent="0.15">
      <c r="A3545" s="3" t="s">
        <v>3395</v>
      </c>
      <c r="B3545" s="3" t="s">
        <v>5087</v>
      </c>
      <c r="C3545" s="3">
        <v>26889</v>
      </c>
      <c r="D3545" s="3" t="str">
        <f>VLOOKUP(B3545,[1]LifeList!$E$2:$G$2036,1)</f>
        <v>White-breasted Nuthatch</v>
      </c>
      <c r="E3545" s="3" t="str">
        <f>VLOOKUP(B3545,[1]LifeList!$E$2:$G$2036,2)</f>
        <v>Sittelle à poitrine blanche</v>
      </c>
      <c r="F3545" s="3" t="str">
        <f>VLOOKUP(B3545,[1]LifeList!$E$2:$G$2036,3)</f>
        <v>Sitta carolinensis</v>
      </c>
      <c r="G3545" s="3" t="str">
        <f>VLOOKUP(B3545,[1]LifeList!$E$2:$I$2036,4)</f>
        <v>Passeriformes</v>
      </c>
      <c r="H3545" s="3" t="str">
        <f>VLOOKUP(B3545,[1]LifeList!$E$2:$I$2036,5)</f>
        <v>Sittidae (Nuthatches)</v>
      </c>
    </row>
    <row r="3546" spans="1:8" x14ac:dyDescent="0.15">
      <c r="A3546" s="3" t="s">
        <v>3399</v>
      </c>
      <c r="B3546" s="3" t="s">
        <v>5087</v>
      </c>
      <c r="C3546" s="3">
        <v>26889</v>
      </c>
      <c r="D3546" s="3" t="str">
        <f>VLOOKUP(B3546,[1]LifeList!$E$2:$G$2036,1)</f>
        <v>White-breasted Nuthatch</v>
      </c>
      <c r="E3546" s="3" t="str">
        <f>VLOOKUP(B3546,[1]LifeList!$E$2:$G$2036,2)</f>
        <v>Sittelle à poitrine blanche</v>
      </c>
      <c r="F3546" s="3" t="str">
        <f>VLOOKUP(B3546,[1]LifeList!$E$2:$G$2036,3)</f>
        <v>Sitta carolinensis</v>
      </c>
      <c r="G3546" s="3" t="str">
        <f>VLOOKUP(B3546,[1]LifeList!$E$2:$I$2036,4)</f>
        <v>Passeriformes</v>
      </c>
      <c r="H3546" s="3" t="str">
        <f>VLOOKUP(B3546,[1]LifeList!$E$2:$I$2036,5)</f>
        <v>Sittidae (Nuthatches)</v>
      </c>
    </row>
    <row r="3547" spans="1:8" x14ac:dyDescent="0.15">
      <c r="A3547" s="3" t="s">
        <v>3400</v>
      </c>
      <c r="B3547" s="3" t="s">
        <v>5087</v>
      </c>
      <c r="C3547" s="3">
        <v>26889</v>
      </c>
      <c r="D3547" s="3" t="str">
        <f>VLOOKUP(B3547,[1]LifeList!$E$2:$G$2036,1)</f>
        <v>White-breasted Nuthatch</v>
      </c>
      <c r="E3547" s="3" t="str">
        <f>VLOOKUP(B3547,[1]LifeList!$E$2:$G$2036,2)</f>
        <v>Sittelle à poitrine blanche</v>
      </c>
      <c r="F3547" s="3" t="str">
        <f>VLOOKUP(B3547,[1]LifeList!$E$2:$G$2036,3)</f>
        <v>Sitta carolinensis</v>
      </c>
      <c r="G3547" s="3" t="str">
        <f>VLOOKUP(B3547,[1]LifeList!$E$2:$I$2036,4)</f>
        <v>Passeriformes</v>
      </c>
      <c r="H3547" s="3" t="str">
        <f>VLOOKUP(B3547,[1]LifeList!$E$2:$I$2036,5)</f>
        <v>Sittidae (Nuthatches)</v>
      </c>
    </row>
    <row r="3548" spans="1:8" x14ac:dyDescent="0.15">
      <c r="A3548" s="3" t="s">
        <v>3396</v>
      </c>
      <c r="B3548" s="3" t="s">
        <v>5087</v>
      </c>
      <c r="C3548" s="3">
        <v>26889</v>
      </c>
      <c r="D3548" s="3" t="str">
        <f>VLOOKUP(B3548,[1]LifeList!$E$2:$G$2036,1)</f>
        <v>White-breasted Nuthatch</v>
      </c>
      <c r="E3548" s="3" t="str">
        <f>VLOOKUP(B3548,[1]LifeList!$E$2:$G$2036,2)</f>
        <v>Sittelle à poitrine blanche</v>
      </c>
      <c r="F3548" s="3" t="str">
        <f>VLOOKUP(B3548,[1]LifeList!$E$2:$G$2036,3)</f>
        <v>Sitta carolinensis</v>
      </c>
      <c r="G3548" s="3" t="str">
        <f>VLOOKUP(B3548,[1]LifeList!$E$2:$I$2036,4)</f>
        <v>Passeriformes</v>
      </c>
      <c r="H3548" s="3" t="str">
        <f>VLOOKUP(B3548,[1]LifeList!$E$2:$I$2036,5)</f>
        <v>Sittidae (Nuthatches)</v>
      </c>
    </row>
    <row r="3549" spans="1:8" x14ac:dyDescent="0.15">
      <c r="A3549" s="3" t="s">
        <v>3397</v>
      </c>
      <c r="B3549" s="3" t="s">
        <v>5088</v>
      </c>
      <c r="C3549" s="3">
        <v>27594</v>
      </c>
      <c r="D3549" s="3" t="str">
        <f>VLOOKUP(B3549,[1]LifeList!$E$2:$G$2036,1)</f>
        <v>White-breasted Wood-Wren</v>
      </c>
      <c r="E3549" s="3" t="str">
        <f>VLOOKUP(B3549,[1]LifeList!$E$2:$G$2036,2)</f>
        <v>Troglodyte à poitrine blanche</v>
      </c>
      <c r="F3549" s="3" t="str">
        <f>VLOOKUP(B3549,[1]LifeList!$E$2:$G$2036,3)</f>
        <v>Henicorhina leucosticta</v>
      </c>
      <c r="G3549" s="3" t="str">
        <f>VLOOKUP(B3549,[1]LifeList!$E$2:$I$2036,4)</f>
        <v>Passeriformes</v>
      </c>
      <c r="H3549" s="3" t="str">
        <f>VLOOKUP(B3549,[1]LifeList!$E$2:$I$2036,5)</f>
        <v>Troglodytidae (Wrens)</v>
      </c>
    </row>
    <row r="3550" spans="1:8" x14ac:dyDescent="0.15">
      <c r="A3550" s="3" t="s">
        <v>3401</v>
      </c>
      <c r="B3550" s="3" t="s">
        <v>5089</v>
      </c>
      <c r="C3550" s="3">
        <v>3111</v>
      </c>
      <c r="D3550" s="3" t="str">
        <f>VLOOKUP(B3550,[1]LifeList!$E$2:$G$2036,1)</f>
        <v>White-browed Coucal</v>
      </c>
      <c r="E3550" s="3" t="str">
        <f>VLOOKUP(B3550,[1]LifeList!$E$2:$G$2036,2)</f>
        <v>Coucal à sourcils blancs</v>
      </c>
      <c r="F3550" s="3" t="str">
        <f>VLOOKUP(B3550,[1]LifeList!$E$2:$G$2036,3)</f>
        <v>Centropus superciliosus</v>
      </c>
      <c r="G3550" s="3" t="str">
        <f>VLOOKUP(B3550,[1]LifeList!$E$2:$I$2036,4)</f>
        <v>Cuculiformes</v>
      </c>
      <c r="H3550" s="3" t="str">
        <f>VLOOKUP(B3550,[1]LifeList!$E$2:$I$2036,5)</f>
        <v>Cuculidae (Cuckoos)</v>
      </c>
    </row>
    <row r="3551" spans="1:8" x14ac:dyDescent="0.15">
      <c r="A3551" s="3" t="s">
        <v>3402</v>
      </c>
      <c r="B3551" s="3" t="s">
        <v>5090</v>
      </c>
      <c r="C3551" s="3">
        <v>9132</v>
      </c>
      <c r="D3551" s="3" t="str">
        <f>VLOOKUP(B3551,[1]LifeList!$E$2:$G$2036,1)</f>
        <v>White-browed Owl</v>
      </c>
      <c r="E3551" s="3" t="str">
        <f>VLOOKUP(B3551,[1]LifeList!$E$2:$G$2036,2)</f>
        <v>Chevêche à sourcils blancs</v>
      </c>
      <c r="F3551" s="3" t="str">
        <f>VLOOKUP(B3551,[1]LifeList!$E$2:$G$2036,3)</f>
        <v>Athene superciliaris</v>
      </c>
      <c r="G3551" s="3" t="str">
        <f>VLOOKUP(B3551,[1]LifeList!$E$2:$I$2036,4)</f>
        <v>Strigiformes</v>
      </c>
      <c r="H3551" s="3" t="str">
        <f>VLOOKUP(B3551,[1]LifeList!$E$2:$I$2036,5)</f>
        <v>Strigidae (Owls)</v>
      </c>
    </row>
    <row r="3552" spans="1:8" x14ac:dyDescent="0.15">
      <c r="A3552" s="3" t="s">
        <v>3403</v>
      </c>
      <c r="B3552" s="3" t="s">
        <v>5091</v>
      </c>
      <c r="C3552" s="3">
        <v>29225</v>
      </c>
      <c r="D3552" s="3" t="str">
        <f>VLOOKUP(B3552,[1]LifeList!$E$2:$G$2036,1)</f>
        <v>White-browed Robin-Chat</v>
      </c>
      <c r="E3552" s="3" t="str">
        <f>VLOOKUP(B3552,[1]LifeList!$E$2:$G$2036,2)</f>
        <v>Cossyphe de Heuglin</v>
      </c>
      <c r="F3552" s="3" t="str">
        <f>VLOOKUP(B3552,[1]LifeList!$E$2:$G$2036,3)</f>
        <v>Cossypha heuglini</v>
      </c>
      <c r="G3552" s="3" t="str">
        <f>VLOOKUP(B3552,[1]LifeList!$E$2:$I$2036,4)</f>
        <v>Passeriformes</v>
      </c>
      <c r="H3552" s="3" t="str">
        <f>VLOOKUP(B3552,[1]LifeList!$E$2:$I$2036,5)</f>
        <v>Muscicapidae (Old World Flycatchers)</v>
      </c>
    </row>
    <row r="3553" spans="1:8" x14ac:dyDescent="0.15">
      <c r="A3553" s="3" t="s">
        <v>3404</v>
      </c>
      <c r="B3553" s="3" t="s">
        <v>5092</v>
      </c>
      <c r="C3553" s="3">
        <v>28978</v>
      </c>
      <c r="D3553" s="3" t="str">
        <f>VLOOKUP(B3553,[1]LifeList!$E$2:$G$2036,1)</f>
        <v>White-browed Scrub-Robin</v>
      </c>
      <c r="E3553" s="3" t="str">
        <f>VLOOKUP(B3553,[1]LifeList!$E$2:$G$2036,2)</f>
        <v>Agrobate à dos roux</v>
      </c>
      <c r="F3553" s="3" t="str">
        <f>VLOOKUP(B3553,[1]LifeList!$E$2:$G$2036,3)</f>
        <v>Cercotrichas leucophrys</v>
      </c>
      <c r="G3553" s="3" t="str">
        <f>VLOOKUP(B3553,[1]LifeList!$E$2:$I$2036,4)</f>
        <v>Passeriformes</v>
      </c>
      <c r="H3553" s="3" t="str">
        <f>VLOOKUP(B3553,[1]LifeList!$E$2:$I$2036,5)</f>
        <v>Muscicapidae (Old World Flycatchers)</v>
      </c>
    </row>
    <row r="3554" spans="1:8" x14ac:dyDescent="0.15">
      <c r="A3554" s="3" t="s">
        <v>3405</v>
      </c>
      <c r="B3554" s="3" t="s">
        <v>5093</v>
      </c>
      <c r="C3554" s="3">
        <v>18309</v>
      </c>
      <c r="D3554" s="3" t="str">
        <f>VLOOKUP(B3554,[1]LifeList!$E$2:$G$2036,1)</f>
        <v>White-browed Scrubwren</v>
      </c>
      <c r="E3554" s="3" t="str">
        <f>VLOOKUP(B3554,[1]LifeList!$E$2:$G$2036,2)</f>
        <v>Séricorne à sourcils blancs</v>
      </c>
      <c r="F3554" s="3" t="str">
        <f>VLOOKUP(B3554,[1]LifeList!$E$2:$G$2036,3)</f>
        <v>Sericornis frontalis</v>
      </c>
      <c r="G3554" s="3" t="str">
        <f>VLOOKUP(B3554,[1]LifeList!$E$2:$I$2036,4)</f>
        <v>Passeriformes</v>
      </c>
      <c r="H3554" s="3" t="str">
        <f>VLOOKUP(B3554,[1]LifeList!$E$2:$I$2036,5)</f>
        <v>Acanthizidae (Thornbills and Allies)</v>
      </c>
    </row>
    <row r="3555" spans="1:8" x14ac:dyDescent="0.15">
      <c r="A3555" s="3" t="s">
        <v>3406</v>
      </c>
      <c r="B3555" s="3" t="s">
        <v>5094</v>
      </c>
      <c r="C3555" s="3">
        <v>27674</v>
      </c>
      <c r="D3555" s="3" t="str">
        <f>VLOOKUP(B3555,[1]LifeList!$E$2:$G$2036,1)</f>
        <v>White-capped Dipper</v>
      </c>
      <c r="E3555" s="3" t="str">
        <f>VLOOKUP(B3555,[1]LifeList!$E$2:$G$2036,2)</f>
        <v>Cincle à tête blanche</v>
      </c>
      <c r="F3555" s="3" t="str">
        <f>VLOOKUP(B3555,[1]LifeList!$E$2:$G$2036,3)</f>
        <v>Cinclus leucocephalus</v>
      </c>
      <c r="G3555" s="3" t="str">
        <f>VLOOKUP(B3555,[1]LifeList!$E$2:$I$2036,4)</f>
        <v>Passeriformes</v>
      </c>
      <c r="H3555" s="3" t="str">
        <f>VLOOKUP(B3555,[1]LifeList!$E$2:$I$2036,5)</f>
        <v>Cinclidae (Dippers)</v>
      </c>
    </row>
    <row r="3556" spans="1:8" x14ac:dyDescent="0.15">
      <c r="A3556" s="3" t="s">
        <v>3407</v>
      </c>
      <c r="B3556" s="3" t="s">
        <v>5094</v>
      </c>
      <c r="C3556" s="3">
        <v>27674</v>
      </c>
      <c r="D3556" s="3" t="str">
        <f>VLOOKUP(B3556,[1]LifeList!$E$2:$G$2036,1)</f>
        <v>White-capped Dipper</v>
      </c>
      <c r="E3556" s="3" t="str">
        <f>VLOOKUP(B3556,[1]LifeList!$E$2:$G$2036,2)</f>
        <v>Cincle à tête blanche</v>
      </c>
      <c r="F3556" s="3" t="str">
        <f>VLOOKUP(B3556,[1]LifeList!$E$2:$G$2036,3)</f>
        <v>Cinclus leucocephalus</v>
      </c>
      <c r="G3556" s="3" t="str">
        <f>VLOOKUP(B3556,[1]LifeList!$E$2:$I$2036,4)</f>
        <v>Passeriformes</v>
      </c>
      <c r="H3556" s="3" t="str">
        <f>VLOOKUP(B3556,[1]LifeList!$E$2:$I$2036,5)</f>
        <v>Cinclidae (Dippers)</v>
      </c>
    </row>
    <row r="3557" spans="1:8" x14ac:dyDescent="0.15">
      <c r="A3557" s="3" t="s">
        <v>3408</v>
      </c>
      <c r="B3557" s="3" t="s">
        <v>5095</v>
      </c>
      <c r="C3557" s="3">
        <v>34661</v>
      </c>
      <c r="D3557" s="3" t="str">
        <f>VLOOKUP(B3557,[1]LifeList!$E$2:$G$2036,1)</f>
        <v>White-capped Tanager</v>
      </c>
      <c r="E3557" s="3" t="str">
        <f>VLOOKUP(B3557,[1]LifeList!$E$2:$G$2036,2)</f>
        <v>Tangara à coiffe blanche</v>
      </c>
      <c r="F3557" s="3" t="str">
        <f>VLOOKUP(B3557,[1]LifeList!$E$2:$G$2036,3)</f>
        <v>Sericossypha albocristata</v>
      </c>
      <c r="G3557" s="3" t="str">
        <f>VLOOKUP(B3557,[1]LifeList!$E$2:$I$2036,4)</f>
        <v>Passeriformes</v>
      </c>
      <c r="H3557" s="3" t="str">
        <f>VLOOKUP(B3557,[1]LifeList!$E$2:$I$2036,5)</f>
        <v>Thraupidae (Tanagers and Allies)</v>
      </c>
    </row>
    <row r="3558" spans="1:8" x14ac:dyDescent="0.15">
      <c r="A3558" s="3" t="s">
        <v>3409</v>
      </c>
      <c r="B3558" s="3" t="s">
        <v>5095</v>
      </c>
      <c r="C3558" s="3">
        <v>34661</v>
      </c>
      <c r="D3558" s="3" t="str">
        <f>VLOOKUP(B3558,[1]LifeList!$E$2:$G$2036,1)</f>
        <v>White-capped Tanager</v>
      </c>
      <c r="E3558" s="3" t="str">
        <f>VLOOKUP(B3558,[1]LifeList!$E$2:$G$2036,2)</f>
        <v>Tangara à coiffe blanche</v>
      </c>
      <c r="F3558" s="3" t="str">
        <f>VLOOKUP(B3558,[1]LifeList!$E$2:$G$2036,3)</f>
        <v>Sericossypha albocristata</v>
      </c>
      <c r="G3558" s="3" t="str">
        <f>VLOOKUP(B3558,[1]LifeList!$E$2:$I$2036,4)</f>
        <v>Passeriformes</v>
      </c>
      <c r="H3558" s="3" t="str">
        <f>VLOOKUP(B3558,[1]LifeList!$E$2:$I$2036,5)</f>
        <v>Thraupidae (Tanagers and Allies)</v>
      </c>
    </row>
    <row r="3559" spans="1:8" x14ac:dyDescent="0.15">
      <c r="A3559" s="3" t="s">
        <v>3410</v>
      </c>
      <c r="B3559" s="3" t="s">
        <v>5095</v>
      </c>
      <c r="C3559" s="3">
        <v>34661</v>
      </c>
      <c r="D3559" s="3" t="str">
        <f>VLOOKUP(B3559,[1]LifeList!$E$2:$G$2036,1)</f>
        <v>White-capped Tanager</v>
      </c>
      <c r="E3559" s="3" t="str">
        <f>VLOOKUP(B3559,[1]LifeList!$E$2:$G$2036,2)</f>
        <v>Tangara à coiffe blanche</v>
      </c>
      <c r="F3559" s="3" t="str">
        <f>VLOOKUP(B3559,[1]LifeList!$E$2:$G$2036,3)</f>
        <v>Sericossypha albocristata</v>
      </c>
      <c r="G3559" s="3" t="str">
        <f>VLOOKUP(B3559,[1]LifeList!$E$2:$I$2036,4)</f>
        <v>Passeriformes</v>
      </c>
      <c r="H3559" s="3" t="str">
        <f>VLOOKUP(B3559,[1]LifeList!$E$2:$I$2036,5)</f>
        <v>Thraupidae (Tanagers and Allies)</v>
      </c>
    </row>
    <row r="3560" spans="1:8" x14ac:dyDescent="0.15">
      <c r="A3560" s="3" t="s">
        <v>3411</v>
      </c>
      <c r="B3560" s="3" t="s">
        <v>5096</v>
      </c>
      <c r="C3560" s="3">
        <v>5160</v>
      </c>
      <c r="D3560" s="3" t="str">
        <f>VLOOKUP(B3560,[1]LifeList!$E$2:$G$2036,1)</f>
        <v>White-chested Emerald</v>
      </c>
      <c r="E3560" s="3" t="str">
        <f>VLOOKUP(B3560,[1]LifeList!$E$2:$G$2036,2)</f>
        <v>Ariane à poitrine blanche</v>
      </c>
      <c r="F3560" s="3" t="str">
        <f>VLOOKUP(B3560,[1]LifeList!$E$2:$G$2036,3)</f>
        <v>Chrysuronia brevirostris</v>
      </c>
      <c r="G3560" s="3" t="str">
        <f>VLOOKUP(B3560,[1]LifeList!$E$2:$I$2036,4)</f>
        <v>Apodiformes</v>
      </c>
      <c r="H3560" s="3" t="str">
        <f>VLOOKUP(B3560,[1]LifeList!$E$2:$I$2036,5)</f>
        <v>Trochilidae (Hummingbirds)</v>
      </c>
    </row>
    <row r="3561" spans="1:8" x14ac:dyDescent="0.15">
      <c r="A3561" s="3" t="s">
        <v>3412</v>
      </c>
      <c r="B3561" s="3" t="s">
        <v>5097</v>
      </c>
      <c r="C3561" s="3">
        <v>15451</v>
      </c>
      <c r="D3561" s="3" t="str">
        <f>VLOOKUP(B3561,[1]LifeList!$E$2:$G$2036,1)</f>
        <v>White-chinned Thistletail</v>
      </c>
      <c r="E3561" s="3" t="str">
        <f>VLOOKUP(B3561,[1]LifeList!$E$2:$G$2036,2)</f>
        <v>Synallaxe à menton blanc</v>
      </c>
      <c r="F3561" s="3" t="str">
        <f>VLOOKUP(B3561,[1]LifeList!$E$2:$G$2036,3)</f>
        <v>Asthenes fuliginosa</v>
      </c>
      <c r="G3561" s="3" t="str">
        <f>VLOOKUP(B3561,[1]LifeList!$E$2:$I$2036,4)</f>
        <v>Passeriformes</v>
      </c>
      <c r="H3561" s="3" t="str">
        <f>VLOOKUP(B3561,[1]LifeList!$E$2:$I$2036,5)</f>
        <v>Furnariidae (Ovenbirds and Woodcreepers)</v>
      </c>
    </row>
    <row r="3562" spans="1:8" x14ac:dyDescent="0.15">
      <c r="A3562" s="3" t="s">
        <v>3413</v>
      </c>
      <c r="B3562" s="3" t="s">
        <v>5098</v>
      </c>
      <c r="C3562" s="3">
        <v>15764</v>
      </c>
      <c r="D3562" s="3" t="str">
        <f>VLOOKUP(B3562,[1]LifeList!$E$2:$G$2036,1)</f>
        <v>White-collared Manakin</v>
      </c>
      <c r="E3562" s="3" t="str">
        <f>VLOOKUP(B3562,[1]LifeList!$E$2:$G$2036,2)</f>
        <v>Manakin à col blanc</v>
      </c>
      <c r="F3562" s="3" t="str">
        <f>VLOOKUP(B3562,[1]LifeList!$E$2:$G$2036,3)</f>
        <v>Manacus candei</v>
      </c>
      <c r="G3562" s="3" t="str">
        <f>VLOOKUP(B3562,[1]LifeList!$E$2:$I$2036,4)</f>
        <v>Passeriformes</v>
      </c>
      <c r="H3562" s="3" t="str">
        <f>VLOOKUP(B3562,[1]LifeList!$E$2:$I$2036,5)</f>
        <v>Pipridae (Manakins)</v>
      </c>
    </row>
    <row r="3563" spans="1:8" x14ac:dyDescent="0.15">
      <c r="A3563" s="3" t="s">
        <v>3414</v>
      </c>
      <c r="B3563" s="3" t="s">
        <v>5098</v>
      </c>
      <c r="C3563" s="3">
        <v>15764</v>
      </c>
      <c r="D3563" s="3" t="str">
        <f>VLOOKUP(B3563,[1]LifeList!$E$2:$G$2036,1)</f>
        <v>White-collared Manakin</v>
      </c>
      <c r="E3563" s="3" t="str">
        <f>VLOOKUP(B3563,[1]LifeList!$E$2:$G$2036,2)</f>
        <v>Manakin à col blanc</v>
      </c>
      <c r="F3563" s="3" t="str">
        <f>VLOOKUP(B3563,[1]LifeList!$E$2:$G$2036,3)</f>
        <v>Manacus candei</v>
      </c>
      <c r="G3563" s="3" t="str">
        <f>VLOOKUP(B3563,[1]LifeList!$E$2:$I$2036,4)</f>
        <v>Passeriformes</v>
      </c>
      <c r="H3563" s="3" t="str">
        <f>VLOOKUP(B3563,[1]LifeList!$E$2:$I$2036,5)</f>
        <v>Pipridae (Manakins)</v>
      </c>
    </row>
    <row r="3564" spans="1:8" x14ac:dyDescent="0.15">
      <c r="A3564" s="3" t="s">
        <v>3415</v>
      </c>
      <c r="B3564" s="3" t="s">
        <v>5099</v>
      </c>
      <c r="C3564" s="3">
        <v>3843</v>
      </c>
      <c r="D3564" s="3" t="str">
        <f>VLOOKUP(B3564,[1]LifeList!$E$2:$G$2036,1)</f>
        <v>White-collared Swift</v>
      </c>
      <c r="E3564" s="3" t="str">
        <f>VLOOKUP(B3564,[1]LifeList!$E$2:$G$2036,2)</f>
        <v>Martinet à collier blanc</v>
      </c>
      <c r="F3564" s="3" t="str">
        <f>VLOOKUP(B3564,[1]LifeList!$E$2:$G$2036,3)</f>
        <v>Streptoprocne zonaris</v>
      </c>
      <c r="G3564" s="3" t="str">
        <f>VLOOKUP(B3564,[1]LifeList!$E$2:$I$2036,4)</f>
        <v>Apodiformes</v>
      </c>
      <c r="H3564" s="3" t="str">
        <f>VLOOKUP(B3564,[1]LifeList!$E$2:$I$2036,5)</f>
        <v>Apodidae (Swifts)</v>
      </c>
    </row>
    <row r="3565" spans="1:8" x14ac:dyDescent="0.15">
      <c r="A3565" s="3" t="s">
        <v>3416</v>
      </c>
      <c r="B3565" s="3" t="s">
        <v>5099</v>
      </c>
      <c r="C3565" s="3">
        <v>3843</v>
      </c>
      <c r="D3565" s="3" t="str">
        <f>VLOOKUP(B3565,[1]LifeList!$E$2:$G$2036,1)</f>
        <v>White-collared Swift</v>
      </c>
      <c r="E3565" s="3" t="str">
        <f>VLOOKUP(B3565,[1]LifeList!$E$2:$G$2036,2)</f>
        <v>Martinet à collier blanc</v>
      </c>
      <c r="F3565" s="3" t="str">
        <f>VLOOKUP(B3565,[1]LifeList!$E$2:$G$2036,3)</f>
        <v>Streptoprocne zonaris</v>
      </c>
      <c r="G3565" s="3" t="str">
        <f>VLOOKUP(B3565,[1]LifeList!$E$2:$I$2036,4)</f>
        <v>Apodiformes</v>
      </c>
      <c r="H3565" s="3" t="str">
        <f>VLOOKUP(B3565,[1]LifeList!$E$2:$I$2036,5)</f>
        <v>Apodidae (Swifts)</v>
      </c>
    </row>
    <row r="3566" spans="1:8" x14ac:dyDescent="0.15">
      <c r="A3566" s="3" t="s">
        <v>3417</v>
      </c>
      <c r="B3566" s="3" t="s">
        <v>5100</v>
      </c>
      <c r="C3566" s="3">
        <v>12894</v>
      </c>
      <c r="D3566" s="3" t="str">
        <f>VLOOKUP(B3566,[1]LifeList!$E$2:$G$2036,1)</f>
        <v>White-crowned Parrot</v>
      </c>
      <c r="E3566" s="3" t="str">
        <f>VLOOKUP(B3566,[1]LifeList!$E$2:$G$2036,2)</f>
        <v>Pione à couronne blanche</v>
      </c>
      <c r="F3566" s="3" t="str">
        <f>VLOOKUP(B3566,[1]LifeList!$E$2:$G$2036,3)</f>
        <v>Pionus senilis</v>
      </c>
      <c r="G3566" s="3" t="str">
        <f>VLOOKUP(B3566,[1]LifeList!$E$2:$I$2036,4)</f>
        <v>Psittaciformes</v>
      </c>
      <c r="H3566" s="3" t="str">
        <f>VLOOKUP(B3566,[1]LifeList!$E$2:$I$2036,5)</f>
        <v>Psittacidae (New World and African Parrots)</v>
      </c>
    </row>
    <row r="3567" spans="1:8" x14ac:dyDescent="0.15">
      <c r="A3567" s="3" t="s">
        <v>3418</v>
      </c>
      <c r="B3567" s="3" t="s">
        <v>5101</v>
      </c>
      <c r="C3567" s="3">
        <v>21168</v>
      </c>
      <c r="D3567" s="3" t="str">
        <f>VLOOKUP(B3567,[1]LifeList!$E$2:$G$2036,1)</f>
        <v>White-crowned Shrike</v>
      </c>
      <c r="E3567" s="3" t="str">
        <f>VLOOKUP(B3567,[1]LifeList!$E$2:$G$2036,2)</f>
        <v>Eurocéphale à couronne blanche</v>
      </c>
      <c r="F3567" s="3" t="str">
        <f>VLOOKUP(B3567,[1]LifeList!$E$2:$G$2036,3)</f>
        <v>Eurocephalus anguitimens</v>
      </c>
      <c r="G3567" s="3" t="str">
        <f>VLOOKUP(B3567,[1]LifeList!$E$2:$I$2036,4)</f>
        <v>Passeriformes</v>
      </c>
      <c r="H3567" s="3" t="str">
        <f>VLOOKUP(B3567,[1]LifeList!$E$2:$I$2036,5)</f>
        <v>Laniidae (Shrikes)</v>
      </c>
    </row>
    <row r="3568" spans="1:8" x14ac:dyDescent="0.15">
      <c r="A3568" s="3" t="s">
        <v>3419</v>
      </c>
      <c r="B3568" s="3" t="s">
        <v>5102</v>
      </c>
      <c r="C3568" s="3">
        <v>33187</v>
      </c>
      <c r="D3568" s="3" t="str">
        <f>VLOOKUP(B3568,[1]LifeList!$E$2:$G$2036,1)</f>
        <v>White-crowned Sparrow</v>
      </c>
      <c r="E3568" s="3" t="str">
        <f>VLOOKUP(B3568,[1]LifeList!$E$2:$G$2036,2)</f>
        <v>Bruant à couronne blanche</v>
      </c>
      <c r="F3568" s="3" t="str">
        <f>VLOOKUP(B3568,[1]LifeList!$E$2:$G$2036,3)</f>
        <v>Zonotrichia leucophrys</v>
      </c>
      <c r="G3568" s="3" t="str">
        <f>VLOOKUP(B3568,[1]LifeList!$E$2:$I$2036,4)</f>
        <v>Passeriformes</v>
      </c>
      <c r="H3568" s="3" t="str">
        <f>VLOOKUP(B3568,[1]LifeList!$E$2:$I$2036,5)</f>
        <v>Passerellidae (New World Sparrows)</v>
      </c>
    </row>
    <row r="3569" spans="1:8" x14ac:dyDescent="0.15">
      <c r="A3569" s="3" t="s">
        <v>3420</v>
      </c>
      <c r="B3569" s="3" t="s">
        <v>5102</v>
      </c>
      <c r="C3569" s="3">
        <v>33187</v>
      </c>
      <c r="D3569" s="3" t="str">
        <f>VLOOKUP(B3569,[1]LifeList!$E$2:$G$2036,1)</f>
        <v>White-crowned Sparrow</v>
      </c>
      <c r="E3569" s="3" t="str">
        <f>VLOOKUP(B3569,[1]LifeList!$E$2:$G$2036,2)</f>
        <v>Bruant à couronne blanche</v>
      </c>
      <c r="F3569" s="3" t="str">
        <f>VLOOKUP(B3569,[1]LifeList!$E$2:$G$2036,3)</f>
        <v>Zonotrichia leucophrys</v>
      </c>
      <c r="G3569" s="3" t="str">
        <f>VLOOKUP(B3569,[1]LifeList!$E$2:$I$2036,4)</f>
        <v>Passeriformes</v>
      </c>
      <c r="H3569" s="3" t="str">
        <f>VLOOKUP(B3569,[1]LifeList!$E$2:$I$2036,5)</f>
        <v>Passerellidae (New World Sparrows)</v>
      </c>
    </row>
    <row r="3570" spans="1:8" x14ac:dyDescent="0.15">
      <c r="A3570" s="3" t="s">
        <v>3421</v>
      </c>
      <c r="B3570" s="3" t="s">
        <v>5102</v>
      </c>
      <c r="C3570" s="3">
        <v>33187</v>
      </c>
      <c r="D3570" s="3" t="str">
        <f>VLOOKUP(B3570,[1]LifeList!$E$2:$G$2036,1)</f>
        <v>White-crowned Sparrow</v>
      </c>
      <c r="E3570" s="3" t="str">
        <f>VLOOKUP(B3570,[1]LifeList!$E$2:$G$2036,2)</f>
        <v>Bruant à couronne blanche</v>
      </c>
      <c r="F3570" s="3" t="str">
        <f>VLOOKUP(B3570,[1]LifeList!$E$2:$G$2036,3)</f>
        <v>Zonotrichia leucophrys</v>
      </c>
      <c r="G3570" s="3" t="str">
        <f>VLOOKUP(B3570,[1]LifeList!$E$2:$I$2036,4)</f>
        <v>Passeriformes</v>
      </c>
      <c r="H3570" s="3" t="str">
        <f>VLOOKUP(B3570,[1]LifeList!$E$2:$I$2036,5)</f>
        <v>Passerellidae (New World Sparrows)</v>
      </c>
    </row>
    <row r="3571" spans="1:8" x14ac:dyDescent="0.15">
      <c r="A3571" s="3" t="s">
        <v>3422</v>
      </c>
      <c r="B3571" s="3" t="s">
        <v>5102</v>
      </c>
      <c r="C3571" s="3">
        <v>33187</v>
      </c>
      <c r="D3571" s="3" t="str">
        <f>VLOOKUP(B3571,[1]LifeList!$E$2:$G$2036,1)</f>
        <v>White-crowned Sparrow</v>
      </c>
      <c r="E3571" s="3" t="str">
        <f>VLOOKUP(B3571,[1]LifeList!$E$2:$G$2036,2)</f>
        <v>Bruant à couronne blanche</v>
      </c>
      <c r="F3571" s="3" t="str">
        <f>VLOOKUP(B3571,[1]LifeList!$E$2:$G$2036,3)</f>
        <v>Zonotrichia leucophrys</v>
      </c>
      <c r="G3571" s="3" t="str">
        <f>VLOOKUP(B3571,[1]LifeList!$E$2:$I$2036,4)</f>
        <v>Passeriformes</v>
      </c>
      <c r="H3571" s="3" t="str">
        <f>VLOOKUP(B3571,[1]LifeList!$E$2:$I$2036,5)</f>
        <v>Passerellidae (New World Sparrows)</v>
      </c>
    </row>
    <row r="3572" spans="1:8" x14ac:dyDescent="0.15">
      <c r="A3572" s="3" t="s">
        <v>3423</v>
      </c>
      <c r="B3572" s="3" t="s">
        <v>5102</v>
      </c>
      <c r="C3572" s="3">
        <v>33187</v>
      </c>
      <c r="D3572" s="3" t="str">
        <f>VLOOKUP(B3572,[1]LifeList!$E$2:$G$2036,1)</f>
        <v>White-crowned Sparrow</v>
      </c>
      <c r="E3572" s="3" t="str">
        <f>VLOOKUP(B3572,[1]LifeList!$E$2:$G$2036,2)</f>
        <v>Bruant à couronne blanche</v>
      </c>
      <c r="F3572" s="3" t="str">
        <f>VLOOKUP(B3572,[1]LifeList!$E$2:$G$2036,3)</f>
        <v>Zonotrichia leucophrys</v>
      </c>
      <c r="G3572" s="3" t="str">
        <f>VLOOKUP(B3572,[1]LifeList!$E$2:$I$2036,4)</f>
        <v>Passeriformes</v>
      </c>
      <c r="H3572" s="3" t="str">
        <f>VLOOKUP(B3572,[1]LifeList!$E$2:$I$2036,5)</f>
        <v>Passerellidae (New World Sparrows)</v>
      </c>
    </row>
    <row r="3573" spans="1:8" x14ac:dyDescent="0.15">
      <c r="A3573" s="3" t="s">
        <v>3424</v>
      </c>
      <c r="B3573" s="3" t="s">
        <v>5102</v>
      </c>
      <c r="C3573" s="3">
        <v>33187</v>
      </c>
      <c r="D3573" s="3" t="str">
        <f>VLOOKUP(B3573,[1]LifeList!$E$2:$G$2036,1)</f>
        <v>White-crowned Sparrow</v>
      </c>
      <c r="E3573" s="3" t="str">
        <f>VLOOKUP(B3573,[1]LifeList!$E$2:$G$2036,2)</f>
        <v>Bruant à couronne blanche</v>
      </c>
      <c r="F3573" s="3" t="str">
        <f>VLOOKUP(B3573,[1]LifeList!$E$2:$G$2036,3)</f>
        <v>Zonotrichia leucophrys</v>
      </c>
      <c r="G3573" s="3" t="str">
        <f>VLOOKUP(B3573,[1]LifeList!$E$2:$I$2036,4)</f>
        <v>Passeriformes</v>
      </c>
      <c r="H3573" s="3" t="str">
        <f>VLOOKUP(B3573,[1]LifeList!$E$2:$I$2036,5)</f>
        <v>Passerellidae (New World Sparrows)</v>
      </c>
    </row>
    <row r="3574" spans="1:8" x14ac:dyDescent="0.15">
      <c r="A3574" s="3" t="s">
        <v>3425</v>
      </c>
      <c r="B3574" s="3" t="s">
        <v>5102</v>
      </c>
      <c r="C3574" s="3">
        <v>33187</v>
      </c>
      <c r="D3574" s="3" t="str">
        <f>VLOOKUP(B3574,[1]LifeList!$E$2:$G$2036,1)</f>
        <v>White-crowned Sparrow</v>
      </c>
      <c r="E3574" s="3" t="str">
        <f>VLOOKUP(B3574,[1]LifeList!$E$2:$G$2036,2)</f>
        <v>Bruant à couronne blanche</v>
      </c>
      <c r="F3574" s="3" t="str">
        <f>VLOOKUP(B3574,[1]LifeList!$E$2:$G$2036,3)</f>
        <v>Zonotrichia leucophrys</v>
      </c>
      <c r="G3574" s="3" t="str">
        <f>VLOOKUP(B3574,[1]LifeList!$E$2:$I$2036,4)</f>
        <v>Passeriformes</v>
      </c>
      <c r="H3574" s="3" t="str">
        <f>VLOOKUP(B3574,[1]LifeList!$E$2:$I$2036,5)</f>
        <v>Passerellidae (New World Sparrows)</v>
      </c>
    </row>
    <row r="3575" spans="1:8" x14ac:dyDescent="0.15">
      <c r="A3575" s="3" t="s">
        <v>3426</v>
      </c>
      <c r="B3575" s="3" t="s">
        <v>5102</v>
      </c>
      <c r="C3575" s="3">
        <v>33187</v>
      </c>
      <c r="D3575" s="3" t="str">
        <f>VLOOKUP(B3575,[1]LifeList!$E$2:$G$2036,1)</f>
        <v>White-crowned Sparrow</v>
      </c>
      <c r="E3575" s="3" t="str">
        <f>VLOOKUP(B3575,[1]LifeList!$E$2:$G$2036,2)</f>
        <v>Bruant à couronne blanche</v>
      </c>
      <c r="F3575" s="3" t="str">
        <f>VLOOKUP(B3575,[1]LifeList!$E$2:$G$2036,3)</f>
        <v>Zonotrichia leucophrys</v>
      </c>
      <c r="G3575" s="3" t="str">
        <f>VLOOKUP(B3575,[1]LifeList!$E$2:$I$2036,4)</f>
        <v>Passeriformes</v>
      </c>
      <c r="H3575" s="3" t="str">
        <f>VLOOKUP(B3575,[1]LifeList!$E$2:$I$2036,5)</f>
        <v>Passerellidae (New World Sparrows)</v>
      </c>
    </row>
    <row r="3576" spans="1:8" x14ac:dyDescent="0.15">
      <c r="A3576" s="3" t="s">
        <v>3427</v>
      </c>
      <c r="B3576" s="3" t="s">
        <v>5103</v>
      </c>
      <c r="C3576" s="3">
        <v>33358</v>
      </c>
      <c r="D3576" s="3" t="str">
        <f>VLOOKUP(B3576,[1]LifeList!$E$2:$G$2036,1)</f>
        <v>White-eared Ground-Sparrow</v>
      </c>
      <c r="E3576" s="3" t="str">
        <f>VLOOKUP(B3576,[1]LifeList!$E$2:$G$2036,2)</f>
        <v>Tohi oreillard</v>
      </c>
      <c r="F3576" s="3" t="str">
        <f>VLOOKUP(B3576,[1]LifeList!$E$2:$G$2036,3)</f>
        <v>Melozone leucotis</v>
      </c>
      <c r="G3576" s="3" t="str">
        <f>VLOOKUP(B3576,[1]LifeList!$E$2:$I$2036,4)</f>
        <v>Passeriformes</v>
      </c>
      <c r="H3576" s="3" t="str">
        <f>VLOOKUP(B3576,[1]LifeList!$E$2:$I$2036,5)</f>
        <v>Passerellidae (New World Sparrows)</v>
      </c>
    </row>
    <row r="3577" spans="1:8" x14ac:dyDescent="0.15">
      <c r="A3577" s="3" t="s">
        <v>3428</v>
      </c>
      <c r="B3577" s="3" t="s">
        <v>5104</v>
      </c>
      <c r="C3577" s="3">
        <v>18113</v>
      </c>
      <c r="D3577" s="3" t="str">
        <f>VLOOKUP(B3577,[1]LifeList!$E$2:$G$2036,1)</f>
        <v>White-eared Honeyeater</v>
      </c>
      <c r="E3577" s="3" t="str">
        <f>VLOOKUP(B3577,[1]LifeList!$E$2:$G$2036,2)</f>
        <v>Méliphage leucotique</v>
      </c>
      <c r="F3577" s="3" t="str">
        <f>VLOOKUP(B3577,[1]LifeList!$E$2:$G$2036,3)</f>
        <v>Nesoptilotis leucotis</v>
      </c>
      <c r="G3577" s="3" t="str">
        <f>VLOOKUP(B3577,[1]LifeList!$E$2:$I$2036,4)</f>
        <v>Passeriformes</v>
      </c>
      <c r="H3577" s="3" t="str">
        <f>VLOOKUP(B3577,[1]LifeList!$E$2:$I$2036,5)</f>
        <v>Meliphagidae (Honeyeaters)</v>
      </c>
    </row>
    <row r="3578" spans="1:8" x14ac:dyDescent="0.15">
      <c r="A3578" s="3" t="s">
        <v>3429</v>
      </c>
      <c r="B3578" s="3" t="s">
        <v>5105</v>
      </c>
      <c r="C3578" s="3">
        <v>19165</v>
      </c>
      <c r="D3578" s="3" t="str">
        <f>VLOOKUP(B3578,[1]LifeList!$E$2:$G$2036,1)</f>
        <v>White-eyed Vireo</v>
      </c>
      <c r="E3578" s="3" t="str">
        <f>VLOOKUP(B3578,[1]LifeList!$E$2:$G$2036,2)</f>
        <v>Viréo aux yeux blancs</v>
      </c>
      <c r="F3578" s="3" t="str">
        <f>VLOOKUP(B3578,[1]LifeList!$E$2:$G$2036,3)</f>
        <v>Vireo griseus</v>
      </c>
      <c r="G3578" s="3" t="str">
        <f>VLOOKUP(B3578,[1]LifeList!$E$2:$I$2036,4)</f>
        <v>Passeriformes</v>
      </c>
      <c r="H3578" s="3" t="str">
        <f>VLOOKUP(B3578,[1]LifeList!$E$2:$I$2036,5)</f>
        <v>Vireonidae (Vireos, Shrike-Babblers, and Erpornis)</v>
      </c>
    </row>
    <row r="3579" spans="1:8" x14ac:dyDescent="0.15">
      <c r="A3579" s="3" t="s">
        <v>3430</v>
      </c>
      <c r="B3579" s="3" t="s">
        <v>5105</v>
      </c>
      <c r="C3579" s="3">
        <v>19165</v>
      </c>
      <c r="D3579" s="3" t="str">
        <f>VLOOKUP(B3579,[1]LifeList!$E$2:$G$2036,1)</f>
        <v>White-eyed Vireo</v>
      </c>
      <c r="E3579" s="3" t="str">
        <f>VLOOKUP(B3579,[1]LifeList!$E$2:$G$2036,2)</f>
        <v>Viréo aux yeux blancs</v>
      </c>
      <c r="F3579" s="3" t="str">
        <f>VLOOKUP(B3579,[1]LifeList!$E$2:$G$2036,3)</f>
        <v>Vireo griseus</v>
      </c>
      <c r="G3579" s="3" t="str">
        <f>VLOOKUP(B3579,[1]LifeList!$E$2:$I$2036,4)</f>
        <v>Passeriformes</v>
      </c>
      <c r="H3579" s="3" t="str">
        <f>VLOOKUP(B3579,[1]LifeList!$E$2:$I$2036,5)</f>
        <v>Vireonidae (Vireos, Shrike-Babblers, and Erpornis)</v>
      </c>
    </row>
    <row r="3580" spans="1:8" x14ac:dyDescent="0.15">
      <c r="A3580" s="3" t="s">
        <v>3431</v>
      </c>
      <c r="B3580" s="3" t="s">
        <v>5105</v>
      </c>
      <c r="C3580" s="3">
        <v>19165</v>
      </c>
      <c r="D3580" s="3" t="str">
        <f>VLOOKUP(B3580,[1]LifeList!$E$2:$G$2036,1)</f>
        <v>White-eyed Vireo</v>
      </c>
      <c r="E3580" s="3" t="str">
        <f>VLOOKUP(B3580,[1]LifeList!$E$2:$G$2036,2)</f>
        <v>Viréo aux yeux blancs</v>
      </c>
      <c r="F3580" s="3" t="str">
        <f>VLOOKUP(B3580,[1]LifeList!$E$2:$G$2036,3)</f>
        <v>Vireo griseus</v>
      </c>
      <c r="G3580" s="3" t="str">
        <f>VLOOKUP(B3580,[1]LifeList!$E$2:$I$2036,4)</f>
        <v>Passeriformes</v>
      </c>
      <c r="H3580" s="3" t="str">
        <f>VLOOKUP(B3580,[1]LifeList!$E$2:$I$2036,5)</f>
        <v>Vireonidae (Vireos, Shrike-Babblers, and Erpornis)</v>
      </c>
    </row>
    <row r="3581" spans="1:8" x14ac:dyDescent="0.15">
      <c r="A3581" s="3" t="s">
        <v>3432</v>
      </c>
      <c r="B3581" s="3" t="s">
        <v>5105</v>
      </c>
      <c r="C3581" s="3">
        <v>19165</v>
      </c>
      <c r="D3581" s="3" t="str">
        <f>VLOOKUP(B3581,[1]LifeList!$E$2:$G$2036,1)</f>
        <v>White-eyed Vireo</v>
      </c>
      <c r="E3581" s="3" t="str">
        <f>VLOOKUP(B3581,[1]LifeList!$E$2:$G$2036,2)</f>
        <v>Viréo aux yeux blancs</v>
      </c>
      <c r="F3581" s="3" t="str">
        <f>VLOOKUP(B3581,[1]LifeList!$E$2:$G$2036,3)</f>
        <v>Vireo griseus</v>
      </c>
      <c r="G3581" s="3" t="str">
        <f>VLOOKUP(B3581,[1]LifeList!$E$2:$I$2036,4)</f>
        <v>Passeriformes</v>
      </c>
      <c r="H3581" s="3" t="str">
        <f>VLOOKUP(B3581,[1]LifeList!$E$2:$I$2036,5)</f>
        <v>Vireonidae (Vireos, Shrike-Babblers, and Erpornis)</v>
      </c>
    </row>
    <row r="3582" spans="1:8" x14ac:dyDescent="0.15">
      <c r="A3582" s="3" t="s">
        <v>3433</v>
      </c>
      <c r="B3582" s="3" t="s">
        <v>5105</v>
      </c>
      <c r="C3582" s="3">
        <v>19165</v>
      </c>
      <c r="D3582" s="3" t="str">
        <f>VLOOKUP(B3582,[1]LifeList!$E$2:$G$2036,1)</f>
        <v>White-eyed Vireo</v>
      </c>
      <c r="E3582" s="3" t="str">
        <f>VLOOKUP(B3582,[1]LifeList!$E$2:$G$2036,2)</f>
        <v>Viréo aux yeux blancs</v>
      </c>
      <c r="F3582" s="3" t="str">
        <f>VLOOKUP(B3582,[1]LifeList!$E$2:$G$2036,3)</f>
        <v>Vireo griseus</v>
      </c>
      <c r="G3582" s="3" t="str">
        <f>VLOOKUP(B3582,[1]LifeList!$E$2:$I$2036,4)</f>
        <v>Passeriformes</v>
      </c>
      <c r="H3582" s="3" t="str">
        <f>VLOOKUP(B3582,[1]LifeList!$E$2:$I$2036,5)</f>
        <v>Vireonidae (Vireos, Shrike-Babblers, and Erpornis)</v>
      </c>
    </row>
    <row r="3583" spans="1:8" x14ac:dyDescent="0.15">
      <c r="A3583" s="3" t="s">
        <v>3434</v>
      </c>
      <c r="B3583" s="3" t="s">
        <v>5105</v>
      </c>
      <c r="C3583" s="3">
        <v>19165</v>
      </c>
      <c r="D3583" s="3" t="str">
        <f>VLOOKUP(B3583,[1]LifeList!$E$2:$G$2036,1)</f>
        <v>White-eyed Vireo</v>
      </c>
      <c r="E3583" s="3" t="str">
        <f>VLOOKUP(B3583,[1]LifeList!$E$2:$G$2036,2)</f>
        <v>Viréo aux yeux blancs</v>
      </c>
      <c r="F3583" s="3" t="str">
        <f>VLOOKUP(B3583,[1]LifeList!$E$2:$G$2036,3)</f>
        <v>Vireo griseus</v>
      </c>
      <c r="G3583" s="3" t="str">
        <f>VLOOKUP(B3583,[1]LifeList!$E$2:$I$2036,4)</f>
        <v>Passeriformes</v>
      </c>
      <c r="H3583" s="3" t="str">
        <f>VLOOKUP(B3583,[1]LifeList!$E$2:$I$2036,5)</f>
        <v>Vireonidae (Vireos, Shrike-Babblers, and Erpornis)</v>
      </c>
    </row>
    <row r="3584" spans="1:8" x14ac:dyDescent="0.15">
      <c r="A3584" s="3" t="s">
        <v>3435</v>
      </c>
      <c r="B3584" s="3" t="s">
        <v>5105</v>
      </c>
      <c r="C3584" s="3">
        <v>19165</v>
      </c>
      <c r="D3584" s="3" t="str">
        <f>VLOOKUP(B3584,[1]LifeList!$E$2:$G$2036,1)</f>
        <v>White-eyed Vireo</v>
      </c>
      <c r="E3584" s="3" t="str">
        <f>VLOOKUP(B3584,[1]LifeList!$E$2:$G$2036,2)</f>
        <v>Viréo aux yeux blancs</v>
      </c>
      <c r="F3584" s="3" t="str">
        <f>VLOOKUP(B3584,[1]LifeList!$E$2:$G$2036,3)</f>
        <v>Vireo griseus</v>
      </c>
      <c r="G3584" s="3" t="str">
        <f>VLOOKUP(B3584,[1]LifeList!$E$2:$I$2036,4)</f>
        <v>Passeriformes</v>
      </c>
      <c r="H3584" s="3" t="str">
        <f>VLOOKUP(B3584,[1]LifeList!$E$2:$I$2036,5)</f>
        <v>Vireonidae (Vireos, Shrike-Babblers, and Erpornis)</v>
      </c>
    </row>
    <row r="3585" spans="1:8" x14ac:dyDescent="0.15">
      <c r="A3585" s="3" t="s">
        <v>3436</v>
      </c>
      <c r="B3585" s="3" t="s">
        <v>5105</v>
      </c>
      <c r="C3585" s="3">
        <v>19165</v>
      </c>
      <c r="D3585" s="3" t="str">
        <f>VLOOKUP(B3585,[1]LifeList!$E$2:$G$2036,1)</f>
        <v>White-eyed Vireo</v>
      </c>
      <c r="E3585" s="3" t="str">
        <f>VLOOKUP(B3585,[1]LifeList!$E$2:$G$2036,2)</f>
        <v>Viréo aux yeux blancs</v>
      </c>
      <c r="F3585" s="3" t="str">
        <f>VLOOKUP(B3585,[1]LifeList!$E$2:$G$2036,3)</f>
        <v>Vireo griseus</v>
      </c>
      <c r="G3585" s="3" t="str">
        <f>VLOOKUP(B3585,[1]LifeList!$E$2:$I$2036,4)</f>
        <v>Passeriformes</v>
      </c>
      <c r="H3585" s="3" t="str">
        <f>VLOOKUP(B3585,[1]LifeList!$E$2:$I$2036,5)</f>
        <v>Vireonidae (Vireos, Shrike-Babblers, and Erpornis)</v>
      </c>
    </row>
    <row r="3586" spans="1:8" x14ac:dyDescent="0.15">
      <c r="A3586" s="3" t="s">
        <v>3437</v>
      </c>
      <c r="B3586" s="3" t="s">
        <v>5105</v>
      </c>
      <c r="C3586" s="3">
        <v>19165</v>
      </c>
      <c r="D3586" s="3" t="str">
        <f>VLOOKUP(B3586,[1]LifeList!$E$2:$G$2036,1)</f>
        <v>White-eyed Vireo</v>
      </c>
      <c r="E3586" s="3" t="str">
        <f>VLOOKUP(B3586,[1]LifeList!$E$2:$G$2036,2)</f>
        <v>Viréo aux yeux blancs</v>
      </c>
      <c r="F3586" s="3" t="str">
        <f>VLOOKUP(B3586,[1]LifeList!$E$2:$G$2036,3)</f>
        <v>Vireo griseus</v>
      </c>
      <c r="G3586" s="3" t="str">
        <f>VLOOKUP(B3586,[1]LifeList!$E$2:$I$2036,4)</f>
        <v>Passeriformes</v>
      </c>
      <c r="H3586" s="3" t="str">
        <f>VLOOKUP(B3586,[1]LifeList!$E$2:$I$2036,5)</f>
        <v>Vireonidae (Vireos, Shrike-Babblers, and Erpornis)</v>
      </c>
    </row>
    <row r="3587" spans="1:8" x14ac:dyDescent="0.15">
      <c r="A3587" s="3" t="s">
        <v>3438</v>
      </c>
      <c r="B3587" s="3" t="s">
        <v>5106</v>
      </c>
      <c r="C3587" s="3">
        <v>7661</v>
      </c>
      <c r="D3587" s="3" t="str">
        <f>VLOOKUP(B3587,[1]LifeList!$E$2:$G$2036,1)</f>
        <v>White-faced Heron</v>
      </c>
      <c r="E3587" s="3" t="str">
        <f>VLOOKUP(B3587,[1]LifeList!$E$2:$G$2036,2)</f>
        <v>Aigrette à face blanche</v>
      </c>
      <c r="F3587" s="3" t="str">
        <f>VLOOKUP(B3587,[1]LifeList!$E$2:$G$2036,3)</f>
        <v>Egretta novaehollandiae</v>
      </c>
      <c r="G3587" s="3" t="str">
        <f>VLOOKUP(B3587,[1]LifeList!$E$2:$I$2036,4)</f>
        <v>Pelecaniformes</v>
      </c>
      <c r="H3587" s="3" t="str">
        <f>VLOOKUP(B3587,[1]LifeList!$E$2:$I$2036,5)</f>
        <v>Ardeidae (Herons, Egrets, and Bitterns)</v>
      </c>
    </row>
    <row r="3588" spans="1:8" x14ac:dyDescent="0.15">
      <c r="A3588" s="3" t="s">
        <v>3439</v>
      </c>
      <c r="B3588" s="3" t="s">
        <v>5106</v>
      </c>
      <c r="C3588" s="3">
        <v>7661</v>
      </c>
      <c r="D3588" s="3" t="str">
        <f>VLOOKUP(B3588,[1]LifeList!$E$2:$G$2036,1)</f>
        <v>White-faced Heron</v>
      </c>
      <c r="E3588" s="3" t="str">
        <f>VLOOKUP(B3588,[1]LifeList!$E$2:$G$2036,2)</f>
        <v>Aigrette à face blanche</v>
      </c>
      <c r="F3588" s="3" t="str">
        <f>VLOOKUP(B3588,[1]LifeList!$E$2:$G$2036,3)</f>
        <v>Egretta novaehollandiae</v>
      </c>
      <c r="G3588" s="3" t="str">
        <f>VLOOKUP(B3588,[1]LifeList!$E$2:$I$2036,4)</f>
        <v>Pelecaniformes</v>
      </c>
      <c r="H3588" s="3" t="str">
        <f>VLOOKUP(B3588,[1]LifeList!$E$2:$I$2036,5)</f>
        <v>Ardeidae (Herons, Egrets, and Bitterns)</v>
      </c>
    </row>
    <row r="3589" spans="1:8" x14ac:dyDescent="0.15">
      <c r="A3589" s="3" t="s">
        <v>3936</v>
      </c>
      <c r="B3589" s="3" t="s">
        <v>5106</v>
      </c>
      <c r="C3589" s="3">
        <v>7661</v>
      </c>
      <c r="D3589" s="3" t="str">
        <f>VLOOKUP(B3589,[1]LifeList!$E$2:$G$2036,1)</f>
        <v>White-faced Heron</v>
      </c>
      <c r="E3589" s="3" t="str">
        <f>VLOOKUP(B3589,[1]LifeList!$E$2:$G$2036,2)</f>
        <v>Aigrette à face blanche</v>
      </c>
      <c r="F3589" s="3" t="str">
        <f>VLOOKUP(B3589,[1]LifeList!$E$2:$G$2036,3)</f>
        <v>Egretta novaehollandiae</v>
      </c>
      <c r="G3589" s="3" t="str">
        <f>VLOOKUP(B3589,[1]LifeList!$E$2:$I$2036,4)</f>
        <v>Pelecaniformes</v>
      </c>
      <c r="H3589" s="3" t="str">
        <f>VLOOKUP(B3589,[1]LifeList!$E$2:$I$2036,5)</f>
        <v>Ardeidae (Herons, Egrets, and Bitterns)</v>
      </c>
    </row>
    <row r="3590" spans="1:8" x14ac:dyDescent="0.15">
      <c r="A3590" s="3" t="s">
        <v>3444</v>
      </c>
      <c r="B3590" s="3" t="s">
        <v>5106</v>
      </c>
      <c r="C3590" s="3">
        <v>7661</v>
      </c>
      <c r="D3590" s="3" t="str">
        <f>VLOOKUP(B3590,[1]LifeList!$E$2:$G$2036,1)</f>
        <v>White-faced Heron</v>
      </c>
      <c r="E3590" s="3" t="str">
        <f>VLOOKUP(B3590,[1]LifeList!$E$2:$G$2036,2)</f>
        <v>Aigrette à face blanche</v>
      </c>
      <c r="F3590" s="3" t="str">
        <f>VLOOKUP(B3590,[1]LifeList!$E$2:$G$2036,3)</f>
        <v>Egretta novaehollandiae</v>
      </c>
      <c r="G3590" s="3" t="str">
        <f>VLOOKUP(B3590,[1]LifeList!$E$2:$I$2036,4)</f>
        <v>Pelecaniformes</v>
      </c>
      <c r="H3590" s="3" t="str">
        <f>VLOOKUP(B3590,[1]LifeList!$E$2:$I$2036,5)</f>
        <v>Ardeidae (Herons, Egrets, and Bitterns)</v>
      </c>
    </row>
    <row r="3591" spans="1:8" x14ac:dyDescent="0.15">
      <c r="A3591" s="3" t="s">
        <v>3440</v>
      </c>
      <c r="B3591" s="3" t="s">
        <v>5107</v>
      </c>
      <c r="C3591" s="3">
        <v>240</v>
      </c>
      <c r="D3591" s="3" t="str">
        <f>VLOOKUP(B3591,[1]LifeList!$E$2:$G$2036,1)</f>
        <v>White-faced Whistling-Duck</v>
      </c>
      <c r="E3591" s="3" t="str">
        <f>VLOOKUP(B3591,[1]LifeList!$E$2:$G$2036,2)</f>
        <v>Dendrocygne veuf</v>
      </c>
      <c r="F3591" s="3" t="str">
        <f>VLOOKUP(B3591,[1]LifeList!$E$2:$G$2036,3)</f>
        <v>Dendrocygna viduata</v>
      </c>
      <c r="G3591" s="3" t="str">
        <f>VLOOKUP(B3591,[1]LifeList!$E$2:$I$2036,4)</f>
        <v>Anseriformes</v>
      </c>
      <c r="H3591" s="3" t="str">
        <f>VLOOKUP(B3591,[1]LifeList!$E$2:$I$2036,5)</f>
        <v>Anatidae (Ducks, Geese, and Waterfowl)</v>
      </c>
    </row>
    <row r="3592" spans="1:8" x14ac:dyDescent="0.15">
      <c r="A3592" s="3" t="s">
        <v>3441</v>
      </c>
      <c r="B3592" s="3" t="s">
        <v>5107</v>
      </c>
      <c r="C3592" s="3">
        <v>240</v>
      </c>
      <c r="D3592" s="3" t="str">
        <f>VLOOKUP(B3592,[1]LifeList!$E$2:$G$2036,1)</f>
        <v>White-faced Whistling-Duck</v>
      </c>
      <c r="E3592" s="3" t="str">
        <f>VLOOKUP(B3592,[1]LifeList!$E$2:$G$2036,2)</f>
        <v>Dendrocygne veuf</v>
      </c>
      <c r="F3592" s="3" t="str">
        <f>VLOOKUP(B3592,[1]LifeList!$E$2:$G$2036,3)</f>
        <v>Dendrocygna viduata</v>
      </c>
      <c r="G3592" s="3" t="str">
        <f>VLOOKUP(B3592,[1]LifeList!$E$2:$I$2036,4)</f>
        <v>Anseriformes</v>
      </c>
      <c r="H3592" s="3" t="str">
        <f>VLOOKUP(B3592,[1]LifeList!$E$2:$I$2036,5)</f>
        <v>Anatidae (Ducks, Geese, and Waterfowl)</v>
      </c>
    </row>
    <row r="3593" spans="1:8" x14ac:dyDescent="0.15">
      <c r="A3593" s="3" t="s">
        <v>3442</v>
      </c>
      <c r="B3593" s="3" t="s">
        <v>5107</v>
      </c>
      <c r="C3593" s="3">
        <v>240</v>
      </c>
      <c r="D3593" s="3" t="str">
        <f>VLOOKUP(B3593,[1]LifeList!$E$2:$G$2036,1)</f>
        <v>White-faced Whistling-Duck</v>
      </c>
      <c r="E3593" s="3" t="str">
        <f>VLOOKUP(B3593,[1]LifeList!$E$2:$G$2036,2)</f>
        <v>Dendrocygne veuf</v>
      </c>
      <c r="F3593" s="3" t="str">
        <f>VLOOKUP(B3593,[1]LifeList!$E$2:$G$2036,3)</f>
        <v>Dendrocygna viduata</v>
      </c>
      <c r="G3593" s="3" t="str">
        <f>VLOOKUP(B3593,[1]LifeList!$E$2:$I$2036,4)</f>
        <v>Anseriformes</v>
      </c>
      <c r="H3593" s="3" t="str">
        <f>VLOOKUP(B3593,[1]LifeList!$E$2:$I$2036,5)</f>
        <v>Anatidae (Ducks, Geese, and Waterfowl)</v>
      </c>
    </row>
    <row r="3594" spans="1:8" x14ac:dyDescent="0.15">
      <c r="A3594" s="3" t="s">
        <v>3443</v>
      </c>
      <c r="B3594" s="3" t="s">
        <v>5107</v>
      </c>
      <c r="C3594" s="3">
        <v>240</v>
      </c>
      <c r="D3594" s="3" t="str">
        <f>VLOOKUP(B3594,[1]LifeList!$E$2:$G$2036,1)</f>
        <v>White-faced Whistling-Duck</v>
      </c>
      <c r="E3594" s="3" t="str">
        <f>VLOOKUP(B3594,[1]LifeList!$E$2:$G$2036,2)</f>
        <v>Dendrocygne veuf</v>
      </c>
      <c r="F3594" s="3" t="str">
        <f>VLOOKUP(B3594,[1]LifeList!$E$2:$G$2036,3)</f>
        <v>Dendrocygna viduata</v>
      </c>
      <c r="G3594" s="3" t="str">
        <f>VLOOKUP(B3594,[1]LifeList!$E$2:$I$2036,4)</f>
        <v>Anseriformes</v>
      </c>
      <c r="H3594" s="3" t="str">
        <f>VLOOKUP(B3594,[1]LifeList!$E$2:$I$2036,5)</f>
        <v>Anatidae (Ducks, Geese, and Waterfowl)</v>
      </c>
    </row>
    <row r="3595" spans="1:8" x14ac:dyDescent="0.15">
      <c r="A3595" s="3" t="s">
        <v>3445</v>
      </c>
      <c r="B3595" s="3" t="s">
        <v>5108</v>
      </c>
      <c r="C3595" s="3">
        <v>12943</v>
      </c>
      <c r="D3595" s="3" t="str">
        <f>VLOOKUP(B3595,[1]LifeList!$E$2:$G$2036,1)</f>
        <v>White-fronted Amazon</v>
      </c>
      <c r="E3595" s="3" t="str">
        <f>VLOOKUP(B3595,[1]LifeList!$E$2:$G$2036,2)</f>
        <v>Amazone à front blanc</v>
      </c>
      <c r="F3595" s="3" t="str">
        <f>VLOOKUP(B3595,[1]LifeList!$E$2:$G$2036,3)</f>
        <v>Amazona albifrons</v>
      </c>
      <c r="G3595" s="3" t="str">
        <f>VLOOKUP(B3595,[1]LifeList!$E$2:$I$2036,4)</f>
        <v>Psittaciformes</v>
      </c>
      <c r="H3595" s="3" t="str">
        <f>VLOOKUP(B3595,[1]LifeList!$E$2:$I$2036,5)</f>
        <v>Psittacidae (New World and African Parrots)</v>
      </c>
    </row>
    <row r="3596" spans="1:8" x14ac:dyDescent="0.15">
      <c r="A3596" s="3" t="s">
        <v>3446</v>
      </c>
      <c r="B3596" s="3" t="s">
        <v>5109</v>
      </c>
      <c r="C3596" s="3">
        <v>9780</v>
      </c>
      <c r="D3596" s="3" t="str">
        <f>VLOOKUP(B3596,[1]LifeList!$E$2:$G$2036,1)</f>
        <v>White-fronted Bee-eater</v>
      </c>
      <c r="E3596" s="3" t="str">
        <f>VLOOKUP(B3596,[1]LifeList!$E$2:$G$2036,2)</f>
        <v>Guêpier à front blanc</v>
      </c>
      <c r="F3596" s="3" t="str">
        <f>VLOOKUP(B3596,[1]LifeList!$E$2:$G$2036,3)</f>
        <v>Merops bullockoides</v>
      </c>
      <c r="G3596" s="3" t="str">
        <f>VLOOKUP(B3596,[1]LifeList!$E$2:$I$2036,4)</f>
        <v>Coraciiformes</v>
      </c>
      <c r="H3596" s="3" t="str">
        <f>VLOOKUP(B3596,[1]LifeList!$E$2:$I$2036,5)</f>
        <v>Meropidae (Bee-eaters)</v>
      </c>
    </row>
    <row r="3597" spans="1:8" x14ac:dyDescent="0.15">
      <c r="A3597" s="3" t="s">
        <v>3447</v>
      </c>
      <c r="B3597" s="3" t="s">
        <v>5110</v>
      </c>
      <c r="C3597" s="3">
        <v>17915</v>
      </c>
      <c r="D3597" s="3" t="str">
        <f>VLOOKUP(B3597,[1]LifeList!$E$2:$G$2036,1)</f>
        <v>White-fronted Chat</v>
      </c>
      <c r="E3597" s="3" t="str">
        <f>VLOOKUP(B3597,[1]LifeList!$E$2:$G$2036,2)</f>
        <v>Epthianure à front blanc</v>
      </c>
      <c r="F3597" s="3" t="str">
        <f>VLOOKUP(B3597,[1]LifeList!$E$2:$G$2036,3)</f>
        <v>Epthianura albifrons</v>
      </c>
      <c r="G3597" s="3" t="str">
        <f>VLOOKUP(B3597,[1]LifeList!$E$2:$I$2036,4)</f>
        <v>Passeriformes</v>
      </c>
      <c r="H3597" s="3" t="str">
        <f>VLOOKUP(B3597,[1]LifeList!$E$2:$I$2036,5)</f>
        <v>Meliphagidae (Honeyeaters)</v>
      </c>
    </row>
    <row r="3598" spans="1:8" x14ac:dyDescent="0.15">
      <c r="A3598" s="3" t="s">
        <v>3448</v>
      </c>
      <c r="B3598" s="3" t="s">
        <v>5111</v>
      </c>
      <c r="C3598" s="3">
        <v>5948</v>
      </c>
      <c r="D3598" s="3" t="str">
        <f>VLOOKUP(B3598,[1]LifeList!$E$2:$G$2036,1)</f>
        <v>White-fronted Plover</v>
      </c>
      <c r="E3598" s="3" t="str">
        <f>VLOOKUP(B3598,[1]LifeList!$E$2:$G$2036,2)</f>
        <v>Pluvier à front blanc</v>
      </c>
      <c r="F3598" s="3" t="str">
        <f>VLOOKUP(B3598,[1]LifeList!$E$2:$G$2036,3)</f>
        <v>Anarhynchus marginatus</v>
      </c>
      <c r="G3598" s="3" t="str">
        <f>VLOOKUP(B3598,[1]LifeList!$E$2:$I$2036,4)</f>
        <v>Charadriiformes</v>
      </c>
      <c r="H3598" s="3" t="str">
        <f>VLOOKUP(B3598,[1]LifeList!$E$2:$I$2036,5)</f>
        <v>Charadriidae (Plovers and Lapwings)</v>
      </c>
    </row>
    <row r="3599" spans="1:8" x14ac:dyDescent="0.15">
      <c r="A3599" s="3" t="s">
        <v>3449</v>
      </c>
      <c r="B3599" s="3" t="s">
        <v>5111</v>
      </c>
      <c r="C3599" s="3">
        <v>5948</v>
      </c>
      <c r="D3599" s="3" t="str">
        <f>VLOOKUP(B3599,[1]LifeList!$E$2:$G$2036,1)</f>
        <v>White-fronted Plover</v>
      </c>
      <c r="E3599" s="3" t="str">
        <f>VLOOKUP(B3599,[1]LifeList!$E$2:$G$2036,2)</f>
        <v>Pluvier à front blanc</v>
      </c>
      <c r="F3599" s="3" t="str">
        <f>VLOOKUP(B3599,[1]LifeList!$E$2:$G$2036,3)</f>
        <v>Anarhynchus marginatus</v>
      </c>
      <c r="G3599" s="3" t="str">
        <f>VLOOKUP(B3599,[1]LifeList!$E$2:$I$2036,4)</f>
        <v>Charadriiformes</v>
      </c>
      <c r="H3599" s="3" t="str">
        <f>VLOOKUP(B3599,[1]LifeList!$E$2:$I$2036,5)</f>
        <v>Charadriidae (Plovers and Lapwings)</v>
      </c>
    </row>
    <row r="3600" spans="1:8" x14ac:dyDescent="0.15">
      <c r="A3600" s="3" t="s">
        <v>3450</v>
      </c>
      <c r="B3600" s="3" t="s">
        <v>5112</v>
      </c>
      <c r="C3600" s="3">
        <v>30709</v>
      </c>
      <c r="D3600" s="3" t="str">
        <f>VLOOKUP(B3600,[1]LifeList!$E$2:$G$2036,1)</f>
        <v>White-headed Buffalo-Weaver</v>
      </c>
      <c r="E3600" s="3" t="str">
        <f>VLOOKUP(B3600,[1]LifeList!$E$2:$G$2036,2)</f>
        <v>Alecto à tête blanche</v>
      </c>
      <c r="F3600" s="3" t="str">
        <f>VLOOKUP(B3600,[1]LifeList!$E$2:$G$2036,3)</f>
        <v>Dinemellia dinemelli</v>
      </c>
      <c r="G3600" s="3" t="str">
        <f>VLOOKUP(B3600,[1]LifeList!$E$2:$I$2036,4)</f>
        <v>Passeriformes</v>
      </c>
      <c r="H3600" s="3" t="str">
        <f>VLOOKUP(B3600,[1]LifeList!$E$2:$I$2036,5)</f>
        <v>Ploceidae (Weavers and Allies)</v>
      </c>
    </row>
    <row r="3601" spans="1:8" x14ac:dyDescent="0.15">
      <c r="A3601" s="3" t="s">
        <v>3452</v>
      </c>
      <c r="B3601" s="3" t="s">
        <v>3798</v>
      </c>
      <c r="C3601" s="3">
        <v>17159</v>
      </c>
      <c r="D3601" s="3" t="str">
        <f>VLOOKUP(B3601,[1]LifeList!$E$2:$G$2036,1)</f>
        <v>White-headed Marsh Tyrant</v>
      </c>
      <c r="E3601" s="3" t="str">
        <f>VLOOKUP(B3601,[1]LifeList!$E$2:$G$2036,2)</f>
        <v>Moucherolle à tête blanche</v>
      </c>
      <c r="F3601" s="3" t="str">
        <f>VLOOKUP(B3601,[1]LifeList!$E$2:$G$2036,3)</f>
        <v>Arundinicola leucocephala</v>
      </c>
      <c r="G3601" s="3" t="str">
        <f>VLOOKUP(B3601,[1]LifeList!$E$2:$I$2036,4)</f>
        <v>Passeriformes</v>
      </c>
      <c r="H3601" s="3" t="str">
        <f>VLOOKUP(B3601,[1]LifeList!$E$2:$I$2036,5)</f>
        <v>Tyrannidae (Tyrant Flycatchers)</v>
      </c>
    </row>
    <row r="3602" spans="1:8" x14ac:dyDescent="0.15">
      <c r="A3602" s="3" t="s">
        <v>3451</v>
      </c>
      <c r="B3602" s="3" t="s">
        <v>3798</v>
      </c>
      <c r="C3602" s="3">
        <v>17159</v>
      </c>
      <c r="D3602" s="3" t="str">
        <f>VLOOKUP(B3602,[1]LifeList!$E$2:$G$2036,1)</f>
        <v>White-headed Marsh Tyrant</v>
      </c>
      <c r="E3602" s="3" t="str">
        <f>VLOOKUP(B3602,[1]LifeList!$E$2:$G$2036,2)</f>
        <v>Moucherolle à tête blanche</v>
      </c>
      <c r="F3602" s="3" t="str">
        <f>VLOOKUP(B3602,[1]LifeList!$E$2:$G$2036,3)</f>
        <v>Arundinicola leucocephala</v>
      </c>
      <c r="G3602" s="3" t="str">
        <f>VLOOKUP(B3602,[1]LifeList!$E$2:$I$2036,4)</f>
        <v>Passeriformes</v>
      </c>
      <c r="H3602" s="3" t="str">
        <f>VLOOKUP(B3602,[1]LifeList!$E$2:$I$2036,5)</f>
        <v>Tyrannidae (Tyrant Flycatchers)</v>
      </c>
    </row>
    <row r="3603" spans="1:8" x14ac:dyDescent="0.15">
      <c r="A3603" s="3" t="s">
        <v>3453</v>
      </c>
      <c r="B3603" s="3" t="s">
        <v>5113</v>
      </c>
      <c r="C3603" s="3">
        <v>27380</v>
      </c>
      <c r="D3603" s="3" t="str">
        <f>VLOOKUP(B3603,[1]LifeList!$E$2:$G$2036,1)</f>
        <v>White-headed Wren</v>
      </c>
      <c r="E3603" s="3" t="str">
        <f>VLOOKUP(B3603,[1]LifeList!$E$2:$G$2036,2)</f>
        <v>Troglodyte à tête blanche</v>
      </c>
      <c r="F3603" s="3" t="str">
        <f>VLOOKUP(B3603,[1]LifeList!$E$2:$G$2036,3)</f>
        <v>Campylorhynchus albobrunneus</v>
      </c>
      <c r="G3603" s="3" t="str">
        <f>VLOOKUP(B3603,[1]LifeList!$E$2:$I$2036,4)</f>
        <v>Passeriformes</v>
      </c>
      <c r="H3603" s="3" t="str">
        <f>VLOOKUP(B3603,[1]LifeList!$E$2:$I$2036,5)</f>
        <v>Troglodytidae (Wrens)</v>
      </c>
    </row>
    <row r="3604" spans="1:8" x14ac:dyDescent="0.15">
      <c r="A3604" s="3" t="s">
        <v>3454</v>
      </c>
      <c r="B3604" s="3" t="s">
        <v>5114</v>
      </c>
      <c r="C3604" s="3">
        <v>34777</v>
      </c>
      <c r="D3604" s="3" t="str">
        <f>VLOOKUP(B3604,[1]LifeList!$E$2:$G$2036,1)</f>
        <v>White-lined Tanager</v>
      </c>
      <c r="E3604" s="3" t="str">
        <f>VLOOKUP(B3604,[1]LifeList!$E$2:$G$2036,2)</f>
        <v>Tangara à galons blancs</v>
      </c>
      <c r="F3604" s="3" t="str">
        <f>VLOOKUP(B3604,[1]LifeList!$E$2:$G$2036,3)</f>
        <v>Tachyphonus rufus</v>
      </c>
      <c r="G3604" s="3" t="str">
        <f>VLOOKUP(B3604,[1]LifeList!$E$2:$I$2036,4)</f>
        <v>Passeriformes</v>
      </c>
      <c r="H3604" s="3" t="str">
        <f>VLOOKUP(B3604,[1]LifeList!$E$2:$I$2036,5)</f>
        <v>Thraupidae (Tanagers and Allies)</v>
      </c>
    </row>
    <row r="3605" spans="1:8" x14ac:dyDescent="0.15">
      <c r="A3605" s="3" t="s">
        <v>3455</v>
      </c>
      <c r="B3605" s="3" t="s">
        <v>5114</v>
      </c>
      <c r="C3605" s="3">
        <v>34777</v>
      </c>
      <c r="D3605" s="3" t="str">
        <f>VLOOKUP(B3605,[1]LifeList!$E$2:$G$2036,1)</f>
        <v>White-lined Tanager</v>
      </c>
      <c r="E3605" s="3" t="str">
        <f>VLOOKUP(B3605,[1]LifeList!$E$2:$G$2036,2)</f>
        <v>Tangara à galons blancs</v>
      </c>
      <c r="F3605" s="3" t="str">
        <f>VLOOKUP(B3605,[1]LifeList!$E$2:$G$2036,3)</f>
        <v>Tachyphonus rufus</v>
      </c>
      <c r="G3605" s="3" t="str">
        <f>VLOOKUP(B3605,[1]LifeList!$E$2:$I$2036,4)</f>
        <v>Passeriformes</v>
      </c>
      <c r="H3605" s="3" t="str">
        <f>VLOOKUP(B3605,[1]LifeList!$E$2:$I$2036,5)</f>
        <v>Thraupidae (Tanagers and Allies)</v>
      </c>
    </row>
    <row r="3606" spans="1:8" x14ac:dyDescent="0.15">
      <c r="A3606" s="3" t="s">
        <v>3456</v>
      </c>
      <c r="B3606" s="3" t="s">
        <v>5114</v>
      </c>
      <c r="C3606" s="3">
        <v>34777</v>
      </c>
      <c r="D3606" s="3" t="str">
        <f>VLOOKUP(B3606,[1]LifeList!$E$2:$G$2036,1)</f>
        <v>White-lined Tanager</v>
      </c>
      <c r="E3606" s="3" t="str">
        <f>VLOOKUP(B3606,[1]LifeList!$E$2:$G$2036,2)</f>
        <v>Tangara à galons blancs</v>
      </c>
      <c r="F3606" s="3" t="str">
        <f>VLOOKUP(B3606,[1]LifeList!$E$2:$G$2036,3)</f>
        <v>Tachyphonus rufus</v>
      </c>
      <c r="G3606" s="3" t="str">
        <f>VLOOKUP(B3606,[1]LifeList!$E$2:$I$2036,4)</f>
        <v>Passeriformes</v>
      </c>
      <c r="H3606" s="3" t="str">
        <f>VLOOKUP(B3606,[1]LifeList!$E$2:$I$2036,5)</f>
        <v>Thraupidae (Tanagers and Allies)</v>
      </c>
    </row>
    <row r="3607" spans="1:8" x14ac:dyDescent="0.15">
      <c r="A3607" s="3" t="s">
        <v>3457</v>
      </c>
      <c r="B3607" s="3" t="s">
        <v>5114</v>
      </c>
      <c r="C3607" s="3">
        <v>34777</v>
      </c>
      <c r="D3607" s="3" t="str">
        <f>VLOOKUP(B3607,[1]LifeList!$E$2:$G$2036,1)</f>
        <v>White-lined Tanager</v>
      </c>
      <c r="E3607" s="3" t="str">
        <f>VLOOKUP(B3607,[1]LifeList!$E$2:$G$2036,2)</f>
        <v>Tangara à galons blancs</v>
      </c>
      <c r="F3607" s="3" t="str">
        <f>VLOOKUP(B3607,[1]LifeList!$E$2:$G$2036,3)</f>
        <v>Tachyphonus rufus</v>
      </c>
      <c r="G3607" s="3" t="str">
        <f>VLOOKUP(B3607,[1]LifeList!$E$2:$I$2036,4)</f>
        <v>Passeriformes</v>
      </c>
      <c r="H3607" s="3" t="str">
        <f>VLOOKUP(B3607,[1]LifeList!$E$2:$I$2036,5)</f>
        <v>Thraupidae (Tanagers and Allies)</v>
      </c>
    </row>
    <row r="3608" spans="1:8" x14ac:dyDescent="0.15">
      <c r="A3608" s="3" t="s">
        <v>3458</v>
      </c>
      <c r="B3608" s="3" t="s">
        <v>5115</v>
      </c>
      <c r="C3608" s="3">
        <v>34330</v>
      </c>
      <c r="D3608" s="3" t="str">
        <f>VLOOKUP(B3608,[1]LifeList!$E$2:$G$2036,1)</f>
        <v>White-lored Warbler</v>
      </c>
      <c r="E3608" s="3" t="str">
        <f>VLOOKUP(B3608,[1]LifeList!$E$2:$G$2036,2)</f>
        <v>Paruline à lores blancs</v>
      </c>
      <c r="F3608" s="3" t="str">
        <f>VLOOKUP(B3608,[1]LifeList!$E$2:$G$2036,3)</f>
        <v>Myiothlypis conspicillata</v>
      </c>
      <c r="G3608" s="3" t="str">
        <f>VLOOKUP(B3608,[1]LifeList!$E$2:$I$2036,4)</f>
        <v>Passeriformes</v>
      </c>
      <c r="H3608" s="3" t="str">
        <f>VLOOKUP(B3608,[1]LifeList!$E$2:$I$2036,5)</f>
        <v>Parulidae (New World Warblers)</v>
      </c>
    </row>
    <row r="3609" spans="1:8" x14ac:dyDescent="0.15">
      <c r="A3609" s="3" t="s">
        <v>3459</v>
      </c>
      <c r="B3609" s="3" t="s">
        <v>5115</v>
      </c>
      <c r="C3609" s="3">
        <v>34330</v>
      </c>
      <c r="D3609" s="3" t="str">
        <f>VLOOKUP(B3609,[1]LifeList!$E$2:$G$2036,1)</f>
        <v>White-lored Warbler</v>
      </c>
      <c r="E3609" s="3" t="str">
        <f>VLOOKUP(B3609,[1]LifeList!$E$2:$G$2036,2)</f>
        <v>Paruline à lores blancs</v>
      </c>
      <c r="F3609" s="3" t="str">
        <f>VLOOKUP(B3609,[1]LifeList!$E$2:$G$2036,3)</f>
        <v>Myiothlypis conspicillata</v>
      </c>
      <c r="G3609" s="3" t="str">
        <f>VLOOKUP(B3609,[1]LifeList!$E$2:$I$2036,4)</f>
        <v>Passeriformes</v>
      </c>
      <c r="H3609" s="3" t="str">
        <f>VLOOKUP(B3609,[1]LifeList!$E$2:$I$2036,5)</f>
        <v>Parulidae (New World Warblers)</v>
      </c>
    </row>
    <row r="3610" spans="1:8" x14ac:dyDescent="0.15">
      <c r="A3610" s="3" t="s">
        <v>3460</v>
      </c>
      <c r="B3610" s="3" t="s">
        <v>5116</v>
      </c>
      <c r="C3610" s="3">
        <v>33436</v>
      </c>
      <c r="D3610" s="3" t="str">
        <f>VLOOKUP(B3610,[1]LifeList!$E$2:$G$2036,1)</f>
        <v>White-naped Brushfinch</v>
      </c>
      <c r="E3610" s="3" t="str">
        <f>VLOOKUP(B3610,[1]LifeList!$E$2:$G$2036,2)</f>
        <v>Tohi à calotte blanche</v>
      </c>
      <c r="F3610" s="3" t="str">
        <f>VLOOKUP(B3610,[1]LifeList!$E$2:$G$2036,3)</f>
        <v>Atlapetes albinucha</v>
      </c>
      <c r="G3610" s="3" t="str">
        <f>VLOOKUP(B3610,[1]LifeList!$E$2:$I$2036,4)</f>
        <v>Passeriformes</v>
      </c>
      <c r="H3610" s="3" t="str">
        <f>VLOOKUP(B3610,[1]LifeList!$E$2:$I$2036,5)</f>
        <v>Passerellidae (New World Sparrows)</v>
      </c>
    </row>
    <row r="3611" spans="1:8" x14ac:dyDescent="0.15">
      <c r="A3611" s="3" t="s">
        <v>3461</v>
      </c>
      <c r="B3611" s="3" t="s">
        <v>5116</v>
      </c>
      <c r="C3611" s="3">
        <v>33436</v>
      </c>
      <c r="D3611" s="3" t="str">
        <f>VLOOKUP(B3611,[1]LifeList!$E$2:$G$2036,1)</f>
        <v>White-naped Brushfinch</v>
      </c>
      <c r="E3611" s="3" t="str">
        <f>VLOOKUP(B3611,[1]LifeList!$E$2:$G$2036,2)</f>
        <v>Tohi à calotte blanche</v>
      </c>
      <c r="F3611" s="3" t="str">
        <f>VLOOKUP(B3611,[1]LifeList!$E$2:$G$2036,3)</f>
        <v>Atlapetes albinucha</v>
      </c>
      <c r="G3611" s="3" t="str">
        <f>VLOOKUP(B3611,[1]LifeList!$E$2:$I$2036,4)</f>
        <v>Passeriformes</v>
      </c>
      <c r="H3611" s="3" t="str">
        <f>VLOOKUP(B3611,[1]LifeList!$E$2:$I$2036,5)</f>
        <v>Passerellidae (New World Sparrows)</v>
      </c>
    </row>
    <row r="3612" spans="1:8" x14ac:dyDescent="0.15">
      <c r="A3612" s="3" t="s">
        <v>3462</v>
      </c>
      <c r="B3612" s="3" t="s">
        <v>5116</v>
      </c>
      <c r="C3612" s="3">
        <v>33436</v>
      </c>
      <c r="D3612" s="3" t="str">
        <f>VLOOKUP(B3612,[1]LifeList!$E$2:$G$2036,1)</f>
        <v>White-naped Brushfinch</v>
      </c>
      <c r="E3612" s="3" t="str">
        <f>VLOOKUP(B3612,[1]LifeList!$E$2:$G$2036,2)</f>
        <v>Tohi à calotte blanche</v>
      </c>
      <c r="F3612" s="3" t="str">
        <f>VLOOKUP(B3612,[1]LifeList!$E$2:$G$2036,3)</f>
        <v>Atlapetes albinucha</v>
      </c>
      <c r="G3612" s="3" t="str">
        <f>VLOOKUP(B3612,[1]LifeList!$E$2:$I$2036,4)</f>
        <v>Passeriformes</v>
      </c>
      <c r="H3612" s="3" t="str">
        <f>VLOOKUP(B3612,[1]LifeList!$E$2:$I$2036,5)</f>
        <v>Passerellidae (New World Sparrows)</v>
      </c>
    </row>
    <row r="3613" spans="1:8" x14ac:dyDescent="0.15">
      <c r="A3613" s="3" t="s">
        <v>3463</v>
      </c>
      <c r="B3613" s="3" t="s">
        <v>5117</v>
      </c>
      <c r="C3613" s="3">
        <v>18130</v>
      </c>
      <c r="D3613" s="3" t="str">
        <f>VLOOKUP(B3613,[1]LifeList!$E$2:$G$2036,1)</f>
        <v>White-naped Honeyeater</v>
      </c>
      <c r="E3613" s="3" t="str">
        <f>VLOOKUP(B3613,[1]LifeList!$E$2:$G$2036,2)</f>
        <v>Méliphage à lunule</v>
      </c>
      <c r="F3613" s="3" t="str">
        <f>VLOOKUP(B3613,[1]LifeList!$E$2:$G$2036,3)</f>
        <v>Melithreptus lunatus</v>
      </c>
      <c r="G3613" s="3" t="str">
        <f>VLOOKUP(B3613,[1]LifeList!$E$2:$I$2036,4)</f>
        <v>Passeriformes</v>
      </c>
      <c r="H3613" s="3" t="str">
        <f>VLOOKUP(B3613,[1]LifeList!$E$2:$I$2036,5)</f>
        <v>Meliphagidae (Honeyeaters)</v>
      </c>
    </row>
    <row r="3614" spans="1:8" x14ac:dyDescent="0.15">
      <c r="A3614" s="3" t="s">
        <v>3464</v>
      </c>
      <c r="B3614" s="3" t="s">
        <v>5118</v>
      </c>
      <c r="C3614" s="3">
        <v>4227</v>
      </c>
      <c r="D3614" s="3" t="str">
        <f>VLOOKUP(B3614,[1]LifeList!$E$2:$G$2036,1)</f>
        <v>White-necked Jacobin</v>
      </c>
      <c r="E3614" s="3" t="str">
        <f>VLOOKUP(B3614,[1]LifeList!$E$2:$G$2036,2)</f>
        <v>Colibri jacobin</v>
      </c>
      <c r="F3614" s="3" t="str">
        <f>VLOOKUP(B3614,[1]LifeList!$E$2:$G$2036,3)</f>
        <v>Florisuga mellivora</v>
      </c>
      <c r="G3614" s="3" t="str">
        <f>VLOOKUP(B3614,[1]LifeList!$E$2:$I$2036,4)</f>
        <v>Apodiformes</v>
      </c>
      <c r="H3614" s="3" t="str">
        <f>VLOOKUP(B3614,[1]LifeList!$E$2:$I$2036,5)</f>
        <v>Trochilidae (Hummingbirds)</v>
      </c>
    </row>
    <row r="3615" spans="1:8" x14ac:dyDescent="0.15">
      <c r="A3615" s="3" t="s">
        <v>3465</v>
      </c>
      <c r="B3615" s="3" t="s">
        <v>5118</v>
      </c>
      <c r="C3615" s="3">
        <v>4227</v>
      </c>
      <c r="D3615" s="3" t="str">
        <f>VLOOKUP(B3615,[1]LifeList!$E$2:$G$2036,1)</f>
        <v>White-necked Jacobin</v>
      </c>
      <c r="E3615" s="3" t="str">
        <f>VLOOKUP(B3615,[1]LifeList!$E$2:$G$2036,2)</f>
        <v>Colibri jacobin</v>
      </c>
      <c r="F3615" s="3" t="str">
        <f>VLOOKUP(B3615,[1]LifeList!$E$2:$G$2036,3)</f>
        <v>Florisuga mellivora</v>
      </c>
      <c r="G3615" s="3" t="str">
        <f>VLOOKUP(B3615,[1]LifeList!$E$2:$I$2036,4)</f>
        <v>Apodiformes</v>
      </c>
      <c r="H3615" s="3" t="str">
        <f>VLOOKUP(B3615,[1]LifeList!$E$2:$I$2036,5)</f>
        <v>Trochilidae (Hummingbirds)</v>
      </c>
    </row>
    <row r="3616" spans="1:8" x14ac:dyDescent="0.15">
      <c r="A3616" s="3" t="s">
        <v>3466</v>
      </c>
      <c r="B3616" s="3" t="s">
        <v>5118</v>
      </c>
      <c r="C3616" s="3">
        <v>4227</v>
      </c>
      <c r="D3616" s="3" t="str">
        <f>VLOOKUP(B3616,[1]LifeList!$E$2:$G$2036,1)</f>
        <v>White-necked Jacobin</v>
      </c>
      <c r="E3616" s="3" t="str">
        <f>VLOOKUP(B3616,[1]LifeList!$E$2:$G$2036,2)</f>
        <v>Colibri jacobin</v>
      </c>
      <c r="F3616" s="3" t="str">
        <f>VLOOKUP(B3616,[1]LifeList!$E$2:$G$2036,3)</f>
        <v>Florisuga mellivora</v>
      </c>
      <c r="G3616" s="3" t="str">
        <f>VLOOKUP(B3616,[1]LifeList!$E$2:$I$2036,4)</f>
        <v>Apodiformes</v>
      </c>
      <c r="H3616" s="3" t="str">
        <f>VLOOKUP(B3616,[1]LifeList!$E$2:$I$2036,5)</f>
        <v>Trochilidae (Hummingbirds)</v>
      </c>
    </row>
    <row r="3617" spans="1:8" x14ac:dyDescent="0.15">
      <c r="A3617" s="3" t="s">
        <v>3467</v>
      </c>
      <c r="B3617" s="3" t="s">
        <v>5118</v>
      </c>
      <c r="C3617" s="3">
        <v>4227</v>
      </c>
      <c r="D3617" s="3" t="str">
        <f>VLOOKUP(B3617,[1]LifeList!$E$2:$G$2036,1)</f>
        <v>White-necked Jacobin</v>
      </c>
      <c r="E3617" s="3" t="str">
        <f>VLOOKUP(B3617,[1]LifeList!$E$2:$G$2036,2)</f>
        <v>Colibri jacobin</v>
      </c>
      <c r="F3617" s="3" t="str">
        <f>VLOOKUP(B3617,[1]LifeList!$E$2:$G$2036,3)</f>
        <v>Florisuga mellivora</v>
      </c>
      <c r="G3617" s="3" t="str">
        <f>VLOOKUP(B3617,[1]LifeList!$E$2:$I$2036,4)</f>
        <v>Apodiformes</v>
      </c>
      <c r="H3617" s="3" t="str">
        <f>VLOOKUP(B3617,[1]LifeList!$E$2:$I$2036,5)</f>
        <v>Trochilidae (Hummingbirds)</v>
      </c>
    </row>
    <row r="3618" spans="1:8" x14ac:dyDescent="0.15">
      <c r="A3618" s="3" t="s">
        <v>3468</v>
      </c>
      <c r="B3618" s="3" t="s">
        <v>5118</v>
      </c>
      <c r="C3618" s="3">
        <v>4227</v>
      </c>
      <c r="D3618" s="3" t="str">
        <f>VLOOKUP(B3618,[1]LifeList!$E$2:$G$2036,1)</f>
        <v>White-necked Jacobin</v>
      </c>
      <c r="E3618" s="3" t="str">
        <f>VLOOKUP(B3618,[1]LifeList!$E$2:$G$2036,2)</f>
        <v>Colibri jacobin</v>
      </c>
      <c r="F3618" s="3" t="str">
        <f>VLOOKUP(B3618,[1]LifeList!$E$2:$G$2036,3)</f>
        <v>Florisuga mellivora</v>
      </c>
      <c r="G3618" s="3" t="str">
        <f>VLOOKUP(B3618,[1]LifeList!$E$2:$I$2036,4)</f>
        <v>Apodiformes</v>
      </c>
      <c r="H3618" s="3" t="str">
        <f>VLOOKUP(B3618,[1]LifeList!$E$2:$I$2036,5)</f>
        <v>Trochilidae (Hummingbirds)</v>
      </c>
    </row>
    <row r="3619" spans="1:8" x14ac:dyDescent="0.15">
      <c r="A3619" s="3" t="s">
        <v>3469</v>
      </c>
      <c r="B3619" s="3" t="s">
        <v>5119</v>
      </c>
      <c r="C3619" s="3">
        <v>10377</v>
      </c>
      <c r="D3619" s="3" t="str">
        <f>VLOOKUP(B3619,[1]LifeList!$E$2:$G$2036,1)</f>
        <v>White-necked Puffbird</v>
      </c>
      <c r="E3619" s="3" t="str">
        <f>VLOOKUP(B3619,[1]LifeList!$E$2:$G$2036,2)</f>
        <v>Tamatia à front blanc</v>
      </c>
      <c r="F3619" s="3" t="str">
        <f>VLOOKUP(B3619,[1]LifeList!$E$2:$G$2036,3)</f>
        <v>Notharchus hyperrhynchus</v>
      </c>
      <c r="G3619" s="3" t="str">
        <f>VLOOKUP(B3619,[1]LifeList!$E$2:$I$2036,4)</f>
        <v>Piciformes</v>
      </c>
      <c r="H3619" s="3" t="str">
        <f>VLOOKUP(B3619,[1]LifeList!$E$2:$I$2036,5)</f>
        <v>Bucconidae (Puffbirds)</v>
      </c>
    </row>
    <row r="3620" spans="1:8" x14ac:dyDescent="0.15">
      <c r="A3620" s="3" t="s">
        <v>3470</v>
      </c>
      <c r="B3620" s="3" t="s">
        <v>5119</v>
      </c>
      <c r="C3620" s="3">
        <v>10377</v>
      </c>
      <c r="D3620" s="3" t="str">
        <f>VLOOKUP(B3620,[1]LifeList!$E$2:$G$2036,1)</f>
        <v>White-necked Puffbird</v>
      </c>
      <c r="E3620" s="3" t="str">
        <f>VLOOKUP(B3620,[1]LifeList!$E$2:$G$2036,2)</f>
        <v>Tamatia à front blanc</v>
      </c>
      <c r="F3620" s="3" t="str">
        <f>VLOOKUP(B3620,[1]LifeList!$E$2:$G$2036,3)</f>
        <v>Notharchus hyperrhynchus</v>
      </c>
      <c r="G3620" s="3" t="str">
        <f>VLOOKUP(B3620,[1]LifeList!$E$2:$I$2036,4)</f>
        <v>Piciformes</v>
      </c>
      <c r="H3620" s="3" t="str">
        <f>VLOOKUP(B3620,[1]LifeList!$E$2:$I$2036,5)</f>
        <v>Bucconidae (Puffbirds)</v>
      </c>
    </row>
    <row r="3621" spans="1:8" x14ac:dyDescent="0.15">
      <c r="A3621" s="3" t="s">
        <v>3471</v>
      </c>
      <c r="B3621" s="3" t="s">
        <v>5120</v>
      </c>
      <c r="C3621" s="3">
        <v>28735</v>
      </c>
      <c r="D3621" s="3" t="str">
        <f>VLOOKUP(B3621,[1]LifeList!$E$2:$G$2036,1)</f>
        <v>White-necked Thrush</v>
      </c>
      <c r="E3621" s="3" t="str">
        <f>VLOOKUP(B3621,[1]LifeList!$E$2:$G$2036,2)</f>
        <v>Merle à col blanc</v>
      </c>
      <c r="F3621" s="3" t="str">
        <f>VLOOKUP(B3621,[1]LifeList!$E$2:$G$2036,3)</f>
        <v>Turdus albicollis</v>
      </c>
      <c r="G3621" s="3" t="str">
        <f>VLOOKUP(B3621,[1]LifeList!$E$2:$I$2036,4)</f>
        <v>Passeriformes</v>
      </c>
      <c r="H3621" s="3" t="str">
        <f>VLOOKUP(B3621,[1]LifeList!$E$2:$I$2036,5)</f>
        <v>Turdidae (Thrushes and Allies)</v>
      </c>
    </row>
    <row r="3622" spans="1:8" x14ac:dyDescent="0.15">
      <c r="A3622" s="3" t="s">
        <v>3472</v>
      </c>
      <c r="B3622" s="3" t="s">
        <v>5121</v>
      </c>
      <c r="C3622" s="3">
        <v>17884</v>
      </c>
      <c r="D3622" s="3" t="str">
        <f>VLOOKUP(B3622,[1]LifeList!$E$2:$G$2036,1)</f>
        <v>White-plumed Honeyeater</v>
      </c>
      <c r="E3622" s="3" t="str">
        <f>VLOOKUP(B3622,[1]LifeList!$E$2:$G$2036,2)</f>
        <v>Méliphage serti</v>
      </c>
      <c r="F3622" s="3" t="str">
        <f>VLOOKUP(B3622,[1]LifeList!$E$2:$G$2036,3)</f>
        <v>Ptilotula penicillata</v>
      </c>
      <c r="G3622" s="3" t="str">
        <f>VLOOKUP(B3622,[1]LifeList!$E$2:$I$2036,4)</f>
        <v>Passeriformes</v>
      </c>
      <c r="H3622" s="3" t="str">
        <f>VLOOKUP(B3622,[1]LifeList!$E$2:$I$2036,5)</f>
        <v>Meliphagidae (Honeyeaters)</v>
      </c>
    </row>
    <row r="3623" spans="1:8" x14ac:dyDescent="0.15">
      <c r="A3623" s="3" t="s">
        <v>3473</v>
      </c>
      <c r="B3623" s="3" t="s">
        <v>5121</v>
      </c>
      <c r="C3623" s="3">
        <v>17884</v>
      </c>
      <c r="D3623" s="3" t="str">
        <f>VLOOKUP(B3623,[1]LifeList!$E$2:$G$2036,1)</f>
        <v>White-plumed Honeyeater</v>
      </c>
      <c r="E3623" s="3" t="str">
        <f>VLOOKUP(B3623,[1]LifeList!$E$2:$G$2036,2)</f>
        <v>Méliphage serti</v>
      </c>
      <c r="F3623" s="3" t="str">
        <f>VLOOKUP(B3623,[1]LifeList!$E$2:$G$2036,3)</f>
        <v>Ptilotula penicillata</v>
      </c>
      <c r="G3623" s="3" t="str">
        <f>VLOOKUP(B3623,[1]LifeList!$E$2:$I$2036,4)</f>
        <v>Passeriformes</v>
      </c>
      <c r="H3623" s="3" t="str">
        <f>VLOOKUP(B3623,[1]LifeList!$E$2:$I$2036,5)</f>
        <v>Meliphagidae (Honeyeaters)</v>
      </c>
    </row>
    <row r="3624" spans="1:8" x14ac:dyDescent="0.15">
      <c r="A3624" s="3" t="s">
        <v>3474</v>
      </c>
      <c r="B3624" s="3" t="s">
        <v>5122</v>
      </c>
      <c r="C3624" s="3">
        <v>2954</v>
      </c>
      <c r="D3624" s="3" t="str">
        <f>VLOOKUP(B3624,[1]LifeList!$E$2:$G$2036,1)</f>
        <v>White-quilled Bustard</v>
      </c>
      <c r="E3624" s="3" t="str">
        <f>VLOOKUP(B3624,[1]LifeList!$E$2:$G$2036,2)</f>
        <v>Outarde à miroir blanc</v>
      </c>
      <c r="F3624" s="3" t="str">
        <f>VLOOKUP(B3624,[1]LifeList!$E$2:$G$2036,3)</f>
        <v>Afrotis afraoides</v>
      </c>
      <c r="G3624" s="3" t="str">
        <f>VLOOKUP(B3624,[1]LifeList!$E$2:$I$2036,4)</f>
        <v>Otidiformes</v>
      </c>
      <c r="H3624" s="3" t="str">
        <f>VLOOKUP(B3624,[1]LifeList!$E$2:$I$2036,5)</f>
        <v>Otididae (Bustards)</v>
      </c>
    </row>
    <row r="3625" spans="1:8" x14ac:dyDescent="0.15">
      <c r="A3625" s="3" t="s">
        <v>3475</v>
      </c>
      <c r="B3625" s="3" t="s">
        <v>5122</v>
      </c>
      <c r="C3625" s="3">
        <v>2954</v>
      </c>
      <c r="D3625" s="3" t="str">
        <f>VLOOKUP(B3625,[1]LifeList!$E$2:$G$2036,1)</f>
        <v>White-quilled Bustard</v>
      </c>
      <c r="E3625" s="3" t="str">
        <f>VLOOKUP(B3625,[1]LifeList!$E$2:$G$2036,2)</f>
        <v>Outarde à miroir blanc</v>
      </c>
      <c r="F3625" s="3" t="str">
        <f>VLOOKUP(B3625,[1]LifeList!$E$2:$G$2036,3)</f>
        <v>Afrotis afraoides</v>
      </c>
      <c r="G3625" s="3" t="str">
        <f>VLOOKUP(B3625,[1]LifeList!$E$2:$I$2036,4)</f>
        <v>Otidiformes</v>
      </c>
      <c r="H3625" s="3" t="str">
        <f>VLOOKUP(B3625,[1]LifeList!$E$2:$I$2036,5)</f>
        <v>Otididae (Bustards)</v>
      </c>
    </row>
    <row r="3626" spans="1:8" x14ac:dyDescent="0.15">
      <c r="A3626" s="3" t="s">
        <v>3476</v>
      </c>
      <c r="B3626" s="3" t="s">
        <v>5123</v>
      </c>
      <c r="C3626" s="3">
        <v>8448</v>
      </c>
      <c r="D3626" s="3" t="str">
        <f>VLOOKUP(B3626,[1]LifeList!$E$2:$G$2036,1)</f>
        <v>White-rumped Hawk</v>
      </c>
      <c r="E3626" s="3" t="str">
        <f>VLOOKUP(B3626,[1]LifeList!$E$2:$G$2036,2)</f>
        <v>Buse cul-blanc</v>
      </c>
      <c r="F3626" s="3" t="str">
        <f>VLOOKUP(B3626,[1]LifeList!$E$2:$G$2036,3)</f>
        <v>Parabuteo leucorrhous</v>
      </c>
      <c r="G3626" s="3" t="str">
        <f>VLOOKUP(B3626,[1]LifeList!$E$2:$I$2036,4)</f>
        <v>Accipitriformes</v>
      </c>
      <c r="H3626" s="3" t="str">
        <f>VLOOKUP(B3626,[1]LifeList!$E$2:$I$2036,5)</f>
        <v>Accipitridae (Hawks, Eagles, and Kites)</v>
      </c>
    </row>
    <row r="3627" spans="1:8" x14ac:dyDescent="0.15">
      <c r="A3627" s="3" t="s">
        <v>3477</v>
      </c>
      <c r="B3627" s="3" t="s">
        <v>5124</v>
      </c>
      <c r="C3627" s="3">
        <v>6221</v>
      </c>
      <c r="D3627" s="3" t="str">
        <f>VLOOKUP(B3627,[1]LifeList!$E$2:$G$2036,1)</f>
        <v>White-rumped Sandpiper</v>
      </c>
      <c r="E3627" s="3" t="str">
        <f>VLOOKUP(B3627,[1]LifeList!$E$2:$G$2036,2)</f>
        <v>Bécasseau à croupion blanc</v>
      </c>
      <c r="F3627" s="3" t="str">
        <f>VLOOKUP(B3627,[1]LifeList!$E$2:$G$2036,3)</f>
        <v>Calidris fuscicollis</v>
      </c>
      <c r="G3627" s="3" t="str">
        <f>VLOOKUP(B3627,[1]LifeList!$E$2:$I$2036,4)</f>
        <v>Charadriiformes</v>
      </c>
      <c r="H3627" s="3" t="str">
        <f>VLOOKUP(B3627,[1]LifeList!$E$2:$I$2036,5)</f>
        <v>Scolopacidae (Sandpipers and Allies)</v>
      </c>
    </row>
    <row r="3628" spans="1:8" x14ac:dyDescent="0.15">
      <c r="A3628" s="3" t="s">
        <v>3478</v>
      </c>
      <c r="B3628" s="3" t="s">
        <v>5125</v>
      </c>
      <c r="C3628" s="3">
        <v>21167</v>
      </c>
      <c r="D3628" s="3" t="str">
        <f>VLOOKUP(B3628,[1]LifeList!$E$2:$G$2036,1)</f>
        <v>White-rumped Shrike</v>
      </c>
      <c r="E3628" s="3" t="str">
        <f>VLOOKUP(B3628,[1]LifeList!$E$2:$G$2036,2)</f>
        <v>Eurocéphale de Rüppell</v>
      </c>
      <c r="F3628" s="3" t="str">
        <f>VLOOKUP(B3628,[1]LifeList!$E$2:$G$2036,3)</f>
        <v>Eurocephalus ruppelli</v>
      </c>
      <c r="G3628" s="3" t="str">
        <f>VLOOKUP(B3628,[1]LifeList!$E$2:$I$2036,4)</f>
        <v>Passeriformes</v>
      </c>
      <c r="H3628" s="3" t="str">
        <f>VLOOKUP(B3628,[1]LifeList!$E$2:$I$2036,5)</f>
        <v>Laniidae (Shrikes)</v>
      </c>
    </row>
    <row r="3629" spans="1:8" x14ac:dyDescent="0.15">
      <c r="A3629" s="3" t="s">
        <v>3937</v>
      </c>
      <c r="B3629" s="3" t="s">
        <v>5126</v>
      </c>
      <c r="C3629" s="3">
        <v>34761</v>
      </c>
      <c r="D3629" s="3" t="str">
        <f>VLOOKUP(B3629,[1]LifeList!$E$2:$G$2036,1)</f>
        <v>White-shouldered Tanager</v>
      </c>
      <c r="E3629" s="3" t="str">
        <f>VLOOKUP(B3629,[1]LifeList!$E$2:$G$2036,2)</f>
        <v>Tangara à épaulettes blanches</v>
      </c>
      <c r="F3629" s="3" t="str">
        <f>VLOOKUP(B3629,[1]LifeList!$E$2:$G$2036,3)</f>
        <v>Loriotus luctuosus</v>
      </c>
      <c r="G3629" s="3" t="str">
        <f>VLOOKUP(B3629,[1]LifeList!$E$2:$I$2036,4)</f>
        <v>Passeriformes</v>
      </c>
      <c r="H3629" s="3" t="str">
        <f>VLOOKUP(B3629,[1]LifeList!$E$2:$I$2036,5)</f>
        <v>Thraupidae (Tanagers and Allies)</v>
      </c>
    </row>
    <row r="3630" spans="1:8" x14ac:dyDescent="0.15">
      <c r="A3630" s="3" t="s">
        <v>3479</v>
      </c>
      <c r="B3630" s="3" t="s">
        <v>5126</v>
      </c>
      <c r="C3630" s="3">
        <v>34761</v>
      </c>
      <c r="D3630" s="3" t="str">
        <f>VLOOKUP(B3630,[1]LifeList!$E$2:$G$2036,1)</f>
        <v>White-shouldered Tanager</v>
      </c>
      <c r="E3630" s="3" t="str">
        <f>VLOOKUP(B3630,[1]LifeList!$E$2:$G$2036,2)</f>
        <v>Tangara à épaulettes blanches</v>
      </c>
      <c r="F3630" s="3" t="str">
        <f>VLOOKUP(B3630,[1]LifeList!$E$2:$G$2036,3)</f>
        <v>Loriotus luctuosus</v>
      </c>
      <c r="G3630" s="3" t="str">
        <f>VLOOKUP(B3630,[1]LifeList!$E$2:$I$2036,4)</f>
        <v>Passeriformes</v>
      </c>
      <c r="H3630" s="3" t="str">
        <f>VLOOKUP(B3630,[1]LifeList!$E$2:$I$2036,5)</f>
        <v>Thraupidae (Tanagers and Allies)</v>
      </c>
    </row>
    <row r="3631" spans="1:8" x14ac:dyDescent="0.15">
      <c r="A3631" s="3" t="s">
        <v>3480</v>
      </c>
      <c r="B3631" s="3" t="s">
        <v>5127</v>
      </c>
      <c r="C3631" s="3">
        <v>35291</v>
      </c>
      <c r="D3631" s="3" t="str">
        <f>VLOOKUP(B3631,[1]LifeList!$E$2:$G$2036,1)</f>
        <v>White-sided Flowerpiercer</v>
      </c>
      <c r="E3631" s="3" t="str">
        <f>VLOOKUP(B3631,[1]LifeList!$E$2:$G$2036,2)</f>
        <v>Percefleur à flancs blancs</v>
      </c>
      <c r="F3631" s="3" t="str">
        <f>VLOOKUP(B3631,[1]LifeList!$E$2:$G$2036,3)</f>
        <v>Diglossa albilatera</v>
      </c>
      <c r="G3631" s="3" t="str">
        <f>VLOOKUP(B3631,[1]LifeList!$E$2:$I$2036,4)</f>
        <v>Passeriformes</v>
      </c>
      <c r="H3631" s="3" t="str">
        <f>VLOOKUP(B3631,[1]LifeList!$E$2:$I$2036,5)</f>
        <v>Thraupidae (Tanagers and Allies)</v>
      </c>
    </row>
    <row r="3632" spans="1:8" x14ac:dyDescent="0.15">
      <c r="A3632" s="3" t="s">
        <v>3481</v>
      </c>
      <c r="B3632" s="3" t="s">
        <v>5127</v>
      </c>
      <c r="C3632" s="3">
        <v>35291</v>
      </c>
      <c r="D3632" s="3" t="str">
        <f>VLOOKUP(B3632,[1]LifeList!$E$2:$G$2036,1)</f>
        <v>White-sided Flowerpiercer</v>
      </c>
      <c r="E3632" s="3" t="str">
        <f>VLOOKUP(B3632,[1]LifeList!$E$2:$G$2036,2)</f>
        <v>Percefleur à flancs blancs</v>
      </c>
      <c r="F3632" s="3" t="str">
        <f>VLOOKUP(B3632,[1]LifeList!$E$2:$G$2036,3)</f>
        <v>Diglossa albilatera</v>
      </c>
      <c r="G3632" s="3" t="str">
        <f>VLOOKUP(B3632,[1]LifeList!$E$2:$I$2036,4)</f>
        <v>Passeriformes</v>
      </c>
      <c r="H3632" s="3" t="str">
        <f>VLOOKUP(B3632,[1]LifeList!$E$2:$I$2036,5)</f>
        <v>Thraupidae (Tanagers and Allies)</v>
      </c>
    </row>
    <row r="3633" spans="1:8" x14ac:dyDescent="0.15">
      <c r="A3633" s="3" t="s">
        <v>3482</v>
      </c>
      <c r="B3633" s="3" t="s">
        <v>5127</v>
      </c>
      <c r="C3633" s="3">
        <v>35291</v>
      </c>
      <c r="D3633" s="3" t="str">
        <f>VLOOKUP(B3633,[1]LifeList!$E$2:$G$2036,1)</f>
        <v>White-sided Flowerpiercer</v>
      </c>
      <c r="E3633" s="3" t="str">
        <f>VLOOKUP(B3633,[1]LifeList!$E$2:$G$2036,2)</f>
        <v>Percefleur à flancs blancs</v>
      </c>
      <c r="F3633" s="3" t="str">
        <f>VLOOKUP(B3633,[1]LifeList!$E$2:$G$2036,3)</f>
        <v>Diglossa albilatera</v>
      </c>
      <c r="G3633" s="3" t="str">
        <f>VLOOKUP(B3633,[1]LifeList!$E$2:$I$2036,4)</f>
        <v>Passeriformes</v>
      </c>
      <c r="H3633" s="3" t="str">
        <f>VLOOKUP(B3633,[1]LifeList!$E$2:$I$2036,5)</f>
        <v>Thraupidae (Tanagers and Allies)</v>
      </c>
    </row>
    <row r="3634" spans="1:8" x14ac:dyDescent="0.15">
      <c r="A3634" s="3" t="s">
        <v>3483</v>
      </c>
      <c r="B3634" s="3" t="s">
        <v>5127</v>
      </c>
      <c r="C3634" s="3">
        <v>35291</v>
      </c>
      <c r="D3634" s="3" t="str">
        <f>VLOOKUP(B3634,[1]LifeList!$E$2:$G$2036,1)</f>
        <v>White-sided Flowerpiercer</v>
      </c>
      <c r="E3634" s="3" t="str">
        <f>VLOOKUP(B3634,[1]LifeList!$E$2:$G$2036,2)</f>
        <v>Percefleur à flancs blancs</v>
      </c>
      <c r="F3634" s="3" t="str">
        <f>VLOOKUP(B3634,[1]LifeList!$E$2:$G$2036,3)</f>
        <v>Diglossa albilatera</v>
      </c>
      <c r="G3634" s="3" t="str">
        <f>VLOOKUP(B3634,[1]LifeList!$E$2:$I$2036,4)</f>
        <v>Passeriformes</v>
      </c>
      <c r="H3634" s="3" t="str">
        <f>VLOOKUP(B3634,[1]LifeList!$E$2:$I$2036,5)</f>
        <v>Thraupidae (Tanagers and Allies)</v>
      </c>
    </row>
    <row r="3635" spans="1:8" x14ac:dyDescent="0.15">
      <c r="A3635" s="3" t="s">
        <v>3485</v>
      </c>
      <c r="B3635" s="3" t="s">
        <v>5128</v>
      </c>
      <c r="C3635" s="3">
        <v>7843</v>
      </c>
      <c r="D3635" s="3" t="str">
        <f>VLOOKUP(B3635,[1]LifeList!$E$2:$G$2036,1)</f>
        <v>White-tailed Kite</v>
      </c>
      <c r="E3635" s="3" t="str">
        <f>VLOOKUP(B3635,[1]LifeList!$E$2:$G$2036,2)</f>
        <v>Élanion à queue blanche</v>
      </c>
      <c r="F3635" s="3" t="str">
        <f>VLOOKUP(B3635,[1]LifeList!$E$2:$G$2036,3)</f>
        <v>Elanus leucurus</v>
      </c>
      <c r="G3635" s="3" t="str">
        <f>VLOOKUP(B3635,[1]LifeList!$E$2:$I$2036,4)</f>
        <v>Accipitriformes</v>
      </c>
      <c r="H3635" s="3" t="str">
        <f>VLOOKUP(B3635,[1]LifeList!$E$2:$I$2036,5)</f>
        <v>Accipitridae (Hawks, Eagles, and Kites)</v>
      </c>
    </row>
    <row r="3636" spans="1:8" x14ac:dyDescent="0.15">
      <c r="A3636" s="3" t="s">
        <v>3486</v>
      </c>
      <c r="B3636" s="3" t="s">
        <v>5128</v>
      </c>
      <c r="C3636" s="3">
        <v>7843</v>
      </c>
      <c r="D3636" s="3" t="str">
        <f>VLOOKUP(B3636,[1]LifeList!$E$2:$G$2036,1)</f>
        <v>White-tailed Kite</v>
      </c>
      <c r="E3636" s="3" t="str">
        <f>VLOOKUP(B3636,[1]LifeList!$E$2:$G$2036,2)</f>
        <v>Élanion à queue blanche</v>
      </c>
      <c r="F3636" s="3" t="str">
        <f>VLOOKUP(B3636,[1]LifeList!$E$2:$G$2036,3)</f>
        <v>Elanus leucurus</v>
      </c>
      <c r="G3636" s="3" t="str">
        <f>VLOOKUP(B3636,[1]LifeList!$E$2:$I$2036,4)</f>
        <v>Accipitriformes</v>
      </c>
      <c r="H3636" s="3" t="str">
        <f>VLOOKUP(B3636,[1]LifeList!$E$2:$I$2036,5)</f>
        <v>Accipitridae (Hawks, Eagles, and Kites)</v>
      </c>
    </row>
    <row r="3637" spans="1:8" x14ac:dyDescent="0.15">
      <c r="A3637" s="3" t="s">
        <v>3484</v>
      </c>
      <c r="B3637" s="3" t="s">
        <v>5128</v>
      </c>
      <c r="C3637" s="3">
        <v>7843</v>
      </c>
      <c r="D3637" s="3" t="str">
        <f>VLOOKUP(B3637,[1]LifeList!$E$2:$G$2036,1)</f>
        <v>White-tailed Kite</v>
      </c>
      <c r="E3637" s="3" t="str">
        <f>VLOOKUP(B3637,[1]LifeList!$E$2:$G$2036,2)</f>
        <v>Élanion à queue blanche</v>
      </c>
      <c r="F3637" s="3" t="str">
        <f>VLOOKUP(B3637,[1]LifeList!$E$2:$G$2036,3)</f>
        <v>Elanus leucurus</v>
      </c>
      <c r="G3637" s="3" t="str">
        <f>VLOOKUP(B3637,[1]LifeList!$E$2:$I$2036,4)</f>
        <v>Accipitriformes</v>
      </c>
      <c r="H3637" s="3" t="str">
        <f>VLOOKUP(B3637,[1]LifeList!$E$2:$I$2036,5)</f>
        <v>Accipitridae (Hawks, Eagles, and Kites)</v>
      </c>
    </row>
    <row r="3638" spans="1:8" x14ac:dyDescent="0.15">
      <c r="A3638" s="3" t="s">
        <v>3487</v>
      </c>
      <c r="B3638" s="3" t="s">
        <v>5129</v>
      </c>
      <c r="C3638" s="3">
        <v>3560</v>
      </c>
      <c r="D3638" s="3" t="str">
        <f>VLOOKUP(B3638,[1]LifeList!$E$2:$G$2036,1)</f>
        <v>White-tailed Nightjar</v>
      </c>
      <c r="E3638" s="3" t="str">
        <f>VLOOKUP(B3638,[1]LifeList!$E$2:$G$2036,2)</f>
        <v>Engoulevent coré</v>
      </c>
      <c r="F3638" s="3" t="str">
        <f>VLOOKUP(B3638,[1]LifeList!$E$2:$G$2036,3)</f>
        <v>Hydropsalis cayennensis</v>
      </c>
      <c r="G3638" s="3" t="str">
        <f>VLOOKUP(B3638,[1]LifeList!$E$2:$I$2036,4)</f>
        <v>Caprimulgiformes</v>
      </c>
      <c r="H3638" s="3" t="str">
        <f>VLOOKUP(B3638,[1]LifeList!$E$2:$I$2036,5)</f>
        <v>Caprimulgidae (Nightjars and Allies)</v>
      </c>
    </row>
    <row r="3639" spans="1:8" x14ac:dyDescent="0.15">
      <c r="A3639" s="3" t="s">
        <v>3488</v>
      </c>
      <c r="B3639" s="3" t="s">
        <v>5129</v>
      </c>
      <c r="C3639" s="3">
        <v>3560</v>
      </c>
      <c r="D3639" s="3" t="str">
        <f>VLOOKUP(B3639,[1]LifeList!$E$2:$G$2036,1)</f>
        <v>White-tailed Nightjar</v>
      </c>
      <c r="E3639" s="3" t="str">
        <f>VLOOKUP(B3639,[1]LifeList!$E$2:$G$2036,2)</f>
        <v>Engoulevent coré</v>
      </c>
      <c r="F3639" s="3" t="str">
        <f>VLOOKUP(B3639,[1]LifeList!$E$2:$G$2036,3)</f>
        <v>Hydropsalis cayennensis</v>
      </c>
      <c r="G3639" s="3" t="str">
        <f>VLOOKUP(B3639,[1]LifeList!$E$2:$I$2036,4)</f>
        <v>Caprimulgiformes</v>
      </c>
      <c r="H3639" s="3" t="str">
        <f>VLOOKUP(B3639,[1]LifeList!$E$2:$I$2036,5)</f>
        <v>Caprimulgidae (Nightjars and Allies)</v>
      </c>
    </row>
    <row r="3640" spans="1:8" x14ac:dyDescent="0.15">
      <c r="A3640" s="3" t="s">
        <v>3489</v>
      </c>
      <c r="B3640" s="3" t="s">
        <v>5129</v>
      </c>
      <c r="C3640" s="3">
        <v>3560</v>
      </c>
      <c r="D3640" s="3" t="str">
        <f>VLOOKUP(B3640,[1]LifeList!$E$2:$G$2036,1)</f>
        <v>White-tailed Nightjar</v>
      </c>
      <c r="E3640" s="3" t="str">
        <f>VLOOKUP(B3640,[1]LifeList!$E$2:$G$2036,2)</f>
        <v>Engoulevent coré</v>
      </c>
      <c r="F3640" s="3" t="str">
        <f>VLOOKUP(B3640,[1]LifeList!$E$2:$G$2036,3)</f>
        <v>Hydropsalis cayennensis</v>
      </c>
      <c r="G3640" s="3" t="str">
        <f>VLOOKUP(B3640,[1]LifeList!$E$2:$I$2036,4)</f>
        <v>Caprimulgiformes</v>
      </c>
      <c r="H3640" s="3" t="str">
        <f>VLOOKUP(B3640,[1]LifeList!$E$2:$I$2036,5)</f>
        <v>Caprimulgidae (Nightjars and Allies)</v>
      </c>
    </row>
    <row r="3641" spans="1:8" x14ac:dyDescent="0.15">
      <c r="A3641" s="3" t="s">
        <v>3490</v>
      </c>
      <c r="B3641" s="3" t="s">
        <v>5129</v>
      </c>
      <c r="C3641" s="3">
        <v>3560</v>
      </c>
      <c r="D3641" s="3" t="str">
        <f>VLOOKUP(B3641,[1]LifeList!$E$2:$G$2036,1)</f>
        <v>White-tailed Nightjar</v>
      </c>
      <c r="E3641" s="3" t="str">
        <f>VLOOKUP(B3641,[1]LifeList!$E$2:$G$2036,2)</f>
        <v>Engoulevent coré</v>
      </c>
      <c r="F3641" s="3" t="str">
        <f>VLOOKUP(B3641,[1]LifeList!$E$2:$G$2036,3)</f>
        <v>Hydropsalis cayennensis</v>
      </c>
      <c r="G3641" s="3" t="str">
        <f>VLOOKUP(B3641,[1]LifeList!$E$2:$I$2036,4)</f>
        <v>Caprimulgiformes</v>
      </c>
      <c r="H3641" s="3" t="str">
        <f>VLOOKUP(B3641,[1]LifeList!$E$2:$I$2036,5)</f>
        <v>Caprimulgidae (Nightjars and Allies)</v>
      </c>
    </row>
    <row r="3642" spans="1:8" x14ac:dyDescent="0.15">
      <c r="A3642" s="3" t="s">
        <v>3491</v>
      </c>
      <c r="B3642" s="3" t="s">
        <v>5130</v>
      </c>
      <c r="C3642" s="3">
        <v>4962</v>
      </c>
      <c r="D3642" s="3" t="str">
        <f>VLOOKUP(B3642,[1]LifeList!$E$2:$G$2036,1)</f>
        <v>White-tailed Sabrewing</v>
      </c>
      <c r="E3642" s="3" t="str">
        <f>VLOOKUP(B3642,[1]LifeList!$E$2:$G$2036,2)</f>
        <v>Campyloptère à queue blanche</v>
      </c>
      <c r="F3642" s="3" t="str">
        <f>VLOOKUP(B3642,[1]LifeList!$E$2:$G$2036,3)</f>
        <v>Campylopterus ensipennis</v>
      </c>
      <c r="G3642" s="3" t="str">
        <f>VLOOKUP(B3642,[1]LifeList!$E$2:$I$2036,4)</f>
        <v>Apodiformes</v>
      </c>
      <c r="H3642" s="3" t="str">
        <f>VLOOKUP(B3642,[1]LifeList!$E$2:$I$2036,5)</f>
        <v>Trochilidae (Hummingbirds)</v>
      </c>
    </row>
    <row r="3643" spans="1:8" x14ac:dyDescent="0.15">
      <c r="A3643" s="3" t="s">
        <v>3492</v>
      </c>
      <c r="B3643" s="3" t="s">
        <v>5131</v>
      </c>
      <c r="C3643" s="3">
        <v>19833</v>
      </c>
      <c r="D3643" s="3" t="str">
        <f>VLOOKUP(B3643,[1]LifeList!$E$2:$G$2036,1)</f>
        <v>White-tailed Shrike</v>
      </c>
      <c r="E3643" s="3" t="str">
        <f>VLOOKUP(B3643,[1]LifeList!$E$2:$G$2036,2)</f>
        <v>Lanielle à queue blanche</v>
      </c>
      <c r="F3643" s="3" t="str">
        <f>VLOOKUP(B3643,[1]LifeList!$E$2:$G$2036,3)</f>
        <v>Lanioturdus torquatus</v>
      </c>
      <c r="G3643" s="3" t="str">
        <f>VLOOKUP(B3643,[1]LifeList!$E$2:$I$2036,4)</f>
        <v>Passeriformes</v>
      </c>
      <c r="H3643" s="3" t="str">
        <f>VLOOKUP(B3643,[1]LifeList!$E$2:$I$2036,5)</f>
        <v>Platysteiridae (Wattle-eyes and Batises)</v>
      </c>
    </row>
    <row r="3644" spans="1:8" x14ac:dyDescent="0.15">
      <c r="A3644" s="3" t="s">
        <v>3493</v>
      </c>
      <c r="B3644" s="3" t="s">
        <v>5132</v>
      </c>
      <c r="C3644" s="3">
        <v>4646</v>
      </c>
      <c r="D3644" s="3" t="str">
        <f>VLOOKUP(B3644,[1]LifeList!$E$2:$G$2036,1)</f>
        <v>White-tailed Starfrontlet</v>
      </c>
      <c r="E3644" s="3" t="str">
        <f>VLOOKUP(B3644,[1]LifeList!$E$2:$G$2036,2)</f>
        <v>Inca à queue blanche</v>
      </c>
      <c r="F3644" s="3" t="str">
        <f>VLOOKUP(B3644,[1]LifeList!$E$2:$G$2036,3)</f>
        <v>Coeligena phalerata</v>
      </c>
      <c r="G3644" s="3" t="str">
        <f>VLOOKUP(B3644,[1]LifeList!$E$2:$I$2036,4)</f>
        <v>Apodiformes</v>
      </c>
      <c r="H3644" s="3" t="str">
        <f>VLOOKUP(B3644,[1]LifeList!$E$2:$I$2036,5)</f>
        <v>Trochilidae (Hummingbirds)</v>
      </c>
    </row>
    <row r="3645" spans="1:8" x14ac:dyDescent="0.15">
      <c r="A3645" s="3" t="s">
        <v>3494</v>
      </c>
      <c r="B3645" s="3" t="s">
        <v>5132</v>
      </c>
      <c r="C3645" s="3">
        <v>4646</v>
      </c>
      <c r="D3645" s="3" t="str">
        <f>VLOOKUP(B3645,[1]LifeList!$E$2:$G$2036,1)</f>
        <v>White-tailed Starfrontlet</v>
      </c>
      <c r="E3645" s="3" t="str">
        <f>VLOOKUP(B3645,[1]LifeList!$E$2:$G$2036,2)</f>
        <v>Inca à queue blanche</v>
      </c>
      <c r="F3645" s="3" t="str">
        <f>VLOOKUP(B3645,[1]LifeList!$E$2:$G$2036,3)</f>
        <v>Coeligena phalerata</v>
      </c>
      <c r="G3645" s="3" t="str">
        <f>VLOOKUP(B3645,[1]LifeList!$E$2:$I$2036,4)</f>
        <v>Apodiformes</v>
      </c>
      <c r="H3645" s="3" t="str">
        <f>VLOOKUP(B3645,[1]LifeList!$E$2:$I$2036,5)</f>
        <v>Trochilidae (Hummingbirds)</v>
      </c>
    </row>
    <row r="3646" spans="1:8" x14ac:dyDescent="0.15">
      <c r="A3646" s="3" t="s">
        <v>3495</v>
      </c>
      <c r="B3646" s="3" t="s">
        <v>5132</v>
      </c>
      <c r="C3646" s="3">
        <v>4646</v>
      </c>
      <c r="D3646" s="3" t="str">
        <f>VLOOKUP(B3646,[1]LifeList!$E$2:$G$2036,1)</f>
        <v>White-tailed Starfrontlet</v>
      </c>
      <c r="E3646" s="3" t="str">
        <f>VLOOKUP(B3646,[1]LifeList!$E$2:$G$2036,2)</f>
        <v>Inca à queue blanche</v>
      </c>
      <c r="F3646" s="3" t="str">
        <f>VLOOKUP(B3646,[1]LifeList!$E$2:$G$2036,3)</f>
        <v>Coeligena phalerata</v>
      </c>
      <c r="G3646" s="3" t="str">
        <f>VLOOKUP(B3646,[1]LifeList!$E$2:$I$2036,4)</f>
        <v>Apodiformes</v>
      </c>
      <c r="H3646" s="3" t="str">
        <f>VLOOKUP(B3646,[1]LifeList!$E$2:$I$2036,5)</f>
        <v>Trochilidae (Hummingbirds)</v>
      </c>
    </row>
    <row r="3647" spans="1:8" x14ac:dyDescent="0.15">
      <c r="A3647" s="3" t="s">
        <v>3496</v>
      </c>
      <c r="B3647" s="3" t="s">
        <v>5132</v>
      </c>
      <c r="C3647" s="3">
        <v>4646</v>
      </c>
      <c r="D3647" s="3" t="str">
        <f>VLOOKUP(B3647,[1]LifeList!$E$2:$G$2036,1)</f>
        <v>White-tailed Starfrontlet</v>
      </c>
      <c r="E3647" s="3" t="str">
        <f>VLOOKUP(B3647,[1]LifeList!$E$2:$G$2036,2)</f>
        <v>Inca à queue blanche</v>
      </c>
      <c r="F3647" s="3" t="str">
        <f>VLOOKUP(B3647,[1]LifeList!$E$2:$G$2036,3)</f>
        <v>Coeligena phalerata</v>
      </c>
      <c r="G3647" s="3" t="str">
        <f>VLOOKUP(B3647,[1]LifeList!$E$2:$I$2036,4)</f>
        <v>Apodiformes</v>
      </c>
      <c r="H3647" s="3" t="str">
        <f>VLOOKUP(B3647,[1]LifeList!$E$2:$I$2036,5)</f>
        <v>Trochilidae (Hummingbirds)</v>
      </c>
    </row>
    <row r="3648" spans="1:8" x14ac:dyDescent="0.15">
      <c r="A3648" s="3" t="s">
        <v>3497</v>
      </c>
      <c r="B3648" s="3" t="s">
        <v>5133</v>
      </c>
      <c r="C3648" s="3">
        <v>9540</v>
      </c>
      <c r="D3648" s="3" t="str">
        <f>VLOOKUP(B3648,[1]LifeList!$E$2:$G$2036,1)</f>
        <v>White-tailed Trogon</v>
      </c>
      <c r="E3648" s="3" t="str">
        <f>VLOOKUP(B3648,[1]LifeList!$E$2:$G$2036,2)</f>
        <v>Trogon de Sclater</v>
      </c>
      <c r="F3648" s="3" t="str">
        <f>VLOOKUP(B3648,[1]LifeList!$E$2:$G$2036,3)</f>
        <v>Trogon chionurus</v>
      </c>
      <c r="G3648" s="3" t="str">
        <f>VLOOKUP(B3648,[1]LifeList!$E$2:$I$2036,4)</f>
        <v>Trogoniformes</v>
      </c>
      <c r="H3648" s="3" t="str">
        <f>VLOOKUP(B3648,[1]LifeList!$E$2:$I$2036,5)</f>
        <v>Trogonidae (Trogons)</v>
      </c>
    </row>
    <row r="3649" spans="1:8" x14ac:dyDescent="0.15">
      <c r="A3649" s="3" t="s">
        <v>3498</v>
      </c>
      <c r="B3649" s="3" t="s">
        <v>5134</v>
      </c>
      <c r="C3649" s="3">
        <v>6908</v>
      </c>
      <c r="D3649" s="3" t="str">
        <f>VLOOKUP(B3649,[1]LifeList!$E$2:$G$2036,1)</f>
        <v>White-tailed Tropicbird</v>
      </c>
      <c r="E3649" s="3" t="str">
        <f>VLOOKUP(B3649,[1]LifeList!$E$2:$G$2036,2)</f>
        <v>Phaéton à bec jaune</v>
      </c>
      <c r="F3649" s="3" t="str">
        <f>VLOOKUP(B3649,[1]LifeList!$E$2:$G$2036,3)</f>
        <v>Phaethon lepturus</v>
      </c>
      <c r="G3649" s="3" t="str">
        <f>VLOOKUP(B3649,[1]LifeList!$E$2:$I$2036,4)</f>
        <v>Phaethontiformes</v>
      </c>
      <c r="H3649" s="3" t="str">
        <f>VLOOKUP(B3649,[1]LifeList!$E$2:$I$2036,5)</f>
        <v>Phaethontidae (Tropicbirds)</v>
      </c>
    </row>
    <row r="3650" spans="1:8" x14ac:dyDescent="0.15">
      <c r="A3650" s="3" t="s">
        <v>3499</v>
      </c>
      <c r="B3650" s="3" t="s">
        <v>5134</v>
      </c>
      <c r="C3650" s="3">
        <v>6908</v>
      </c>
      <c r="D3650" s="3" t="str">
        <f>VLOOKUP(B3650,[1]LifeList!$E$2:$G$2036,1)</f>
        <v>White-tailed Tropicbird</v>
      </c>
      <c r="E3650" s="3" t="str">
        <f>VLOOKUP(B3650,[1]LifeList!$E$2:$G$2036,2)</f>
        <v>Phaéton à bec jaune</v>
      </c>
      <c r="F3650" s="3" t="str">
        <f>VLOOKUP(B3650,[1]LifeList!$E$2:$G$2036,3)</f>
        <v>Phaethon lepturus</v>
      </c>
      <c r="G3650" s="3" t="str">
        <f>VLOOKUP(B3650,[1]LifeList!$E$2:$I$2036,4)</f>
        <v>Phaethontiformes</v>
      </c>
      <c r="H3650" s="3" t="str">
        <f>VLOOKUP(B3650,[1]LifeList!$E$2:$I$2036,5)</f>
        <v>Phaethontidae (Tropicbirds)</v>
      </c>
    </row>
    <row r="3651" spans="1:8" x14ac:dyDescent="0.15">
      <c r="A3651" s="3" t="s">
        <v>3500</v>
      </c>
      <c r="B3651" s="3" t="s">
        <v>5135</v>
      </c>
      <c r="C3651" s="3">
        <v>5643</v>
      </c>
      <c r="D3651" s="3" t="str">
        <f>VLOOKUP(B3651,[1]LifeList!$E$2:$G$2036,1)</f>
        <v>White-throated Crake</v>
      </c>
      <c r="E3651" s="3" t="str">
        <f>VLOOKUP(B3651,[1]LifeList!$E$2:$G$2036,2)</f>
        <v>Râle à menton blanc</v>
      </c>
      <c r="F3651" s="3" t="str">
        <f>VLOOKUP(B3651,[1]LifeList!$E$2:$G$2036,3)</f>
        <v>Laterallus albigularis</v>
      </c>
      <c r="G3651" s="3" t="str">
        <f>VLOOKUP(B3651,[1]LifeList!$E$2:$I$2036,4)</f>
        <v>Gruiformes</v>
      </c>
      <c r="H3651" s="3" t="str">
        <f>VLOOKUP(B3651,[1]LifeList!$E$2:$I$2036,5)</f>
        <v>Rallidae (Rails, Gallinules, and Coots)</v>
      </c>
    </row>
    <row r="3652" spans="1:8" x14ac:dyDescent="0.15">
      <c r="A3652" s="3" t="s">
        <v>3501</v>
      </c>
      <c r="B3652" s="3" t="s">
        <v>5136</v>
      </c>
      <c r="C3652" s="3">
        <v>21216</v>
      </c>
      <c r="D3652" s="3" t="str">
        <f>VLOOKUP(B3652,[1]LifeList!$E$2:$G$2036,1)</f>
        <v>White-throated Magpie-Jay</v>
      </c>
      <c r="E3652" s="3" t="str">
        <f>VLOOKUP(B3652,[1]LifeList!$E$2:$G$2036,2)</f>
        <v>Geai à face blanche</v>
      </c>
      <c r="F3652" s="3" t="str">
        <f>VLOOKUP(B3652,[1]LifeList!$E$2:$G$2036,3)</f>
        <v>Cyanocorax formosus</v>
      </c>
      <c r="G3652" s="3" t="str">
        <f>VLOOKUP(B3652,[1]LifeList!$E$2:$I$2036,4)</f>
        <v>Passeriformes</v>
      </c>
      <c r="H3652" s="3" t="str">
        <f>VLOOKUP(B3652,[1]LifeList!$E$2:$I$2036,5)</f>
        <v>Corvidae (Crows, Jays, and Magpies)</v>
      </c>
    </row>
    <row r="3653" spans="1:8" x14ac:dyDescent="0.15">
      <c r="A3653" s="3" t="s">
        <v>3502</v>
      </c>
      <c r="B3653" s="3" t="s">
        <v>5136</v>
      </c>
      <c r="C3653" s="3">
        <v>21216</v>
      </c>
      <c r="D3653" s="3" t="str">
        <f>VLOOKUP(B3653,[1]LifeList!$E$2:$G$2036,1)</f>
        <v>White-throated Magpie-Jay</v>
      </c>
      <c r="E3653" s="3" t="str">
        <f>VLOOKUP(B3653,[1]LifeList!$E$2:$G$2036,2)</f>
        <v>Geai à face blanche</v>
      </c>
      <c r="F3653" s="3" t="str">
        <f>VLOOKUP(B3653,[1]LifeList!$E$2:$G$2036,3)</f>
        <v>Cyanocorax formosus</v>
      </c>
      <c r="G3653" s="3" t="str">
        <f>VLOOKUP(B3653,[1]LifeList!$E$2:$I$2036,4)</f>
        <v>Passeriformes</v>
      </c>
      <c r="H3653" s="3" t="str">
        <f>VLOOKUP(B3653,[1]LifeList!$E$2:$I$2036,5)</f>
        <v>Corvidae (Crows, Jays, and Magpies)</v>
      </c>
    </row>
    <row r="3654" spans="1:8" x14ac:dyDescent="0.15">
      <c r="A3654" s="3" t="s">
        <v>3503</v>
      </c>
      <c r="B3654" s="3" t="s">
        <v>5136</v>
      </c>
      <c r="C3654" s="3">
        <v>21216</v>
      </c>
      <c r="D3654" s="3" t="str">
        <f>VLOOKUP(B3654,[1]LifeList!$E$2:$G$2036,1)</f>
        <v>White-throated Magpie-Jay</v>
      </c>
      <c r="E3654" s="3" t="str">
        <f>VLOOKUP(B3654,[1]LifeList!$E$2:$G$2036,2)</f>
        <v>Geai à face blanche</v>
      </c>
      <c r="F3654" s="3" t="str">
        <f>VLOOKUP(B3654,[1]LifeList!$E$2:$G$2036,3)</f>
        <v>Cyanocorax formosus</v>
      </c>
      <c r="G3654" s="3" t="str">
        <f>VLOOKUP(B3654,[1]LifeList!$E$2:$I$2036,4)</f>
        <v>Passeriformes</v>
      </c>
      <c r="H3654" s="3" t="str">
        <f>VLOOKUP(B3654,[1]LifeList!$E$2:$I$2036,5)</f>
        <v>Corvidae (Crows, Jays, and Magpies)</v>
      </c>
    </row>
    <row r="3655" spans="1:8" x14ac:dyDescent="0.15">
      <c r="A3655" s="3" t="s">
        <v>3505</v>
      </c>
      <c r="B3655" s="3" t="s">
        <v>5137</v>
      </c>
      <c r="C3655" s="3">
        <v>4762</v>
      </c>
      <c r="D3655" s="3" t="str">
        <f>VLOOKUP(B3655,[1]LifeList!$E$2:$G$2036,1)</f>
        <v>White-throated Mountain-gem</v>
      </c>
      <c r="E3655" s="3" t="str">
        <f>VLOOKUP(B3655,[1]LifeList!$E$2:$G$2036,2)</f>
        <v>Colibri à ventre châtain</v>
      </c>
      <c r="F3655" s="3" t="str">
        <f>VLOOKUP(B3655,[1]LifeList!$E$2:$G$2036,3)</f>
        <v>Lampornis castaneoventris</v>
      </c>
      <c r="G3655" s="3" t="str">
        <f>VLOOKUP(B3655,[1]LifeList!$E$2:$I$2036,4)</f>
        <v>Apodiformes</v>
      </c>
      <c r="H3655" s="3" t="str">
        <f>VLOOKUP(B3655,[1]LifeList!$E$2:$I$2036,5)</f>
        <v>Trochilidae (Hummingbirds)</v>
      </c>
    </row>
    <row r="3656" spans="1:8" x14ac:dyDescent="0.15">
      <c r="A3656" s="3" t="s">
        <v>3506</v>
      </c>
      <c r="B3656" s="3" t="s">
        <v>5137</v>
      </c>
      <c r="C3656" s="3">
        <v>4762</v>
      </c>
      <c r="D3656" s="3" t="str">
        <f>VLOOKUP(B3656,[1]LifeList!$E$2:$G$2036,1)</f>
        <v>White-throated Mountain-gem</v>
      </c>
      <c r="E3656" s="3" t="str">
        <f>VLOOKUP(B3656,[1]LifeList!$E$2:$G$2036,2)</f>
        <v>Colibri à ventre châtain</v>
      </c>
      <c r="F3656" s="3" t="str">
        <f>VLOOKUP(B3656,[1]LifeList!$E$2:$G$2036,3)</f>
        <v>Lampornis castaneoventris</v>
      </c>
      <c r="G3656" s="3" t="str">
        <f>VLOOKUP(B3656,[1]LifeList!$E$2:$I$2036,4)</f>
        <v>Apodiformes</v>
      </c>
      <c r="H3656" s="3" t="str">
        <f>VLOOKUP(B3656,[1]LifeList!$E$2:$I$2036,5)</f>
        <v>Trochilidae (Hummingbirds)</v>
      </c>
    </row>
    <row r="3657" spans="1:8" x14ac:dyDescent="0.15">
      <c r="A3657" s="3" t="s">
        <v>3507</v>
      </c>
      <c r="B3657" s="3" t="s">
        <v>5137</v>
      </c>
      <c r="C3657" s="3">
        <v>4762</v>
      </c>
      <c r="D3657" s="3" t="str">
        <f>VLOOKUP(B3657,[1]LifeList!$E$2:$G$2036,1)</f>
        <v>White-throated Mountain-gem</v>
      </c>
      <c r="E3657" s="3" t="str">
        <f>VLOOKUP(B3657,[1]LifeList!$E$2:$G$2036,2)</f>
        <v>Colibri à ventre châtain</v>
      </c>
      <c r="F3657" s="3" t="str">
        <f>VLOOKUP(B3657,[1]LifeList!$E$2:$G$2036,3)</f>
        <v>Lampornis castaneoventris</v>
      </c>
      <c r="G3657" s="3" t="str">
        <f>VLOOKUP(B3657,[1]LifeList!$E$2:$I$2036,4)</f>
        <v>Apodiformes</v>
      </c>
      <c r="H3657" s="3" t="str">
        <f>VLOOKUP(B3657,[1]LifeList!$E$2:$I$2036,5)</f>
        <v>Trochilidae (Hummingbirds)</v>
      </c>
    </row>
    <row r="3658" spans="1:8" x14ac:dyDescent="0.15">
      <c r="A3658" s="3" t="s">
        <v>3504</v>
      </c>
      <c r="B3658" s="3" t="s">
        <v>5137</v>
      </c>
      <c r="C3658" s="3">
        <v>4762</v>
      </c>
      <c r="D3658" s="3" t="str">
        <f>VLOOKUP(B3658,[1]LifeList!$E$2:$G$2036,1)</f>
        <v>White-throated Mountain-gem</v>
      </c>
      <c r="E3658" s="3" t="str">
        <f>VLOOKUP(B3658,[1]LifeList!$E$2:$G$2036,2)</f>
        <v>Colibri à ventre châtain</v>
      </c>
      <c r="F3658" s="3" t="str">
        <f>VLOOKUP(B3658,[1]LifeList!$E$2:$G$2036,3)</f>
        <v>Lampornis castaneoventris</v>
      </c>
      <c r="G3658" s="3" t="str">
        <f>VLOOKUP(B3658,[1]LifeList!$E$2:$I$2036,4)</f>
        <v>Apodiformes</v>
      </c>
      <c r="H3658" s="3" t="str">
        <f>VLOOKUP(B3658,[1]LifeList!$E$2:$I$2036,5)</f>
        <v>Trochilidae (Hummingbirds)</v>
      </c>
    </row>
    <row r="3659" spans="1:8" x14ac:dyDescent="0.15">
      <c r="A3659" s="3" t="s">
        <v>3508</v>
      </c>
      <c r="B3659" s="3" t="s">
        <v>5138</v>
      </c>
      <c r="C3659" s="3">
        <v>2375</v>
      </c>
      <c r="D3659" s="3" t="str">
        <f>VLOOKUP(B3659,[1]LifeList!$E$2:$G$2036,1)</f>
        <v>White-throated Quail-Dove</v>
      </c>
      <c r="E3659" s="3" t="str">
        <f>VLOOKUP(B3659,[1]LifeList!$E$2:$G$2036,2)</f>
        <v>Colombe à gorge blanche</v>
      </c>
      <c r="F3659" s="3" t="str">
        <f>VLOOKUP(B3659,[1]LifeList!$E$2:$G$2036,3)</f>
        <v>Zentrygon frenata</v>
      </c>
      <c r="G3659" s="3" t="str">
        <f>VLOOKUP(B3659,[1]LifeList!$E$2:$I$2036,4)</f>
        <v>Columbiformes</v>
      </c>
      <c r="H3659" s="3" t="str">
        <f>VLOOKUP(B3659,[1]LifeList!$E$2:$I$2036,5)</f>
        <v>Columbidae (Pigeons and Doves)</v>
      </c>
    </row>
    <row r="3660" spans="1:8" x14ac:dyDescent="0.15">
      <c r="A3660" s="3" t="s">
        <v>3509</v>
      </c>
      <c r="B3660" s="3" t="s">
        <v>5139</v>
      </c>
      <c r="C3660" s="3">
        <v>5317</v>
      </c>
      <c r="D3660" s="3" t="str">
        <f>VLOOKUP(B3660,[1]LifeList!$E$2:$G$2036,1)</f>
        <v>White-throated Rail</v>
      </c>
      <c r="E3660" s="3" t="str">
        <f>VLOOKUP(B3660,[1]LifeList!$E$2:$G$2036,2)</f>
        <v>Râle de Cuvier</v>
      </c>
      <c r="F3660" s="3" t="str">
        <f>VLOOKUP(B3660,[1]LifeList!$E$2:$G$2036,3)</f>
        <v>Dryolimnas cuvieri</v>
      </c>
      <c r="G3660" s="3" t="str">
        <f>VLOOKUP(B3660,[1]LifeList!$E$2:$I$2036,4)</f>
        <v>Gruiformes</v>
      </c>
      <c r="H3660" s="3" t="str">
        <f>VLOOKUP(B3660,[1]LifeList!$E$2:$I$2036,5)</f>
        <v>Rallidae (Rails, Gallinules, and Coots)</v>
      </c>
    </row>
    <row r="3661" spans="1:8" x14ac:dyDescent="0.15">
      <c r="A3661" s="3" t="s">
        <v>3510</v>
      </c>
      <c r="B3661" s="3" t="s">
        <v>5139</v>
      </c>
      <c r="C3661" s="3">
        <v>5317</v>
      </c>
      <c r="D3661" s="3" t="str">
        <f>VLOOKUP(B3661,[1]LifeList!$E$2:$G$2036,1)</f>
        <v>White-throated Rail</v>
      </c>
      <c r="E3661" s="3" t="str">
        <f>VLOOKUP(B3661,[1]LifeList!$E$2:$G$2036,2)</f>
        <v>Râle de Cuvier</v>
      </c>
      <c r="F3661" s="3" t="str">
        <f>VLOOKUP(B3661,[1]LifeList!$E$2:$G$2036,3)</f>
        <v>Dryolimnas cuvieri</v>
      </c>
      <c r="G3661" s="3" t="str">
        <f>VLOOKUP(B3661,[1]LifeList!$E$2:$I$2036,4)</f>
        <v>Gruiformes</v>
      </c>
      <c r="H3661" s="3" t="str">
        <f>VLOOKUP(B3661,[1]LifeList!$E$2:$I$2036,5)</f>
        <v>Rallidae (Rails, Gallinules, and Coots)</v>
      </c>
    </row>
    <row r="3662" spans="1:8" x14ac:dyDescent="0.15">
      <c r="A3662" s="3" t="s">
        <v>3511</v>
      </c>
      <c r="B3662" s="3" t="s">
        <v>5139</v>
      </c>
      <c r="C3662" s="3">
        <v>5317</v>
      </c>
      <c r="D3662" s="3" t="str">
        <f>VLOOKUP(B3662,[1]LifeList!$E$2:$G$2036,1)</f>
        <v>White-throated Rail</v>
      </c>
      <c r="E3662" s="3" t="str">
        <f>VLOOKUP(B3662,[1]LifeList!$E$2:$G$2036,2)</f>
        <v>Râle de Cuvier</v>
      </c>
      <c r="F3662" s="3" t="str">
        <f>VLOOKUP(B3662,[1]LifeList!$E$2:$G$2036,3)</f>
        <v>Dryolimnas cuvieri</v>
      </c>
      <c r="G3662" s="3" t="str">
        <f>VLOOKUP(B3662,[1]LifeList!$E$2:$I$2036,4)</f>
        <v>Gruiformes</v>
      </c>
      <c r="H3662" s="3" t="str">
        <f>VLOOKUP(B3662,[1]LifeList!$E$2:$I$2036,5)</f>
        <v>Rallidae (Rails, Gallinules, and Coots)</v>
      </c>
    </row>
    <row r="3663" spans="1:8" x14ac:dyDescent="0.15">
      <c r="A3663" s="3" t="s">
        <v>3513</v>
      </c>
      <c r="B3663" s="3" t="s">
        <v>5140</v>
      </c>
      <c r="C3663" s="3">
        <v>33201</v>
      </c>
      <c r="D3663" s="3" t="str">
        <f>VLOOKUP(B3663,[1]LifeList!$E$2:$G$2036,1)</f>
        <v>White-throated Sparrow</v>
      </c>
      <c r="E3663" s="3" t="str">
        <f>VLOOKUP(B3663,[1]LifeList!$E$2:$G$2036,2)</f>
        <v>Bruant à gorge blanche</v>
      </c>
      <c r="F3663" s="3" t="str">
        <f>VLOOKUP(B3663,[1]LifeList!$E$2:$G$2036,3)</f>
        <v>Zonotrichia albicollis</v>
      </c>
      <c r="G3663" s="3" t="str">
        <f>VLOOKUP(B3663,[1]LifeList!$E$2:$I$2036,4)</f>
        <v>Passeriformes</v>
      </c>
      <c r="H3663" s="3" t="str">
        <f>VLOOKUP(B3663,[1]LifeList!$E$2:$I$2036,5)</f>
        <v>Passerellidae (New World Sparrows)</v>
      </c>
    </row>
    <row r="3664" spans="1:8" x14ac:dyDescent="0.15">
      <c r="A3664" s="3" t="s">
        <v>3514</v>
      </c>
      <c r="B3664" s="3" t="s">
        <v>5140</v>
      </c>
      <c r="C3664" s="3">
        <v>33201</v>
      </c>
      <c r="D3664" s="3" t="str">
        <f>VLOOKUP(B3664,[1]LifeList!$E$2:$G$2036,1)</f>
        <v>White-throated Sparrow</v>
      </c>
      <c r="E3664" s="3" t="str">
        <f>VLOOKUP(B3664,[1]LifeList!$E$2:$G$2036,2)</f>
        <v>Bruant à gorge blanche</v>
      </c>
      <c r="F3664" s="3" t="str">
        <f>VLOOKUP(B3664,[1]LifeList!$E$2:$G$2036,3)</f>
        <v>Zonotrichia albicollis</v>
      </c>
      <c r="G3664" s="3" t="str">
        <f>VLOOKUP(B3664,[1]LifeList!$E$2:$I$2036,4)</f>
        <v>Passeriformes</v>
      </c>
      <c r="H3664" s="3" t="str">
        <f>VLOOKUP(B3664,[1]LifeList!$E$2:$I$2036,5)</f>
        <v>Passerellidae (New World Sparrows)</v>
      </c>
    </row>
    <row r="3665" spans="1:8" x14ac:dyDescent="0.15">
      <c r="A3665" s="3" t="s">
        <v>3515</v>
      </c>
      <c r="B3665" s="3" t="s">
        <v>5140</v>
      </c>
      <c r="C3665" s="3">
        <v>33201</v>
      </c>
      <c r="D3665" s="3" t="str">
        <f>VLOOKUP(B3665,[1]LifeList!$E$2:$G$2036,1)</f>
        <v>White-throated Sparrow</v>
      </c>
      <c r="E3665" s="3" t="str">
        <f>VLOOKUP(B3665,[1]LifeList!$E$2:$G$2036,2)</f>
        <v>Bruant à gorge blanche</v>
      </c>
      <c r="F3665" s="3" t="str">
        <f>VLOOKUP(B3665,[1]LifeList!$E$2:$G$2036,3)</f>
        <v>Zonotrichia albicollis</v>
      </c>
      <c r="G3665" s="3" t="str">
        <f>VLOOKUP(B3665,[1]LifeList!$E$2:$I$2036,4)</f>
        <v>Passeriformes</v>
      </c>
      <c r="H3665" s="3" t="str">
        <f>VLOOKUP(B3665,[1]LifeList!$E$2:$I$2036,5)</f>
        <v>Passerellidae (New World Sparrows)</v>
      </c>
    </row>
    <row r="3666" spans="1:8" x14ac:dyDescent="0.15">
      <c r="A3666" s="3" t="s">
        <v>3516</v>
      </c>
      <c r="B3666" s="3" t="s">
        <v>5140</v>
      </c>
      <c r="C3666" s="3">
        <v>33201</v>
      </c>
      <c r="D3666" s="3" t="str">
        <f>VLOOKUP(B3666,[1]LifeList!$E$2:$G$2036,1)</f>
        <v>White-throated Sparrow</v>
      </c>
      <c r="E3666" s="3" t="str">
        <f>VLOOKUP(B3666,[1]LifeList!$E$2:$G$2036,2)</f>
        <v>Bruant à gorge blanche</v>
      </c>
      <c r="F3666" s="3" t="str">
        <f>VLOOKUP(B3666,[1]LifeList!$E$2:$G$2036,3)</f>
        <v>Zonotrichia albicollis</v>
      </c>
      <c r="G3666" s="3" t="str">
        <f>VLOOKUP(B3666,[1]LifeList!$E$2:$I$2036,4)</f>
        <v>Passeriformes</v>
      </c>
      <c r="H3666" s="3" t="str">
        <f>VLOOKUP(B3666,[1]LifeList!$E$2:$I$2036,5)</f>
        <v>Passerellidae (New World Sparrows)</v>
      </c>
    </row>
    <row r="3667" spans="1:8" x14ac:dyDescent="0.15">
      <c r="A3667" s="3" t="s">
        <v>3517</v>
      </c>
      <c r="B3667" s="3" t="s">
        <v>5140</v>
      </c>
      <c r="C3667" s="3">
        <v>33201</v>
      </c>
      <c r="D3667" s="3" t="str">
        <f>VLOOKUP(B3667,[1]LifeList!$E$2:$G$2036,1)</f>
        <v>White-throated Sparrow</v>
      </c>
      <c r="E3667" s="3" t="str">
        <f>VLOOKUP(B3667,[1]LifeList!$E$2:$G$2036,2)</f>
        <v>Bruant à gorge blanche</v>
      </c>
      <c r="F3667" s="3" t="str">
        <f>VLOOKUP(B3667,[1]LifeList!$E$2:$G$2036,3)</f>
        <v>Zonotrichia albicollis</v>
      </c>
      <c r="G3667" s="3" t="str">
        <f>VLOOKUP(B3667,[1]LifeList!$E$2:$I$2036,4)</f>
        <v>Passeriformes</v>
      </c>
      <c r="H3667" s="3" t="str">
        <f>VLOOKUP(B3667,[1]LifeList!$E$2:$I$2036,5)</f>
        <v>Passerellidae (New World Sparrows)</v>
      </c>
    </row>
    <row r="3668" spans="1:8" x14ac:dyDescent="0.15">
      <c r="A3668" s="3" t="s">
        <v>3518</v>
      </c>
      <c r="B3668" s="3" t="s">
        <v>5140</v>
      </c>
      <c r="C3668" s="3">
        <v>33201</v>
      </c>
      <c r="D3668" s="3" t="str">
        <f>VLOOKUP(B3668,[1]LifeList!$E$2:$G$2036,1)</f>
        <v>White-throated Sparrow</v>
      </c>
      <c r="E3668" s="3" t="str">
        <f>VLOOKUP(B3668,[1]LifeList!$E$2:$G$2036,2)</f>
        <v>Bruant à gorge blanche</v>
      </c>
      <c r="F3668" s="3" t="str">
        <f>VLOOKUP(B3668,[1]LifeList!$E$2:$G$2036,3)</f>
        <v>Zonotrichia albicollis</v>
      </c>
      <c r="G3668" s="3" t="str">
        <f>VLOOKUP(B3668,[1]LifeList!$E$2:$I$2036,4)</f>
        <v>Passeriformes</v>
      </c>
      <c r="H3668" s="3" t="str">
        <f>VLOOKUP(B3668,[1]LifeList!$E$2:$I$2036,5)</f>
        <v>Passerellidae (New World Sparrows)</v>
      </c>
    </row>
    <row r="3669" spans="1:8" x14ac:dyDescent="0.15">
      <c r="A3669" s="3" t="s">
        <v>3519</v>
      </c>
      <c r="B3669" s="3" t="s">
        <v>5140</v>
      </c>
      <c r="C3669" s="3">
        <v>33201</v>
      </c>
      <c r="D3669" s="3" t="str">
        <f>VLOOKUP(B3669,[1]LifeList!$E$2:$G$2036,1)</f>
        <v>White-throated Sparrow</v>
      </c>
      <c r="E3669" s="3" t="str">
        <f>VLOOKUP(B3669,[1]LifeList!$E$2:$G$2036,2)</f>
        <v>Bruant à gorge blanche</v>
      </c>
      <c r="F3669" s="3" t="str">
        <f>VLOOKUP(B3669,[1]LifeList!$E$2:$G$2036,3)</f>
        <v>Zonotrichia albicollis</v>
      </c>
      <c r="G3669" s="3" t="str">
        <f>VLOOKUP(B3669,[1]LifeList!$E$2:$I$2036,4)</f>
        <v>Passeriformes</v>
      </c>
      <c r="H3669" s="3" t="str">
        <f>VLOOKUP(B3669,[1]LifeList!$E$2:$I$2036,5)</f>
        <v>Passerellidae (New World Sparrows)</v>
      </c>
    </row>
    <row r="3670" spans="1:8" x14ac:dyDescent="0.15">
      <c r="A3670" s="3" t="s">
        <v>3512</v>
      </c>
      <c r="B3670" s="3" t="s">
        <v>5140</v>
      </c>
      <c r="C3670" s="3">
        <v>33201</v>
      </c>
      <c r="D3670" s="3" t="str">
        <f>VLOOKUP(B3670,[1]LifeList!$E$2:$G$2036,1)</f>
        <v>White-throated Sparrow</v>
      </c>
      <c r="E3670" s="3" t="str">
        <f>VLOOKUP(B3670,[1]LifeList!$E$2:$G$2036,2)</f>
        <v>Bruant à gorge blanche</v>
      </c>
      <c r="F3670" s="3" t="str">
        <f>VLOOKUP(B3670,[1]LifeList!$E$2:$G$2036,3)</f>
        <v>Zonotrichia albicollis</v>
      </c>
      <c r="G3670" s="3" t="str">
        <f>VLOOKUP(B3670,[1]LifeList!$E$2:$I$2036,4)</f>
        <v>Passeriformes</v>
      </c>
      <c r="H3670" s="3" t="str">
        <f>VLOOKUP(B3670,[1]LifeList!$E$2:$I$2036,5)</f>
        <v>Passerellidae (New World Sparrows)</v>
      </c>
    </row>
    <row r="3671" spans="1:8" x14ac:dyDescent="0.15">
      <c r="A3671" s="3" t="s">
        <v>3520</v>
      </c>
      <c r="B3671" s="3" t="s">
        <v>5141</v>
      </c>
      <c r="C3671" s="3">
        <v>28724</v>
      </c>
      <c r="D3671" s="3" t="str">
        <f>VLOOKUP(B3671,[1]LifeList!$E$2:$G$2036,1)</f>
        <v>White-throated Thrush</v>
      </c>
      <c r="E3671" s="3" t="str">
        <f>VLOOKUP(B3671,[1]LifeList!$E$2:$G$2036,2)</f>
        <v>Merle à gorge blanche</v>
      </c>
      <c r="F3671" s="3" t="str">
        <f>VLOOKUP(B3671,[1]LifeList!$E$2:$G$2036,3)</f>
        <v>Turdus assimilis</v>
      </c>
      <c r="G3671" s="3" t="str">
        <f>VLOOKUP(B3671,[1]LifeList!$E$2:$I$2036,4)</f>
        <v>Passeriformes</v>
      </c>
      <c r="H3671" s="3" t="str">
        <f>VLOOKUP(B3671,[1]LifeList!$E$2:$I$2036,5)</f>
        <v>Turdidae (Thrushes and Allies)</v>
      </c>
    </row>
    <row r="3672" spans="1:8" x14ac:dyDescent="0.15">
      <c r="A3672" s="3" t="s">
        <v>3522</v>
      </c>
      <c r="B3672" s="3" t="s">
        <v>5142</v>
      </c>
      <c r="C3672" s="3">
        <v>16582</v>
      </c>
      <c r="D3672" s="3" t="str">
        <f>VLOOKUP(B3672,[1]LifeList!$E$2:$G$2036,1)</f>
        <v>White-throated Tyrannulet</v>
      </c>
      <c r="E3672" s="3" t="str">
        <f>VLOOKUP(B3672,[1]LifeList!$E$2:$G$2036,2)</f>
        <v>Tyranneau à gorge blanche</v>
      </c>
      <c r="F3672" s="3" t="str">
        <f>VLOOKUP(B3672,[1]LifeList!$E$2:$G$2036,3)</f>
        <v>Mecocerculus leucophrys</v>
      </c>
      <c r="G3672" s="3" t="str">
        <f>VLOOKUP(B3672,[1]LifeList!$E$2:$I$2036,4)</f>
        <v>Passeriformes</v>
      </c>
      <c r="H3672" s="3" t="str">
        <f>VLOOKUP(B3672,[1]LifeList!$E$2:$I$2036,5)</f>
        <v>Tyrannidae (Tyrant Flycatchers)</v>
      </c>
    </row>
    <row r="3673" spans="1:8" x14ac:dyDescent="0.15">
      <c r="A3673" s="3" t="s">
        <v>3521</v>
      </c>
      <c r="B3673" s="3" t="s">
        <v>5142</v>
      </c>
      <c r="C3673" s="3">
        <v>16582</v>
      </c>
      <c r="D3673" s="3" t="str">
        <f>VLOOKUP(B3673,[1]LifeList!$E$2:$G$2036,1)</f>
        <v>White-throated Tyrannulet</v>
      </c>
      <c r="E3673" s="3" t="str">
        <f>VLOOKUP(B3673,[1]LifeList!$E$2:$G$2036,2)</f>
        <v>Tyranneau à gorge blanche</v>
      </c>
      <c r="F3673" s="3" t="str">
        <f>VLOOKUP(B3673,[1]LifeList!$E$2:$G$2036,3)</f>
        <v>Mecocerculus leucophrys</v>
      </c>
      <c r="G3673" s="3" t="str">
        <f>VLOOKUP(B3673,[1]LifeList!$E$2:$I$2036,4)</f>
        <v>Passeriformes</v>
      </c>
      <c r="H3673" s="3" t="str">
        <f>VLOOKUP(B3673,[1]LifeList!$E$2:$I$2036,5)</f>
        <v>Tyrannidae (Tyrant Flycatchers)</v>
      </c>
    </row>
    <row r="3674" spans="1:8" x14ac:dyDescent="0.15">
      <c r="A3674" s="3" t="s">
        <v>3523</v>
      </c>
      <c r="B3674" s="3" t="s">
        <v>5143</v>
      </c>
      <c r="C3674" s="3">
        <v>2325</v>
      </c>
      <c r="D3674" s="3" t="str">
        <f>VLOOKUP(B3674,[1]LifeList!$E$2:$G$2036,1)</f>
        <v>White-tipped Dove</v>
      </c>
      <c r="E3674" s="3" t="str">
        <f>VLOOKUP(B3674,[1]LifeList!$E$2:$G$2036,2)</f>
        <v>Colombe de Verreaux</v>
      </c>
      <c r="F3674" s="3" t="str">
        <f>VLOOKUP(B3674,[1]LifeList!$E$2:$G$2036,3)</f>
        <v>Leptotila verreauxi</v>
      </c>
      <c r="G3674" s="3" t="str">
        <f>VLOOKUP(B3674,[1]LifeList!$E$2:$I$2036,4)</f>
        <v>Columbiformes</v>
      </c>
      <c r="H3674" s="3" t="str">
        <f>VLOOKUP(B3674,[1]LifeList!$E$2:$I$2036,5)</f>
        <v>Columbidae (Pigeons and Doves)</v>
      </c>
    </row>
    <row r="3675" spans="1:8" x14ac:dyDescent="0.15">
      <c r="A3675" s="3" t="s">
        <v>3524</v>
      </c>
      <c r="B3675" s="3" t="s">
        <v>5144</v>
      </c>
      <c r="C3675" s="3">
        <v>4967</v>
      </c>
      <c r="D3675" s="3" t="str">
        <f>VLOOKUP(B3675,[1]LifeList!$E$2:$G$2036,1)</f>
        <v>White-vented Plumeleteer</v>
      </c>
      <c r="E3675" s="3" t="str">
        <f>VLOOKUP(B3675,[1]LifeList!$E$2:$G$2036,2)</f>
        <v>Colibri de Buffon</v>
      </c>
      <c r="F3675" s="3" t="str">
        <f>VLOOKUP(B3675,[1]LifeList!$E$2:$G$2036,3)</f>
        <v>Chalybura buffonii</v>
      </c>
      <c r="G3675" s="3" t="str">
        <f>VLOOKUP(B3675,[1]LifeList!$E$2:$I$2036,4)</f>
        <v>Apodiformes</v>
      </c>
      <c r="H3675" s="3" t="str">
        <f>VLOOKUP(B3675,[1]LifeList!$E$2:$I$2036,5)</f>
        <v>Trochilidae (Hummingbirds)</v>
      </c>
    </row>
    <row r="3676" spans="1:8" x14ac:dyDescent="0.15">
      <c r="A3676" s="3" t="s">
        <v>3525</v>
      </c>
      <c r="B3676" s="3" t="s">
        <v>5144</v>
      </c>
      <c r="C3676" s="3">
        <v>4967</v>
      </c>
      <c r="D3676" s="3" t="str">
        <f>VLOOKUP(B3676,[1]LifeList!$E$2:$G$2036,1)</f>
        <v>White-vented Plumeleteer</v>
      </c>
      <c r="E3676" s="3" t="str">
        <f>VLOOKUP(B3676,[1]LifeList!$E$2:$G$2036,2)</f>
        <v>Colibri de Buffon</v>
      </c>
      <c r="F3676" s="3" t="str">
        <f>VLOOKUP(B3676,[1]LifeList!$E$2:$G$2036,3)</f>
        <v>Chalybura buffonii</v>
      </c>
      <c r="G3676" s="3" t="str">
        <f>VLOOKUP(B3676,[1]LifeList!$E$2:$I$2036,4)</f>
        <v>Apodiformes</v>
      </c>
      <c r="H3676" s="3" t="str">
        <f>VLOOKUP(B3676,[1]LifeList!$E$2:$I$2036,5)</f>
        <v>Trochilidae (Hummingbirds)</v>
      </c>
    </row>
    <row r="3677" spans="1:8" x14ac:dyDescent="0.15">
      <c r="A3677" s="3" t="s">
        <v>3526</v>
      </c>
      <c r="B3677" s="3" t="s">
        <v>5145</v>
      </c>
      <c r="C3677" s="3">
        <v>4259</v>
      </c>
      <c r="D3677" s="3" t="str">
        <f>VLOOKUP(B3677,[1]LifeList!$E$2:$G$2036,1)</f>
        <v>White-whiskered Hermit</v>
      </c>
      <c r="E3677" s="3" t="str">
        <f>VLOOKUP(B3677,[1]LifeList!$E$2:$G$2036,2)</f>
        <v>Ermite yaruqui</v>
      </c>
      <c r="F3677" s="3" t="str">
        <f>VLOOKUP(B3677,[1]LifeList!$E$2:$G$2036,3)</f>
        <v>Phaethornis yaruqui</v>
      </c>
      <c r="G3677" s="3" t="str">
        <f>VLOOKUP(B3677,[1]LifeList!$E$2:$I$2036,4)</f>
        <v>Apodiformes</v>
      </c>
      <c r="H3677" s="3" t="str">
        <f>VLOOKUP(B3677,[1]LifeList!$E$2:$I$2036,5)</f>
        <v>Trochilidae (Hummingbirds)</v>
      </c>
    </row>
    <row r="3678" spans="1:8" x14ac:dyDescent="0.15">
      <c r="A3678" s="3" t="s">
        <v>3527</v>
      </c>
      <c r="B3678" s="3" t="s">
        <v>5146</v>
      </c>
      <c r="C3678" s="3">
        <v>10424</v>
      </c>
      <c r="D3678" s="3" t="str">
        <f>VLOOKUP(B3678,[1]LifeList!$E$2:$G$2036,1)</f>
        <v>White-whiskered Puffbird</v>
      </c>
      <c r="E3678" s="3" t="str">
        <f>VLOOKUP(B3678,[1]LifeList!$E$2:$G$2036,2)</f>
        <v>Tamatia de Lafresnaye</v>
      </c>
      <c r="F3678" s="3" t="str">
        <f>VLOOKUP(B3678,[1]LifeList!$E$2:$G$2036,3)</f>
        <v>Malacoptila panamensis</v>
      </c>
      <c r="G3678" s="3" t="str">
        <f>VLOOKUP(B3678,[1]LifeList!$E$2:$I$2036,4)</f>
        <v>Piciformes</v>
      </c>
      <c r="H3678" s="3" t="str">
        <f>VLOOKUP(B3678,[1]LifeList!$E$2:$I$2036,5)</f>
        <v>Bucconidae (Puffbirds)</v>
      </c>
    </row>
    <row r="3679" spans="1:8" x14ac:dyDescent="0.15">
      <c r="A3679" s="3" t="s">
        <v>3529</v>
      </c>
      <c r="B3679" s="3" t="s">
        <v>5146</v>
      </c>
      <c r="C3679" s="3">
        <v>10424</v>
      </c>
      <c r="D3679" s="3" t="str">
        <f>VLOOKUP(B3679,[1]LifeList!$E$2:$G$2036,1)</f>
        <v>White-whiskered Puffbird</v>
      </c>
      <c r="E3679" s="3" t="str">
        <f>VLOOKUP(B3679,[1]LifeList!$E$2:$G$2036,2)</f>
        <v>Tamatia de Lafresnaye</v>
      </c>
      <c r="F3679" s="3" t="str">
        <f>VLOOKUP(B3679,[1]LifeList!$E$2:$G$2036,3)</f>
        <v>Malacoptila panamensis</v>
      </c>
      <c r="G3679" s="3" t="str">
        <f>VLOOKUP(B3679,[1]LifeList!$E$2:$I$2036,4)</f>
        <v>Piciformes</v>
      </c>
      <c r="H3679" s="3" t="str">
        <f>VLOOKUP(B3679,[1]LifeList!$E$2:$I$2036,5)</f>
        <v>Bucconidae (Puffbirds)</v>
      </c>
    </row>
    <row r="3680" spans="1:8" x14ac:dyDescent="0.15">
      <c r="A3680" s="3" t="s">
        <v>3528</v>
      </c>
      <c r="B3680" s="3" t="s">
        <v>5146</v>
      </c>
      <c r="C3680" s="3">
        <v>10424</v>
      </c>
      <c r="D3680" s="3" t="str">
        <f>VLOOKUP(B3680,[1]LifeList!$E$2:$G$2036,1)</f>
        <v>White-whiskered Puffbird</v>
      </c>
      <c r="E3680" s="3" t="str">
        <f>VLOOKUP(B3680,[1]LifeList!$E$2:$G$2036,2)</f>
        <v>Tamatia de Lafresnaye</v>
      </c>
      <c r="F3680" s="3" t="str">
        <f>VLOOKUP(B3680,[1]LifeList!$E$2:$G$2036,3)</f>
        <v>Malacoptila panamensis</v>
      </c>
      <c r="G3680" s="3" t="str">
        <f>VLOOKUP(B3680,[1]LifeList!$E$2:$I$2036,4)</f>
        <v>Piciformes</v>
      </c>
      <c r="H3680" s="3" t="str">
        <f>VLOOKUP(B3680,[1]LifeList!$E$2:$I$2036,5)</f>
        <v>Bucconidae (Puffbirds)</v>
      </c>
    </row>
    <row r="3681" spans="1:8" x14ac:dyDescent="0.15">
      <c r="A3681" s="3" t="s">
        <v>3530</v>
      </c>
      <c r="B3681" s="3" t="s">
        <v>5146</v>
      </c>
      <c r="C3681" s="3">
        <v>10424</v>
      </c>
      <c r="D3681" s="3" t="str">
        <f>VLOOKUP(B3681,[1]LifeList!$E$2:$G$2036,1)</f>
        <v>White-whiskered Puffbird</v>
      </c>
      <c r="E3681" s="3" t="str">
        <f>VLOOKUP(B3681,[1]LifeList!$E$2:$G$2036,2)</f>
        <v>Tamatia de Lafresnaye</v>
      </c>
      <c r="F3681" s="3" t="str">
        <f>VLOOKUP(B3681,[1]LifeList!$E$2:$G$2036,3)</f>
        <v>Malacoptila panamensis</v>
      </c>
      <c r="G3681" s="3" t="str">
        <f>VLOOKUP(B3681,[1]LifeList!$E$2:$I$2036,4)</f>
        <v>Piciformes</v>
      </c>
      <c r="H3681" s="3" t="str">
        <f>VLOOKUP(B3681,[1]LifeList!$E$2:$I$2036,5)</f>
        <v>Bucconidae (Puffbirds)</v>
      </c>
    </row>
    <row r="3682" spans="1:8" x14ac:dyDescent="0.15">
      <c r="A3682" s="3" t="s">
        <v>3531</v>
      </c>
      <c r="B3682" s="3" t="s">
        <v>5146</v>
      </c>
      <c r="C3682" s="3">
        <v>10424</v>
      </c>
      <c r="D3682" s="3" t="str">
        <f>VLOOKUP(B3682,[1]LifeList!$E$2:$G$2036,1)</f>
        <v>White-whiskered Puffbird</v>
      </c>
      <c r="E3682" s="3" t="str">
        <f>VLOOKUP(B3682,[1]LifeList!$E$2:$G$2036,2)</f>
        <v>Tamatia de Lafresnaye</v>
      </c>
      <c r="F3682" s="3" t="str">
        <f>VLOOKUP(B3682,[1]LifeList!$E$2:$G$2036,3)</f>
        <v>Malacoptila panamensis</v>
      </c>
      <c r="G3682" s="3" t="str">
        <f>VLOOKUP(B3682,[1]LifeList!$E$2:$I$2036,4)</f>
        <v>Piciformes</v>
      </c>
      <c r="H3682" s="3" t="str">
        <f>VLOOKUP(B3682,[1]LifeList!$E$2:$I$2036,5)</f>
        <v>Bucconidae (Puffbirds)</v>
      </c>
    </row>
    <row r="3683" spans="1:8" x14ac:dyDescent="0.15">
      <c r="A3683" s="3" t="s">
        <v>3532</v>
      </c>
      <c r="B3683" s="3" t="s">
        <v>5146</v>
      </c>
      <c r="C3683" s="3">
        <v>10424</v>
      </c>
      <c r="D3683" s="3" t="str">
        <f>VLOOKUP(B3683,[1]LifeList!$E$2:$G$2036,1)</f>
        <v>White-whiskered Puffbird</v>
      </c>
      <c r="E3683" s="3" t="str">
        <f>VLOOKUP(B3683,[1]LifeList!$E$2:$G$2036,2)</f>
        <v>Tamatia de Lafresnaye</v>
      </c>
      <c r="F3683" s="3" t="str">
        <f>VLOOKUP(B3683,[1]LifeList!$E$2:$G$2036,3)</f>
        <v>Malacoptila panamensis</v>
      </c>
      <c r="G3683" s="3" t="str">
        <f>VLOOKUP(B3683,[1]LifeList!$E$2:$I$2036,4)</f>
        <v>Piciformes</v>
      </c>
      <c r="H3683" s="3" t="str">
        <f>VLOOKUP(B3683,[1]LifeList!$E$2:$I$2036,5)</f>
        <v>Bucconidae (Puffbirds)</v>
      </c>
    </row>
    <row r="3684" spans="1:8" x14ac:dyDescent="0.15">
      <c r="A3684" s="3" t="s">
        <v>3533</v>
      </c>
      <c r="B3684" s="3" t="s">
        <v>5147</v>
      </c>
      <c r="C3684" s="3">
        <v>15652</v>
      </c>
      <c r="D3684" s="3" t="str">
        <f>VLOOKUP(B3684,[1]LifeList!$E$2:$G$2036,1)</f>
        <v>White-whiskered Spinetail</v>
      </c>
      <c r="E3684" s="3" t="str">
        <f>VLOOKUP(B3684,[1]LifeList!$E$2:$G$2036,2)</f>
        <v>Synallaxe à moustaches</v>
      </c>
      <c r="F3684" s="3" t="str">
        <f>VLOOKUP(B3684,[1]LifeList!$E$2:$G$2036,3)</f>
        <v>Synallaxis candei</v>
      </c>
      <c r="G3684" s="3" t="str">
        <f>VLOOKUP(B3684,[1]LifeList!$E$2:$I$2036,4)</f>
        <v>Passeriformes</v>
      </c>
      <c r="H3684" s="3" t="str">
        <f>VLOOKUP(B3684,[1]LifeList!$E$2:$I$2036,5)</f>
        <v>Furnariidae (Ovenbirds and Woodcreepers)</v>
      </c>
    </row>
    <row r="3685" spans="1:8" x14ac:dyDescent="0.15">
      <c r="A3685" s="3" t="s">
        <v>3534</v>
      </c>
      <c r="B3685" s="3" t="s">
        <v>5148</v>
      </c>
      <c r="C3685" s="3">
        <v>33495</v>
      </c>
      <c r="D3685" s="3" t="str">
        <f>VLOOKUP(B3685,[1]LifeList!$E$2:$G$2036,1)</f>
        <v>White-winged Brushfinch</v>
      </c>
      <c r="E3685" s="3" t="str">
        <f>VLOOKUP(B3685,[1]LifeList!$E$2:$G$2036,2)</f>
        <v>Tohi leucoptère</v>
      </c>
      <c r="F3685" s="3" t="str">
        <f>VLOOKUP(B3685,[1]LifeList!$E$2:$G$2036,3)</f>
        <v>Atlapetes leucopterus</v>
      </c>
      <c r="G3685" s="3" t="str">
        <f>VLOOKUP(B3685,[1]LifeList!$E$2:$I$2036,4)</f>
        <v>Passeriformes</v>
      </c>
      <c r="H3685" s="3" t="str">
        <f>VLOOKUP(B3685,[1]LifeList!$E$2:$I$2036,5)</f>
        <v>Passerellidae (New World Sparrows)</v>
      </c>
    </row>
    <row r="3686" spans="1:8" x14ac:dyDescent="0.15">
      <c r="A3686" s="3" t="s">
        <v>3535</v>
      </c>
      <c r="B3686" s="3" t="s">
        <v>5149</v>
      </c>
      <c r="C3686" s="3">
        <v>2389</v>
      </c>
      <c r="D3686" s="3" t="str">
        <f>VLOOKUP(B3686,[1]LifeList!$E$2:$G$2036,1)</f>
        <v>White-winged Dove</v>
      </c>
      <c r="E3686" s="3" t="str">
        <f>VLOOKUP(B3686,[1]LifeList!$E$2:$G$2036,2)</f>
        <v>Tourterelle à ailes blanches</v>
      </c>
      <c r="F3686" s="3" t="str">
        <f>VLOOKUP(B3686,[1]LifeList!$E$2:$G$2036,3)</f>
        <v>Zenaida asiatica</v>
      </c>
      <c r="G3686" s="3" t="str">
        <f>VLOOKUP(B3686,[1]LifeList!$E$2:$I$2036,4)</f>
        <v>Columbiformes</v>
      </c>
      <c r="H3686" s="3" t="str">
        <f>VLOOKUP(B3686,[1]LifeList!$E$2:$I$2036,5)</f>
        <v>Columbidae (Pigeons and Doves)</v>
      </c>
    </row>
    <row r="3687" spans="1:8" x14ac:dyDescent="0.15">
      <c r="A3687" s="3" t="s">
        <v>3536</v>
      </c>
      <c r="B3687" s="3" t="s">
        <v>5149</v>
      </c>
      <c r="C3687" s="3">
        <v>2389</v>
      </c>
      <c r="D3687" s="3" t="str">
        <f>VLOOKUP(B3687,[1]LifeList!$E$2:$G$2036,1)</f>
        <v>White-winged Dove</v>
      </c>
      <c r="E3687" s="3" t="str">
        <f>VLOOKUP(B3687,[1]LifeList!$E$2:$G$2036,2)</f>
        <v>Tourterelle à ailes blanches</v>
      </c>
      <c r="F3687" s="3" t="str">
        <f>VLOOKUP(B3687,[1]LifeList!$E$2:$G$2036,3)</f>
        <v>Zenaida asiatica</v>
      </c>
      <c r="G3687" s="3" t="str">
        <f>VLOOKUP(B3687,[1]LifeList!$E$2:$I$2036,4)</f>
        <v>Columbiformes</v>
      </c>
      <c r="H3687" s="3" t="str">
        <f>VLOOKUP(B3687,[1]LifeList!$E$2:$I$2036,5)</f>
        <v>Columbidae (Pigeons and Doves)</v>
      </c>
    </row>
    <row r="3688" spans="1:8" x14ac:dyDescent="0.15">
      <c r="A3688" s="3" t="s">
        <v>3537</v>
      </c>
      <c r="B3688" s="3" t="s">
        <v>5149</v>
      </c>
      <c r="C3688" s="3">
        <v>2389</v>
      </c>
      <c r="D3688" s="3" t="str">
        <f>VLOOKUP(B3688,[1]LifeList!$E$2:$G$2036,1)</f>
        <v>White-winged Dove</v>
      </c>
      <c r="E3688" s="3" t="str">
        <f>VLOOKUP(B3688,[1]LifeList!$E$2:$G$2036,2)</f>
        <v>Tourterelle à ailes blanches</v>
      </c>
      <c r="F3688" s="3" t="str">
        <f>VLOOKUP(B3688,[1]LifeList!$E$2:$G$2036,3)</f>
        <v>Zenaida asiatica</v>
      </c>
      <c r="G3688" s="3" t="str">
        <f>VLOOKUP(B3688,[1]LifeList!$E$2:$I$2036,4)</f>
        <v>Columbiformes</v>
      </c>
      <c r="H3688" s="3" t="str">
        <f>VLOOKUP(B3688,[1]LifeList!$E$2:$I$2036,5)</f>
        <v>Columbidae (Pigeons and Doves)</v>
      </c>
    </row>
    <row r="3689" spans="1:8" x14ac:dyDescent="0.15">
      <c r="A3689" s="3" t="s">
        <v>3538</v>
      </c>
      <c r="B3689" s="3" t="s">
        <v>5149</v>
      </c>
      <c r="C3689" s="3">
        <v>2389</v>
      </c>
      <c r="D3689" s="3" t="str">
        <f>VLOOKUP(B3689,[1]LifeList!$E$2:$G$2036,1)</f>
        <v>White-winged Dove</v>
      </c>
      <c r="E3689" s="3" t="str">
        <f>VLOOKUP(B3689,[1]LifeList!$E$2:$G$2036,2)</f>
        <v>Tourterelle à ailes blanches</v>
      </c>
      <c r="F3689" s="3" t="str">
        <f>VLOOKUP(B3689,[1]LifeList!$E$2:$G$2036,3)</f>
        <v>Zenaida asiatica</v>
      </c>
      <c r="G3689" s="3" t="str">
        <f>VLOOKUP(B3689,[1]LifeList!$E$2:$I$2036,4)</f>
        <v>Columbiformes</v>
      </c>
      <c r="H3689" s="3" t="str">
        <f>VLOOKUP(B3689,[1]LifeList!$E$2:$I$2036,5)</f>
        <v>Columbidae (Pigeons and Doves)</v>
      </c>
    </row>
    <row r="3690" spans="1:8" x14ac:dyDescent="0.15">
      <c r="A3690" s="3" t="s">
        <v>3539</v>
      </c>
      <c r="B3690" s="3" t="s">
        <v>5149</v>
      </c>
      <c r="C3690" s="3">
        <v>2389</v>
      </c>
      <c r="D3690" s="3" t="str">
        <f>VLOOKUP(B3690,[1]LifeList!$E$2:$G$2036,1)</f>
        <v>White-winged Dove</v>
      </c>
      <c r="E3690" s="3" t="str">
        <f>VLOOKUP(B3690,[1]LifeList!$E$2:$G$2036,2)</f>
        <v>Tourterelle à ailes blanches</v>
      </c>
      <c r="F3690" s="3" t="str">
        <f>VLOOKUP(B3690,[1]LifeList!$E$2:$G$2036,3)</f>
        <v>Zenaida asiatica</v>
      </c>
      <c r="G3690" s="3" t="str">
        <f>VLOOKUP(B3690,[1]LifeList!$E$2:$I$2036,4)</f>
        <v>Columbiformes</v>
      </c>
      <c r="H3690" s="3" t="str">
        <f>VLOOKUP(B3690,[1]LifeList!$E$2:$I$2036,5)</f>
        <v>Columbidae (Pigeons and Doves)</v>
      </c>
    </row>
    <row r="3691" spans="1:8" x14ac:dyDescent="0.15">
      <c r="A3691" s="3" t="s">
        <v>3540</v>
      </c>
      <c r="B3691" s="3" t="s">
        <v>5150</v>
      </c>
      <c r="C3691" s="3">
        <v>730</v>
      </c>
      <c r="D3691" s="3" t="str">
        <f>VLOOKUP(B3691,[1]LifeList!$E$2:$G$2036,1)</f>
        <v>White-winged Scoter</v>
      </c>
      <c r="E3691" s="3" t="str">
        <f>VLOOKUP(B3691,[1]LifeList!$E$2:$G$2036,2)</f>
        <v>Macreuse à ailes blanches</v>
      </c>
      <c r="F3691" s="3" t="str">
        <f>VLOOKUP(B3691,[1]LifeList!$E$2:$G$2036,3)</f>
        <v>Melanitta deglandi</v>
      </c>
      <c r="G3691" s="3" t="str">
        <f>VLOOKUP(B3691,[1]LifeList!$E$2:$I$2036,4)</f>
        <v>Anseriformes</v>
      </c>
      <c r="H3691" s="3" t="str">
        <f>VLOOKUP(B3691,[1]LifeList!$E$2:$I$2036,5)</f>
        <v>Anatidae (Ducks, Geese, and Waterfowl)</v>
      </c>
    </row>
    <row r="3692" spans="1:8" x14ac:dyDescent="0.15">
      <c r="A3692" s="3" t="s">
        <v>3541</v>
      </c>
      <c r="B3692" s="3" t="s">
        <v>5150</v>
      </c>
      <c r="C3692" s="3">
        <v>730</v>
      </c>
      <c r="D3692" s="3" t="str">
        <f>VLOOKUP(B3692,[1]LifeList!$E$2:$G$2036,1)</f>
        <v>White-winged Scoter</v>
      </c>
      <c r="E3692" s="3" t="str">
        <f>VLOOKUP(B3692,[1]LifeList!$E$2:$G$2036,2)</f>
        <v>Macreuse à ailes blanches</v>
      </c>
      <c r="F3692" s="3" t="str">
        <f>VLOOKUP(B3692,[1]LifeList!$E$2:$G$2036,3)</f>
        <v>Melanitta deglandi</v>
      </c>
      <c r="G3692" s="3" t="str">
        <f>VLOOKUP(B3692,[1]LifeList!$E$2:$I$2036,4)</f>
        <v>Anseriformes</v>
      </c>
      <c r="H3692" s="3" t="str">
        <f>VLOOKUP(B3692,[1]LifeList!$E$2:$I$2036,5)</f>
        <v>Anatidae (Ducks, Geese, and Waterfowl)</v>
      </c>
    </row>
    <row r="3693" spans="1:8" x14ac:dyDescent="0.15">
      <c r="A3693" s="3" t="s">
        <v>3542</v>
      </c>
      <c r="B3693" s="3" t="s">
        <v>5150</v>
      </c>
      <c r="C3693" s="3">
        <v>730</v>
      </c>
      <c r="D3693" s="3" t="str">
        <f>VLOOKUP(B3693,[1]LifeList!$E$2:$G$2036,1)</f>
        <v>White-winged Scoter</v>
      </c>
      <c r="E3693" s="3" t="str">
        <f>VLOOKUP(B3693,[1]LifeList!$E$2:$G$2036,2)</f>
        <v>Macreuse à ailes blanches</v>
      </c>
      <c r="F3693" s="3" t="str">
        <f>VLOOKUP(B3693,[1]LifeList!$E$2:$G$2036,3)</f>
        <v>Melanitta deglandi</v>
      </c>
      <c r="G3693" s="3" t="str">
        <f>VLOOKUP(B3693,[1]LifeList!$E$2:$I$2036,4)</f>
        <v>Anseriformes</v>
      </c>
      <c r="H3693" s="3" t="str">
        <f>VLOOKUP(B3693,[1]LifeList!$E$2:$I$2036,5)</f>
        <v>Anatidae (Ducks, Geese, and Waterfowl)</v>
      </c>
    </row>
    <row r="3694" spans="1:8" x14ac:dyDescent="0.15">
      <c r="A3694" s="3" t="s">
        <v>3543</v>
      </c>
      <c r="B3694" s="3" t="s">
        <v>5151</v>
      </c>
      <c r="C3694" s="3">
        <v>24066</v>
      </c>
      <c r="D3694" s="3" t="str">
        <f>VLOOKUP(B3694,[1]LifeList!$E$2:$G$2036,1)</f>
        <v>White-winged Swallow</v>
      </c>
      <c r="E3694" s="3" t="str">
        <f>VLOOKUP(B3694,[1]LifeList!$E$2:$G$2036,2)</f>
        <v>Hirondelle à ailes blanches</v>
      </c>
      <c r="F3694" s="3" t="str">
        <f>VLOOKUP(B3694,[1]LifeList!$E$2:$G$2036,3)</f>
        <v>Tachycineta albiventer</v>
      </c>
      <c r="G3694" s="3" t="str">
        <f>VLOOKUP(B3694,[1]LifeList!$E$2:$I$2036,4)</f>
        <v>Passeriformes</v>
      </c>
      <c r="H3694" s="3" t="str">
        <f>VLOOKUP(B3694,[1]LifeList!$E$2:$I$2036,5)</f>
        <v>Hirundinidae (Swallows)</v>
      </c>
    </row>
    <row r="3695" spans="1:8" x14ac:dyDescent="0.15">
      <c r="A3695" s="3" t="s">
        <v>3544</v>
      </c>
      <c r="B3695" s="3" t="s">
        <v>5151</v>
      </c>
      <c r="C3695" s="3">
        <v>24066</v>
      </c>
      <c r="D3695" s="3" t="str">
        <f>VLOOKUP(B3695,[1]LifeList!$E$2:$G$2036,1)</f>
        <v>White-winged Swallow</v>
      </c>
      <c r="E3695" s="3" t="str">
        <f>VLOOKUP(B3695,[1]LifeList!$E$2:$G$2036,2)</f>
        <v>Hirondelle à ailes blanches</v>
      </c>
      <c r="F3695" s="3" t="str">
        <f>VLOOKUP(B3695,[1]LifeList!$E$2:$G$2036,3)</f>
        <v>Tachycineta albiventer</v>
      </c>
      <c r="G3695" s="3" t="str">
        <f>VLOOKUP(B3695,[1]LifeList!$E$2:$I$2036,4)</f>
        <v>Passeriformes</v>
      </c>
      <c r="H3695" s="3" t="str">
        <f>VLOOKUP(B3695,[1]LifeList!$E$2:$I$2036,5)</f>
        <v>Hirundinidae (Swallows)</v>
      </c>
    </row>
    <row r="3696" spans="1:8" x14ac:dyDescent="0.15">
      <c r="A3696" s="3" t="s">
        <v>3558</v>
      </c>
      <c r="B3696" s="3" t="s">
        <v>5152</v>
      </c>
      <c r="C3696" s="3">
        <v>9863</v>
      </c>
      <c r="D3696" s="3" t="str">
        <f>VLOOKUP(B3696,[1]LifeList!$E$2:$G$2036,1)</f>
        <v>Whooping Motmot</v>
      </c>
      <c r="E3696" s="3" t="str">
        <f>VLOOKUP(B3696,[1]LifeList!$E$2:$G$2036,2)</f>
        <v>Motmot caraïbe</v>
      </c>
      <c r="F3696" s="3" t="str">
        <f>VLOOKUP(B3696,[1]LifeList!$E$2:$G$2036,3)</f>
        <v>Momotus subrufescens</v>
      </c>
      <c r="G3696" s="3" t="str">
        <f>VLOOKUP(B3696,[1]LifeList!$E$2:$I$2036,4)</f>
        <v>Coraciiformes</v>
      </c>
      <c r="H3696" s="3" t="str">
        <f>VLOOKUP(B3696,[1]LifeList!$E$2:$I$2036,5)</f>
        <v>Momotidae (Motmots)</v>
      </c>
    </row>
    <row r="3697" spans="1:8" x14ac:dyDescent="0.15">
      <c r="A3697" s="3" t="s">
        <v>3559</v>
      </c>
      <c r="B3697" s="3" t="s">
        <v>5153</v>
      </c>
      <c r="C3697" s="3">
        <v>1274</v>
      </c>
      <c r="D3697" s="3" t="str">
        <f>VLOOKUP(B3697,[1]LifeList!$E$2:$G$2036,1)</f>
        <v>Wild Turkey</v>
      </c>
      <c r="E3697" s="3" t="str">
        <f>VLOOKUP(B3697,[1]LifeList!$E$2:$G$2036,2)</f>
        <v>Dindon sauvage</v>
      </c>
      <c r="F3697" s="3" t="str">
        <f>VLOOKUP(B3697,[1]LifeList!$E$2:$G$2036,3)</f>
        <v>Meleagris gallopavo</v>
      </c>
      <c r="G3697" s="3" t="str">
        <f>VLOOKUP(B3697,[1]LifeList!$E$2:$I$2036,4)</f>
        <v>Galliformes</v>
      </c>
      <c r="H3697" s="3" t="str">
        <f>VLOOKUP(B3697,[1]LifeList!$E$2:$I$2036,5)</f>
        <v>Phasianidae (Pheasants, Grouse, and Allies)</v>
      </c>
    </row>
    <row r="3698" spans="1:8" x14ac:dyDescent="0.15">
      <c r="A3698" s="3" t="s">
        <v>3560</v>
      </c>
      <c r="B3698" s="3" t="s">
        <v>5153</v>
      </c>
      <c r="C3698" s="3">
        <v>1274</v>
      </c>
      <c r="D3698" s="3" t="str">
        <f>VLOOKUP(B3698,[1]LifeList!$E$2:$G$2036,1)</f>
        <v>Wild Turkey</v>
      </c>
      <c r="E3698" s="3" t="str">
        <f>VLOOKUP(B3698,[1]LifeList!$E$2:$G$2036,2)</f>
        <v>Dindon sauvage</v>
      </c>
      <c r="F3698" s="3" t="str">
        <f>VLOOKUP(B3698,[1]LifeList!$E$2:$G$2036,3)</f>
        <v>Meleagris gallopavo</v>
      </c>
      <c r="G3698" s="3" t="str">
        <f>VLOOKUP(B3698,[1]LifeList!$E$2:$I$2036,4)</f>
        <v>Galliformes</v>
      </c>
      <c r="H3698" s="3" t="str">
        <f>VLOOKUP(B3698,[1]LifeList!$E$2:$I$2036,5)</f>
        <v>Phasianidae (Pheasants, Grouse, and Allies)</v>
      </c>
    </row>
    <row r="3699" spans="1:8" x14ac:dyDescent="0.15">
      <c r="A3699" s="3" t="s">
        <v>3561</v>
      </c>
      <c r="B3699" s="3" t="s">
        <v>5153</v>
      </c>
      <c r="C3699" s="3">
        <v>1274</v>
      </c>
      <c r="D3699" s="3" t="str">
        <f>VLOOKUP(B3699,[1]LifeList!$E$2:$G$2036,1)</f>
        <v>Wild Turkey</v>
      </c>
      <c r="E3699" s="3" t="str">
        <f>VLOOKUP(B3699,[1]LifeList!$E$2:$G$2036,2)</f>
        <v>Dindon sauvage</v>
      </c>
      <c r="F3699" s="3" t="str">
        <f>VLOOKUP(B3699,[1]LifeList!$E$2:$G$2036,3)</f>
        <v>Meleagris gallopavo</v>
      </c>
      <c r="G3699" s="3" t="str">
        <f>VLOOKUP(B3699,[1]LifeList!$E$2:$I$2036,4)</f>
        <v>Galliformes</v>
      </c>
      <c r="H3699" s="3" t="str">
        <f>VLOOKUP(B3699,[1]LifeList!$E$2:$I$2036,5)</f>
        <v>Phasianidae (Pheasants, Grouse, and Allies)</v>
      </c>
    </row>
    <row r="3700" spans="1:8" x14ac:dyDescent="0.15">
      <c r="A3700" s="3" t="s">
        <v>3562</v>
      </c>
      <c r="B3700" s="3" t="s">
        <v>5154</v>
      </c>
      <c r="C3700" s="3">
        <v>6147</v>
      </c>
      <c r="D3700" s="3" t="str">
        <f>VLOOKUP(B3700,[1]LifeList!$E$2:$G$2036,1)</f>
        <v>Willet</v>
      </c>
      <c r="E3700" s="3" t="str">
        <f>VLOOKUP(B3700,[1]LifeList!$E$2:$G$2036,2)</f>
        <v>Chevalier semipalmé</v>
      </c>
      <c r="F3700" s="3" t="str">
        <f>VLOOKUP(B3700,[1]LifeList!$E$2:$G$2036,3)</f>
        <v>Tringa semipalmata</v>
      </c>
      <c r="G3700" s="3" t="str">
        <f>VLOOKUP(B3700,[1]LifeList!$E$2:$I$2036,4)</f>
        <v>Charadriiformes</v>
      </c>
      <c r="H3700" s="3" t="str">
        <f>VLOOKUP(B3700,[1]LifeList!$E$2:$I$2036,5)</f>
        <v>Scolopacidae (Sandpipers and Allies)</v>
      </c>
    </row>
    <row r="3701" spans="1:8" x14ac:dyDescent="0.15">
      <c r="A3701" s="3" t="s">
        <v>3563</v>
      </c>
      <c r="B3701" s="3" t="s">
        <v>5154</v>
      </c>
      <c r="C3701" s="3">
        <v>6147</v>
      </c>
      <c r="D3701" s="3" t="str">
        <f>VLOOKUP(B3701,[1]LifeList!$E$2:$G$2036,1)</f>
        <v>Willet</v>
      </c>
      <c r="E3701" s="3" t="str">
        <f>VLOOKUP(B3701,[1]LifeList!$E$2:$G$2036,2)</f>
        <v>Chevalier semipalmé</v>
      </c>
      <c r="F3701" s="3" t="str">
        <f>VLOOKUP(B3701,[1]LifeList!$E$2:$G$2036,3)</f>
        <v>Tringa semipalmata</v>
      </c>
      <c r="G3701" s="3" t="str">
        <f>VLOOKUP(B3701,[1]LifeList!$E$2:$I$2036,4)</f>
        <v>Charadriiformes</v>
      </c>
      <c r="H3701" s="3" t="str">
        <f>VLOOKUP(B3701,[1]LifeList!$E$2:$I$2036,5)</f>
        <v>Scolopacidae (Sandpipers and Allies)</v>
      </c>
    </row>
    <row r="3702" spans="1:8" x14ac:dyDescent="0.15">
      <c r="A3702" s="3" t="s">
        <v>3564</v>
      </c>
      <c r="B3702" s="3" t="s">
        <v>5154</v>
      </c>
      <c r="C3702" s="3">
        <v>6147</v>
      </c>
      <c r="D3702" s="3" t="str">
        <f>VLOOKUP(B3702,[1]LifeList!$E$2:$G$2036,1)</f>
        <v>Willet</v>
      </c>
      <c r="E3702" s="3" t="str">
        <f>VLOOKUP(B3702,[1]LifeList!$E$2:$G$2036,2)</f>
        <v>Chevalier semipalmé</v>
      </c>
      <c r="F3702" s="3" t="str">
        <f>VLOOKUP(B3702,[1]LifeList!$E$2:$G$2036,3)</f>
        <v>Tringa semipalmata</v>
      </c>
      <c r="G3702" s="3" t="str">
        <f>VLOOKUP(B3702,[1]LifeList!$E$2:$I$2036,4)</f>
        <v>Charadriiformes</v>
      </c>
      <c r="H3702" s="3" t="str">
        <f>VLOOKUP(B3702,[1]LifeList!$E$2:$I$2036,5)</f>
        <v>Scolopacidae (Sandpipers and Allies)</v>
      </c>
    </row>
    <row r="3703" spans="1:8" x14ac:dyDescent="0.15">
      <c r="A3703" s="3" t="s">
        <v>3565</v>
      </c>
      <c r="B3703" s="3" t="s">
        <v>5154</v>
      </c>
      <c r="C3703" s="3">
        <v>6147</v>
      </c>
      <c r="D3703" s="3" t="str">
        <f>VLOOKUP(B3703,[1]LifeList!$E$2:$G$2036,1)</f>
        <v>Willet</v>
      </c>
      <c r="E3703" s="3" t="str">
        <f>VLOOKUP(B3703,[1]LifeList!$E$2:$G$2036,2)</f>
        <v>Chevalier semipalmé</v>
      </c>
      <c r="F3703" s="3" t="str">
        <f>VLOOKUP(B3703,[1]LifeList!$E$2:$G$2036,3)</f>
        <v>Tringa semipalmata</v>
      </c>
      <c r="G3703" s="3" t="str">
        <f>VLOOKUP(B3703,[1]LifeList!$E$2:$I$2036,4)</f>
        <v>Charadriiformes</v>
      </c>
      <c r="H3703" s="3" t="str">
        <f>VLOOKUP(B3703,[1]LifeList!$E$2:$I$2036,5)</f>
        <v>Scolopacidae (Sandpipers and Allies)</v>
      </c>
    </row>
    <row r="3704" spans="1:8" x14ac:dyDescent="0.15">
      <c r="A3704" s="3" t="s">
        <v>3566</v>
      </c>
      <c r="B3704" s="3" t="s">
        <v>5154</v>
      </c>
      <c r="C3704" s="3">
        <v>6147</v>
      </c>
      <c r="D3704" s="3" t="str">
        <f>VLOOKUP(B3704,[1]LifeList!$E$2:$G$2036,1)</f>
        <v>Willet</v>
      </c>
      <c r="E3704" s="3" t="str">
        <f>VLOOKUP(B3704,[1]LifeList!$E$2:$G$2036,2)</f>
        <v>Chevalier semipalmé</v>
      </c>
      <c r="F3704" s="3" t="str">
        <f>VLOOKUP(B3704,[1]LifeList!$E$2:$G$2036,3)</f>
        <v>Tringa semipalmata</v>
      </c>
      <c r="G3704" s="3" t="str">
        <f>VLOOKUP(B3704,[1]LifeList!$E$2:$I$2036,4)</f>
        <v>Charadriiformes</v>
      </c>
      <c r="H3704" s="3" t="str">
        <f>VLOOKUP(B3704,[1]LifeList!$E$2:$I$2036,5)</f>
        <v>Scolopacidae (Sandpipers and Allies)</v>
      </c>
    </row>
    <row r="3705" spans="1:8" x14ac:dyDescent="0.15">
      <c r="A3705" s="3" t="s">
        <v>3567</v>
      </c>
      <c r="B3705" s="3" t="s">
        <v>5154</v>
      </c>
      <c r="C3705" s="3">
        <v>6147</v>
      </c>
      <c r="D3705" s="3" t="str">
        <f>VLOOKUP(B3705,[1]LifeList!$E$2:$G$2036,1)</f>
        <v>Willet</v>
      </c>
      <c r="E3705" s="3" t="str">
        <f>VLOOKUP(B3705,[1]LifeList!$E$2:$G$2036,2)</f>
        <v>Chevalier semipalmé</v>
      </c>
      <c r="F3705" s="3" t="str">
        <f>VLOOKUP(B3705,[1]LifeList!$E$2:$G$2036,3)</f>
        <v>Tringa semipalmata</v>
      </c>
      <c r="G3705" s="3" t="str">
        <f>VLOOKUP(B3705,[1]LifeList!$E$2:$I$2036,4)</f>
        <v>Charadriiformes</v>
      </c>
      <c r="H3705" s="3" t="str">
        <f>VLOOKUP(B3705,[1]LifeList!$E$2:$I$2036,5)</f>
        <v>Scolopacidae (Sandpipers and Allies)</v>
      </c>
    </row>
    <row r="3706" spans="1:8" x14ac:dyDescent="0.15">
      <c r="A3706" s="3" t="s">
        <v>3938</v>
      </c>
      <c r="B3706" s="3" t="s">
        <v>5154</v>
      </c>
      <c r="C3706" s="3">
        <v>6147</v>
      </c>
      <c r="D3706" s="3" t="str">
        <f>VLOOKUP(B3706,[1]LifeList!$E$2:$G$2036,1)</f>
        <v>Willet</v>
      </c>
      <c r="E3706" s="3" t="str">
        <f>VLOOKUP(B3706,[1]LifeList!$E$2:$G$2036,2)</f>
        <v>Chevalier semipalmé</v>
      </c>
      <c r="F3706" s="3" t="str">
        <f>VLOOKUP(B3706,[1]LifeList!$E$2:$G$2036,3)</f>
        <v>Tringa semipalmata</v>
      </c>
      <c r="G3706" s="3" t="str">
        <f>VLOOKUP(B3706,[1]LifeList!$E$2:$I$2036,4)</f>
        <v>Charadriiformes</v>
      </c>
      <c r="H3706" s="3" t="str">
        <f>VLOOKUP(B3706,[1]LifeList!$E$2:$I$2036,5)</f>
        <v>Scolopacidae (Sandpipers and Allies)</v>
      </c>
    </row>
    <row r="3707" spans="1:8" x14ac:dyDescent="0.15">
      <c r="A3707" s="3" t="s">
        <v>3569</v>
      </c>
      <c r="B3707" s="3" t="s">
        <v>5155</v>
      </c>
      <c r="C3707" s="3">
        <v>20270</v>
      </c>
      <c r="D3707" s="3" t="str">
        <f>VLOOKUP(B3707,[1]LifeList!$E$2:$G$2036,1)</f>
        <v>Willie-wagtail</v>
      </c>
      <c r="E3707" s="3" t="str">
        <f>VLOOKUP(B3707,[1]LifeList!$E$2:$G$2036,2)</f>
        <v>Rhipidure hochequeue</v>
      </c>
      <c r="F3707" s="3" t="str">
        <f>VLOOKUP(B3707,[1]LifeList!$E$2:$G$2036,3)</f>
        <v>Rhipidura leucophrys</v>
      </c>
      <c r="G3707" s="3" t="str">
        <f>VLOOKUP(B3707,[1]LifeList!$E$2:$I$2036,4)</f>
        <v>Passeriformes</v>
      </c>
      <c r="H3707" s="3" t="str">
        <f>VLOOKUP(B3707,[1]LifeList!$E$2:$I$2036,5)</f>
        <v>Rhipiduridae (Fantails)</v>
      </c>
    </row>
    <row r="3708" spans="1:8" x14ac:dyDescent="0.15">
      <c r="A3708" s="3" t="s">
        <v>3570</v>
      </c>
      <c r="B3708" s="3" t="s">
        <v>5155</v>
      </c>
      <c r="C3708" s="3">
        <v>20270</v>
      </c>
      <c r="D3708" s="3" t="str">
        <f>VLOOKUP(B3708,[1]LifeList!$E$2:$G$2036,1)</f>
        <v>Willie-wagtail</v>
      </c>
      <c r="E3708" s="3" t="str">
        <f>VLOOKUP(B3708,[1]LifeList!$E$2:$G$2036,2)</f>
        <v>Rhipidure hochequeue</v>
      </c>
      <c r="F3708" s="3" t="str">
        <f>VLOOKUP(B3708,[1]LifeList!$E$2:$G$2036,3)</f>
        <v>Rhipidura leucophrys</v>
      </c>
      <c r="G3708" s="3" t="str">
        <f>VLOOKUP(B3708,[1]LifeList!$E$2:$I$2036,4)</f>
        <v>Passeriformes</v>
      </c>
      <c r="H3708" s="3" t="str">
        <f>VLOOKUP(B3708,[1]LifeList!$E$2:$I$2036,5)</f>
        <v>Rhipiduridae (Fantails)</v>
      </c>
    </row>
    <row r="3709" spans="1:8" x14ac:dyDescent="0.15">
      <c r="A3709" s="3" t="s">
        <v>3568</v>
      </c>
      <c r="B3709" s="3" t="s">
        <v>5155</v>
      </c>
      <c r="C3709" s="3">
        <v>20270</v>
      </c>
      <c r="D3709" s="3" t="str">
        <f>VLOOKUP(B3709,[1]LifeList!$E$2:$G$2036,1)</f>
        <v>Willie-wagtail</v>
      </c>
      <c r="E3709" s="3" t="str">
        <f>VLOOKUP(B3709,[1]LifeList!$E$2:$G$2036,2)</f>
        <v>Rhipidure hochequeue</v>
      </c>
      <c r="F3709" s="3" t="str">
        <f>VLOOKUP(B3709,[1]LifeList!$E$2:$G$2036,3)</f>
        <v>Rhipidura leucophrys</v>
      </c>
      <c r="G3709" s="3" t="str">
        <f>VLOOKUP(B3709,[1]LifeList!$E$2:$I$2036,4)</f>
        <v>Passeriformes</v>
      </c>
      <c r="H3709" s="3" t="str">
        <f>VLOOKUP(B3709,[1]LifeList!$E$2:$I$2036,5)</f>
        <v>Rhipiduridae (Fantails)</v>
      </c>
    </row>
    <row r="3710" spans="1:8" x14ac:dyDescent="0.15">
      <c r="A3710" s="3" t="s">
        <v>3571</v>
      </c>
      <c r="B3710" s="3" t="s">
        <v>5156</v>
      </c>
      <c r="C3710" s="3">
        <v>16952</v>
      </c>
      <c r="D3710" s="3" t="str">
        <f>VLOOKUP(B3710,[1]LifeList!$E$2:$G$2036,1)</f>
        <v>Willow Flycatcher</v>
      </c>
      <c r="E3710" s="3" t="str">
        <f>VLOOKUP(B3710,[1]LifeList!$E$2:$G$2036,2)</f>
        <v>Moucherolle des saules</v>
      </c>
      <c r="F3710" s="3" t="str">
        <f>VLOOKUP(B3710,[1]LifeList!$E$2:$G$2036,3)</f>
        <v>Empidonax traillii</v>
      </c>
      <c r="G3710" s="3" t="str">
        <f>VLOOKUP(B3710,[1]LifeList!$E$2:$I$2036,4)</f>
        <v>Passeriformes</v>
      </c>
      <c r="H3710" s="3" t="str">
        <f>VLOOKUP(B3710,[1]LifeList!$E$2:$I$2036,5)</f>
        <v>Tyrannidae (Tyrant Flycatchers)</v>
      </c>
    </row>
    <row r="3711" spans="1:8" x14ac:dyDescent="0.15">
      <c r="A3711" s="3" t="s">
        <v>3572</v>
      </c>
      <c r="B3711" s="3" t="s">
        <v>5156</v>
      </c>
      <c r="C3711" s="3">
        <v>16952</v>
      </c>
      <c r="D3711" s="3" t="str">
        <f>VLOOKUP(B3711,[1]LifeList!$E$2:$G$2036,1)</f>
        <v>Willow Flycatcher</v>
      </c>
      <c r="E3711" s="3" t="str">
        <f>VLOOKUP(B3711,[1]LifeList!$E$2:$G$2036,2)</f>
        <v>Moucherolle des saules</v>
      </c>
      <c r="F3711" s="3" t="str">
        <f>VLOOKUP(B3711,[1]LifeList!$E$2:$G$2036,3)</f>
        <v>Empidonax traillii</v>
      </c>
      <c r="G3711" s="3" t="str">
        <f>VLOOKUP(B3711,[1]LifeList!$E$2:$I$2036,4)</f>
        <v>Passeriformes</v>
      </c>
      <c r="H3711" s="3" t="str">
        <f>VLOOKUP(B3711,[1]LifeList!$E$2:$I$2036,5)</f>
        <v>Tyrannidae (Tyrant Flycatchers)</v>
      </c>
    </row>
    <row r="3712" spans="1:8" x14ac:dyDescent="0.15">
      <c r="A3712" s="3" t="s">
        <v>3573</v>
      </c>
      <c r="B3712" s="3" t="s">
        <v>5156</v>
      </c>
      <c r="C3712" s="3">
        <v>16952</v>
      </c>
      <c r="D3712" s="3" t="str">
        <f>VLOOKUP(B3712,[1]LifeList!$E$2:$G$2036,1)</f>
        <v>Willow Flycatcher</v>
      </c>
      <c r="E3712" s="3" t="str">
        <f>VLOOKUP(B3712,[1]LifeList!$E$2:$G$2036,2)</f>
        <v>Moucherolle des saules</v>
      </c>
      <c r="F3712" s="3" t="str">
        <f>VLOOKUP(B3712,[1]LifeList!$E$2:$G$2036,3)</f>
        <v>Empidonax traillii</v>
      </c>
      <c r="G3712" s="3" t="str">
        <f>VLOOKUP(B3712,[1]LifeList!$E$2:$I$2036,4)</f>
        <v>Passeriformes</v>
      </c>
      <c r="H3712" s="3" t="str">
        <f>VLOOKUP(B3712,[1]LifeList!$E$2:$I$2036,5)</f>
        <v>Tyrannidae (Tyrant Flycatchers)</v>
      </c>
    </row>
    <row r="3713" spans="1:8" x14ac:dyDescent="0.15">
      <c r="A3713" s="3" t="s">
        <v>3574</v>
      </c>
      <c r="B3713" s="3" t="s">
        <v>5156</v>
      </c>
      <c r="C3713" s="3">
        <v>16952</v>
      </c>
      <c r="D3713" s="3" t="str">
        <f>VLOOKUP(B3713,[1]LifeList!$E$2:$G$2036,1)</f>
        <v>Willow Flycatcher</v>
      </c>
      <c r="E3713" s="3" t="str">
        <f>VLOOKUP(B3713,[1]LifeList!$E$2:$G$2036,2)</f>
        <v>Moucherolle des saules</v>
      </c>
      <c r="F3713" s="3" t="str">
        <f>VLOOKUP(B3713,[1]LifeList!$E$2:$G$2036,3)</f>
        <v>Empidonax traillii</v>
      </c>
      <c r="G3713" s="3" t="str">
        <f>VLOOKUP(B3713,[1]LifeList!$E$2:$I$2036,4)</f>
        <v>Passeriformes</v>
      </c>
      <c r="H3713" s="3" t="str">
        <f>VLOOKUP(B3713,[1]LifeList!$E$2:$I$2036,5)</f>
        <v>Tyrannidae (Tyrant Flycatchers)</v>
      </c>
    </row>
    <row r="3714" spans="1:8" x14ac:dyDescent="0.15">
      <c r="A3714" s="3" t="s">
        <v>3575</v>
      </c>
      <c r="B3714" s="3" t="s">
        <v>5157</v>
      </c>
      <c r="C3714" s="3">
        <v>1354</v>
      </c>
      <c r="D3714" s="3" t="str">
        <f>VLOOKUP(B3714,[1]LifeList!$E$2:$G$2036,1)</f>
        <v>Willow Ptarmigan</v>
      </c>
      <c r="E3714" s="3" t="str">
        <f>VLOOKUP(B3714,[1]LifeList!$E$2:$G$2036,2)</f>
        <v>Lagopède des saules</v>
      </c>
      <c r="F3714" s="3" t="str">
        <f>VLOOKUP(B3714,[1]LifeList!$E$2:$G$2036,3)</f>
        <v>Lagopus lagopus</v>
      </c>
      <c r="G3714" s="3" t="str">
        <f>VLOOKUP(B3714,[1]LifeList!$E$2:$I$2036,4)</f>
        <v>Galliformes</v>
      </c>
      <c r="H3714" s="3" t="str">
        <f>VLOOKUP(B3714,[1]LifeList!$E$2:$I$2036,5)</f>
        <v>Phasianidae (Pheasants, Grouse, and Allies)</v>
      </c>
    </row>
    <row r="3715" spans="1:8" x14ac:dyDescent="0.15">
      <c r="A3715" s="3" t="s">
        <v>3576</v>
      </c>
      <c r="B3715" s="3" t="s">
        <v>5157</v>
      </c>
      <c r="C3715" s="3">
        <v>1354</v>
      </c>
      <c r="D3715" s="3" t="str">
        <f>VLOOKUP(B3715,[1]LifeList!$E$2:$G$2036,1)</f>
        <v>Willow Ptarmigan</v>
      </c>
      <c r="E3715" s="3" t="str">
        <f>VLOOKUP(B3715,[1]LifeList!$E$2:$G$2036,2)</f>
        <v>Lagopède des saules</v>
      </c>
      <c r="F3715" s="3" t="str">
        <f>VLOOKUP(B3715,[1]LifeList!$E$2:$G$2036,3)</f>
        <v>Lagopus lagopus</v>
      </c>
      <c r="G3715" s="3" t="str">
        <f>VLOOKUP(B3715,[1]LifeList!$E$2:$I$2036,4)</f>
        <v>Galliformes</v>
      </c>
      <c r="H3715" s="3" t="str">
        <f>VLOOKUP(B3715,[1]LifeList!$E$2:$I$2036,5)</f>
        <v>Phasianidae (Pheasants, Grouse, and Allies)</v>
      </c>
    </row>
    <row r="3716" spans="1:8" x14ac:dyDescent="0.15">
      <c r="A3716" s="3" t="s">
        <v>3939</v>
      </c>
      <c r="B3716" s="3" t="s">
        <v>5236</v>
      </c>
      <c r="C3716" s="3">
        <v>17808</v>
      </c>
      <c r="D3716" s="3" t="str">
        <f>VLOOKUP(B3716,[1]LifeList!$E$2:$G$2036,1)</f>
        <v>Wilson's Phalarope</v>
      </c>
      <c r="E3716" s="3" t="str">
        <f>VLOOKUP(B3716,[1]LifeList!$E$2:$G$2036,2)</f>
        <v>Phalarope de Wilson</v>
      </c>
      <c r="F3716" s="3" t="str">
        <f>VLOOKUP(B3716,[1]LifeList!$E$2:$G$2036,3)</f>
        <v>Phalaropus tricolor</v>
      </c>
      <c r="G3716" s="3" t="str">
        <f>VLOOKUP(B3716,[1]LifeList!$E$2:$I$2036,4)</f>
        <v>Charadriiformes</v>
      </c>
      <c r="H3716" s="3" t="str">
        <f>VLOOKUP(B3716,[1]LifeList!$E$2:$I$2036,5)</f>
        <v>Scolopacidae (Sandpipers and Allies)</v>
      </c>
    </row>
    <row r="3717" spans="1:8" x14ac:dyDescent="0.15">
      <c r="A3717" s="3" t="s">
        <v>3940</v>
      </c>
      <c r="B3717" s="3" t="s">
        <v>5236</v>
      </c>
      <c r="C3717" s="3">
        <v>17808</v>
      </c>
      <c r="D3717" s="3" t="str">
        <f>VLOOKUP(B3717,[1]LifeList!$E$2:$G$2036,1)</f>
        <v>Wilson's Phalarope</v>
      </c>
      <c r="E3717" s="3" t="str">
        <f>VLOOKUP(B3717,[1]LifeList!$E$2:$G$2036,2)</f>
        <v>Phalarope de Wilson</v>
      </c>
      <c r="F3717" s="3" t="str">
        <f>VLOOKUP(B3717,[1]LifeList!$E$2:$G$2036,3)</f>
        <v>Phalaropus tricolor</v>
      </c>
      <c r="G3717" s="3" t="str">
        <f>VLOOKUP(B3717,[1]LifeList!$E$2:$I$2036,4)</f>
        <v>Charadriiformes</v>
      </c>
      <c r="H3717" s="3" t="str">
        <f>VLOOKUP(B3717,[1]LifeList!$E$2:$I$2036,5)</f>
        <v>Scolopacidae (Sandpipers and Allies)</v>
      </c>
    </row>
    <row r="3718" spans="1:8" x14ac:dyDescent="0.15">
      <c r="A3718" s="3" t="s">
        <v>3941</v>
      </c>
      <c r="B3718" s="3" t="s">
        <v>5237</v>
      </c>
      <c r="C3718" s="3">
        <v>17808</v>
      </c>
      <c r="D3718" s="3" t="str">
        <f>VLOOKUP(B3718,[1]LifeList!$E$2:$G$2036,1)</f>
        <v>Wilson's Plover</v>
      </c>
      <c r="E3718" s="3" t="str">
        <f>VLOOKUP(B3718,[1]LifeList!$E$2:$G$2036,2)</f>
        <v>Pluvier de Wilson</v>
      </c>
      <c r="F3718" s="3" t="str">
        <f>VLOOKUP(B3718,[1]LifeList!$E$2:$G$2036,3)</f>
        <v>Anarhynchus wilsonia</v>
      </c>
      <c r="G3718" s="3" t="str">
        <f>VLOOKUP(B3718,[1]LifeList!$E$2:$I$2036,4)</f>
        <v>Charadriiformes</v>
      </c>
      <c r="H3718" s="3" t="str">
        <f>VLOOKUP(B3718,[1]LifeList!$E$2:$I$2036,5)</f>
        <v>Charadriidae (Plovers and Lapwings)</v>
      </c>
    </row>
    <row r="3719" spans="1:8" x14ac:dyDescent="0.15">
      <c r="A3719" s="3" t="s">
        <v>3942</v>
      </c>
      <c r="B3719" s="3" t="s">
        <v>5235</v>
      </c>
      <c r="C3719" s="3">
        <v>17808</v>
      </c>
      <c r="D3719" s="3" t="str">
        <f>VLOOKUP(B3719,[1]LifeList!$E$2:$G$2036,1)</f>
        <v>Wilson's Snipe</v>
      </c>
      <c r="E3719" s="3" t="str">
        <f>VLOOKUP(B3719,[1]LifeList!$E$2:$G$2036,2)</f>
        <v>Bécassine de Wilson</v>
      </c>
      <c r="F3719" s="3" t="str">
        <f>VLOOKUP(B3719,[1]LifeList!$E$2:$G$2036,3)</f>
        <v>Gallinago delicata</v>
      </c>
      <c r="G3719" s="3" t="str">
        <f>VLOOKUP(B3719,[1]LifeList!$E$2:$I$2036,4)</f>
        <v>Charadriiformes</v>
      </c>
      <c r="H3719" s="3" t="str">
        <f>VLOOKUP(B3719,[1]LifeList!$E$2:$I$2036,5)</f>
        <v>Scolopacidae (Sandpipers and Allies)</v>
      </c>
    </row>
    <row r="3720" spans="1:8" x14ac:dyDescent="0.15">
      <c r="A3720" s="3" t="s">
        <v>3943</v>
      </c>
      <c r="B3720" s="3" t="s">
        <v>5235</v>
      </c>
      <c r="C3720" s="3">
        <v>17808</v>
      </c>
      <c r="D3720" s="3" t="str">
        <f>VLOOKUP(B3720,[1]LifeList!$E$2:$G$2036,1)</f>
        <v>Wilson's Snipe</v>
      </c>
      <c r="E3720" s="3" t="str">
        <f>VLOOKUP(B3720,[1]LifeList!$E$2:$G$2036,2)</f>
        <v>Bécassine de Wilson</v>
      </c>
      <c r="F3720" s="3" t="str">
        <f>VLOOKUP(B3720,[1]LifeList!$E$2:$G$2036,3)</f>
        <v>Gallinago delicata</v>
      </c>
      <c r="G3720" s="3" t="str">
        <f>VLOOKUP(B3720,[1]LifeList!$E$2:$I$2036,4)</f>
        <v>Charadriiformes</v>
      </c>
      <c r="H3720" s="3" t="str">
        <f>VLOOKUP(B3720,[1]LifeList!$E$2:$I$2036,5)</f>
        <v>Scolopacidae (Sandpipers and Allies)</v>
      </c>
    </row>
    <row r="3721" spans="1:8" x14ac:dyDescent="0.15">
      <c r="A3721" s="3" t="s">
        <v>3944</v>
      </c>
      <c r="B3721" s="3" t="s">
        <v>5235</v>
      </c>
      <c r="C3721" s="3">
        <v>17808</v>
      </c>
      <c r="D3721" s="3" t="str">
        <f>VLOOKUP(B3721,[1]LifeList!$E$2:$G$2036,1)</f>
        <v>Wilson's Snipe</v>
      </c>
      <c r="E3721" s="3" t="str">
        <f>VLOOKUP(B3721,[1]LifeList!$E$2:$G$2036,2)</f>
        <v>Bécassine de Wilson</v>
      </c>
      <c r="F3721" s="3" t="str">
        <f>VLOOKUP(B3721,[1]LifeList!$E$2:$G$2036,3)</f>
        <v>Gallinago delicata</v>
      </c>
      <c r="G3721" s="3" t="str">
        <f>VLOOKUP(B3721,[1]LifeList!$E$2:$I$2036,4)</f>
        <v>Charadriiformes</v>
      </c>
      <c r="H3721" s="3" t="str">
        <f>VLOOKUP(B3721,[1]LifeList!$E$2:$I$2036,5)</f>
        <v>Scolopacidae (Sandpipers and Allies)</v>
      </c>
    </row>
    <row r="3722" spans="1:8" x14ac:dyDescent="0.15">
      <c r="A3722" s="3" t="s">
        <v>3945</v>
      </c>
      <c r="B3722" s="3" t="s">
        <v>5235</v>
      </c>
      <c r="C3722" s="3">
        <v>17808</v>
      </c>
      <c r="D3722" s="3" t="str">
        <f>VLOOKUP(B3722,[1]LifeList!$E$2:$G$2036,1)</f>
        <v>Wilson's Snipe</v>
      </c>
      <c r="E3722" s="3" t="str">
        <f>VLOOKUP(B3722,[1]LifeList!$E$2:$G$2036,2)</f>
        <v>Bécassine de Wilson</v>
      </c>
      <c r="F3722" s="3" t="str">
        <f>VLOOKUP(B3722,[1]LifeList!$E$2:$G$2036,3)</f>
        <v>Gallinago delicata</v>
      </c>
      <c r="G3722" s="3" t="str">
        <f>VLOOKUP(B3722,[1]LifeList!$E$2:$I$2036,4)</f>
        <v>Charadriiformes</v>
      </c>
      <c r="H3722" s="3" t="str">
        <f>VLOOKUP(B3722,[1]LifeList!$E$2:$I$2036,5)</f>
        <v>Scolopacidae (Sandpipers and Allies)</v>
      </c>
    </row>
    <row r="3723" spans="1:8" x14ac:dyDescent="0.15">
      <c r="A3723" s="3" t="s">
        <v>3946</v>
      </c>
      <c r="B3723" s="3" t="s">
        <v>5234</v>
      </c>
      <c r="C3723" s="3">
        <v>17808</v>
      </c>
      <c r="D3723" s="3" t="str">
        <f>VLOOKUP(B3723,[1]LifeList!$E$2:$G$2036,1)</f>
        <v>Wilson's Warbler</v>
      </c>
      <c r="E3723" s="3" t="str">
        <f>VLOOKUP(B3723,[1]LifeList!$E$2:$G$2036,2)</f>
        <v>Paruline à calotte noire</v>
      </c>
      <c r="F3723" s="3" t="str">
        <f>VLOOKUP(B3723,[1]LifeList!$E$2:$G$2036,3)</f>
        <v>Cardellina pusilla</v>
      </c>
      <c r="G3723" s="3" t="str">
        <f>VLOOKUP(B3723,[1]LifeList!$E$2:$I$2036,4)</f>
        <v>Passeriformes</v>
      </c>
      <c r="H3723" s="3" t="str">
        <f>VLOOKUP(B3723,[1]LifeList!$E$2:$I$2036,5)</f>
        <v>Parulidae (New World Warblers)</v>
      </c>
    </row>
    <row r="3724" spans="1:8" x14ac:dyDescent="0.15">
      <c r="A3724" s="3" t="s">
        <v>3947</v>
      </c>
      <c r="B3724" s="3" t="s">
        <v>5234</v>
      </c>
      <c r="C3724" s="3">
        <v>17808</v>
      </c>
      <c r="D3724" s="3" t="str">
        <f>VLOOKUP(B3724,[1]LifeList!$E$2:$G$2036,1)</f>
        <v>Wilson's Warbler</v>
      </c>
      <c r="E3724" s="3" t="str">
        <f>VLOOKUP(B3724,[1]LifeList!$E$2:$G$2036,2)</f>
        <v>Paruline à calotte noire</v>
      </c>
      <c r="F3724" s="3" t="str">
        <f>VLOOKUP(B3724,[1]LifeList!$E$2:$G$2036,3)</f>
        <v>Cardellina pusilla</v>
      </c>
      <c r="G3724" s="3" t="str">
        <f>VLOOKUP(B3724,[1]LifeList!$E$2:$I$2036,4)</f>
        <v>Passeriformes</v>
      </c>
      <c r="H3724" s="3" t="str">
        <f>VLOOKUP(B3724,[1]LifeList!$E$2:$I$2036,5)</f>
        <v>Parulidae (New World Warblers)</v>
      </c>
    </row>
    <row r="3725" spans="1:8" x14ac:dyDescent="0.15">
      <c r="A3725" s="3" t="s">
        <v>3948</v>
      </c>
      <c r="B3725" s="3" t="s">
        <v>5234</v>
      </c>
      <c r="C3725" s="3">
        <v>17808</v>
      </c>
      <c r="D3725" s="3" t="str">
        <f>VLOOKUP(B3725,[1]LifeList!$E$2:$G$2036,1)</f>
        <v>Wilson's Warbler</v>
      </c>
      <c r="E3725" s="3" t="str">
        <f>VLOOKUP(B3725,[1]LifeList!$E$2:$G$2036,2)</f>
        <v>Paruline à calotte noire</v>
      </c>
      <c r="F3725" s="3" t="str">
        <f>VLOOKUP(B3725,[1]LifeList!$E$2:$G$2036,3)</f>
        <v>Cardellina pusilla</v>
      </c>
      <c r="G3725" s="3" t="str">
        <f>VLOOKUP(B3725,[1]LifeList!$E$2:$I$2036,4)</f>
        <v>Passeriformes</v>
      </c>
      <c r="H3725" s="3" t="str">
        <f>VLOOKUP(B3725,[1]LifeList!$E$2:$I$2036,5)</f>
        <v>Parulidae (New World Warblers)</v>
      </c>
    </row>
    <row r="3726" spans="1:8" x14ac:dyDescent="0.15">
      <c r="A3726" s="3" t="s">
        <v>3949</v>
      </c>
      <c r="B3726" s="3" t="s">
        <v>5234</v>
      </c>
      <c r="C3726" s="3">
        <v>17808</v>
      </c>
      <c r="D3726" s="3" t="str">
        <f>VLOOKUP(B3726,[1]LifeList!$E$2:$G$2036,1)</f>
        <v>Wilson's Warbler</v>
      </c>
      <c r="E3726" s="3" t="str">
        <f>VLOOKUP(B3726,[1]LifeList!$E$2:$G$2036,2)</f>
        <v>Paruline à calotte noire</v>
      </c>
      <c r="F3726" s="3" t="str">
        <f>VLOOKUP(B3726,[1]LifeList!$E$2:$G$2036,3)</f>
        <v>Cardellina pusilla</v>
      </c>
      <c r="G3726" s="3" t="str">
        <f>VLOOKUP(B3726,[1]LifeList!$E$2:$I$2036,4)</f>
        <v>Passeriformes</v>
      </c>
      <c r="H3726" s="3" t="str">
        <f>VLOOKUP(B3726,[1]LifeList!$E$2:$I$2036,5)</f>
        <v>Parulidae (New World Warblers)</v>
      </c>
    </row>
    <row r="3727" spans="1:8" x14ac:dyDescent="0.15">
      <c r="A3727" s="3" t="s">
        <v>3950</v>
      </c>
      <c r="B3727" s="3" t="s">
        <v>5234</v>
      </c>
      <c r="C3727" s="3">
        <v>17808</v>
      </c>
      <c r="D3727" s="3" t="str">
        <f>VLOOKUP(B3727,[1]LifeList!$E$2:$G$2036,1)</f>
        <v>Wilson's Warbler</v>
      </c>
      <c r="E3727" s="3" t="str">
        <f>VLOOKUP(B3727,[1]LifeList!$E$2:$G$2036,2)</f>
        <v>Paruline à calotte noire</v>
      </c>
      <c r="F3727" s="3" t="str">
        <f>VLOOKUP(B3727,[1]LifeList!$E$2:$G$2036,3)</f>
        <v>Cardellina pusilla</v>
      </c>
      <c r="G3727" s="3" t="str">
        <f>VLOOKUP(B3727,[1]LifeList!$E$2:$I$2036,4)</f>
        <v>Passeriformes</v>
      </c>
      <c r="H3727" s="3" t="str">
        <f>VLOOKUP(B3727,[1]LifeList!$E$2:$I$2036,5)</f>
        <v>Parulidae (New World Warblers)</v>
      </c>
    </row>
    <row r="3728" spans="1:8" x14ac:dyDescent="0.15">
      <c r="A3728" s="3" t="s">
        <v>3951</v>
      </c>
      <c r="B3728" s="3" t="s">
        <v>5234</v>
      </c>
      <c r="C3728" s="3">
        <v>17808</v>
      </c>
      <c r="D3728" s="3" t="str">
        <f>VLOOKUP(B3728,[1]LifeList!$E$2:$G$2036,1)</f>
        <v>Wilson's Warbler</v>
      </c>
      <c r="E3728" s="3" t="str">
        <f>VLOOKUP(B3728,[1]LifeList!$E$2:$G$2036,2)</f>
        <v>Paruline à calotte noire</v>
      </c>
      <c r="F3728" s="3" t="str">
        <f>VLOOKUP(B3728,[1]LifeList!$E$2:$G$2036,3)</f>
        <v>Cardellina pusilla</v>
      </c>
      <c r="G3728" s="3" t="str">
        <f>VLOOKUP(B3728,[1]LifeList!$E$2:$I$2036,4)</f>
        <v>Passeriformes</v>
      </c>
      <c r="H3728" s="3" t="str">
        <f>VLOOKUP(B3728,[1]LifeList!$E$2:$I$2036,5)</f>
        <v>Parulidae (New World Warblers)</v>
      </c>
    </row>
    <row r="3729" spans="1:8" x14ac:dyDescent="0.15">
      <c r="A3729" s="3" t="s">
        <v>3952</v>
      </c>
      <c r="B3729" s="3" t="s">
        <v>5234</v>
      </c>
      <c r="C3729" s="3">
        <v>17808</v>
      </c>
      <c r="D3729" s="3" t="str">
        <f>VLOOKUP(B3729,[1]LifeList!$E$2:$G$2036,1)</f>
        <v>Wilson's Warbler</v>
      </c>
      <c r="E3729" s="3" t="str">
        <f>VLOOKUP(B3729,[1]LifeList!$E$2:$G$2036,2)</f>
        <v>Paruline à calotte noire</v>
      </c>
      <c r="F3729" s="3" t="str">
        <f>VLOOKUP(B3729,[1]LifeList!$E$2:$G$2036,3)</f>
        <v>Cardellina pusilla</v>
      </c>
      <c r="G3729" s="3" t="str">
        <f>VLOOKUP(B3729,[1]LifeList!$E$2:$I$2036,4)</f>
        <v>Passeriformes</v>
      </c>
      <c r="H3729" s="3" t="str">
        <f>VLOOKUP(B3729,[1]LifeList!$E$2:$I$2036,5)</f>
        <v>Parulidae (New World Warblers)</v>
      </c>
    </row>
    <row r="3730" spans="1:8" x14ac:dyDescent="0.15">
      <c r="A3730" s="3" t="s">
        <v>3577</v>
      </c>
      <c r="B3730" s="3" t="s">
        <v>5158</v>
      </c>
      <c r="C3730" s="3">
        <v>455</v>
      </c>
      <c r="D3730" s="3" t="str">
        <f>VLOOKUP(B3730,[1]LifeList!$E$2:$G$2036,1)</f>
        <v>Wood Duck</v>
      </c>
      <c r="E3730" s="3" t="str">
        <f>VLOOKUP(B3730,[1]LifeList!$E$2:$G$2036,2)</f>
        <v>Canard branchu</v>
      </c>
      <c r="F3730" s="3" t="str">
        <f>VLOOKUP(B3730,[1]LifeList!$E$2:$G$2036,3)</f>
        <v>Aix sponsa</v>
      </c>
      <c r="G3730" s="3" t="str">
        <f>VLOOKUP(B3730,[1]LifeList!$E$2:$I$2036,4)</f>
        <v>Anseriformes</v>
      </c>
      <c r="H3730" s="3" t="str">
        <f>VLOOKUP(B3730,[1]LifeList!$E$2:$I$2036,5)</f>
        <v>Anatidae (Ducks, Geese, and Waterfowl)</v>
      </c>
    </row>
    <row r="3731" spans="1:8" x14ac:dyDescent="0.15">
      <c r="A3731" s="3" t="s">
        <v>3578</v>
      </c>
      <c r="B3731" s="3" t="s">
        <v>5158</v>
      </c>
      <c r="C3731" s="3">
        <v>455</v>
      </c>
      <c r="D3731" s="3" t="str">
        <f>VLOOKUP(B3731,[1]LifeList!$E$2:$G$2036,1)</f>
        <v>Wood Duck</v>
      </c>
      <c r="E3731" s="3" t="str">
        <f>VLOOKUP(B3731,[1]LifeList!$E$2:$G$2036,2)</f>
        <v>Canard branchu</v>
      </c>
      <c r="F3731" s="3" t="str">
        <f>VLOOKUP(B3731,[1]LifeList!$E$2:$G$2036,3)</f>
        <v>Aix sponsa</v>
      </c>
      <c r="G3731" s="3" t="str">
        <f>VLOOKUP(B3731,[1]LifeList!$E$2:$I$2036,4)</f>
        <v>Anseriformes</v>
      </c>
      <c r="H3731" s="3" t="str">
        <f>VLOOKUP(B3731,[1]LifeList!$E$2:$I$2036,5)</f>
        <v>Anatidae (Ducks, Geese, and Waterfowl)</v>
      </c>
    </row>
    <row r="3732" spans="1:8" x14ac:dyDescent="0.15">
      <c r="A3732" s="3" t="s">
        <v>3579</v>
      </c>
      <c r="B3732" s="3" t="s">
        <v>5158</v>
      </c>
      <c r="C3732" s="3">
        <v>455</v>
      </c>
      <c r="D3732" s="3" t="str">
        <f>VLOOKUP(B3732,[1]LifeList!$E$2:$G$2036,1)</f>
        <v>Wood Duck</v>
      </c>
      <c r="E3732" s="3" t="str">
        <f>VLOOKUP(B3732,[1]LifeList!$E$2:$G$2036,2)</f>
        <v>Canard branchu</v>
      </c>
      <c r="F3732" s="3" t="str">
        <f>VLOOKUP(B3732,[1]LifeList!$E$2:$G$2036,3)</f>
        <v>Aix sponsa</v>
      </c>
      <c r="G3732" s="3" t="str">
        <f>VLOOKUP(B3732,[1]LifeList!$E$2:$I$2036,4)</f>
        <v>Anseriformes</v>
      </c>
      <c r="H3732" s="3" t="str">
        <f>VLOOKUP(B3732,[1]LifeList!$E$2:$I$2036,5)</f>
        <v>Anatidae (Ducks, Geese, and Waterfowl)</v>
      </c>
    </row>
    <row r="3733" spans="1:8" x14ac:dyDescent="0.15">
      <c r="A3733" s="3" t="s">
        <v>3580</v>
      </c>
      <c r="B3733" s="3" t="s">
        <v>5158</v>
      </c>
      <c r="C3733" s="3">
        <v>455</v>
      </c>
      <c r="D3733" s="3" t="str">
        <f>VLOOKUP(B3733,[1]LifeList!$E$2:$G$2036,1)</f>
        <v>Wood Duck</v>
      </c>
      <c r="E3733" s="3" t="str">
        <f>VLOOKUP(B3733,[1]LifeList!$E$2:$G$2036,2)</f>
        <v>Canard branchu</v>
      </c>
      <c r="F3733" s="3" t="str">
        <f>VLOOKUP(B3733,[1]LifeList!$E$2:$G$2036,3)</f>
        <v>Aix sponsa</v>
      </c>
      <c r="G3733" s="3" t="str">
        <f>VLOOKUP(B3733,[1]LifeList!$E$2:$I$2036,4)</f>
        <v>Anseriformes</v>
      </c>
      <c r="H3733" s="3" t="str">
        <f>VLOOKUP(B3733,[1]LifeList!$E$2:$I$2036,5)</f>
        <v>Anatidae (Ducks, Geese, and Waterfowl)</v>
      </c>
    </row>
    <row r="3734" spans="1:8" x14ac:dyDescent="0.15">
      <c r="A3734" s="3" t="s">
        <v>3581</v>
      </c>
      <c r="B3734" s="3" t="s">
        <v>5158</v>
      </c>
      <c r="C3734" s="3">
        <v>455</v>
      </c>
      <c r="D3734" s="3" t="str">
        <f>VLOOKUP(B3734,[1]LifeList!$E$2:$G$2036,1)</f>
        <v>Wood Duck</v>
      </c>
      <c r="E3734" s="3" t="str">
        <f>VLOOKUP(B3734,[1]LifeList!$E$2:$G$2036,2)</f>
        <v>Canard branchu</v>
      </c>
      <c r="F3734" s="3" t="str">
        <f>VLOOKUP(B3734,[1]LifeList!$E$2:$G$2036,3)</f>
        <v>Aix sponsa</v>
      </c>
      <c r="G3734" s="3" t="str">
        <f>VLOOKUP(B3734,[1]LifeList!$E$2:$I$2036,4)</f>
        <v>Anseriformes</v>
      </c>
      <c r="H3734" s="3" t="str">
        <f>VLOOKUP(B3734,[1]LifeList!$E$2:$I$2036,5)</f>
        <v>Anatidae (Ducks, Geese, and Waterfowl)</v>
      </c>
    </row>
    <row r="3735" spans="1:8" x14ac:dyDescent="0.15">
      <c r="A3735" s="3" t="s">
        <v>3582</v>
      </c>
      <c r="B3735" s="3" t="s">
        <v>5158</v>
      </c>
      <c r="C3735" s="3">
        <v>455</v>
      </c>
      <c r="D3735" s="3" t="str">
        <f>VLOOKUP(B3735,[1]LifeList!$E$2:$G$2036,1)</f>
        <v>Wood Duck</v>
      </c>
      <c r="E3735" s="3" t="str">
        <f>VLOOKUP(B3735,[1]LifeList!$E$2:$G$2036,2)</f>
        <v>Canard branchu</v>
      </c>
      <c r="F3735" s="3" t="str">
        <f>VLOOKUP(B3735,[1]LifeList!$E$2:$G$2036,3)</f>
        <v>Aix sponsa</v>
      </c>
      <c r="G3735" s="3" t="str">
        <f>VLOOKUP(B3735,[1]LifeList!$E$2:$I$2036,4)</f>
        <v>Anseriformes</v>
      </c>
      <c r="H3735" s="3" t="str">
        <f>VLOOKUP(B3735,[1]LifeList!$E$2:$I$2036,5)</f>
        <v>Anatidae (Ducks, Geese, and Waterfowl)</v>
      </c>
    </row>
    <row r="3736" spans="1:8" x14ac:dyDescent="0.15">
      <c r="A3736" s="3" t="s">
        <v>3583</v>
      </c>
      <c r="B3736" s="3" t="s">
        <v>5158</v>
      </c>
      <c r="C3736" s="3">
        <v>455</v>
      </c>
      <c r="D3736" s="3" t="str">
        <f>VLOOKUP(B3736,[1]LifeList!$E$2:$G$2036,1)</f>
        <v>Wood Duck</v>
      </c>
      <c r="E3736" s="3" t="str">
        <f>VLOOKUP(B3736,[1]LifeList!$E$2:$G$2036,2)</f>
        <v>Canard branchu</v>
      </c>
      <c r="F3736" s="3" t="str">
        <f>VLOOKUP(B3736,[1]LifeList!$E$2:$G$2036,3)</f>
        <v>Aix sponsa</v>
      </c>
      <c r="G3736" s="3" t="str">
        <f>VLOOKUP(B3736,[1]LifeList!$E$2:$I$2036,4)</f>
        <v>Anseriformes</v>
      </c>
      <c r="H3736" s="3" t="str">
        <f>VLOOKUP(B3736,[1]LifeList!$E$2:$I$2036,5)</f>
        <v>Anatidae (Ducks, Geese, and Waterfowl)</v>
      </c>
    </row>
    <row r="3737" spans="1:8" x14ac:dyDescent="0.15">
      <c r="A3737" s="3" t="s">
        <v>3584</v>
      </c>
      <c r="B3737" s="3" t="s">
        <v>5159</v>
      </c>
      <c r="C3737" s="3">
        <v>7306</v>
      </c>
      <c r="D3737" s="3" t="str">
        <f>VLOOKUP(B3737,[1]LifeList!$E$2:$G$2036,1)</f>
        <v>Wood Stork</v>
      </c>
      <c r="E3737" s="3" t="str">
        <f>VLOOKUP(B3737,[1]LifeList!$E$2:$G$2036,2)</f>
        <v>Tantale d'Amérique</v>
      </c>
      <c r="F3737" s="3" t="str">
        <f>VLOOKUP(B3737,[1]LifeList!$E$2:$G$2036,3)</f>
        <v>Mycteria americana</v>
      </c>
      <c r="G3737" s="3" t="str">
        <f>VLOOKUP(B3737,[1]LifeList!$E$2:$I$2036,4)</f>
        <v>Ciconiiformes</v>
      </c>
      <c r="H3737" s="3" t="str">
        <f>VLOOKUP(B3737,[1]LifeList!$E$2:$I$2036,5)</f>
        <v>Ciconiidae (Storks)</v>
      </c>
    </row>
    <row r="3738" spans="1:8" x14ac:dyDescent="0.15">
      <c r="A3738" s="3" t="s">
        <v>3585</v>
      </c>
      <c r="B3738" s="3" t="s">
        <v>5159</v>
      </c>
      <c r="C3738" s="3">
        <v>7306</v>
      </c>
      <c r="D3738" s="3" t="str">
        <f>VLOOKUP(B3738,[1]LifeList!$E$2:$G$2036,1)</f>
        <v>Wood Stork</v>
      </c>
      <c r="E3738" s="3" t="str">
        <f>VLOOKUP(B3738,[1]LifeList!$E$2:$G$2036,2)</f>
        <v>Tantale d'Amérique</v>
      </c>
      <c r="F3738" s="3" t="str">
        <f>VLOOKUP(B3738,[1]LifeList!$E$2:$G$2036,3)</f>
        <v>Mycteria americana</v>
      </c>
      <c r="G3738" s="3" t="str">
        <f>VLOOKUP(B3738,[1]LifeList!$E$2:$I$2036,4)</f>
        <v>Ciconiiformes</v>
      </c>
      <c r="H3738" s="3" t="str">
        <f>VLOOKUP(B3738,[1]LifeList!$E$2:$I$2036,5)</f>
        <v>Ciconiidae (Storks)</v>
      </c>
    </row>
    <row r="3739" spans="1:8" x14ac:dyDescent="0.15">
      <c r="A3739" s="3" t="s">
        <v>3586</v>
      </c>
      <c r="B3739" s="3" t="s">
        <v>5159</v>
      </c>
      <c r="C3739" s="3">
        <v>7306</v>
      </c>
      <c r="D3739" s="3" t="str">
        <f>VLOOKUP(B3739,[1]LifeList!$E$2:$G$2036,1)</f>
        <v>Wood Stork</v>
      </c>
      <c r="E3739" s="3" t="str">
        <f>VLOOKUP(B3739,[1]LifeList!$E$2:$G$2036,2)</f>
        <v>Tantale d'Amérique</v>
      </c>
      <c r="F3739" s="3" t="str">
        <f>VLOOKUP(B3739,[1]LifeList!$E$2:$G$2036,3)</f>
        <v>Mycteria americana</v>
      </c>
      <c r="G3739" s="3" t="str">
        <f>VLOOKUP(B3739,[1]LifeList!$E$2:$I$2036,4)</f>
        <v>Ciconiiformes</v>
      </c>
      <c r="H3739" s="3" t="str">
        <f>VLOOKUP(B3739,[1]LifeList!$E$2:$I$2036,5)</f>
        <v>Ciconiidae (Storks)</v>
      </c>
    </row>
    <row r="3740" spans="1:8" x14ac:dyDescent="0.15">
      <c r="A3740" s="3" t="s">
        <v>3587</v>
      </c>
      <c r="B3740" s="3" t="s">
        <v>5159</v>
      </c>
      <c r="C3740" s="3">
        <v>7306</v>
      </c>
      <c r="D3740" s="3" t="str">
        <f>VLOOKUP(B3740,[1]LifeList!$E$2:$G$2036,1)</f>
        <v>Wood Stork</v>
      </c>
      <c r="E3740" s="3" t="str">
        <f>VLOOKUP(B3740,[1]LifeList!$E$2:$G$2036,2)</f>
        <v>Tantale d'Amérique</v>
      </c>
      <c r="F3740" s="3" t="str">
        <f>VLOOKUP(B3740,[1]LifeList!$E$2:$G$2036,3)</f>
        <v>Mycteria americana</v>
      </c>
      <c r="G3740" s="3" t="str">
        <f>VLOOKUP(B3740,[1]LifeList!$E$2:$I$2036,4)</f>
        <v>Ciconiiformes</v>
      </c>
      <c r="H3740" s="3" t="str">
        <f>VLOOKUP(B3740,[1]LifeList!$E$2:$I$2036,5)</f>
        <v>Ciconiidae (Storks)</v>
      </c>
    </row>
    <row r="3741" spans="1:8" x14ac:dyDescent="0.15">
      <c r="A3741" s="3" t="s">
        <v>3588</v>
      </c>
      <c r="B3741" s="3" t="s">
        <v>5159</v>
      </c>
      <c r="C3741" s="3">
        <v>7306</v>
      </c>
      <c r="D3741" s="3" t="str">
        <f>VLOOKUP(B3741,[1]LifeList!$E$2:$G$2036,1)</f>
        <v>Wood Stork</v>
      </c>
      <c r="E3741" s="3" t="str">
        <f>VLOOKUP(B3741,[1]LifeList!$E$2:$G$2036,2)</f>
        <v>Tantale d'Amérique</v>
      </c>
      <c r="F3741" s="3" t="str">
        <f>VLOOKUP(B3741,[1]LifeList!$E$2:$G$2036,3)</f>
        <v>Mycteria americana</v>
      </c>
      <c r="G3741" s="3" t="str">
        <f>VLOOKUP(B3741,[1]LifeList!$E$2:$I$2036,4)</f>
        <v>Ciconiiformes</v>
      </c>
      <c r="H3741" s="3" t="str">
        <f>VLOOKUP(B3741,[1]LifeList!$E$2:$I$2036,5)</f>
        <v>Ciconiidae (Storks)</v>
      </c>
    </row>
    <row r="3742" spans="1:8" x14ac:dyDescent="0.15">
      <c r="A3742" s="3" t="s">
        <v>3589</v>
      </c>
      <c r="B3742" s="3" t="s">
        <v>5159</v>
      </c>
      <c r="C3742" s="3">
        <v>7306</v>
      </c>
      <c r="D3742" s="3" t="str">
        <f>VLOOKUP(B3742,[1]LifeList!$E$2:$G$2036,1)</f>
        <v>Wood Stork</v>
      </c>
      <c r="E3742" s="3" t="str">
        <f>VLOOKUP(B3742,[1]LifeList!$E$2:$G$2036,2)</f>
        <v>Tantale d'Amérique</v>
      </c>
      <c r="F3742" s="3" t="str">
        <f>VLOOKUP(B3742,[1]LifeList!$E$2:$G$2036,3)</f>
        <v>Mycteria americana</v>
      </c>
      <c r="G3742" s="3" t="str">
        <f>VLOOKUP(B3742,[1]LifeList!$E$2:$I$2036,4)</f>
        <v>Ciconiiformes</v>
      </c>
      <c r="H3742" s="3" t="str">
        <f>VLOOKUP(B3742,[1]LifeList!$E$2:$I$2036,5)</f>
        <v>Ciconiidae (Storks)</v>
      </c>
    </row>
    <row r="3743" spans="1:8" x14ac:dyDescent="0.15">
      <c r="A3743" s="3" t="s">
        <v>3590</v>
      </c>
      <c r="B3743" s="3" t="s">
        <v>5159</v>
      </c>
      <c r="C3743" s="3">
        <v>7306</v>
      </c>
      <c r="D3743" s="3" t="str">
        <f>VLOOKUP(B3743,[1]LifeList!$E$2:$G$2036,1)</f>
        <v>Wood Stork</v>
      </c>
      <c r="E3743" s="3" t="str">
        <f>VLOOKUP(B3743,[1]LifeList!$E$2:$G$2036,2)</f>
        <v>Tantale d'Amérique</v>
      </c>
      <c r="F3743" s="3" t="str">
        <f>VLOOKUP(B3743,[1]LifeList!$E$2:$G$2036,3)</f>
        <v>Mycteria americana</v>
      </c>
      <c r="G3743" s="3" t="str">
        <f>VLOOKUP(B3743,[1]LifeList!$E$2:$I$2036,4)</f>
        <v>Ciconiiformes</v>
      </c>
      <c r="H3743" s="3" t="str">
        <f>VLOOKUP(B3743,[1]LifeList!$E$2:$I$2036,5)</f>
        <v>Ciconiidae (Storks)</v>
      </c>
    </row>
    <row r="3744" spans="1:8" x14ac:dyDescent="0.15">
      <c r="A3744" s="3" t="s">
        <v>3591</v>
      </c>
      <c r="B3744" s="3" t="s">
        <v>5159</v>
      </c>
      <c r="C3744" s="3">
        <v>7306</v>
      </c>
      <c r="D3744" s="3" t="str">
        <f>VLOOKUP(B3744,[1]LifeList!$E$2:$G$2036,1)</f>
        <v>Wood Stork</v>
      </c>
      <c r="E3744" s="3" t="str">
        <f>VLOOKUP(B3744,[1]LifeList!$E$2:$G$2036,2)</f>
        <v>Tantale d'Amérique</v>
      </c>
      <c r="F3744" s="3" t="str">
        <f>VLOOKUP(B3744,[1]LifeList!$E$2:$G$2036,3)</f>
        <v>Mycteria americana</v>
      </c>
      <c r="G3744" s="3" t="str">
        <f>VLOOKUP(B3744,[1]LifeList!$E$2:$I$2036,4)</f>
        <v>Ciconiiformes</v>
      </c>
      <c r="H3744" s="3" t="str">
        <f>VLOOKUP(B3744,[1]LifeList!$E$2:$I$2036,5)</f>
        <v>Ciconiidae (Storks)</v>
      </c>
    </row>
    <row r="3745" spans="1:8" x14ac:dyDescent="0.15">
      <c r="A3745" s="3" t="s">
        <v>3592</v>
      </c>
      <c r="B3745" s="3" t="s">
        <v>5159</v>
      </c>
      <c r="C3745" s="3">
        <v>7306</v>
      </c>
      <c r="D3745" s="3" t="str">
        <f>VLOOKUP(B3745,[1]LifeList!$E$2:$G$2036,1)</f>
        <v>Wood Stork</v>
      </c>
      <c r="E3745" s="3" t="str">
        <f>VLOOKUP(B3745,[1]LifeList!$E$2:$G$2036,2)</f>
        <v>Tantale d'Amérique</v>
      </c>
      <c r="F3745" s="3" t="str">
        <f>VLOOKUP(B3745,[1]LifeList!$E$2:$G$2036,3)</f>
        <v>Mycteria americana</v>
      </c>
      <c r="G3745" s="3" t="str">
        <f>VLOOKUP(B3745,[1]LifeList!$E$2:$I$2036,4)</f>
        <v>Ciconiiformes</v>
      </c>
      <c r="H3745" s="3" t="str">
        <f>VLOOKUP(B3745,[1]LifeList!$E$2:$I$2036,5)</f>
        <v>Ciconiidae (Storks)</v>
      </c>
    </row>
    <row r="3746" spans="1:8" x14ac:dyDescent="0.15">
      <c r="A3746" s="3" t="s">
        <v>3593</v>
      </c>
      <c r="B3746" s="3" t="s">
        <v>5159</v>
      </c>
      <c r="C3746" s="3">
        <v>7306</v>
      </c>
      <c r="D3746" s="3" t="str">
        <f>VLOOKUP(B3746,[1]LifeList!$E$2:$G$2036,1)</f>
        <v>Wood Stork</v>
      </c>
      <c r="E3746" s="3" t="str">
        <f>VLOOKUP(B3746,[1]LifeList!$E$2:$G$2036,2)</f>
        <v>Tantale d'Amérique</v>
      </c>
      <c r="F3746" s="3" t="str">
        <f>VLOOKUP(B3746,[1]LifeList!$E$2:$G$2036,3)</f>
        <v>Mycteria americana</v>
      </c>
      <c r="G3746" s="3" t="str">
        <f>VLOOKUP(B3746,[1]LifeList!$E$2:$I$2036,4)</f>
        <v>Ciconiiformes</v>
      </c>
      <c r="H3746" s="3" t="str">
        <f>VLOOKUP(B3746,[1]LifeList!$E$2:$I$2036,5)</f>
        <v>Ciconiidae (Storks)</v>
      </c>
    </row>
    <row r="3747" spans="1:8" x14ac:dyDescent="0.15">
      <c r="A3747" s="3" t="s">
        <v>3594</v>
      </c>
      <c r="B3747" s="3" t="s">
        <v>5159</v>
      </c>
      <c r="C3747" s="3">
        <v>7306</v>
      </c>
      <c r="D3747" s="3" t="str">
        <f>VLOOKUP(B3747,[1]LifeList!$E$2:$G$2036,1)</f>
        <v>Wood Stork</v>
      </c>
      <c r="E3747" s="3" t="str">
        <f>VLOOKUP(B3747,[1]LifeList!$E$2:$G$2036,2)</f>
        <v>Tantale d'Amérique</v>
      </c>
      <c r="F3747" s="3" t="str">
        <f>VLOOKUP(B3747,[1]LifeList!$E$2:$G$2036,3)</f>
        <v>Mycteria americana</v>
      </c>
      <c r="G3747" s="3" t="str">
        <f>VLOOKUP(B3747,[1]LifeList!$E$2:$I$2036,4)</f>
        <v>Ciconiiformes</v>
      </c>
      <c r="H3747" s="3" t="str">
        <f>VLOOKUP(B3747,[1]LifeList!$E$2:$I$2036,5)</f>
        <v>Ciconiidae (Storks)</v>
      </c>
    </row>
    <row r="3748" spans="1:8" x14ac:dyDescent="0.15">
      <c r="A3748" s="3" t="s">
        <v>3595</v>
      </c>
      <c r="B3748" s="3" t="s">
        <v>5160</v>
      </c>
      <c r="C3748" s="3">
        <v>28347</v>
      </c>
      <c r="D3748" s="3" t="str">
        <f>VLOOKUP(B3748,[1]LifeList!$E$2:$G$2036,1)</f>
        <v>Wood Thrush</v>
      </c>
      <c r="E3748" s="3" t="str">
        <f>VLOOKUP(B3748,[1]LifeList!$E$2:$G$2036,2)</f>
        <v>Grive des bois</v>
      </c>
      <c r="F3748" s="3" t="str">
        <f>VLOOKUP(B3748,[1]LifeList!$E$2:$G$2036,3)</f>
        <v>Hylocichla mustelina</v>
      </c>
      <c r="G3748" s="3" t="str">
        <f>VLOOKUP(B3748,[1]LifeList!$E$2:$I$2036,4)</f>
        <v>Passeriformes</v>
      </c>
      <c r="H3748" s="3" t="str">
        <f>VLOOKUP(B3748,[1]LifeList!$E$2:$I$2036,5)</f>
        <v>Turdidae (Thrushes and Allies)</v>
      </c>
    </row>
    <row r="3749" spans="1:8" x14ac:dyDescent="0.15">
      <c r="A3749" s="3" t="s">
        <v>3596</v>
      </c>
      <c r="B3749" s="3" t="s">
        <v>5160</v>
      </c>
      <c r="C3749" s="3">
        <v>28347</v>
      </c>
      <c r="D3749" s="3" t="str">
        <f>VLOOKUP(B3749,[1]LifeList!$E$2:$G$2036,1)</f>
        <v>Wood Thrush</v>
      </c>
      <c r="E3749" s="3" t="str">
        <f>VLOOKUP(B3749,[1]LifeList!$E$2:$G$2036,2)</f>
        <v>Grive des bois</v>
      </c>
      <c r="F3749" s="3" t="str">
        <f>VLOOKUP(B3749,[1]LifeList!$E$2:$G$2036,3)</f>
        <v>Hylocichla mustelina</v>
      </c>
      <c r="G3749" s="3" t="str">
        <f>VLOOKUP(B3749,[1]LifeList!$E$2:$I$2036,4)</f>
        <v>Passeriformes</v>
      </c>
      <c r="H3749" s="3" t="str">
        <f>VLOOKUP(B3749,[1]LifeList!$E$2:$I$2036,5)</f>
        <v>Turdidae (Thrushes and Allies)</v>
      </c>
    </row>
    <row r="3750" spans="1:8" x14ac:dyDescent="0.15">
      <c r="A3750" s="3" t="s">
        <v>3597</v>
      </c>
      <c r="B3750" s="3" t="s">
        <v>5160</v>
      </c>
      <c r="C3750" s="3">
        <v>28347</v>
      </c>
      <c r="D3750" s="3" t="str">
        <f>VLOOKUP(B3750,[1]LifeList!$E$2:$G$2036,1)</f>
        <v>Wood Thrush</v>
      </c>
      <c r="E3750" s="3" t="str">
        <f>VLOOKUP(B3750,[1]LifeList!$E$2:$G$2036,2)</f>
        <v>Grive des bois</v>
      </c>
      <c r="F3750" s="3" t="str">
        <f>VLOOKUP(B3750,[1]LifeList!$E$2:$G$2036,3)</f>
        <v>Hylocichla mustelina</v>
      </c>
      <c r="G3750" s="3" t="str">
        <f>VLOOKUP(B3750,[1]LifeList!$E$2:$I$2036,4)</f>
        <v>Passeriformes</v>
      </c>
      <c r="H3750" s="3" t="str">
        <f>VLOOKUP(B3750,[1]LifeList!$E$2:$I$2036,5)</f>
        <v>Turdidae (Thrushes and Allies)</v>
      </c>
    </row>
    <row r="3751" spans="1:8" x14ac:dyDescent="0.15">
      <c r="A3751" s="3" t="s">
        <v>3598</v>
      </c>
      <c r="B3751" s="3" t="s">
        <v>5160</v>
      </c>
      <c r="C3751" s="3">
        <v>28347</v>
      </c>
      <c r="D3751" s="3" t="str">
        <f>VLOOKUP(B3751,[1]LifeList!$E$2:$G$2036,1)</f>
        <v>Wood Thrush</v>
      </c>
      <c r="E3751" s="3" t="str">
        <f>VLOOKUP(B3751,[1]LifeList!$E$2:$G$2036,2)</f>
        <v>Grive des bois</v>
      </c>
      <c r="F3751" s="3" t="str">
        <f>VLOOKUP(B3751,[1]LifeList!$E$2:$G$2036,3)</f>
        <v>Hylocichla mustelina</v>
      </c>
      <c r="G3751" s="3" t="str">
        <f>VLOOKUP(B3751,[1]LifeList!$E$2:$I$2036,4)</f>
        <v>Passeriformes</v>
      </c>
      <c r="H3751" s="3" t="str">
        <f>VLOOKUP(B3751,[1]LifeList!$E$2:$I$2036,5)</f>
        <v>Turdidae (Thrushes and Allies)</v>
      </c>
    </row>
    <row r="3752" spans="1:8" x14ac:dyDescent="0.15">
      <c r="A3752" s="3" t="s">
        <v>3599</v>
      </c>
      <c r="B3752" s="3" t="s">
        <v>5160</v>
      </c>
      <c r="C3752" s="3">
        <v>28347</v>
      </c>
      <c r="D3752" s="3" t="str">
        <f>VLOOKUP(B3752,[1]LifeList!$E$2:$G$2036,1)</f>
        <v>Wood Thrush</v>
      </c>
      <c r="E3752" s="3" t="str">
        <f>VLOOKUP(B3752,[1]LifeList!$E$2:$G$2036,2)</f>
        <v>Grive des bois</v>
      </c>
      <c r="F3752" s="3" t="str">
        <f>VLOOKUP(B3752,[1]LifeList!$E$2:$G$2036,3)</f>
        <v>Hylocichla mustelina</v>
      </c>
      <c r="G3752" s="3" t="str">
        <f>VLOOKUP(B3752,[1]LifeList!$E$2:$I$2036,4)</f>
        <v>Passeriformes</v>
      </c>
      <c r="H3752" s="3" t="str">
        <f>VLOOKUP(B3752,[1]LifeList!$E$2:$I$2036,5)</f>
        <v>Turdidae (Thrushes and Allies)</v>
      </c>
    </row>
    <row r="3753" spans="1:8" x14ac:dyDescent="0.15">
      <c r="A3753" s="3" t="s">
        <v>3600</v>
      </c>
      <c r="B3753" s="3" t="s">
        <v>5160</v>
      </c>
      <c r="C3753" s="3">
        <v>28347</v>
      </c>
      <c r="D3753" s="3" t="str">
        <f>VLOOKUP(B3753,[1]LifeList!$E$2:$G$2036,1)</f>
        <v>Wood Thrush</v>
      </c>
      <c r="E3753" s="3" t="str">
        <f>VLOOKUP(B3753,[1]LifeList!$E$2:$G$2036,2)</f>
        <v>Grive des bois</v>
      </c>
      <c r="F3753" s="3" t="str">
        <f>VLOOKUP(B3753,[1]LifeList!$E$2:$G$2036,3)</f>
        <v>Hylocichla mustelina</v>
      </c>
      <c r="G3753" s="3" t="str">
        <f>VLOOKUP(B3753,[1]LifeList!$E$2:$I$2036,4)</f>
        <v>Passeriformes</v>
      </c>
      <c r="H3753" s="3" t="str">
        <f>VLOOKUP(B3753,[1]LifeList!$E$2:$I$2036,5)</f>
        <v>Turdidae (Thrushes and Allies)</v>
      </c>
    </row>
    <row r="3754" spans="1:8" x14ac:dyDescent="0.15">
      <c r="A3754" s="3" t="s">
        <v>3721</v>
      </c>
      <c r="B3754" s="3" t="s">
        <v>5161</v>
      </c>
      <c r="C3754" s="3">
        <v>33745</v>
      </c>
      <c r="D3754" s="3" t="str">
        <f>VLOOKUP(B3754,[1]LifeList!$E$2:$G$2036,1)</f>
        <v>Yellow Oriole</v>
      </c>
      <c r="E3754" s="3" t="str">
        <f>VLOOKUP(B3754,[1]LifeList!$E$2:$G$2036,2)</f>
        <v>Oriole jaune</v>
      </c>
      <c r="F3754" s="3" t="str">
        <f>VLOOKUP(B3754,[1]LifeList!$E$2:$G$2036,3)</f>
        <v>Icterus nigrogularis</v>
      </c>
      <c r="G3754" s="3" t="str">
        <f>VLOOKUP(B3754,[1]LifeList!$E$2:$I$2036,4)</f>
        <v>Passeriformes</v>
      </c>
      <c r="H3754" s="3" t="str">
        <f>VLOOKUP(B3754,[1]LifeList!$E$2:$I$2036,5)</f>
        <v>Icteridae (Troupials and Allies)</v>
      </c>
    </row>
    <row r="3755" spans="1:8" x14ac:dyDescent="0.15">
      <c r="A3755" s="3" t="s">
        <v>3722</v>
      </c>
      <c r="B3755" s="3" t="s">
        <v>5161</v>
      </c>
      <c r="C3755" s="3">
        <v>33745</v>
      </c>
      <c r="D3755" s="3" t="str">
        <f>VLOOKUP(B3755,[1]LifeList!$E$2:$G$2036,1)</f>
        <v>Yellow Oriole</v>
      </c>
      <c r="E3755" s="3" t="str">
        <f>VLOOKUP(B3755,[1]LifeList!$E$2:$G$2036,2)</f>
        <v>Oriole jaune</v>
      </c>
      <c r="F3755" s="3" t="str">
        <f>VLOOKUP(B3755,[1]LifeList!$E$2:$G$2036,3)</f>
        <v>Icterus nigrogularis</v>
      </c>
      <c r="G3755" s="3" t="str">
        <f>VLOOKUP(B3755,[1]LifeList!$E$2:$I$2036,4)</f>
        <v>Passeriformes</v>
      </c>
      <c r="H3755" s="3" t="str">
        <f>VLOOKUP(B3755,[1]LifeList!$E$2:$I$2036,5)</f>
        <v>Icteridae (Troupials and Allies)</v>
      </c>
    </row>
    <row r="3756" spans="1:8" x14ac:dyDescent="0.15">
      <c r="A3756" s="3" t="s">
        <v>3723</v>
      </c>
      <c r="B3756" s="3" t="s">
        <v>5161</v>
      </c>
      <c r="C3756" s="3">
        <v>33745</v>
      </c>
      <c r="D3756" s="3" t="str">
        <f>VLOOKUP(B3756,[1]LifeList!$E$2:$G$2036,1)</f>
        <v>Yellow Oriole</v>
      </c>
      <c r="E3756" s="3" t="str">
        <f>VLOOKUP(B3756,[1]LifeList!$E$2:$G$2036,2)</f>
        <v>Oriole jaune</v>
      </c>
      <c r="F3756" s="3" t="str">
        <f>VLOOKUP(B3756,[1]LifeList!$E$2:$G$2036,3)</f>
        <v>Icterus nigrogularis</v>
      </c>
      <c r="G3756" s="3" t="str">
        <f>VLOOKUP(B3756,[1]LifeList!$E$2:$I$2036,4)</f>
        <v>Passeriformes</v>
      </c>
      <c r="H3756" s="3" t="str">
        <f>VLOOKUP(B3756,[1]LifeList!$E$2:$I$2036,5)</f>
        <v>Icteridae (Troupials and Allies)</v>
      </c>
    </row>
    <row r="3757" spans="1:8" x14ac:dyDescent="0.15">
      <c r="A3757" s="3" t="s">
        <v>3724</v>
      </c>
      <c r="B3757" s="3" t="s">
        <v>5161</v>
      </c>
      <c r="C3757" s="3">
        <v>33745</v>
      </c>
      <c r="D3757" s="3" t="str">
        <f>VLOOKUP(B3757,[1]LifeList!$E$2:$G$2036,1)</f>
        <v>Yellow Oriole</v>
      </c>
      <c r="E3757" s="3" t="str">
        <f>VLOOKUP(B3757,[1]LifeList!$E$2:$G$2036,2)</f>
        <v>Oriole jaune</v>
      </c>
      <c r="F3757" s="3" t="str">
        <f>VLOOKUP(B3757,[1]LifeList!$E$2:$G$2036,3)</f>
        <v>Icterus nigrogularis</v>
      </c>
      <c r="G3757" s="3" t="str">
        <f>VLOOKUP(B3757,[1]LifeList!$E$2:$I$2036,4)</f>
        <v>Passeriformes</v>
      </c>
      <c r="H3757" s="3" t="str">
        <f>VLOOKUP(B3757,[1]LifeList!$E$2:$I$2036,5)</f>
        <v>Icteridae (Troupials and Allies)</v>
      </c>
    </row>
    <row r="3758" spans="1:8" x14ac:dyDescent="0.15">
      <c r="A3758" s="3" t="s">
        <v>3725</v>
      </c>
      <c r="B3758" s="3" t="s">
        <v>5161</v>
      </c>
      <c r="C3758" s="3">
        <v>33745</v>
      </c>
      <c r="D3758" s="3" t="str">
        <f>VLOOKUP(B3758,[1]LifeList!$E$2:$G$2036,1)</f>
        <v>Yellow Oriole</v>
      </c>
      <c r="E3758" s="3" t="str">
        <f>VLOOKUP(B3758,[1]LifeList!$E$2:$G$2036,2)</f>
        <v>Oriole jaune</v>
      </c>
      <c r="F3758" s="3" t="str">
        <f>VLOOKUP(B3758,[1]LifeList!$E$2:$G$2036,3)</f>
        <v>Icterus nigrogularis</v>
      </c>
      <c r="G3758" s="3" t="str">
        <f>VLOOKUP(B3758,[1]LifeList!$E$2:$I$2036,4)</f>
        <v>Passeriformes</v>
      </c>
      <c r="H3758" s="3" t="str">
        <f>VLOOKUP(B3758,[1]LifeList!$E$2:$I$2036,5)</f>
        <v>Icteridae (Troupials and Allies)</v>
      </c>
    </row>
    <row r="3759" spans="1:8" x14ac:dyDescent="0.15">
      <c r="A3759" s="3" t="s">
        <v>3726</v>
      </c>
      <c r="B3759" s="3" t="s">
        <v>5162</v>
      </c>
      <c r="C3759" s="3">
        <v>17869</v>
      </c>
      <c r="D3759" s="3" t="str">
        <f>VLOOKUP(B3759,[1]LifeList!$E$2:$G$2036,1)</f>
        <v>Yellow Wattlebird</v>
      </c>
      <c r="E3759" s="3" t="str">
        <f>VLOOKUP(B3759,[1]LifeList!$E$2:$G$2036,2)</f>
        <v>Méliphage à pendeloques</v>
      </c>
      <c r="F3759" s="3" t="str">
        <f>VLOOKUP(B3759,[1]LifeList!$E$2:$G$2036,3)</f>
        <v>Anthochaera paradoxa</v>
      </c>
      <c r="G3759" s="3" t="str">
        <f>VLOOKUP(B3759,[1]LifeList!$E$2:$I$2036,4)</f>
        <v>Passeriformes</v>
      </c>
      <c r="H3759" s="3" t="str">
        <f>VLOOKUP(B3759,[1]LifeList!$E$2:$I$2036,5)</f>
        <v>Meliphagidae (Honeyeaters)</v>
      </c>
    </row>
    <row r="3760" spans="1:8" x14ac:dyDescent="0.15">
      <c r="A3760" s="3" t="s">
        <v>3727</v>
      </c>
      <c r="B3760" s="3" t="s">
        <v>5162</v>
      </c>
      <c r="C3760" s="3">
        <v>17869</v>
      </c>
      <c r="D3760" s="3" t="str">
        <f>VLOOKUP(B3760,[1]LifeList!$E$2:$G$2036,1)</f>
        <v>Yellow Wattlebird</v>
      </c>
      <c r="E3760" s="3" t="str">
        <f>VLOOKUP(B3760,[1]LifeList!$E$2:$G$2036,2)</f>
        <v>Méliphage à pendeloques</v>
      </c>
      <c r="F3760" s="3" t="str">
        <f>VLOOKUP(B3760,[1]LifeList!$E$2:$G$2036,3)</f>
        <v>Anthochaera paradoxa</v>
      </c>
      <c r="G3760" s="3" t="str">
        <f>VLOOKUP(B3760,[1]LifeList!$E$2:$I$2036,4)</f>
        <v>Passeriformes</v>
      </c>
      <c r="H3760" s="3" t="str">
        <f>VLOOKUP(B3760,[1]LifeList!$E$2:$I$2036,5)</f>
        <v>Meliphagidae (Honeyeaters)</v>
      </c>
    </row>
    <row r="3761" spans="1:8" x14ac:dyDescent="0.15">
      <c r="A3761" s="3" t="s">
        <v>3601</v>
      </c>
      <c r="B3761" s="3" t="s">
        <v>5163</v>
      </c>
      <c r="C3761" s="3">
        <v>33694</v>
      </c>
      <c r="D3761" s="3" t="str">
        <f>VLOOKUP(B3761,[1]LifeList!$E$2:$G$2036,1)</f>
        <v>Yellow-backed Oriole</v>
      </c>
      <c r="E3761" s="3" t="str">
        <f>VLOOKUP(B3761,[1]LifeList!$E$2:$G$2036,2)</f>
        <v>Oriole noir et or</v>
      </c>
      <c r="F3761" s="3" t="str">
        <f>VLOOKUP(B3761,[1]LifeList!$E$2:$G$2036,3)</f>
        <v>Icterus chrysater</v>
      </c>
      <c r="G3761" s="3" t="str">
        <f>VLOOKUP(B3761,[1]LifeList!$E$2:$I$2036,4)</f>
        <v>Passeriformes</v>
      </c>
      <c r="H3761" s="3" t="str">
        <f>VLOOKUP(B3761,[1]LifeList!$E$2:$I$2036,5)</f>
        <v>Icteridae (Troupials and Allies)</v>
      </c>
    </row>
    <row r="3762" spans="1:8" x14ac:dyDescent="0.15">
      <c r="A3762" s="3" t="s">
        <v>3602</v>
      </c>
      <c r="B3762" s="3" t="s">
        <v>5163</v>
      </c>
      <c r="C3762" s="3">
        <v>33694</v>
      </c>
      <c r="D3762" s="3" t="str">
        <f>VLOOKUP(B3762,[1]LifeList!$E$2:$G$2036,1)</f>
        <v>Yellow-backed Oriole</v>
      </c>
      <c r="E3762" s="3" t="str">
        <f>VLOOKUP(B3762,[1]LifeList!$E$2:$G$2036,2)</f>
        <v>Oriole noir et or</v>
      </c>
      <c r="F3762" s="3" t="str">
        <f>VLOOKUP(B3762,[1]LifeList!$E$2:$G$2036,3)</f>
        <v>Icterus chrysater</v>
      </c>
      <c r="G3762" s="3" t="str">
        <f>VLOOKUP(B3762,[1]LifeList!$E$2:$I$2036,4)</f>
        <v>Passeriformes</v>
      </c>
      <c r="H3762" s="3" t="str">
        <f>VLOOKUP(B3762,[1]LifeList!$E$2:$I$2036,5)</f>
        <v>Icteridae (Troupials and Allies)</v>
      </c>
    </row>
    <row r="3763" spans="1:8" x14ac:dyDescent="0.15">
      <c r="A3763" s="3" t="s">
        <v>3603</v>
      </c>
      <c r="B3763" s="3" t="s">
        <v>5163</v>
      </c>
      <c r="C3763" s="3">
        <v>33694</v>
      </c>
      <c r="D3763" s="3" t="str">
        <f>VLOOKUP(B3763,[1]LifeList!$E$2:$G$2036,1)</f>
        <v>Yellow-backed Oriole</v>
      </c>
      <c r="E3763" s="3" t="str">
        <f>VLOOKUP(B3763,[1]LifeList!$E$2:$G$2036,2)</f>
        <v>Oriole noir et or</v>
      </c>
      <c r="F3763" s="3" t="str">
        <f>VLOOKUP(B3763,[1]LifeList!$E$2:$G$2036,3)</f>
        <v>Icterus chrysater</v>
      </c>
      <c r="G3763" s="3" t="str">
        <f>VLOOKUP(B3763,[1]LifeList!$E$2:$I$2036,4)</f>
        <v>Passeriformes</v>
      </c>
      <c r="H3763" s="3" t="str">
        <f>VLOOKUP(B3763,[1]LifeList!$E$2:$I$2036,5)</f>
        <v>Icteridae (Troupials and Allies)</v>
      </c>
    </row>
    <row r="3764" spans="1:8" x14ac:dyDescent="0.15">
      <c r="A3764" s="3" t="s">
        <v>3604</v>
      </c>
      <c r="B3764" s="3" t="s">
        <v>5164</v>
      </c>
      <c r="C3764" s="3">
        <v>17181</v>
      </c>
      <c r="D3764" s="3" t="str">
        <f>VLOOKUP(B3764,[1]LifeList!$E$2:$G$2036,1)</f>
        <v>Yellow-bellied Chat-Tyrant</v>
      </c>
      <c r="E3764" s="3" t="str">
        <f>VLOOKUP(B3764,[1]LifeList!$E$2:$G$2036,2)</f>
        <v>Pitajo diadème</v>
      </c>
      <c r="F3764" s="3" t="str">
        <f>VLOOKUP(B3764,[1]LifeList!$E$2:$G$2036,3)</f>
        <v>Silvicultrix diadema</v>
      </c>
      <c r="G3764" s="3" t="str">
        <f>VLOOKUP(B3764,[1]LifeList!$E$2:$I$2036,4)</f>
        <v>Passeriformes</v>
      </c>
      <c r="H3764" s="3" t="str">
        <f>VLOOKUP(B3764,[1]LifeList!$E$2:$I$2036,5)</f>
        <v>Tyrannidae (Tyrant Flycatchers)</v>
      </c>
    </row>
    <row r="3765" spans="1:8" x14ac:dyDescent="0.15">
      <c r="A3765" s="3" t="s">
        <v>3605</v>
      </c>
      <c r="B3765" s="3" t="s">
        <v>5165</v>
      </c>
      <c r="C3765" s="3">
        <v>16698</v>
      </c>
      <c r="D3765" s="3" t="str">
        <f>VLOOKUP(B3765,[1]LifeList!$E$2:$G$2036,1)</f>
        <v>Yellow-bellied Elaenia</v>
      </c>
      <c r="E3765" s="3" t="str">
        <f>VLOOKUP(B3765,[1]LifeList!$E$2:$G$2036,2)</f>
        <v>Élénie à ventre jaune</v>
      </c>
      <c r="F3765" s="3" t="str">
        <f>VLOOKUP(B3765,[1]LifeList!$E$2:$G$2036,3)</f>
        <v>Elaenia flavogaster</v>
      </c>
      <c r="G3765" s="3" t="str">
        <f>VLOOKUP(B3765,[1]LifeList!$E$2:$I$2036,4)</f>
        <v>Passeriformes</v>
      </c>
      <c r="H3765" s="3" t="str">
        <f>VLOOKUP(B3765,[1]LifeList!$E$2:$I$2036,5)</f>
        <v>Tyrannidae (Tyrant Flycatchers)</v>
      </c>
    </row>
    <row r="3766" spans="1:8" x14ac:dyDescent="0.15">
      <c r="A3766" s="3" t="s">
        <v>3606</v>
      </c>
      <c r="B3766" s="3" t="s">
        <v>5165</v>
      </c>
      <c r="C3766" s="3">
        <v>16698</v>
      </c>
      <c r="D3766" s="3" t="str">
        <f>VLOOKUP(B3766,[1]LifeList!$E$2:$G$2036,1)</f>
        <v>Yellow-bellied Elaenia</v>
      </c>
      <c r="E3766" s="3" t="str">
        <f>VLOOKUP(B3766,[1]LifeList!$E$2:$G$2036,2)</f>
        <v>Élénie à ventre jaune</v>
      </c>
      <c r="F3766" s="3" t="str">
        <f>VLOOKUP(B3766,[1]LifeList!$E$2:$G$2036,3)</f>
        <v>Elaenia flavogaster</v>
      </c>
      <c r="G3766" s="3" t="str">
        <f>VLOOKUP(B3766,[1]LifeList!$E$2:$I$2036,4)</f>
        <v>Passeriformes</v>
      </c>
      <c r="H3766" s="3" t="str">
        <f>VLOOKUP(B3766,[1]LifeList!$E$2:$I$2036,5)</f>
        <v>Tyrannidae (Tyrant Flycatchers)</v>
      </c>
    </row>
    <row r="3767" spans="1:8" x14ac:dyDescent="0.15">
      <c r="A3767" s="3" t="s">
        <v>3607</v>
      </c>
      <c r="B3767" s="3" t="s">
        <v>5165</v>
      </c>
      <c r="C3767" s="3">
        <v>16698</v>
      </c>
      <c r="D3767" s="3" t="str">
        <f>VLOOKUP(B3767,[1]LifeList!$E$2:$G$2036,1)</f>
        <v>Yellow-bellied Elaenia</v>
      </c>
      <c r="E3767" s="3" t="str">
        <f>VLOOKUP(B3767,[1]LifeList!$E$2:$G$2036,2)</f>
        <v>Élénie à ventre jaune</v>
      </c>
      <c r="F3767" s="3" t="str">
        <f>VLOOKUP(B3767,[1]LifeList!$E$2:$G$2036,3)</f>
        <v>Elaenia flavogaster</v>
      </c>
      <c r="G3767" s="3" t="str">
        <f>VLOOKUP(B3767,[1]LifeList!$E$2:$I$2036,4)</f>
        <v>Passeriformes</v>
      </c>
      <c r="H3767" s="3" t="str">
        <f>VLOOKUP(B3767,[1]LifeList!$E$2:$I$2036,5)</f>
        <v>Tyrannidae (Tyrant Flycatchers)</v>
      </c>
    </row>
    <row r="3768" spans="1:8" x14ac:dyDescent="0.15">
      <c r="A3768" s="3" t="s">
        <v>3608</v>
      </c>
      <c r="B3768" s="3" t="s">
        <v>5165</v>
      </c>
      <c r="C3768" s="3">
        <v>16698</v>
      </c>
      <c r="D3768" s="3" t="str">
        <f>VLOOKUP(B3768,[1]LifeList!$E$2:$G$2036,1)</f>
        <v>Yellow-bellied Elaenia</v>
      </c>
      <c r="E3768" s="3" t="str">
        <f>VLOOKUP(B3768,[1]LifeList!$E$2:$G$2036,2)</f>
        <v>Élénie à ventre jaune</v>
      </c>
      <c r="F3768" s="3" t="str">
        <f>VLOOKUP(B3768,[1]LifeList!$E$2:$G$2036,3)</f>
        <v>Elaenia flavogaster</v>
      </c>
      <c r="G3768" s="3" t="str">
        <f>VLOOKUP(B3768,[1]LifeList!$E$2:$I$2036,4)</f>
        <v>Passeriformes</v>
      </c>
      <c r="H3768" s="3" t="str">
        <f>VLOOKUP(B3768,[1]LifeList!$E$2:$I$2036,5)</f>
        <v>Tyrannidae (Tyrant Flycatchers)</v>
      </c>
    </row>
    <row r="3769" spans="1:8" x14ac:dyDescent="0.15">
      <c r="A3769" s="3" t="s">
        <v>3609</v>
      </c>
      <c r="B3769" s="3" t="s">
        <v>5165</v>
      </c>
      <c r="C3769" s="3">
        <v>16698</v>
      </c>
      <c r="D3769" s="3" t="str">
        <f>VLOOKUP(B3769,[1]LifeList!$E$2:$G$2036,1)</f>
        <v>Yellow-bellied Elaenia</v>
      </c>
      <c r="E3769" s="3" t="str">
        <f>VLOOKUP(B3769,[1]LifeList!$E$2:$G$2036,2)</f>
        <v>Élénie à ventre jaune</v>
      </c>
      <c r="F3769" s="3" t="str">
        <f>VLOOKUP(B3769,[1]LifeList!$E$2:$G$2036,3)</f>
        <v>Elaenia flavogaster</v>
      </c>
      <c r="G3769" s="3" t="str">
        <f>VLOOKUP(B3769,[1]LifeList!$E$2:$I$2036,4)</f>
        <v>Passeriformes</v>
      </c>
      <c r="H3769" s="3" t="str">
        <f>VLOOKUP(B3769,[1]LifeList!$E$2:$I$2036,5)</f>
        <v>Tyrannidae (Tyrant Flycatchers)</v>
      </c>
    </row>
    <row r="3770" spans="1:8" x14ac:dyDescent="0.15">
      <c r="A3770" s="3" t="s">
        <v>3610</v>
      </c>
      <c r="B3770" s="3" t="s">
        <v>5165</v>
      </c>
      <c r="C3770" s="3">
        <v>16698</v>
      </c>
      <c r="D3770" s="3" t="str">
        <f>VLOOKUP(B3770,[1]LifeList!$E$2:$G$2036,1)</f>
        <v>Yellow-bellied Elaenia</v>
      </c>
      <c r="E3770" s="3" t="str">
        <f>VLOOKUP(B3770,[1]LifeList!$E$2:$G$2036,2)</f>
        <v>Élénie à ventre jaune</v>
      </c>
      <c r="F3770" s="3" t="str">
        <f>VLOOKUP(B3770,[1]LifeList!$E$2:$G$2036,3)</f>
        <v>Elaenia flavogaster</v>
      </c>
      <c r="G3770" s="3" t="str">
        <f>VLOOKUP(B3770,[1]LifeList!$E$2:$I$2036,4)</f>
        <v>Passeriformes</v>
      </c>
      <c r="H3770" s="3" t="str">
        <f>VLOOKUP(B3770,[1]LifeList!$E$2:$I$2036,5)</f>
        <v>Tyrannidae (Tyrant Flycatchers)</v>
      </c>
    </row>
    <row r="3771" spans="1:8" x14ac:dyDescent="0.15">
      <c r="A3771" s="3" t="s">
        <v>3611</v>
      </c>
      <c r="B3771" s="3" t="s">
        <v>5165</v>
      </c>
      <c r="C3771" s="3">
        <v>16698</v>
      </c>
      <c r="D3771" s="3" t="str">
        <f>VLOOKUP(B3771,[1]LifeList!$E$2:$G$2036,1)</f>
        <v>Yellow-bellied Elaenia</v>
      </c>
      <c r="E3771" s="3" t="str">
        <f>VLOOKUP(B3771,[1]LifeList!$E$2:$G$2036,2)</f>
        <v>Élénie à ventre jaune</v>
      </c>
      <c r="F3771" s="3" t="str">
        <f>VLOOKUP(B3771,[1]LifeList!$E$2:$G$2036,3)</f>
        <v>Elaenia flavogaster</v>
      </c>
      <c r="G3771" s="3" t="str">
        <f>VLOOKUP(B3771,[1]LifeList!$E$2:$I$2036,4)</f>
        <v>Passeriformes</v>
      </c>
      <c r="H3771" s="3" t="str">
        <f>VLOOKUP(B3771,[1]LifeList!$E$2:$I$2036,5)</f>
        <v>Tyrannidae (Tyrant Flycatchers)</v>
      </c>
    </row>
    <row r="3772" spans="1:8" x14ac:dyDescent="0.15">
      <c r="A3772" s="3" t="s">
        <v>3612</v>
      </c>
      <c r="B3772" s="3" t="s">
        <v>5166</v>
      </c>
      <c r="C3772" s="3">
        <v>16949</v>
      </c>
      <c r="D3772" s="3" t="str">
        <f>VLOOKUP(B3772,[1]LifeList!$E$2:$G$2036,1)</f>
        <v>Yellow-bellied Flycatcher</v>
      </c>
      <c r="E3772" s="3" t="str">
        <f>VLOOKUP(B3772,[1]LifeList!$E$2:$G$2036,2)</f>
        <v>Moucherolle à ventre jaune</v>
      </c>
      <c r="F3772" s="3" t="str">
        <f>VLOOKUP(B3772,[1]LifeList!$E$2:$G$2036,3)</f>
        <v>Empidonax flaviventris</v>
      </c>
      <c r="G3772" s="3" t="str">
        <f>VLOOKUP(B3772,[1]LifeList!$E$2:$I$2036,4)</f>
        <v>Passeriformes</v>
      </c>
      <c r="H3772" s="3" t="str">
        <f>VLOOKUP(B3772,[1]LifeList!$E$2:$I$2036,5)</f>
        <v>Tyrannidae (Tyrant Flycatchers)</v>
      </c>
    </row>
    <row r="3773" spans="1:8" x14ac:dyDescent="0.15">
      <c r="A3773" s="3" t="s">
        <v>3613</v>
      </c>
      <c r="B3773" s="3" t="s">
        <v>5166</v>
      </c>
      <c r="C3773" s="3">
        <v>16949</v>
      </c>
      <c r="D3773" s="3" t="str">
        <f>VLOOKUP(B3773,[1]LifeList!$E$2:$G$2036,1)</f>
        <v>Yellow-bellied Flycatcher</v>
      </c>
      <c r="E3773" s="3" t="str">
        <f>VLOOKUP(B3773,[1]LifeList!$E$2:$G$2036,2)</f>
        <v>Moucherolle à ventre jaune</v>
      </c>
      <c r="F3773" s="3" t="str">
        <f>VLOOKUP(B3773,[1]LifeList!$E$2:$G$2036,3)</f>
        <v>Empidonax flaviventris</v>
      </c>
      <c r="G3773" s="3" t="str">
        <f>VLOOKUP(B3773,[1]LifeList!$E$2:$I$2036,4)</f>
        <v>Passeriformes</v>
      </c>
      <c r="H3773" s="3" t="str">
        <f>VLOOKUP(B3773,[1]LifeList!$E$2:$I$2036,5)</f>
        <v>Tyrannidae (Tyrant Flycatchers)</v>
      </c>
    </row>
    <row r="3774" spans="1:8" x14ac:dyDescent="0.15">
      <c r="A3774" s="3" t="s">
        <v>3614</v>
      </c>
      <c r="B3774" s="3" t="s">
        <v>5167</v>
      </c>
      <c r="C3774" s="3">
        <v>11126</v>
      </c>
      <c r="D3774" s="3" t="str">
        <f>VLOOKUP(B3774,[1]LifeList!$E$2:$G$2036,1)</f>
        <v>Yellow-bellied Sapsucker</v>
      </c>
      <c r="E3774" s="3" t="str">
        <f>VLOOKUP(B3774,[1]LifeList!$E$2:$G$2036,2)</f>
        <v>Pic maculé</v>
      </c>
      <c r="F3774" s="3" t="str">
        <f>VLOOKUP(B3774,[1]LifeList!$E$2:$G$2036,3)</f>
        <v>Sphyrapicus varius</v>
      </c>
      <c r="G3774" s="3" t="str">
        <f>VLOOKUP(B3774,[1]LifeList!$E$2:$I$2036,4)</f>
        <v>Piciformes</v>
      </c>
      <c r="H3774" s="3" t="str">
        <f>VLOOKUP(B3774,[1]LifeList!$E$2:$I$2036,5)</f>
        <v>Picidae (Woodpeckers)</v>
      </c>
    </row>
    <row r="3775" spans="1:8" x14ac:dyDescent="0.15">
      <c r="A3775" s="3" t="s">
        <v>3615</v>
      </c>
      <c r="B3775" s="3" t="s">
        <v>5167</v>
      </c>
      <c r="C3775" s="3">
        <v>11126</v>
      </c>
      <c r="D3775" s="3" t="str">
        <f>VLOOKUP(B3775,[1]LifeList!$E$2:$G$2036,1)</f>
        <v>Yellow-bellied Sapsucker</v>
      </c>
      <c r="E3775" s="3" t="str">
        <f>VLOOKUP(B3775,[1]LifeList!$E$2:$G$2036,2)</f>
        <v>Pic maculé</v>
      </c>
      <c r="F3775" s="3" t="str">
        <f>VLOOKUP(B3775,[1]LifeList!$E$2:$G$2036,3)</f>
        <v>Sphyrapicus varius</v>
      </c>
      <c r="G3775" s="3" t="str">
        <f>VLOOKUP(B3775,[1]LifeList!$E$2:$I$2036,4)</f>
        <v>Piciformes</v>
      </c>
      <c r="H3775" s="3" t="str">
        <f>VLOOKUP(B3775,[1]LifeList!$E$2:$I$2036,5)</f>
        <v>Picidae (Woodpeckers)</v>
      </c>
    </row>
    <row r="3776" spans="1:8" x14ac:dyDescent="0.15">
      <c r="A3776" s="3" t="s">
        <v>3616</v>
      </c>
      <c r="B3776" s="3" t="s">
        <v>5167</v>
      </c>
      <c r="C3776" s="3">
        <v>11126</v>
      </c>
      <c r="D3776" s="3" t="str">
        <f>VLOOKUP(B3776,[1]LifeList!$E$2:$G$2036,1)</f>
        <v>Yellow-bellied Sapsucker</v>
      </c>
      <c r="E3776" s="3" t="str">
        <f>VLOOKUP(B3776,[1]LifeList!$E$2:$G$2036,2)</f>
        <v>Pic maculé</v>
      </c>
      <c r="F3776" s="3" t="str">
        <f>VLOOKUP(B3776,[1]LifeList!$E$2:$G$2036,3)</f>
        <v>Sphyrapicus varius</v>
      </c>
      <c r="G3776" s="3" t="str">
        <f>VLOOKUP(B3776,[1]LifeList!$E$2:$I$2036,4)</f>
        <v>Piciformes</v>
      </c>
      <c r="H3776" s="3" t="str">
        <f>VLOOKUP(B3776,[1]LifeList!$E$2:$I$2036,5)</f>
        <v>Picidae (Woodpeckers)</v>
      </c>
    </row>
    <row r="3777" spans="1:8" x14ac:dyDescent="0.15">
      <c r="A3777" s="3" t="s">
        <v>3617</v>
      </c>
      <c r="B3777" s="3" t="s">
        <v>5167</v>
      </c>
      <c r="C3777" s="3">
        <v>11126</v>
      </c>
      <c r="D3777" s="3" t="str">
        <f>VLOOKUP(B3777,[1]LifeList!$E$2:$G$2036,1)</f>
        <v>Yellow-bellied Sapsucker</v>
      </c>
      <c r="E3777" s="3" t="str">
        <f>VLOOKUP(B3777,[1]LifeList!$E$2:$G$2036,2)</f>
        <v>Pic maculé</v>
      </c>
      <c r="F3777" s="3" t="str">
        <f>VLOOKUP(B3777,[1]LifeList!$E$2:$G$2036,3)</f>
        <v>Sphyrapicus varius</v>
      </c>
      <c r="G3777" s="3" t="str">
        <f>VLOOKUP(B3777,[1]LifeList!$E$2:$I$2036,4)</f>
        <v>Piciformes</v>
      </c>
      <c r="H3777" s="3" t="str">
        <f>VLOOKUP(B3777,[1]LifeList!$E$2:$I$2036,5)</f>
        <v>Picidae (Woodpeckers)</v>
      </c>
    </row>
    <row r="3778" spans="1:8" x14ac:dyDescent="0.15">
      <c r="A3778" s="3" t="s">
        <v>3618</v>
      </c>
      <c r="B3778" s="3" t="s">
        <v>5167</v>
      </c>
      <c r="C3778" s="3">
        <v>11126</v>
      </c>
      <c r="D3778" s="3" t="str">
        <f>VLOOKUP(B3778,[1]LifeList!$E$2:$G$2036,1)</f>
        <v>Yellow-bellied Sapsucker</v>
      </c>
      <c r="E3778" s="3" t="str">
        <f>VLOOKUP(B3778,[1]LifeList!$E$2:$G$2036,2)</f>
        <v>Pic maculé</v>
      </c>
      <c r="F3778" s="3" t="str">
        <f>VLOOKUP(B3778,[1]LifeList!$E$2:$G$2036,3)</f>
        <v>Sphyrapicus varius</v>
      </c>
      <c r="G3778" s="3" t="str">
        <f>VLOOKUP(B3778,[1]LifeList!$E$2:$I$2036,4)</f>
        <v>Piciformes</v>
      </c>
      <c r="H3778" s="3" t="str">
        <f>VLOOKUP(B3778,[1]LifeList!$E$2:$I$2036,5)</f>
        <v>Picidae (Woodpeckers)</v>
      </c>
    </row>
    <row r="3779" spans="1:8" x14ac:dyDescent="0.15">
      <c r="A3779" s="3" t="s">
        <v>3619</v>
      </c>
      <c r="B3779" s="3" t="s">
        <v>5167</v>
      </c>
      <c r="C3779" s="3">
        <v>11126</v>
      </c>
      <c r="D3779" s="3" t="str">
        <f>VLOOKUP(B3779,[1]LifeList!$E$2:$G$2036,1)</f>
        <v>Yellow-bellied Sapsucker</v>
      </c>
      <c r="E3779" s="3" t="str">
        <f>VLOOKUP(B3779,[1]LifeList!$E$2:$G$2036,2)</f>
        <v>Pic maculé</v>
      </c>
      <c r="F3779" s="3" t="str">
        <f>VLOOKUP(B3779,[1]LifeList!$E$2:$G$2036,3)</f>
        <v>Sphyrapicus varius</v>
      </c>
      <c r="G3779" s="3" t="str">
        <f>VLOOKUP(B3779,[1]LifeList!$E$2:$I$2036,4)</f>
        <v>Piciformes</v>
      </c>
      <c r="H3779" s="3" t="str">
        <f>VLOOKUP(B3779,[1]LifeList!$E$2:$I$2036,5)</f>
        <v>Picidae (Woodpeckers)</v>
      </c>
    </row>
    <row r="3780" spans="1:8" x14ac:dyDescent="0.15">
      <c r="A3780" s="3" t="s">
        <v>3620</v>
      </c>
      <c r="B3780" s="3" t="s">
        <v>5167</v>
      </c>
      <c r="C3780" s="3">
        <v>11126</v>
      </c>
      <c r="D3780" s="3" t="str">
        <f>VLOOKUP(B3780,[1]LifeList!$E$2:$G$2036,1)</f>
        <v>Yellow-bellied Sapsucker</v>
      </c>
      <c r="E3780" s="3" t="str">
        <f>VLOOKUP(B3780,[1]LifeList!$E$2:$G$2036,2)</f>
        <v>Pic maculé</v>
      </c>
      <c r="F3780" s="3" t="str">
        <f>VLOOKUP(B3780,[1]LifeList!$E$2:$G$2036,3)</f>
        <v>Sphyrapicus varius</v>
      </c>
      <c r="G3780" s="3" t="str">
        <f>VLOOKUP(B3780,[1]LifeList!$E$2:$I$2036,4)</f>
        <v>Piciformes</v>
      </c>
      <c r="H3780" s="3" t="str">
        <f>VLOOKUP(B3780,[1]LifeList!$E$2:$I$2036,5)</f>
        <v>Picidae (Woodpeckers)</v>
      </c>
    </row>
    <row r="3781" spans="1:8" x14ac:dyDescent="0.15">
      <c r="A3781" s="3" t="s">
        <v>3621</v>
      </c>
      <c r="B3781" s="3" t="s">
        <v>5167</v>
      </c>
      <c r="C3781" s="3">
        <v>11126</v>
      </c>
      <c r="D3781" s="3" t="str">
        <f>VLOOKUP(B3781,[1]LifeList!$E$2:$G$2036,1)</f>
        <v>Yellow-bellied Sapsucker</v>
      </c>
      <c r="E3781" s="3" t="str">
        <f>VLOOKUP(B3781,[1]LifeList!$E$2:$G$2036,2)</f>
        <v>Pic maculé</v>
      </c>
      <c r="F3781" s="3" t="str">
        <f>VLOOKUP(B3781,[1]LifeList!$E$2:$G$2036,3)</f>
        <v>Sphyrapicus varius</v>
      </c>
      <c r="G3781" s="3" t="str">
        <f>VLOOKUP(B3781,[1]LifeList!$E$2:$I$2036,4)</f>
        <v>Piciformes</v>
      </c>
      <c r="H3781" s="3" t="str">
        <f>VLOOKUP(B3781,[1]LifeList!$E$2:$I$2036,5)</f>
        <v>Picidae (Woodpeckers)</v>
      </c>
    </row>
    <row r="3782" spans="1:8" x14ac:dyDescent="0.15">
      <c r="A3782" s="3" t="s">
        <v>3622</v>
      </c>
      <c r="B3782" s="3" t="s">
        <v>5167</v>
      </c>
      <c r="C3782" s="3">
        <v>11126</v>
      </c>
      <c r="D3782" s="3" t="str">
        <f>VLOOKUP(B3782,[1]LifeList!$E$2:$G$2036,1)</f>
        <v>Yellow-bellied Sapsucker</v>
      </c>
      <c r="E3782" s="3" t="str">
        <f>VLOOKUP(B3782,[1]LifeList!$E$2:$G$2036,2)</f>
        <v>Pic maculé</v>
      </c>
      <c r="F3782" s="3" t="str">
        <f>VLOOKUP(B3782,[1]LifeList!$E$2:$G$2036,3)</f>
        <v>Sphyrapicus varius</v>
      </c>
      <c r="G3782" s="3" t="str">
        <f>VLOOKUP(B3782,[1]LifeList!$E$2:$I$2036,4)</f>
        <v>Piciformes</v>
      </c>
      <c r="H3782" s="3" t="str">
        <f>VLOOKUP(B3782,[1]LifeList!$E$2:$I$2036,5)</f>
        <v>Picidae (Woodpeckers)</v>
      </c>
    </row>
    <row r="3783" spans="1:8" x14ac:dyDescent="0.15">
      <c r="A3783" s="3" t="s">
        <v>3953</v>
      </c>
      <c r="B3783" s="3" t="s">
        <v>5167</v>
      </c>
      <c r="C3783" s="3">
        <v>11126</v>
      </c>
      <c r="D3783" s="3" t="str">
        <f>VLOOKUP(B3783,[1]LifeList!$E$2:$G$2036,1)</f>
        <v>Yellow-bellied Sapsucker</v>
      </c>
      <c r="E3783" s="3" t="str">
        <f>VLOOKUP(B3783,[1]LifeList!$E$2:$G$2036,2)</f>
        <v>Pic maculé</v>
      </c>
      <c r="F3783" s="3" t="str">
        <f>VLOOKUP(B3783,[1]LifeList!$E$2:$G$2036,3)</f>
        <v>Sphyrapicus varius</v>
      </c>
      <c r="G3783" s="3" t="str">
        <f>VLOOKUP(B3783,[1]LifeList!$E$2:$I$2036,4)</f>
        <v>Piciformes</v>
      </c>
      <c r="H3783" s="3" t="str">
        <f>VLOOKUP(B3783,[1]LifeList!$E$2:$I$2036,5)</f>
        <v>Picidae (Woodpeckers)</v>
      </c>
    </row>
    <row r="3784" spans="1:8" x14ac:dyDescent="0.15">
      <c r="A3784" s="3" t="s">
        <v>3623</v>
      </c>
      <c r="B3784" s="3" t="s">
        <v>5168</v>
      </c>
      <c r="C3784" s="3">
        <v>35583</v>
      </c>
      <c r="D3784" s="3" t="str">
        <f>VLOOKUP(B3784,[1]LifeList!$E$2:$G$2036,1)</f>
        <v>Yellow-bellied Seedeater</v>
      </c>
      <c r="E3784" s="3" t="str">
        <f>VLOOKUP(B3784,[1]LifeList!$E$2:$G$2036,2)</f>
        <v>Sporophile à ventre jaune</v>
      </c>
      <c r="F3784" s="3" t="str">
        <f>VLOOKUP(B3784,[1]LifeList!$E$2:$G$2036,3)</f>
        <v>Sporophila nigricollis</v>
      </c>
      <c r="G3784" s="3" t="str">
        <f>VLOOKUP(B3784,[1]LifeList!$E$2:$I$2036,4)</f>
        <v>Passeriformes</v>
      </c>
      <c r="H3784" s="3" t="str">
        <f>VLOOKUP(B3784,[1]LifeList!$E$2:$I$2036,5)</f>
        <v>Thraupidae (Tanagers and Allies)</v>
      </c>
    </row>
    <row r="3785" spans="1:8" x14ac:dyDescent="0.15">
      <c r="A3785" s="3" t="s">
        <v>3624</v>
      </c>
      <c r="B3785" s="3" t="s">
        <v>5169</v>
      </c>
      <c r="C3785" s="3">
        <v>32631</v>
      </c>
      <c r="D3785" s="3" t="str">
        <f>VLOOKUP(B3785,[1]LifeList!$E$2:$G$2036,1)</f>
        <v>Yellow-bellied Siskin</v>
      </c>
      <c r="E3785" s="3" t="str">
        <f>VLOOKUP(B3785,[1]LifeList!$E$2:$G$2036,2)</f>
        <v>Tarin à ventre jaune</v>
      </c>
      <c r="F3785" s="3" t="str">
        <f>VLOOKUP(B3785,[1]LifeList!$E$2:$G$2036,3)</f>
        <v>Spinus xanthogastrus</v>
      </c>
      <c r="G3785" s="3" t="str">
        <f>VLOOKUP(B3785,[1]LifeList!$E$2:$I$2036,4)</f>
        <v>Passeriformes</v>
      </c>
      <c r="H3785" s="3" t="str">
        <f>VLOOKUP(B3785,[1]LifeList!$E$2:$I$2036,5)</f>
        <v>Fringillidae (Finches, Euphonias, and Allies)</v>
      </c>
    </row>
    <row r="3786" spans="1:8" x14ac:dyDescent="0.15">
      <c r="A3786" s="3" t="s">
        <v>3625</v>
      </c>
      <c r="B3786" s="3" t="s">
        <v>5170</v>
      </c>
      <c r="C3786" s="3">
        <v>33607</v>
      </c>
      <c r="D3786" s="3" t="str">
        <f>VLOOKUP(B3786,[1]LifeList!$E$2:$G$2036,1)</f>
        <v>Yellow-billed Cacique</v>
      </c>
      <c r="E3786" s="3" t="str">
        <f>VLOOKUP(B3786,[1]LifeList!$E$2:$G$2036,2)</f>
        <v>Cassique à bec jaune</v>
      </c>
      <c r="F3786" s="3" t="str">
        <f>VLOOKUP(B3786,[1]LifeList!$E$2:$G$2036,3)</f>
        <v>Amblycercus holosericeus</v>
      </c>
      <c r="G3786" s="3" t="str">
        <f>VLOOKUP(B3786,[1]LifeList!$E$2:$I$2036,4)</f>
        <v>Passeriformes</v>
      </c>
      <c r="H3786" s="3" t="str">
        <f>VLOOKUP(B3786,[1]LifeList!$E$2:$I$2036,5)</f>
        <v>Icteridae (Troupials and Allies)</v>
      </c>
    </row>
    <row r="3787" spans="1:8" x14ac:dyDescent="0.15">
      <c r="A3787" s="3" t="s">
        <v>3626</v>
      </c>
      <c r="B3787" s="3" t="s">
        <v>5170</v>
      </c>
      <c r="C3787" s="3">
        <v>33607</v>
      </c>
      <c r="D3787" s="3" t="str">
        <f>VLOOKUP(B3787,[1]LifeList!$E$2:$G$2036,1)</f>
        <v>Yellow-billed Cacique</v>
      </c>
      <c r="E3787" s="3" t="str">
        <f>VLOOKUP(B3787,[1]LifeList!$E$2:$G$2036,2)</f>
        <v>Cassique à bec jaune</v>
      </c>
      <c r="F3787" s="3" t="str">
        <f>VLOOKUP(B3787,[1]LifeList!$E$2:$G$2036,3)</f>
        <v>Amblycercus holosericeus</v>
      </c>
      <c r="G3787" s="3" t="str">
        <f>VLOOKUP(B3787,[1]LifeList!$E$2:$I$2036,4)</f>
        <v>Passeriformes</v>
      </c>
      <c r="H3787" s="3" t="str">
        <f>VLOOKUP(B3787,[1]LifeList!$E$2:$I$2036,5)</f>
        <v>Icteridae (Troupials and Allies)</v>
      </c>
    </row>
    <row r="3788" spans="1:8" x14ac:dyDescent="0.15">
      <c r="A3788" s="3" t="s">
        <v>3627</v>
      </c>
      <c r="B3788" s="3" t="s">
        <v>5171</v>
      </c>
      <c r="C3788" s="3">
        <v>34643</v>
      </c>
      <c r="D3788" s="3" t="str">
        <f>VLOOKUP(B3788,[1]LifeList!$E$2:$G$2036,1)</f>
        <v>Yellow-billed Cardinal</v>
      </c>
      <c r="E3788" s="3" t="str">
        <f>VLOOKUP(B3788,[1]LifeList!$E$2:$G$2036,2)</f>
        <v>Paroare à bec jaune</v>
      </c>
      <c r="F3788" s="3" t="str">
        <f>VLOOKUP(B3788,[1]LifeList!$E$2:$G$2036,3)</f>
        <v>Paroaria capitata</v>
      </c>
      <c r="G3788" s="3" t="str">
        <f>VLOOKUP(B3788,[1]LifeList!$E$2:$I$2036,4)</f>
        <v>Passeriformes</v>
      </c>
      <c r="H3788" s="3" t="str">
        <f>VLOOKUP(B3788,[1]LifeList!$E$2:$I$2036,5)</f>
        <v>Thraupidae (Tanagers and Allies)</v>
      </c>
    </row>
    <row r="3789" spans="1:8" x14ac:dyDescent="0.15">
      <c r="A3789" s="3" t="s">
        <v>3628</v>
      </c>
      <c r="B3789" s="3" t="s">
        <v>5172</v>
      </c>
      <c r="C3789" s="3">
        <v>3238</v>
      </c>
      <c r="D3789" s="3" t="str">
        <f>VLOOKUP(B3789,[1]LifeList!$E$2:$G$2036,1)</f>
        <v>Yellow-billed Cuckoo</v>
      </c>
      <c r="E3789" s="3" t="str">
        <f>VLOOKUP(B3789,[1]LifeList!$E$2:$G$2036,2)</f>
        <v>Coulicou à bec jaune</v>
      </c>
      <c r="F3789" s="3" t="str">
        <f>VLOOKUP(B3789,[1]LifeList!$E$2:$G$2036,3)</f>
        <v>Coccyzus americanus</v>
      </c>
      <c r="G3789" s="3" t="str">
        <f>VLOOKUP(B3789,[1]LifeList!$E$2:$I$2036,4)</f>
        <v>Cuculiformes</v>
      </c>
      <c r="H3789" s="3" t="str">
        <f>VLOOKUP(B3789,[1]LifeList!$E$2:$I$2036,5)</f>
        <v>Cuculidae (Cuckoos)</v>
      </c>
    </row>
    <row r="3790" spans="1:8" x14ac:dyDescent="0.15">
      <c r="A3790" s="3" t="s">
        <v>3629</v>
      </c>
      <c r="B3790" s="3" t="s">
        <v>5172</v>
      </c>
      <c r="C3790" s="3">
        <v>3238</v>
      </c>
      <c r="D3790" s="3" t="str">
        <f>VLOOKUP(B3790,[1]LifeList!$E$2:$G$2036,1)</f>
        <v>Yellow-billed Cuckoo</v>
      </c>
      <c r="E3790" s="3" t="str">
        <f>VLOOKUP(B3790,[1]LifeList!$E$2:$G$2036,2)</f>
        <v>Coulicou à bec jaune</v>
      </c>
      <c r="F3790" s="3" t="str">
        <f>VLOOKUP(B3790,[1]LifeList!$E$2:$G$2036,3)</f>
        <v>Coccyzus americanus</v>
      </c>
      <c r="G3790" s="3" t="str">
        <f>VLOOKUP(B3790,[1]LifeList!$E$2:$I$2036,4)</f>
        <v>Cuculiformes</v>
      </c>
      <c r="H3790" s="3" t="str">
        <f>VLOOKUP(B3790,[1]LifeList!$E$2:$I$2036,5)</f>
        <v>Cuculidae (Cuckoos)</v>
      </c>
    </row>
    <row r="3791" spans="1:8" x14ac:dyDescent="0.15">
      <c r="A3791" s="3" t="s">
        <v>3630</v>
      </c>
      <c r="B3791" s="3" t="s">
        <v>5173</v>
      </c>
      <c r="C3791" s="3">
        <v>7532</v>
      </c>
      <c r="D3791" s="3" t="str">
        <f>VLOOKUP(B3791,[1]LifeList!$E$2:$G$2036,1)</f>
        <v>Yellow-billed Spoonbill</v>
      </c>
      <c r="E3791" s="3" t="str">
        <f>VLOOKUP(B3791,[1]LifeList!$E$2:$G$2036,2)</f>
        <v>Spatule à bec jaune</v>
      </c>
      <c r="F3791" s="3" t="str">
        <f>VLOOKUP(B3791,[1]LifeList!$E$2:$G$2036,3)</f>
        <v>Platalea flavipes</v>
      </c>
      <c r="G3791" s="3" t="str">
        <f>VLOOKUP(B3791,[1]LifeList!$E$2:$I$2036,4)</f>
        <v>Pelecaniformes</v>
      </c>
      <c r="H3791" s="3" t="str">
        <f>VLOOKUP(B3791,[1]LifeList!$E$2:$I$2036,5)</f>
        <v>Threskiornithidae (Ibises and Spoonbills)</v>
      </c>
    </row>
    <row r="3792" spans="1:8" x14ac:dyDescent="0.15">
      <c r="A3792" s="3" t="s">
        <v>3631</v>
      </c>
      <c r="B3792" s="3" t="s">
        <v>5173</v>
      </c>
      <c r="C3792" s="3">
        <v>7532</v>
      </c>
      <c r="D3792" s="3" t="str">
        <f>VLOOKUP(B3792,[1]LifeList!$E$2:$G$2036,1)</f>
        <v>Yellow-billed Spoonbill</v>
      </c>
      <c r="E3792" s="3" t="str">
        <f>VLOOKUP(B3792,[1]LifeList!$E$2:$G$2036,2)</f>
        <v>Spatule à bec jaune</v>
      </c>
      <c r="F3792" s="3" t="str">
        <f>VLOOKUP(B3792,[1]LifeList!$E$2:$G$2036,3)</f>
        <v>Platalea flavipes</v>
      </c>
      <c r="G3792" s="3" t="str">
        <f>VLOOKUP(B3792,[1]LifeList!$E$2:$I$2036,4)</f>
        <v>Pelecaniformes</v>
      </c>
      <c r="H3792" s="3" t="str">
        <f>VLOOKUP(B3792,[1]LifeList!$E$2:$I$2036,5)</f>
        <v>Threskiornithidae (Ibises and Spoonbills)</v>
      </c>
    </row>
    <row r="3793" spans="1:8" x14ac:dyDescent="0.15">
      <c r="A3793" s="3" t="s">
        <v>3632</v>
      </c>
      <c r="B3793" s="3" t="s">
        <v>5174</v>
      </c>
      <c r="C3793" s="3">
        <v>7308</v>
      </c>
      <c r="D3793" s="3" t="str">
        <f>VLOOKUP(B3793,[1]LifeList!$E$2:$G$2036,1)</f>
        <v>Yellow-billed Stork</v>
      </c>
      <c r="E3793" s="3" t="str">
        <f>VLOOKUP(B3793,[1]LifeList!$E$2:$G$2036,2)</f>
        <v>Tantale ibis</v>
      </c>
      <c r="F3793" s="3" t="str">
        <f>VLOOKUP(B3793,[1]LifeList!$E$2:$G$2036,3)</f>
        <v>Mycteria ibis</v>
      </c>
      <c r="G3793" s="3" t="str">
        <f>VLOOKUP(B3793,[1]LifeList!$E$2:$I$2036,4)</f>
        <v>Ciconiiformes</v>
      </c>
      <c r="H3793" s="3" t="str">
        <f>VLOOKUP(B3793,[1]LifeList!$E$2:$I$2036,5)</f>
        <v>Ciconiidae (Storks)</v>
      </c>
    </row>
    <row r="3794" spans="1:8" x14ac:dyDescent="0.15">
      <c r="A3794" s="3" t="s">
        <v>3633</v>
      </c>
      <c r="B3794" s="3" t="s">
        <v>5174</v>
      </c>
      <c r="C3794" s="3">
        <v>7308</v>
      </c>
      <c r="D3794" s="3" t="str">
        <f>VLOOKUP(B3794,[1]LifeList!$E$2:$G$2036,1)</f>
        <v>Yellow-billed Stork</v>
      </c>
      <c r="E3794" s="3" t="str">
        <f>VLOOKUP(B3794,[1]LifeList!$E$2:$G$2036,2)</f>
        <v>Tantale ibis</v>
      </c>
      <c r="F3794" s="3" t="str">
        <f>VLOOKUP(B3794,[1]LifeList!$E$2:$G$2036,3)</f>
        <v>Mycteria ibis</v>
      </c>
      <c r="G3794" s="3" t="str">
        <f>VLOOKUP(B3794,[1]LifeList!$E$2:$I$2036,4)</f>
        <v>Ciconiiformes</v>
      </c>
      <c r="H3794" s="3" t="str">
        <f>VLOOKUP(B3794,[1]LifeList!$E$2:$I$2036,5)</f>
        <v>Ciconiidae (Storks)</v>
      </c>
    </row>
    <row r="3795" spans="1:8" x14ac:dyDescent="0.15">
      <c r="A3795" s="3" t="s">
        <v>3634</v>
      </c>
      <c r="B3795" s="3" t="s">
        <v>5175</v>
      </c>
      <c r="C3795" s="3">
        <v>33559</v>
      </c>
      <c r="D3795" s="3" t="str">
        <f>VLOOKUP(B3795,[1]LifeList!$E$2:$G$2036,1)</f>
        <v>Yellow-breasted Chat</v>
      </c>
      <c r="E3795" s="3" t="str">
        <f>VLOOKUP(B3795,[1]LifeList!$E$2:$G$2036,2)</f>
        <v>Ictérie polyglotte</v>
      </c>
      <c r="F3795" s="3" t="str">
        <f>VLOOKUP(B3795,[1]LifeList!$E$2:$G$2036,3)</f>
        <v>Icteria virens</v>
      </c>
      <c r="G3795" s="3" t="str">
        <f>VLOOKUP(B3795,[1]LifeList!$E$2:$I$2036,4)</f>
        <v>Passeriformes</v>
      </c>
      <c r="H3795" s="3" t="str">
        <f>VLOOKUP(B3795,[1]LifeList!$E$2:$I$2036,5)</f>
        <v>Icteriidae (Yellow-breasted Chat)</v>
      </c>
    </row>
    <row r="3796" spans="1:8" x14ac:dyDescent="0.15">
      <c r="A3796" s="3" t="s">
        <v>3635</v>
      </c>
      <c r="B3796" s="3" t="s">
        <v>5176</v>
      </c>
      <c r="C3796" s="3">
        <v>5631</v>
      </c>
      <c r="D3796" s="3" t="str">
        <f>VLOOKUP(B3796,[1]LifeList!$E$2:$G$2036,1)</f>
        <v>Yellow-breasted Crake</v>
      </c>
      <c r="E3796" s="3" t="str">
        <f>VLOOKUP(B3796,[1]LifeList!$E$2:$G$2036,2)</f>
        <v>Râle à sourcils blancs</v>
      </c>
      <c r="F3796" s="3" t="str">
        <f>VLOOKUP(B3796,[1]LifeList!$E$2:$G$2036,3)</f>
        <v>Laterallus flaviventer</v>
      </c>
      <c r="G3796" s="3" t="str">
        <f>VLOOKUP(B3796,[1]LifeList!$E$2:$I$2036,4)</f>
        <v>Gruiformes</v>
      </c>
      <c r="H3796" s="3" t="str">
        <f>VLOOKUP(B3796,[1]LifeList!$E$2:$I$2036,5)</f>
        <v>Rallidae (Rails, Gallinules, and Coots)</v>
      </c>
    </row>
    <row r="3797" spans="1:8" x14ac:dyDescent="0.15">
      <c r="A3797" s="3" t="s">
        <v>3636</v>
      </c>
      <c r="B3797" s="3" t="s">
        <v>5176</v>
      </c>
      <c r="C3797" s="3">
        <v>5631</v>
      </c>
      <c r="D3797" s="3" t="str">
        <f>VLOOKUP(B3797,[1]LifeList!$E$2:$G$2036,1)</f>
        <v>Yellow-breasted Crake</v>
      </c>
      <c r="E3797" s="3" t="str">
        <f>VLOOKUP(B3797,[1]LifeList!$E$2:$G$2036,2)</f>
        <v>Râle à sourcils blancs</v>
      </c>
      <c r="F3797" s="3" t="str">
        <f>VLOOKUP(B3797,[1]LifeList!$E$2:$G$2036,3)</f>
        <v>Laterallus flaviventer</v>
      </c>
      <c r="G3797" s="3" t="str">
        <f>VLOOKUP(B3797,[1]LifeList!$E$2:$I$2036,4)</f>
        <v>Gruiformes</v>
      </c>
      <c r="H3797" s="3" t="str">
        <f>VLOOKUP(B3797,[1]LifeList!$E$2:$I$2036,5)</f>
        <v>Rallidae (Rails, Gallinules, and Coots)</v>
      </c>
    </row>
    <row r="3798" spans="1:8" x14ac:dyDescent="0.15">
      <c r="A3798" s="3" t="s">
        <v>3637</v>
      </c>
      <c r="B3798" s="3" t="s">
        <v>5176</v>
      </c>
      <c r="C3798" s="3">
        <v>5631</v>
      </c>
      <c r="D3798" s="3" t="str">
        <f>VLOOKUP(B3798,[1]LifeList!$E$2:$G$2036,1)</f>
        <v>Yellow-breasted Crake</v>
      </c>
      <c r="E3798" s="3" t="str">
        <f>VLOOKUP(B3798,[1]LifeList!$E$2:$G$2036,2)</f>
        <v>Râle à sourcils blancs</v>
      </c>
      <c r="F3798" s="3" t="str">
        <f>VLOOKUP(B3798,[1]LifeList!$E$2:$G$2036,3)</f>
        <v>Laterallus flaviventer</v>
      </c>
      <c r="G3798" s="3" t="str">
        <f>VLOOKUP(B3798,[1]LifeList!$E$2:$I$2036,4)</f>
        <v>Gruiformes</v>
      </c>
      <c r="H3798" s="3" t="str">
        <f>VLOOKUP(B3798,[1]LifeList!$E$2:$I$2036,5)</f>
        <v>Rallidae (Rails, Gallinules, and Coots)</v>
      </c>
    </row>
    <row r="3799" spans="1:8" x14ac:dyDescent="0.15">
      <c r="A3799" s="3" t="s">
        <v>3638</v>
      </c>
      <c r="B3799" s="3" t="s">
        <v>5176</v>
      </c>
      <c r="C3799" s="3">
        <v>5631</v>
      </c>
      <c r="D3799" s="3" t="str">
        <f>VLOOKUP(B3799,[1]LifeList!$E$2:$G$2036,1)</f>
        <v>Yellow-breasted Crake</v>
      </c>
      <c r="E3799" s="3" t="str">
        <f>VLOOKUP(B3799,[1]LifeList!$E$2:$G$2036,2)</f>
        <v>Râle à sourcils blancs</v>
      </c>
      <c r="F3799" s="3" t="str">
        <f>VLOOKUP(B3799,[1]LifeList!$E$2:$G$2036,3)</f>
        <v>Laterallus flaviventer</v>
      </c>
      <c r="G3799" s="3" t="str">
        <f>VLOOKUP(B3799,[1]LifeList!$E$2:$I$2036,4)</f>
        <v>Gruiformes</v>
      </c>
      <c r="H3799" s="3" t="str">
        <f>VLOOKUP(B3799,[1]LifeList!$E$2:$I$2036,5)</f>
        <v>Rallidae (Rails, Gallinules, and Coots)</v>
      </c>
    </row>
    <row r="3800" spans="1:8" x14ac:dyDescent="0.15">
      <c r="A3800" s="3" t="s">
        <v>3639</v>
      </c>
      <c r="B3800" s="3" t="s">
        <v>5177</v>
      </c>
      <c r="C3800" s="3">
        <v>15554</v>
      </c>
      <c r="D3800" s="3" t="str">
        <f>VLOOKUP(B3800,[1]LifeList!$E$2:$G$2036,1)</f>
        <v>Yellow-chinned Spinetail</v>
      </c>
      <c r="E3800" s="3" t="str">
        <f>VLOOKUP(B3800,[1]LifeList!$E$2:$G$2036,2)</f>
        <v>Synallaxe à gorge jaune</v>
      </c>
      <c r="F3800" s="3" t="str">
        <f>VLOOKUP(B3800,[1]LifeList!$E$2:$G$2036,3)</f>
        <v>Certhiaxis cinnamomeus</v>
      </c>
      <c r="G3800" s="3" t="str">
        <f>VLOOKUP(B3800,[1]LifeList!$E$2:$I$2036,4)</f>
        <v>Passeriformes</v>
      </c>
      <c r="H3800" s="3" t="str">
        <f>VLOOKUP(B3800,[1]LifeList!$E$2:$I$2036,5)</f>
        <v>Furnariidae (Ovenbirds and Woodcreepers)</v>
      </c>
    </row>
    <row r="3801" spans="1:8" x14ac:dyDescent="0.15">
      <c r="A3801" s="3" t="s">
        <v>3640</v>
      </c>
      <c r="B3801" s="3" t="s">
        <v>5177</v>
      </c>
      <c r="C3801" s="3">
        <v>15554</v>
      </c>
      <c r="D3801" s="3" t="str">
        <f>VLOOKUP(B3801,[1]LifeList!$E$2:$G$2036,1)</f>
        <v>Yellow-chinned Spinetail</v>
      </c>
      <c r="E3801" s="3" t="str">
        <f>VLOOKUP(B3801,[1]LifeList!$E$2:$G$2036,2)</f>
        <v>Synallaxe à gorge jaune</v>
      </c>
      <c r="F3801" s="3" t="str">
        <f>VLOOKUP(B3801,[1]LifeList!$E$2:$G$2036,3)</f>
        <v>Certhiaxis cinnamomeus</v>
      </c>
      <c r="G3801" s="3" t="str">
        <f>VLOOKUP(B3801,[1]LifeList!$E$2:$I$2036,4)</f>
        <v>Passeriformes</v>
      </c>
      <c r="H3801" s="3" t="str">
        <f>VLOOKUP(B3801,[1]LifeList!$E$2:$I$2036,5)</f>
        <v>Furnariidae (Ovenbirds and Woodcreepers)</v>
      </c>
    </row>
    <row r="3802" spans="1:8" x14ac:dyDescent="0.15">
      <c r="A3802" s="3" t="s">
        <v>3641</v>
      </c>
      <c r="B3802" s="3" t="s">
        <v>5178</v>
      </c>
      <c r="C3802" s="3">
        <v>12750</v>
      </c>
      <c r="D3802" s="3" t="str">
        <f>VLOOKUP(B3802,[1]LifeList!$E$2:$G$2036,1)</f>
        <v>Yellow-collared Lovebird</v>
      </c>
      <c r="E3802" s="3" t="str">
        <f>VLOOKUP(B3802,[1]LifeList!$E$2:$G$2036,2)</f>
        <v>Inséparable masqué</v>
      </c>
      <c r="F3802" s="3" t="str">
        <f>VLOOKUP(B3802,[1]LifeList!$E$2:$G$2036,3)</f>
        <v>Agapornis personatus</v>
      </c>
      <c r="G3802" s="3" t="str">
        <f>VLOOKUP(B3802,[1]LifeList!$E$2:$I$2036,4)</f>
        <v>Psittaciformes</v>
      </c>
      <c r="H3802" s="3" t="str">
        <f>VLOOKUP(B3802,[1]LifeList!$E$2:$I$2036,5)</f>
        <v>Psittaculidae (Old World Parrots)</v>
      </c>
    </row>
    <row r="3803" spans="1:8" x14ac:dyDescent="0.15">
      <c r="A3803" s="3" t="s">
        <v>3642</v>
      </c>
      <c r="B3803" s="3" t="s">
        <v>5179</v>
      </c>
      <c r="C3803" s="3">
        <v>12933</v>
      </c>
      <c r="D3803" s="3" t="str">
        <f>VLOOKUP(B3803,[1]LifeList!$E$2:$G$2036,1)</f>
        <v>Yellow-crowned Amazon</v>
      </c>
      <c r="E3803" s="3" t="str">
        <f>VLOOKUP(B3803,[1]LifeList!$E$2:$G$2036,2)</f>
        <v>Amazone à front jaune</v>
      </c>
      <c r="F3803" s="3" t="str">
        <f>VLOOKUP(B3803,[1]LifeList!$E$2:$G$2036,3)</f>
        <v>Amazona ochrocephala</v>
      </c>
      <c r="G3803" s="3" t="str">
        <f>VLOOKUP(B3803,[1]LifeList!$E$2:$I$2036,4)</f>
        <v>Psittaciformes</v>
      </c>
      <c r="H3803" s="3" t="str">
        <f>VLOOKUP(B3803,[1]LifeList!$E$2:$I$2036,5)</f>
        <v>Psittacidae (New World and African Parrots)</v>
      </c>
    </row>
    <row r="3804" spans="1:8" x14ac:dyDescent="0.15">
      <c r="A3804" s="3" t="s">
        <v>3643</v>
      </c>
      <c r="B3804" s="3" t="s">
        <v>5179</v>
      </c>
      <c r="C3804" s="3">
        <v>12933</v>
      </c>
      <c r="D3804" s="3" t="str">
        <f>VLOOKUP(B3804,[1]LifeList!$E$2:$G$2036,1)</f>
        <v>Yellow-crowned Amazon</v>
      </c>
      <c r="E3804" s="3" t="str">
        <f>VLOOKUP(B3804,[1]LifeList!$E$2:$G$2036,2)</f>
        <v>Amazone à front jaune</v>
      </c>
      <c r="F3804" s="3" t="str">
        <f>VLOOKUP(B3804,[1]LifeList!$E$2:$G$2036,3)</f>
        <v>Amazona ochrocephala</v>
      </c>
      <c r="G3804" s="3" t="str">
        <f>VLOOKUP(B3804,[1]LifeList!$E$2:$I$2036,4)</f>
        <v>Psittaciformes</v>
      </c>
      <c r="H3804" s="3" t="str">
        <f>VLOOKUP(B3804,[1]LifeList!$E$2:$I$2036,5)</f>
        <v>Psittacidae (New World and African Parrots)</v>
      </c>
    </row>
    <row r="3805" spans="1:8" x14ac:dyDescent="0.15">
      <c r="A3805" s="3" t="s">
        <v>3644</v>
      </c>
      <c r="B3805" s="3" t="s">
        <v>5179</v>
      </c>
      <c r="C3805" s="3">
        <v>12933</v>
      </c>
      <c r="D3805" s="3" t="str">
        <f>VLOOKUP(B3805,[1]LifeList!$E$2:$G$2036,1)</f>
        <v>Yellow-crowned Amazon</v>
      </c>
      <c r="E3805" s="3" t="str">
        <f>VLOOKUP(B3805,[1]LifeList!$E$2:$G$2036,2)</f>
        <v>Amazone à front jaune</v>
      </c>
      <c r="F3805" s="3" t="str">
        <f>VLOOKUP(B3805,[1]LifeList!$E$2:$G$2036,3)</f>
        <v>Amazona ochrocephala</v>
      </c>
      <c r="G3805" s="3" t="str">
        <f>VLOOKUP(B3805,[1]LifeList!$E$2:$I$2036,4)</f>
        <v>Psittaciformes</v>
      </c>
      <c r="H3805" s="3" t="str">
        <f>VLOOKUP(B3805,[1]LifeList!$E$2:$I$2036,5)</f>
        <v>Psittacidae (New World and African Parrots)</v>
      </c>
    </row>
    <row r="3806" spans="1:8" x14ac:dyDescent="0.15">
      <c r="A3806" s="3" t="s">
        <v>3645</v>
      </c>
      <c r="B3806" s="3" t="s">
        <v>5180</v>
      </c>
      <c r="C3806" s="3">
        <v>32018</v>
      </c>
      <c r="D3806" s="3" t="str">
        <f>VLOOKUP(B3806,[1]LifeList!$E$2:$G$2036,1)</f>
        <v>Yellow-crowned Euphonia</v>
      </c>
      <c r="E3806" s="3" t="str">
        <f>VLOOKUP(B3806,[1]LifeList!$E$2:$G$2036,2)</f>
        <v>Organiste à calotte jaune</v>
      </c>
      <c r="F3806" s="3" t="str">
        <f>VLOOKUP(B3806,[1]LifeList!$E$2:$G$2036,3)</f>
        <v>Euphonia luteicapilla</v>
      </c>
      <c r="G3806" s="3" t="str">
        <f>VLOOKUP(B3806,[1]LifeList!$E$2:$I$2036,4)</f>
        <v>Passeriformes</v>
      </c>
      <c r="H3806" s="3" t="str">
        <f>VLOOKUP(B3806,[1]LifeList!$E$2:$I$2036,5)</f>
        <v>Fringillidae (Finches, Euphonias, and Allies)</v>
      </c>
    </row>
    <row r="3807" spans="1:8" x14ac:dyDescent="0.15">
      <c r="A3807" s="3" t="s">
        <v>3646</v>
      </c>
      <c r="B3807" s="3" t="s">
        <v>5180</v>
      </c>
      <c r="C3807" s="3">
        <v>32018</v>
      </c>
      <c r="D3807" s="3" t="str">
        <f>VLOOKUP(B3807,[1]LifeList!$E$2:$G$2036,1)</f>
        <v>Yellow-crowned Euphonia</v>
      </c>
      <c r="E3807" s="3" t="str">
        <f>VLOOKUP(B3807,[1]LifeList!$E$2:$G$2036,2)</f>
        <v>Organiste à calotte jaune</v>
      </c>
      <c r="F3807" s="3" t="str">
        <f>VLOOKUP(B3807,[1]LifeList!$E$2:$G$2036,3)</f>
        <v>Euphonia luteicapilla</v>
      </c>
      <c r="G3807" s="3" t="str">
        <f>VLOOKUP(B3807,[1]LifeList!$E$2:$I$2036,4)</f>
        <v>Passeriformes</v>
      </c>
      <c r="H3807" s="3" t="str">
        <f>VLOOKUP(B3807,[1]LifeList!$E$2:$I$2036,5)</f>
        <v>Fringillidae (Finches, Euphonias, and Allies)</v>
      </c>
    </row>
    <row r="3808" spans="1:8" x14ac:dyDescent="0.15">
      <c r="A3808" s="3" t="s">
        <v>3647</v>
      </c>
      <c r="B3808" s="3" t="s">
        <v>3799</v>
      </c>
      <c r="C3808" s="3">
        <v>7591</v>
      </c>
      <c r="D3808" s="3" t="str">
        <f>VLOOKUP(B3808,[1]LifeList!$E$2:$G$2036,1)</f>
        <v>Yellow-crowned Night Heron</v>
      </c>
      <c r="E3808" s="3" t="str">
        <f>VLOOKUP(B3808,[1]LifeList!$E$2:$G$2036,2)</f>
        <v>Bihoreau violacé</v>
      </c>
      <c r="F3808" s="3" t="str">
        <f>VLOOKUP(B3808,[1]LifeList!$E$2:$G$2036,3)</f>
        <v>Nyctanassa violacea</v>
      </c>
      <c r="G3808" s="3" t="str">
        <f>VLOOKUP(B3808,[1]LifeList!$E$2:$I$2036,4)</f>
        <v>Pelecaniformes</v>
      </c>
      <c r="H3808" s="3" t="str">
        <f>VLOOKUP(B3808,[1]LifeList!$E$2:$I$2036,5)</f>
        <v>Ardeidae (Herons, Egrets, and Bitterns)</v>
      </c>
    </row>
    <row r="3809" spans="1:8" x14ac:dyDescent="0.15">
      <c r="A3809" s="3" t="s">
        <v>3648</v>
      </c>
      <c r="B3809" s="3" t="s">
        <v>3799</v>
      </c>
      <c r="C3809" s="3">
        <v>7591</v>
      </c>
      <c r="D3809" s="3" t="str">
        <f>VLOOKUP(B3809,[1]LifeList!$E$2:$G$2036,1)</f>
        <v>Yellow-crowned Night Heron</v>
      </c>
      <c r="E3809" s="3" t="str">
        <f>VLOOKUP(B3809,[1]LifeList!$E$2:$G$2036,2)</f>
        <v>Bihoreau violacé</v>
      </c>
      <c r="F3809" s="3" t="str">
        <f>VLOOKUP(B3809,[1]LifeList!$E$2:$G$2036,3)</f>
        <v>Nyctanassa violacea</v>
      </c>
      <c r="G3809" s="3" t="str">
        <f>VLOOKUP(B3809,[1]LifeList!$E$2:$I$2036,4)</f>
        <v>Pelecaniformes</v>
      </c>
      <c r="H3809" s="3" t="str">
        <f>VLOOKUP(B3809,[1]LifeList!$E$2:$I$2036,5)</f>
        <v>Ardeidae (Herons, Egrets, and Bitterns)</v>
      </c>
    </row>
    <row r="3810" spans="1:8" x14ac:dyDescent="0.15">
      <c r="A3810" s="3" t="s">
        <v>3649</v>
      </c>
      <c r="B3810" s="3" t="s">
        <v>3799</v>
      </c>
      <c r="C3810" s="3">
        <v>7591</v>
      </c>
      <c r="D3810" s="3" t="str">
        <f>VLOOKUP(B3810,[1]LifeList!$E$2:$G$2036,1)</f>
        <v>Yellow-crowned Night Heron</v>
      </c>
      <c r="E3810" s="3" t="str">
        <f>VLOOKUP(B3810,[1]LifeList!$E$2:$G$2036,2)</f>
        <v>Bihoreau violacé</v>
      </c>
      <c r="F3810" s="3" t="str">
        <f>VLOOKUP(B3810,[1]LifeList!$E$2:$G$2036,3)</f>
        <v>Nyctanassa violacea</v>
      </c>
      <c r="G3810" s="3" t="str">
        <f>VLOOKUP(B3810,[1]LifeList!$E$2:$I$2036,4)</f>
        <v>Pelecaniformes</v>
      </c>
      <c r="H3810" s="3" t="str">
        <f>VLOOKUP(B3810,[1]LifeList!$E$2:$I$2036,5)</f>
        <v>Ardeidae (Herons, Egrets, and Bitterns)</v>
      </c>
    </row>
    <row r="3811" spans="1:8" x14ac:dyDescent="0.15">
      <c r="A3811" s="3" t="s">
        <v>3650</v>
      </c>
      <c r="B3811" s="3" t="s">
        <v>5181</v>
      </c>
      <c r="C3811" s="3">
        <v>34383</v>
      </c>
      <c r="D3811" s="3" t="str">
        <f>VLOOKUP(B3811,[1]LifeList!$E$2:$G$2036,1)</f>
        <v>Yellow-crowned Redstart</v>
      </c>
      <c r="E3811" s="3" t="str">
        <f>VLOOKUP(B3811,[1]LifeList!$E$2:$G$2036,2)</f>
        <v>Paruline à cimier jaune</v>
      </c>
      <c r="F3811" s="3" t="str">
        <f>VLOOKUP(B3811,[1]LifeList!$E$2:$G$2036,3)</f>
        <v>Myioborus flavivertex</v>
      </c>
      <c r="G3811" s="3" t="str">
        <f>VLOOKUP(B3811,[1]LifeList!$E$2:$I$2036,4)</f>
        <v>Passeriformes</v>
      </c>
      <c r="H3811" s="3" t="str">
        <f>VLOOKUP(B3811,[1]LifeList!$E$2:$I$2036,5)</f>
        <v>Parulidae (New World Warblers)</v>
      </c>
    </row>
    <row r="3812" spans="1:8" x14ac:dyDescent="0.15">
      <c r="A3812" s="3" t="s">
        <v>3651</v>
      </c>
      <c r="B3812" s="3" t="s">
        <v>5181</v>
      </c>
      <c r="C3812" s="3">
        <v>34383</v>
      </c>
      <c r="D3812" s="3" t="str">
        <f>VLOOKUP(B3812,[1]LifeList!$E$2:$G$2036,1)</f>
        <v>Yellow-crowned Redstart</v>
      </c>
      <c r="E3812" s="3" t="str">
        <f>VLOOKUP(B3812,[1]LifeList!$E$2:$G$2036,2)</f>
        <v>Paruline à cimier jaune</v>
      </c>
      <c r="F3812" s="3" t="str">
        <f>VLOOKUP(B3812,[1]LifeList!$E$2:$G$2036,3)</f>
        <v>Myioborus flavivertex</v>
      </c>
      <c r="G3812" s="3" t="str">
        <f>VLOOKUP(B3812,[1]LifeList!$E$2:$I$2036,4)</f>
        <v>Passeriformes</v>
      </c>
      <c r="H3812" s="3" t="str">
        <f>VLOOKUP(B3812,[1]LifeList!$E$2:$I$2036,5)</f>
        <v>Parulidae (New World Warblers)</v>
      </c>
    </row>
    <row r="3813" spans="1:8" x14ac:dyDescent="0.15">
      <c r="A3813" s="3" t="s">
        <v>3652</v>
      </c>
      <c r="B3813" s="3" t="s">
        <v>5182</v>
      </c>
      <c r="C3813" s="3">
        <v>16653</v>
      </c>
      <c r="D3813" s="3" t="str">
        <f>VLOOKUP(B3813,[1]LifeList!$E$2:$G$2036,1)</f>
        <v>Yellow-crowned Tyrannulet</v>
      </c>
      <c r="E3813" s="3" t="str">
        <f>VLOOKUP(B3813,[1]LifeList!$E$2:$G$2036,2)</f>
        <v>Tyranneau roitelet</v>
      </c>
      <c r="F3813" s="3" t="str">
        <f>VLOOKUP(B3813,[1]LifeList!$E$2:$G$2036,3)</f>
        <v>Tyrannulus elatus</v>
      </c>
      <c r="G3813" s="3" t="str">
        <f>VLOOKUP(B3813,[1]LifeList!$E$2:$I$2036,4)</f>
        <v>Passeriformes</v>
      </c>
      <c r="H3813" s="3" t="str">
        <f>VLOOKUP(B3813,[1]LifeList!$E$2:$I$2036,5)</f>
        <v>Tyrannidae (Tyrant Flycatchers)</v>
      </c>
    </row>
    <row r="3814" spans="1:8" x14ac:dyDescent="0.15">
      <c r="A3814" s="3" t="s">
        <v>3654</v>
      </c>
      <c r="B3814" s="3" t="s">
        <v>5183</v>
      </c>
      <c r="C3814" s="3">
        <v>35692</v>
      </c>
      <c r="D3814" s="3" t="str">
        <f>VLOOKUP(B3814,[1]LifeList!$E$2:$G$2036,1)</f>
        <v>Yellow-faced Grassquit</v>
      </c>
      <c r="E3814" s="3" t="str">
        <f>VLOOKUP(B3814,[1]LifeList!$E$2:$G$2036,2)</f>
        <v>Tiaris grand-chanteur</v>
      </c>
      <c r="F3814" s="3" t="str">
        <f>VLOOKUP(B3814,[1]LifeList!$E$2:$G$2036,3)</f>
        <v>Tiaris olivaceus</v>
      </c>
      <c r="G3814" s="3" t="str">
        <f>VLOOKUP(B3814,[1]LifeList!$E$2:$I$2036,4)</f>
        <v>Passeriformes</v>
      </c>
      <c r="H3814" s="3" t="str">
        <f>VLOOKUP(B3814,[1]LifeList!$E$2:$I$2036,5)</f>
        <v>Thraupidae (Tanagers and Allies)</v>
      </c>
    </row>
    <row r="3815" spans="1:8" x14ac:dyDescent="0.15">
      <c r="A3815" s="3" t="s">
        <v>3655</v>
      </c>
      <c r="B3815" s="3" t="s">
        <v>5183</v>
      </c>
      <c r="C3815" s="3">
        <v>35692</v>
      </c>
      <c r="D3815" s="3" t="str">
        <f>VLOOKUP(B3815,[1]LifeList!$E$2:$G$2036,1)</f>
        <v>Yellow-faced Grassquit</v>
      </c>
      <c r="E3815" s="3" t="str">
        <f>VLOOKUP(B3815,[1]LifeList!$E$2:$G$2036,2)</f>
        <v>Tiaris grand-chanteur</v>
      </c>
      <c r="F3815" s="3" t="str">
        <f>VLOOKUP(B3815,[1]LifeList!$E$2:$G$2036,3)</f>
        <v>Tiaris olivaceus</v>
      </c>
      <c r="G3815" s="3" t="str">
        <f>VLOOKUP(B3815,[1]LifeList!$E$2:$I$2036,4)</f>
        <v>Passeriformes</v>
      </c>
      <c r="H3815" s="3" t="str">
        <f>VLOOKUP(B3815,[1]LifeList!$E$2:$I$2036,5)</f>
        <v>Thraupidae (Tanagers and Allies)</v>
      </c>
    </row>
    <row r="3816" spans="1:8" x14ac:dyDescent="0.15">
      <c r="A3816" s="3" t="s">
        <v>3656</v>
      </c>
      <c r="B3816" s="3" t="s">
        <v>5183</v>
      </c>
      <c r="C3816" s="3">
        <v>35692</v>
      </c>
      <c r="D3816" s="3" t="str">
        <f>VLOOKUP(B3816,[1]LifeList!$E$2:$G$2036,1)</f>
        <v>Yellow-faced Grassquit</v>
      </c>
      <c r="E3816" s="3" t="str">
        <f>VLOOKUP(B3816,[1]LifeList!$E$2:$G$2036,2)</f>
        <v>Tiaris grand-chanteur</v>
      </c>
      <c r="F3816" s="3" t="str">
        <f>VLOOKUP(B3816,[1]LifeList!$E$2:$G$2036,3)</f>
        <v>Tiaris olivaceus</v>
      </c>
      <c r="G3816" s="3" t="str">
        <f>VLOOKUP(B3816,[1]LifeList!$E$2:$I$2036,4)</f>
        <v>Passeriformes</v>
      </c>
      <c r="H3816" s="3" t="str">
        <f>VLOOKUP(B3816,[1]LifeList!$E$2:$I$2036,5)</f>
        <v>Thraupidae (Tanagers and Allies)</v>
      </c>
    </row>
    <row r="3817" spans="1:8" x14ac:dyDescent="0.15">
      <c r="A3817" s="3" t="s">
        <v>3657</v>
      </c>
      <c r="B3817" s="3" t="s">
        <v>5183</v>
      </c>
      <c r="C3817" s="3">
        <v>35692</v>
      </c>
      <c r="D3817" s="3" t="str">
        <f>VLOOKUP(B3817,[1]LifeList!$E$2:$G$2036,1)</f>
        <v>Yellow-faced Grassquit</v>
      </c>
      <c r="E3817" s="3" t="str">
        <f>VLOOKUP(B3817,[1]LifeList!$E$2:$G$2036,2)</f>
        <v>Tiaris grand-chanteur</v>
      </c>
      <c r="F3817" s="3" t="str">
        <f>VLOOKUP(B3817,[1]LifeList!$E$2:$G$2036,3)</f>
        <v>Tiaris olivaceus</v>
      </c>
      <c r="G3817" s="3" t="str">
        <f>VLOOKUP(B3817,[1]LifeList!$E$2:$I$2036,4)</f>
        <v>Passeriformes</v>
      </c>
      <c r="H3817" s="3" t="str">
        <f>VLOOKUP(B3817,[1]LifeList!$E$2:$I$2036,5)</f>
        <v>Thraupidae (Tanagers and Allies)</v>
      </c>
    </row>
    <row r="3818" spans="1:8" x14ac:dyDescent="0.15">
      <c r="A3818" s="3" t="s">
        <v>3658</v>
      </c>
      <c r="B3818" s="3" t="s">
        <v>5183</v>
      </c>
      <c r="C3818" s="3">
        <v>35692</v>
      </c>
      <c r="D3818" s="3" t="str">
        <f>VLOOKUP(B3818,[1]LifeList!$E$2:$G$2036,1)</f>
        <v>Yellow-faced Grassquit</v>
      </c>
      <c r="E3818" s="3" t="str">
        <f>VLOOKUP(B3818,[1]LifeList!$E$2:$G$2036,2)</f>
        <v>Tiaris grand-chanteur</v>
      </c>
      <c r="F3818" s="3" t="str">
        <f>VLOOKUP(B3818,[1]LifeList!$E$2:$G$2036,3)</f>
        <v>Tiaris olivaceus</v>
      </c>
      <c r="G3818" s="3" t="str">
        <f>VLOOKUP(B3818,[1]LifeList!$E$2:$I$2036,4)</f>
        <v>Passeriformes</v>
      </c>
      <c r="H3818" s="3" t="str">
        <f>VLOOKUP(B3818,[1]LifeList!$E$2:$I$2036,5)</f>
        <v>Thraupidae (Tanagers and Allies)</v>
      </c>
    </row>
    <row r="3819" spans="1:8" x14ac:dyDescent="0.15">
      <c r="A3819" s="3" t="s">
        <v>3653</v>
      </c>
      <c r="B3819" s="3" t="s">
        <v>5183</v>
      </c>
      <c r="C3819" s="3">
        <v>35692</v>
      </c>
      <c r="D3819" s="3" t="str">
        <f>VLOOKUP(B3819,[1]LifeList!$E$2:$G$2036,1)</f>
        <v>Yellow-faced Grassquit</v>
      </c>
      <c r="E3819" s="3" t="str">
        <f>VLOOKUP(B3819,[1]LifeList!$E$2:$G$2036,2)</f>
        <v>Tiaris grand-chanteur</v>
      </c>
      <c r="F3819" s="3" t="str">
        <f>VLOOKUP(B3819,[1]LifeList!$E$2:$G$2036,3)</f>
        <v>Tiaris olivaceus</v>
      </c>
      <c r="G3819" s="3" t="str">
        <f>VLOOKUP(B3819,[1]LifeList!$E$2:$I$2036,4)</f>
        <v>Passeriformes</v>
      </c>
      <c r="H3819" s="3" t="str">
        <f>VLOOKUP(B3819,[1]LifeList!$E$2:$I$2036,5)</f>
        <v>Thraupidae (Tanagers and Allies)</v>
      </c>
    </row>
    <row r="3820" spans="1:8" x14ac:dyDescent="0.15">
      <c r="A3820" s="3" t="s">
        <v>3660</v>
      </c>
      <c r="B3820" s="3" t="s">
        <v>5184</v>
      </c>
      <c r="C3820" s="3">
        <v>17787</v>
      </c>
      <c r="D3820" s="3" t="str">
        <f>VLOOKUP(B3820,[1]LifeList!$E$2:$G$2036,1)</f>
        <v>Yellow-faced Honeyeater</v>
      </c>
      <c r="E3820" s="3" t="str">
        <f>VLOOKUP(B3820,[1]LifeList!$E$2:$G$2036,2)</f>
        <v>Méliphage à joues d'or</v>
      </c>
      <c r="F3820" s="3" t="str">
        <f>VLOOKUP(B3820,[1]LifeList!$E$2:$G$2036,3)</f>
        <v>Caligavis chrysops</v>
      </c>
      <c r="G3820" s="3" t="str">
        <f>VLOOKUP(B3820,[1]LifeList!$E$2:$I$2036,4)</f>
        <v>Passeriformes</v>
      </c>
      <c r="H3820" s="3" t="str">
        <f>VLOOKUP(B3820,[1]LifeList!$E$2:$I$2036,5)</f>
        <v>Meliphagidae (Honeyeaters)</v>
      </c>
    </row>
    <row r="3821" spans="1:8" x14ac:dyDescent="0.15">
      <c r="A3821" s="3" t="s">
        <v>3659</v>
      </c>
      <c r="B3821" s="3" t="s">
        <v>5184</v>
      </c>
      <c r="C3821" s="3">
        <v>17787</v>
      </c>
      <c r="D3821" s="3" t="str">
        <f>VLOOKUP(B3821,[1]LifeList!$E$2:$G$2036,1)</f>
        <v>Yellow-faced Honeyeater</v>
      </c>
      <c r="E3821" s="3" t="str">
        <f>VLOOKUP(B3821,[1]LifeList!$E$2:$G$2036,2)</f>
        <v>Méliphage à joues d'or</v>
      </c>
      <c r="F3821" s="3" t="str">
        <f>VLOOKUP(B3821,[1]LifeList!$E$2:$G$2036,3)</f>
        <v>Caligavis chrysops</v>
      </c>
      <c r="G3821" s="3" t="str">
        <f>VLOOKUP(B3821,[1]LifeList!$E$2:$I$2036,4)</f>
        <v>Passeriformes</v>
      </c>
      <c r="H3821" s="3" t="str">
        <f>VLOOKUP(B3821,[1]LifeList!$E$2:$I$2036,5)</f>
        <v>Meliphagidae (Honeyeaters)</v>
      </c>
    </row>
    <row r="3822" spans="1:8" x14ac:dyDescent="0.15">
      <c r="A3822" s="3" t="s">
        <v>3661</v>
      </c>
      <c r="B3822" s="3" t="s">
        <v>5185</v>
      </c>
      <c r="C3822" s="3">
        <v>32368</v>
      </c>
      <c r="D3822" s="3" t="str">
        <f>VLOOKUP(B3822,[1]LifeList!$E$2:$G$2036,1)</f>
        <v>Yellow-fronted Canary</v>
      </c>
      <c r="E3822" s="3" t="str">
        <f>VLOOKUP(B3822,[1]LifeList!$E$2:$G$2036,2)</f>
        <v>Serin du Mozambique</v>
      </c>
      <c r="F3822" s="3" t="str">
        <f>VLOOKUP(B3822,[1]LifeList!$E$2:$G$2036,3)</f>
        <v>Crithagra mozambica</v>
      </c>
      <c r="G3822" s="3" t="str">
        <f>VLOOKUP(B3822,[1]LifeList!$E$2:$I$2036,4)</f>
        <v>Passeriformes</v>
      </c>
      <c r="H3822" s="3" t="str">
        <f>VLOOKUP(B3822,[1]LifeList!$E$2:$I$2036,5)</f>
        <v>Fringillidae (Finches, Euphonias, and Allies)</v>
      </c>
    </row>
    <row r="3823" spans="1:8" x14ac:dyDescent="0.15">
      <c r="A3823" s="3" t="s">
        <v>3662</v>
      </c>
      <c r="B3823" s="3" t="s">
        <v>5185</v>
      </c>
      <c r="C3823" s="3">
        <v>32368</v>
      </c>
      <c r="D3823" s="3" t="str">
        <f>VLOOKUP(B3823,[1]LifeList!$E$2:$G$2036,1)</f>
        <v>Yellow-fronted Canary</v>
      </c>
      <c r="E3823" s="3" t="str">
        <f>VLOOKUP(B3823,[1]LifeList!$E$2:$G$2036,2)</f>
        <v>Serin du Mozambique</v>
      </c>
      <c r="F3823" s="3" t="str">
        <f>VLOOKUP(B3823,[1]LifeList!$E$2:$G$2036,3)</f>
        <v>Crithagra mozambica</v>
      </c>
      <c r="G3823" s="3" t="str">
        <f>VLOOKUP(B3823,[1]LifeList!$E$2:$I$2036,4)</f>
        <v>Passeriformes</v>
      </c>
      <c r="H3823" s="3" t="str">
        <f>VLOOKUP(B3823,[1]LifeList!$E$2:$I$2036,5)</f>
        <v>Fringillidae (Finches, Euphonias, and Allies)</v>
      </c>
    </row>
    <row r="3824" spans="1:8" x14ac:dyDescent="0.15">
      <c r="A3824" s="3" t="s">
        <v>3663</v>
      </c>
      <c r="B3824" s="3" t="s">
        <v>5185</v>
      </c>
      <c r="C3824" s="3">
        <v>32368</v>
      </c>
      <c r="D3824" s="3" t="str">
        <f>VLOOKUP(B3824,[1]LifeList!$E$2:$G$2036,1)</f>
        <v>Yellow-fronted Canary</v>
      </c>
      <c r="E3824" s="3" t="str">
        <f>VLOOKUP(B3824,[1]LifeList!$E$2:$G$2036,2)</f>
        <v>Serin du Mozambique</v>
      </c>
      <c r="F3824" s="3" t="str">
        <f>VLOOKUP(B3824,[1]LifeList!$E$2:$G$2036,3)</f>
        <v>Crithagra mozambica</v>
      </c>
      <c r="G3824" s="3" t="str">
        <f>VLOOKUP(B3824,[1]LifeList!$E$2:$I$2036,4)</f>
        <v>Passeriformes</v>
      </c>
      <c r="H3824" s="3" t="str">
        <f>VLOOKUP(B3824,[1]LifeList!$E$2:$I$2036,5)</f>
        <v>Fringillidae (Finches, Euphonias, and Allies)</v>
      </c>
    </row>
    <row r="3825" spans="1:8" x14ac:dyDescent="0.15">
      <c r="A3825" s="3" t="s">
        <v>3664</v>
      </c>
      <c r="B3825" s="3" t="s">
        <v>5186</v>
      </c>
      <c r="C3825" s="3">
        <v>19287</v>
      </c>
      <c r="D3825" s="3" t="str">
        <f>VLOOKUP(B3825,[1]LifeList!$E$2:$G$2036,1)</f>
        <v>Yellow-green Vireo</v>
      </c>
      <c r="E3825" s="3" t="str">
        <f>VLOOKUP(B3825,[1]LifeList!$E$2:$G$2036,2)</f>
        <v>Viréo jaune-verdâtre</v>
      </c>
      <c r="F3825" s="3" t="str">
        <f>VLOOKUP(B3825,[1]LifeList!$E$2:$G$2036,3)</f>
        <v>Vireo flavoviridis</v>
      </c>
      <c r="G3825" s="3" t="str">
        <f>VLOOKUP(B3825,[1]LifeList!$E$2:$I$2036,4)</f>
        <v>Passeriformes</v>
      </c>
      <c r="H3825" s="3" t="str">
        <f>VLOOKUP(B3825,[1]LifeList!$E$2:$I$2036,5)</f>
        <v>Vireonidae (Vireos, Shrike-Babblers, and Erpornis)</v>
      </c>
    </row>
    <row r="3826" spans="1:8" x14ac:dyDescent="0.15">
      <c r="A3826" s="3" t="s">
        <v>3665</v>
      </c>
      <c r="B3826" s="3" t="s">
        <v>5186</v>
      </c>
      <c r="C3826" s="3">
        <v>19287</v>
      </c>
      <c r="D3826" s="3" t="str">
        <f>VLOOKUP(B3826,[1]LifeList!$E$2:$G$2036,1)</f>
        <v>Yellow-green Vireo</v>
      </c>
      <c r="E3826" s="3" t="str">
        <f>VLOOKUP(B3826,[1]LifeList!$E$2:$G$2036,2)</f>
        <v>Viréo jaune-verdâtre</v>
      </c>
      <c r="F3826" s="3" t="str">
        <f>VLOOKUP(B3826,[1]LifeList!$E$2:$G$2036,3)</f>
        <v>Vireo flavoviridis</v>
      </c>
      <c r="G3826" s="3" t="str">
        <f>VLOOKUP(B3826,[1]LifeList!$E$2:$I$2036,4)</f>
        <v>Passeriformes</v>
      </c>
      <c r="H3826" s="3" t="str">
        <f>VLOOKUP(B3826,[1]LifeList!$E$2:$I$2036,5)</f>
        <v>Vireonidae (Vireos, Shrike-Babblers, and Erpornis)</v>
      </c>
    </row>
    <row r="3827" spans="1:8" x14ac:dyDescent="0.15">
      <c r="A3827" s="3" t="s">
        <v>3667</v>
      </c>
      <c r="B3827" s="3" t="s">
        <v>5187</v>
      </c>
      <c r="C3827" s="3">
        <v>33563</v>
      </c>
      <c r="D3827" s="3" t="str">
        <f>VLOOKUP(B3827,[1]LifeList!$E$2:$G$2036,1)</f>
        <v>Yellow-headed Blackbird</v>
      </c>
      <c r="E3827" s="3" t="str">
        <f>VLOOKUP(B3827,[1]LifeList!$E$2:$G$2036,2)</f>
        <v>Carouge à tête jaune</v>
      </c>
      <c r="F3827" s="3" t="str">
        <f>VLOOKUP(B3827,[1]LifeList!$E$2:$G$2036,3)</f>
        <v>Xanthocephalus xanthocephalus</v>
      </c>
      <c r="G3827" s="3" t="str">
        <f>VLOOKUP(B3827,[1]LifeList!$E$2:$I$2036,4)</f>
        <v>Passeriformes</v>
      </c>
      <c r="H3827" s="3" t="str">
        <f>VLOOKUP(B3827,[1]LifeList!$E$2:$I$2036,5)</f>
        <v>Icteridae (Troupials and Allies)</v>
      </c>
    </row>
    <row r="3828" spans="1:8" x14ac:dyDescent="0.15">
      <c r="A3828" s="3" t="s">
        <v>3666</v>
      </c>
      <c r="B3828" s="3" t="s">
        <v>5187</v>
      </c>
      <c r="C3828" s="3">
        <v>33563</v>
      </c>
      <c r="D3828" s="3" t="str">
        <f>VLOOKUP(B3828,[1]LifeList!$E$2:$G$2036,1)</f>
        <v>Yellow-headed Blackbird</v>
      </c>
      <c r="E3828" s="3" t="str">
        <f>VLOOKUP(B3828,[1]LifeList!$E$2:$G$2036,2)</f>
        <v>Carouge à tête jaune</v>
      </c>
      <c r="F3828" s="3" t="str">
        <f>VLOOKUP(B3828,[1]LifeList!$E$2:$G$2036,3)</f>
        <v>Xanthocephalus xanthocephalus</v>
      </c>
      <c r="G3828" s="3" t="str">
        <f>VLOOKUP(B3828,[1]LifeList!$E$2:$I$2036,4)</f>
        <v>Passeriformes</v>
      </c>
      <c r="H3828" s="3" t="str">
        <f>VLOOKUP(B3828,[1]LifeList!$E$2:$I$2036,5)</f>
        <v>Icteridae (Troupials and Allies)</v>
      </c>
    </row>
    <row r="3829" spans="1:8" x14ac:dyDescent="0.15">
      <c r="A3829" s="3" t="s">
        <v>3668</v>
      </c>
      <c r="B3829" s="3" t="s">
        <v>5188</v>
      </c>
      <c r="C3829" s="3">
        <v>11966</v>
      </c>
      <c r="D3829" s="3" t="str">
        <f>VLOOKUP(B3829,[1]LifeList!$E$2:$G$2036,1)</f>
        <v>Yellow-headed Caracara</v>
      </c>
      <c r="E3829" s="3" t="str">
        <f>VLOOKUP(B3829,[1]LifeList!$E$2:$G$2036,2)</f>
        <v>Caracara à tête jaune</v>
      </c>
      <c r="F3829" s="3" t="str">
        <f>VLOOKUP(B3829,[1]LifeList!$E$2:$G$2036,3)</f>
        <v>Daptrius chimachima</v>
      </c>
      <c r="G3829" s="3" t="str">
        <f>VLOOKUP(B3829,[1]LifeList!$E$2:$I$2036,4)</f>
        <v>Falconiformes</v>
      </c>
      <c r="H3829" s="3" t="str">
        <f>VLOOKUP(B3829,[1]LifeList!$E$2:$I$2036,5)</f>
        <v>Falconidae (Falcons and Caracaras)</v>
      </c>
    </row>
    <row r="3830" spans="1:8" x14ac:dyDescent="0.15">
      <c r="A3830" s="3" t="s">
        <v>3669</v>
      </c>
      <c r="B3830" s="3" t="s">
        <v>5188</v>
      </c>
      <c r="C3830" s="3">
        <v>11966</v>
      </c>
      <c r="D3830" s="3" t="str">
        <f>VLOOKUP(B3830,[1]LifeList!$E$2:$G$2036,1)</f>
        <v>Yellow-headed Caracara</v>
      </c>
      <c r="E3830" s="3" t="str">
        <f>VLOOKUP(B3830,[1]LifeList!$E$2:$G$2036,2)</f>
        <v>Caracara à tête jaune</v>
      </c>
      <c r="F3830" s="3" t="str">
        <f>VLOOKUP(B3830,[1]LifeList!$E$2:$G$2036,3)</f>
        <v>Daptrius chimachima</v>
      </c>
      <c r="G3830" s="3" t="str">
        <f>VLOOKUP(B3830,[1]LifeList!$E$2:$I$2036,4)</f>
        <v>Falconiformes</v>
      </c>
      <c r="H3830" s="3" t="str">
        <f>VLOOKUP(B3830,[1]LifeList!$E$2:$I$2036,5)</f>
        <v>Falconidae (Falcons and Caracaras)</v>
      </c>
    </row>
    <row r="3831" spans="1:8" x14ac:dyDescent="0.15">
      <c r="A3831" s="3" t="s">
        <v>3670</v>
      </c>
      <c r="B3831" s="3" t="s">
        <v>5188</v>
      </c>
      <c r="C3831" s="3">
        <v>11966</v>
      </c>
      <c r="D3831" s="3" t="str">
        <f>VLOOKUP(B3831,[1]LifeList!$E$2:$G$2036,1)</f>
        <v>Yellow-headed Caracara</v>
      </c>
      <c r="E3831" s="3" t="str">
        <f>VLOOKUP(B3831,[1]LifeList!$E$2:$G$2036,2)</f>
        <v>Caracara à tête jaune</v>
      </c>
      <c r="F3831" s="3" t="str">
        <f>VLOOKUP(B3831,[1]LifeList!$E$2:$G$2036,3)</f>
        <v>Daptrius chimachima</v>
      </c>
      <c r="G3831" s="3" t="str">
        <f>VLOOKUP(B3831,[1]LifeList!$E$2:$I$2036,4)</f>
        <v>Falconiformes</v>
      </c>
      <c r="H3831" s="3" t="str">
        <f>VLOOKUP(B3831,[1]LifeList!$E$2:$I$2036,5)</f>
        <v>Falconidae (Falcons and Caracaras)</v>
      </c>
    </row>
    <row r="3832" spans="1:8" x14ac:dyDescent="0.15">
      <c r="A3832" s="3" t="s">
        <v>3671</v>
      </c>
      <c r="B3832" s="3" t="s">
        <v>5189</v>
      </c>
      <c r="C3832" s="3">
        <v>33938</v>
      </c>
      <c r="D3832" s="3" t="str">
        <f>VLOOKUP(B3832,[1]LifeList!$E$2:$G$2036,1)</f>
        <v>Yellow-hooded Blackbird</v>
      </c>
      <c r="E3832" s="3" t="str">
        <f>VLOOKUP(B3832,[1]LifeList!$E$2:$G$2036,2)</f>
        <v>Carouge à capuchon</v>
      </c>
      <c r="F3832" s="3" t="str">
        <f>VLOOKUP(B3832,[1]LifeList!$E$2:$G$2036,3)</f>
        <v>Chrysomus icterocephalus</v>
      </c>
      <c r="G3832" s="3" t="str">
        <f>VLOOKUP(B3832,[1]LifeList!$E$2:$I$2036,4)</f>
        <v>Passeriformes</v>
      </c>
      <c r="H3832" s="3" t="str">
        <f>VLOOKUP(B3832,[1]LifeList!$E$2:$I$2036,5)</f>
        <v>Icteridae (Troupials and Allies)</v>
      </c>
    </row>
    <row r="3833" spans="1:8" x14ac:dyDescent="0.15">
      <c r="A3833" s="3" t="s">
        <v>3672</v>
      </c>
      <c r="B3833" s="3" t="s">
        <v>5189</v>
      </c>
      <c r="C3833" s="3">
        <v>33938</v>
      </c>
      <c r="D3833" s="3" t="str">
        <f>VLOOKUP(B3833,[1]LifeList!$E$2:$G$2036,1)</f>
        <v>Yellow-hooded Blackbird</v>
      </c>
      <c r="E3833" s="3" t="str">
        <f>VLOOKUP(B3833,[1]LifeList!$E$2:$G$2036,2)</f>
        <v>Carouge à capuchon</v>
      </c>
      <c r="F3833" s="3" t="str">
        <f>VLOOKUP(B3833,[1]LifeList!$E$2:$G$2036,3)</f>
        <v>Chrysomus icterocephalus</v>
      </c>
      <c r="G3833" s="3" t="str">
        <f>VLOOKUP(B3833,[1]LifeList!$E$2:$I$2036,4)</f>
        <v>Passeriformes</v>
      </c>
      <c r="H3833" s="3" t="str">
        <f>VLOOKUP(B3833,[1]LifeList!$E$2:$I$2036,5)</f>
        <v>Icteridae (Troupials and Allies)</v>
      </c>
    </row>
    <row r="3834" spans="1:8" x14ac:dyDescent="0.15">
      <c r="A3834" s="3" t="s">
        <v>3673</v>
      </c>
      <c r="B3834" s="3" t="s">
        <v>5189</v>
      </c>
      <c r="C3834" s="3">
        <v>33938</v>
      </c>
      <c r="D3834" s="3" t="str">
        <f>VLOOKUP(B3834,[1]LifeList!$E$2:$G$2036,1)</f>
        <v>Yellow-hooded Blackbird</v>
      </c>
      <c r="E3834" s="3" t="str">
        <f>VLOOKUP(B3834,[1]LifeList!$E$2:$G$2036,2)</f>
        <v>Carouge à capuchon</v>
      </c>
      <c r="F3834" s="3" t="str">
        <f>VLOOKUP(B3834,[1]LifeList!$E$2:$G$2036,3)</f>
        <v>Chrysomus icterocephalus</v>
      </c>
      <c r="G3834" s="3" t="str">
        <f>VLOOKUP(B3834,[1]LifeList!$E$2:$I$2036,4)</f>
        <v>Passeriformes</v>
      </c>
      <c r="H3834" s="3" t="str">
        <f>VLOOKUP(B3834,[1]LifeList!$E$2:$I$2036,5)</f>
        <v>Icteridae (Troupials and Allies)</v>
      </c>
    </row>
    <row r="3835" spans="1:8" x14ac:dyDescent="0.15">
      <c r="A3835" s="3" t="s">
        <v>3674</v>
      </c>
      <c r="B3835" s="3" t="s">
        <v>5189</v>
      </c>
      <c r="C3835" s="3">
        <v>33938</v>
      </c>
      <c r="D3835" s="3" t="str">
        <f>VLOOKUP(B3835,[1]LifeList!$E$2:$G$2036,1)</f>
        <v>Yellow-hooded Blackbird</v>
      </c>
      <c r="E3835" s="3" t="str">
        <f>VLOOKUP(B3835,[1]LifeList!$E$2:$G$2036,2)</f>
        <v>Carouge à capuchon</v>
      </c>
      <c r="F3835" s="3" t="str">
        <f>VLOOKUP(B3835,[1]LifeList!$E$2:$G$2036,3)</f>
        <v>Chrysomus icterocephalus</v>
      </c>
      <c r="G3835" s="3" t="str">
        <f>VLOOKUP(B3835,[1]LifeList!$E$2:$I$2036,4)</f>
        <v>Passeriformes</v>
      </c>
      <c r="H3835" s="3" t="str">
        <f>VLOOKUP(B3835,[1]LifeList!$E$2:$I$2036,5)</f>
        <v>Icteridae (Troupials and Allies)</v>
      </c>
    </row>
    <row r="3836" spans="1:8" x14ac:dyDescent="0.15">
      <c r="A3836" s="3" t="s">
        <v>3675</v>
      </c>
      <c r="B3836" s="3" t="s">
        <v>5190</v>
      </c>
      <c r="C3836" s="3">
        <v>28710</v>
      </c>
      <c r="D3836" s="3" t="str">
        <f>VLOOKUP(B3836,[1]LifeList!$E$2:$G$2036,1)</f>
        <v>Yellow-legged Thrush</v>
      </c>
      <c r="E3836" s="3" t="str">
        <f>VLOOKUP(B3836,[1]LifeList!$E$2:$G$2036,2)</f>
        <v>Merle à pattes jaunes</v>
      </c>
      <c r="F3836" s="3" t="str">
        <f>VLOOKUP(B3836,[1]LifeList!$E$2:$G$2036,3)</f>
        <v>Turdus flavipes</v>
      </c>
      <c r="G3836" s="3" t="str">
        <f>VLOOKUP(B3836,[1]LifeList!$E$2:$I$2036,4)</f>
        <v>Passeriformes</v>
      </c>
      <c r="H3836" s="3" t="str">
        <f>VLOOKUP(B3836,[1]LifeList!$E$2:$I$2036,5)</f>
        <v>Turdidae (Thrushes and Allies)</v>
      </c>
    </row>
    <row r="3837" spans="1:8" x14ac:dyDescent="0.15">
      <c r="A3837" s="3" t="s">
        <v>3676</v>
      </c>
      <c r="B3837" s="3" t="s">
        <v>5191</v>
      </c>
      <c r="C3837" s="3">
        <v>12921</v>
      </c>
      <c r="D3837" s="3" t="str">
        <f>VLOOKUP(B3837,[1]LifeList!$E$2:$G$2036,1)</f>
        <v>Yellow-naped Amazon</v>
      </c>
      <c r="E3837" s="3" t="str">
        <f>VLOOKUP(B3837,[1]LifeList!$E$2:$G$2036,2)</f>
        <v>Amazone à nuque d'or</v>
      </c>
      <c r="F3837" s="3" t="str">
        <f>VLOOKUP(B3837,[1]LifeList!$E$2:$G$2036,3)</f>
        <v>Amazona auropalliata</v>
      </c>
      <c r="G3837" s="3" t="str">
        <f>VLOOKUP(B3837,[1]LifeList!$E$2:$I$2036,4)</f>
        <v>Psittaciformes</v>
      </c>
      <c r="H3837" s="3" t="str">
        <f>VLOOKUP(B3837,[1]LifeList!$E$2:$I$2036,5)</f>
        <v>Psittacidae (New World and African Parrots)</v>
      </c>
    </row>
    <row r="3838" spans="1:8" x14ac:dyDescent="0.15">
      <c r="A3838" s="3" t="s">
        <v>3677</v>
      </c>
      <c r="B3838" s="3" t="s">
        <v>5192</v>
      </c>
      <c r="C3838" s="3">
        <v>1839</v>
      </c>
      <c r="D3838" s="3" t="str">
        <f>VLOOKUP(B3838,[1]LifeList!$E$2:$G$2036,1)</f>
        <v>Yellow-necked Spurfowl</v>
      </c>
      <c r="E3838" s="3" t="str">
        <f>VLOOKUP(B3838,[1]LifeList!$E$2:$G$2036,2)</f>
        <v>Francolin à cou jaune</v>
      </c>
      <c r="F3838" s="3" t="str">
        <f>VLOOKUP(B3838,[1]LifeList!$E$2:$G$2036,3)</f>
        <v>Pternistis leucoscepus</v>
      </c>
      <c r="G3838" s="3" t="str">
        <f>VLOOKUP(B3838,[1]LifeList!$E$2:$I$2036,4)</f>
        <v>Galliformes</v>
      </c>
      <c r="H3838" s="3" t="str">
        <f>VLOOKUP(B3838,[1]LifeList!$E$2:$I$2036,5)</f>
        <v>Phasianidae (Pheasants, Grouse, and Allies)</v>
      </c>
    </row>
    <row r="3839" spans="1:8" x14ac:dyDescent="0.15">
      <c r="A3839" s="3" t="s">
        <v>3678</v>
      </c>
      <c r="B3839" s="3" t="s">
        <v>5193</v>
      </c>
      <c r="C3839" s="3">
        <v>33649</v>
      </c>
      <c r="D3839" s="3" t="str">
        <f>VLOOKUP(B3839,[1]LifeList!$E$2:$G$2036,1)</f>
        <v>Yellow-rumped Cacique</v>
      </c>
      <c r="E3839" s="3" t="str">
        <f>VLOOKUP(B3839,[1]LifeList!$E$2:$G$2036,2)</f>
        <v>Cassique cul-jaune</v>
      </c>
      <c r="F3839" s="3" t="str">
        <f>VLOOKUP(B3839,[1]LifeList!$E$2:$G$2036,3)</f>
        <v>Cacicus cela</v>
      </c>
      <c r="G3839" s="3" t="str">
        <f>VLOOKUP(B3839,[1]LifeList!$E$2:$I$2036,4)</f>
        <v>Passeriformes</v>
      </c>
      <c r="H3839" s="3" t="str">
        <f>VLOOKUP(B3839,[1]LifeList!$E$2:$I$2036,5)</f>
        <v>Icteridae (Troupials and Allies)</v>
      </c>
    </row>
    <row r="3840" spans="1:8" x14ac:dyDescent="0.15">
      <c r="A3840" s="3" t="s">
        <v>3679</v>
      </c>
      <c r="B3840" s="3" t="s">
        <v>5193</v>
      </c>
      <c r="C3840" s="3">
        <v>33649</v>
      </c>
      <c r="D3840" s="3" t="str">
        <f>VLOOKUP(B3840,[1]LifeList!$E$2:$G$2036,1)</f>
        <v>Yellow-rumped Cacique</v>
      </c>
      <c r="E3840" s="3" t="str">
        <f>VLOOKUP(B3840,[1]LifeList!$E$2:$G$2036,2)</f>
        <v>Cassique cul-jaune</v>
      </c>
      <c r="F3840" s="3" t="str">
        <f>VLOOKUP(B3840,[1]LifeList!$E$2:$G$2036,3)</f>
        <v>Cacicus cela</v>
      </c>
      <c r="G3840" s="3" t="str">
        <f>VLOOKUP(B3840,[1]LifeList!$E$2:$I$2036,4)</f>
        <v>Passeriformes</v>
      </c>
      <c r="H3840" s="3" t="str">
        <f>VLOOKUP(B3840,[1]LifeList!$E$2:$I$2036,5)</f>
        <v>Icteridae (Troupials and Allies)</v>
      </c>
    </row>
    <row r="3841" spans="1:8" x14ac:dyDescent="0.15">
      <c r="A3841" s="3" t="s">
        <v>3680</v>
      </c>
      <c r="B3841" s="3" t="s">
        <v>5194</v>
      </c>
      <c r="C3841" s="3">
        <v>18377</v>
      </c>
      <c r="D3841" s="3" t="str">
        <f>VLOOKUP(B3841,[1]LifeList!$E$2:$G$2036,1)</f>
        <v>Yellow-rumped Thornbill</v>
      </c>
      <c r="E3841" s="3" t="str">
        <f>VLOOKUP(B3841,[1]LifeList!$E$2:$G$2036,2)</f>
        <v>Acanthize à croupion jaune</v>
      </c>
      <c r="F3841" s="3" t="str">
        <f>VLOOKUP(B3841,[1]LifeList!$E$2:$G$2036,3)</f>
        <v>Acanthiza chrysorrhoa</v>
      </c>
      <c r="G3841" s="3" t="str">
        <f>VLOOKUP(B3841,[1]LifeList!$E$2:$I$2036,4)</f>
        <v>Passeriformes</v>
      </c>
      <c r="H3841" s="3" t="str">
        <f>VLOOKUP(B3841,[1]LifeList!$E$2:$I$2036,5)</f>
        <v>Acanthizidae (Thornbills and Allies)</v>
      </c>
    </row>
    <row r="3842" spans="1:8" x14ac:dyDescent="0.15">
      <c r="A3842" s="3" t="s">
        <v>3683</v>
      </c>
      <c r="B3842" s="3" t="s">
        <v>5195</v>
      </c>
      <c r="C3842" s="3">
        <v>34159</v>
      </c>
      <c r="D3842" s="3" t="str">
        <f>VLOOKUP(B3842,[1]LifeList!$E$2:$G$2036,1)</f>
        <v>Yellow-rumped Warbler</v>
      </c>
      <c r="E3842" s="3" t="str">
        <f>VLOOKUP(B3842,[1]LifeList!$E$2:$G$2036,2)</f>
        <v>Paruline à croupion jaune</v>
      </c>
      <c r="F3842" s="3" t="str">
        <f>VLOOKUP(B3842,[1]LifeList!$E$2:$G$2036,3)</f>
        <v>Setophaga coronata</v>
      </c>
      <c r="G3842" s="3" t="str">
        <f>VLOOKUP(B3842,[1]LifeList!$E$2:$I$2036,4)</f>
        <v>Passeriformes</v>
      </c>
      <c r="H3842" s="3" t="str">
        <f>VLOOKUP(B3842,[1]LifeList!$E$2:$I$2036,5)</f>
        <v>Parulidae (New World Warblers)</v>
      </c>
    </row>
    <row r="3843" spans="1:8" x14ac:dyDescent="0.15">
      <c r="A3843" s="3" t="s">
        <v>3684</v>
      </c>
      <c r="B3843" s="3" t="s">
        <v>5195</v>
      </c>
      <c r="C3843" s="3">
        <v>34159</v>
      </c>
      <c r="D3843" s="3" t="str">
        <f>VLOOKUP(B3843,[1]LifeList!$E$2:$G$2036,1)</f>
        <v>Yellow-rumped Warbler</v>
      </c>
      <c r="E3843" s="3" t="str">
        <f>VLOOKUP(B3843,[1]LifeList!$E$2:$G$2036,2)</f>
        <v>Paruline à croupion jaune</v>
      </c>
      <c r="F3843" s="3" t="str">
        <f>VLOOKUP(B3843,[1]LifeList!$E$2:$G$2036,3)</f>
        <v>Setophaga coronata</v>
      </c>
      <c r="G3843" s="3" t="str">
        <f>VLOOKUP(B3843,[1]LifeList!$E$2:$I$2036,4)</f>
        <v>Passeriformes</v>
      </c>
      <c r="H3843" s="3" t="str">
        <f>VLOOKUP(B3843,[1]LifeList!$E$2:$I$2036,5)</f>
        <v>Parulidae (New World Warblers)</v>
      </c>
    </row>
    <row r="3844" spans="1:8" x14ac:dyDescent="0.15">
      <c r="A3844" s="3" t="s">
        <v>3685</v>
      </c>
      <c r="B3844" s="3" t="s">
        <v>5195</v>
      </c>
      <c r="C3844" s="3">
        <v>34159</v>
      </c>
      <c r="D3844" s="3" t="str">
        <f>VLOOKUP(B3844,[1]LifeList!$E$2:$G$2036,1)</f>
        <v>Yellow-rumped Warbler</v>
      </c>
      <c r="E3844" s="3" t="str">
        <f>VLOOKUP(B3844,[1]LifeList!$E$2:$G$2036,2)</f>
        <v>Paruline à croupion jaune</v>
      </c>
      <c r="F3844" s="3" t="str">
        <f>VLOOKUP(B3844,[1]LifeList!$E$2:$G$2036,3)</f>
        <v>Setophaga coronata</v>
      </c>
      <c r="G3844" s="3" t="str">
        <f>VLOOKUP(B3844,[1]LifeList!$E$2:$I$2036,4)</f>
        <v>Passeriformes</v>
      </c>
      <c r="H3844" s="3" t="str">
        <f>VLOOKUP(B3844,[1]LifeList!$E$2:$I$2036,5)</f>
        <v>Parulidae (New World Warblers)</v>
      </c>
    </row>
    <row r="3845" spans="1:8" x14ac:dyDescent="0.15">
      <c r="A3845" s="3" t="s">
        <v>3686</v>
      </c>
      <c r="B3845" s="3" t="s">
        <v>5195</v>
      </c>
      <c r="C3845" s="3">
        <v>34159</v>
      </c>
      <c r="D3845" s="3" t="str">
        <f>VLOOKUP(B3845,[1]LifeList!$E$2:$G$2036,1)</f>
        <v>Yellow-rumped Warbler</v>
      </c>
      <c r="E3845" s="3" t="str">
        <f>VLOOKUP(B3845,[1]LifeList!$E$2:$G$2036,2)</f>
        <v>Paruline à croupion jaune</v>
      </c>
      <c r="F3845" s="3" t="str">
        <f>VLOOKUP(B3845,[1]LifeList!$E$2:$G$2036,3)</f>
        <v>Setophaga coronata</v>
      </c>
      <c r="G3845" s="3" t="str">
        <f>VLOOKUP(B3845,[1]LifeList!$E$2:$I$2036,4)</f>
        <v>Passeriformes</v>
      </c>
      <c r="H3845" s="3" t="str">
        <f>VLOOKUP(B3845,[1]LifeList!$E$2:$I$2036,5)</f>
        <v>Parulidae (New World Warblers)</v>
      </c>
    </row>
    <row r="3846" spans="1:8" x14ac:dyDescent="0.15">
      <c r="A3846" s="3" t="s">
        <v>3687</v>
      </c>
      <c r="B3846" s="3" t="s">
        <v>5195</v>
      </c>
      <c r="C3846" s="3">
        <v>34159</v>
      </c>
      <c r="D3846" s="3" t="str">
        <f>VLOOKUP(B3846,[1]LifeList!$E$2:$G$2036,1)</f>
        <v>Yellow-rumped Warbler</v>
      </c>
      <c r="E3846" s="3" t="str">
        <f>VLOOKUP(B3846,[1]LifeList!$E$2:$G$2036,2)</f>
        <v>Paruline à croupion jaune</v>
      </c>
      <c r="F3846" s="3" t="str">
        <f>VLOOKUP(B3846,[1]LifeList!$E$2:$G$2036,3)</f>
        <v>Setophaga coronata</v>
      </c>
      <c r="G3846" s="3" t="str">
        <f>VLOOKUP(B3846,[1]LifeList!$E$2:$I$2036,4)</f>
        <v>Passeriformes</v>
      </c>
      <c r="H3846" s="3" t="str">
        <f>VLOOKUP(B3846,[1]LifeList!$E$2:$I$2036,5)</f>
        <v>Parulidae (New World Warblers)</v>
      </c>
    </row>
    <row r="3847" spans="1:8" x14ac:dyDescent="0.15">
      <c r="A3847" s="3" t="s">
        <v>3688</v>
      </c>
      <c r="B3847" s="3" t="s">
        <v>5195</v>
      </c>
      <c r="C3847" s="3">
        <v>34159</v>
      </c>
      <c r="D3847" s="3" t="str">
        <f>VLOOKUP(B3847,[1]LifeList!$E$2:$G$2036,1)</f>
        <v>Yellow-rumped Warbler</v>
      </c>
      <c r="E3847" s="3" t="str">
        <f>VLOOKUP(B3847,[1]LifeList!$E$2:$G$2036,2)</f>
        <v>Paruline à croupion jaune</v>
      </c>
      <c r="F3847" s="3" t="str">
        <f>VLOOKUP(B3847,[1]LifeList!$E$2:$G$2036,3)</f>
        <v>Setophaga coronata</v>
      </c>
      <c r="G3847" s="3" t="str">
        <f>VLOOKUP(B3847,[1]LifeList!$E$2:$I$2036,4)</f>
        <v>Passeriformes</v>
      </c>
      <c r="H3847" s="3" t="str">
        <f>VLOOKUP(B3847,[1]LifeList!$E$2:$I$2036,5)</f>
        <v>Parulidae (New World Warblers)</v>
      </c>
    </row>
    <row r="3848" spans="1:8" x14ac:dyDescent="0.15">
      <c r="A3848" s="3" t="s">
        <v>3689</v>
      </c>
      <c r="B3848" s="3" t="s">
        <v>5195</v>
      </c>
      <c r="C3848" s="3">
        <v>34159</v>
      </c>
      <c r="D3848" s="3" t="str">
        <f>VLOOKUP(B3848,[1]LifeList!$E$2:$G$2036,1)</f>
        <v>Yellow-rumped Warbler</v>
      </c>
      <c r="E3848" s="3" t="str">
        <f>VLOOKUP(B3848,[1]LifeList!$E$2:$G$2036,2)</f>
        <v>Paruline à croupion jaune</v>
      </c>
      <c r="F3848" s="3" t="str">
        <f>VLOOKUP(B3848,[1]LifeList!$E$2:$G$2036,3)</f>
        <v>Setophaga coronata</v>
      </c>
      <c r="G3848" s="3" t="str">
        <f>VLOOKUP(B3848,[1]LifeList!$E$2:$I$2036,4)</f>
        <v>Passeriformes</v>
      </c>
      <c r="H3848" s="3" t="str">
        <f>VLOOKUP(B3848,[1]LifeList!$E$2:$I$2036,5)</f>
        <v>Parulidae (New World Warblers)</v>
      </c>
    </row>
    <row r="3849" spans="1:8" x14ac:dyDescent="0.15">
      <c r="A3849" s="3" t="s">
        <v>3690</v>
      </c>
      <c r="B3849" s="3" t="s">
        <v>5195</v>
      </c>
      <c r="C3849" s="3">
        <v>34159</v>
      </c>
      <c r="D3849" s="3" t="str">
        <f>VLOOKUP(B3849,[1]LifeList!$E$2:$G$2036,1)</f>
        <v>Yellow-rumped Warbler</v>
      </c>
      <c r="E3849" s="3" t="str">
        <f>VLOOKUP(B3849,[1]LifeList!$E$2:$G$2036,2)</f>
        <v>Paruline à croupion jaune</v>
      </c>
      <c r="F3849" s="3" t="str">
        <f>VLOOKUP(B3849,[1]LifeList!$E$2:$G$2036,3)</f>
        <v>Setophaga coronata</v>
      </c>
      <c r="G3849" s="3" t="str">
        <f>VLOOKUP(B3849,[1]LifeList!$E$2:$I$2036,4)</f>
        <v>Passeriformes</v>
      </c>
      <c r="H3849" s="3" t="str">
        <f>VLOOKUP(B3849,[1]LifeList!$E$2:$I$2036,5)</f>
        <v>Parulidae (New World Warblers)</v>
      </c>
    </row>
    <row r="3850" spans="1:8" x14ac:dyDescent="0.15">
      <c r="A3850" s="3" t="s">
        <v>3691</v>
      </c>
      <c r="B3850" s="3" t="s">
        <v>5195</v>
      </c>
      <c r="C3850" s="3">
        <v>34159</v>
      </c>
      <c r="D3850" s="3" t="str">
        <f>VLOOKUP(B3850,[1]LifeList!$E$2:$G$2036,1)</f>
        <v>Yellow-rumped Warbler</v>
      </c>
      <c r="E3850" s="3" t="str">
        <f>VLOOKUP(B3850,[1]LifeList!$E$2:$G$2036,2)</f>
        <v>Paruline à croupion jaune</v>
      </c>
      <c r="F3850" s="3" t="str">
        <f>VLOOKUP(B3850,[1]LifeList!$E$2:$G$2036,3)</f>
        <v>Setophaga coronata</v>
      </c>
      <c r="G3850" s="3" t="str">
        <f>VLOOKUP(B3850,[1]LifeList!$E$2:$I$2036,4)</f>
        <v>Passeriformes</v>
      </c>
      <c r="H3850" s="3" t="str">
        <f>VLOOKUP(B3850,[1]LifeList!$E$2:$I$2036,5)</f>
        <v>Parulidae (New World Warblers)</v>
      </c>
    </row>
    <row r="3851" spans="1:8" x14ac:dyDescent="0.15">
      <c r="A3851" s="3" t="s">
        <v>3692</v>
      </c>
      <c r="B3851" s="3" t="s">
        <v>5195</v>
      </c>
      <c r="C3851" s="3">
        <v>34159</v>
      </c>
      <c r="D3851" s="3" t="str">
        <f>VLOOKUP(B3851,[1]LifeList!$E$2:$G$2036,1)</f>
        <v>Yellow-rumped Warbler</v>
      </c>
      <c r="E3851" s="3" t="str">
        <f>VLOOKUP(B3851,[1]LifeList!$E$2:$G$2036,2)</f>
        <v>Paruline à croupion jaune</v>
      </c>
      <c r="F3851" s="3" t="str">
        <f>VLOOKUP(B3851,[1]LifeList!$E$2:$G$2036,3)</f>
        <v>Setophaga coronata</v>
      </c>
      <c r="G3851" s="3" t="str">
        <f>VLOOKUP(B3851,[1]LifeList!$E$2:$I$2036,4)</f>
        <v>Passeriformes</v>
      </c>
      <c r="H3851" s="3" t="str">
        <f>VLOOKUP(B3851,[1]LifeList!$E$2:$I$2036,5)</f>
        <v>Parulidae (New World Warblers)</v>
      </c>
    </row>
    <row r="3852" spans="1:8" x14ac:dyDescent="0.15">
      <c r="A3852" s="3" t="s">
        <v>3693</v>
      </c>
      <c r="B3852" s="3" t="s">
        <v>5195</v>
      </c>
      <c r="C3852" s="3">
        <v>34159</v>
      </c>
      <c r="D3852" s="3" t="str">
        <f>VLOOKUP(B3852,[1]LifeList!$E$2:$G$2036,1)</f>
        <v>Yellow-rumped Warbler</v>
      </c>
      <c r="E3852" s="3" t="str">
        <f>VLOOKUP(B3852,[1]LifeList!$E$2:$G$2036,2)</f>
        <v>Paruline à croupion jaune</v>
      </c>
      <c r="F3852" s="3" t="str">
        <f>VLOOKUP(B3852,[1]LifeList!$E$2:$G$2036,3)</f>
        <v>Setophaga coronata</v>
      </c>
      <c r="G3852" s="3" t="str">
        <f>VLOOKUP(B3852,[1]LifeList!$E$2:$I$2036,4)</f>
        <v>Passeriformes</v>
      </c>
      <c r="H3852" s="3" t="str">
        <f>VLOOKUP(B3852,[1]LifeList!$E$2:$I$2036,5)</f>
        <v>Parulidae (New World Warblers)</v>
      </c>
    </row>
    <row r="3853" spans="1:8" x14ac:dyDescent="0.15">
      <c r="A3853" s="3" t="s">
        <v>3694</v>
      </c>
      <c r="B3853" s="3" t="s">
        <v>5195</v>
      </c>
      <c r="C3853" s="3">
        <v>34159</v>
      </c>
      <c r="D3853" s="3" t="str">
        <f>VLOOKUP(B3853,[1]LifeList!$E$2:$G$2036,1)</f>
        <v>Yellow-rumped Warbler</v>
      </c>
      <c r="E3853" s="3" t="str">
        <f>VLOOKUP(B3853,[1]LifeList!$E$2:$G$2036,2)</f>
        <v>Paruline à croupion jaune</v>
      </c>
      <c r="F3853" s="3" t="str">
        <f>VLOOKUP(B3853,[1]LifeList!$E$2:$G$2036,3)</f>
        <v>Setophaga coronata</v>
      </c>
      <c r="G3853" s="3" t="str">
        <f>VLOOKUP(B3853,[1]LifeList!$E$2:$I$2036,4)</f>
        <v>Passeriformes</v>
      </c>
      <c r="H3853" s="3" t="str">
        <f>VLOOKUP(B3853,[1]LifeList!$E$2:$I$2036,5)</f>
        <v>Parulidae (New World Warblers)</v>
      </c>
    </row>
    <row r="3854" spans="1:8" x14ac:dyDescent="0.15">
      <c r="A3854" s="3" t="s">
        <v>3681</v>
      </c>
      <c r="B3854" s="3" t="s">
        <v>5195</v>
      </c>
      <c r="C3854" s="3">
        <v>34159</v>
      </c>
      <c r="D3854" s="3" t="str">
        <f>VLOOKUP(B3854,[1]LifeList!$E$2:$G$2036,1)</f>
        <v>Yellow-rumped Warbler</v>
      </c>
      <c r="E3854" s="3" t="str">
        <f>VLOOKUP(B3854,[1]LifeList!$E$2:$G$2036,2)</f>
        <v>Paruline à croupion jaune</v>
      </c>
      <c r="F3854" s="3" t="str">
        <f>VLOOKUP(B3854,[1]LifeList!$E$2:$G$2036,3)</f>
        <v>Setophaga coronata</v>
      </c>
      <c r="G3854" s="3" t="str">
        <f>VLOOKUP(B3854,[1]LifeList!$E$2:$I$2036,4)</f>
        <v>Passeriformes</v>
      </c>
      <c r="H3854" s="3" t="str">
        <f>VLOOKUP(B3854,[1]LifeList!$E$2:$I$2036,5)</f>
        <v>Parulidae (New World Warblers)</v>
      </c>
    </row>
    <row r="3855" spans="1:8" x14ac:dyDescent="0.15">
      <c r="A3855" s="3" t="s">
        <v>3682</v>
      </c>
      <c r="B3855" s="3" t="s">
        <v>5195</v>
      </c>
      <c r="C3855" s="3">
        <v>34159</v>
      </c>
      <c r="D3855" s="3" t="str">
        <f>VLOOKUP(B3855,[1]LifeList!$E$2:$G$2036,1)</f>
        <v>Yellow-rumped Warbler</v>
      </c>
      <c r="E3855" s="3" t="str">
        <f>VLOOKUP(B3855,[1]LifeList!$E$2:$G$2036,2)</f>
        <v>Paruline à croupion jaune</v>
      </c>
      <c r="F3855" s="3" t="str">
        <f>VLOOKUP(B3855,[1]LifeList!$E$2:$G$2036,3)</f>
        <v>Setophaga coronata</v>
      </c>
      <c r="G3855" s="3" t="str">
        <f>VLOOKUP(B3855,[1]LifeList!$E$2:$I$2036,4)</f>
        <v>Passeriformes</v>
      </c>
      <c r="H3855" s="3" t="str">
        <f>VLOOKUP(B3855,[1]LifeList!$E$2:$I$2036,5)</f>
        <v>Parulidae (New World Warblers)</v>
      </c>
    </row>
    <row r="3856" spans="1:8" x14ac:dyDescent="0.15">
      <c r="A3856" s="3" t="s">
        <v>3695</v>
      </c>
      <c r="B3856" s="3" t="s">
        <v>5196</v>
      </c>
      <c r="C3856" s="3">
        <v>12151</v>
      </c>
      <c r="D3856" s="3" t="str">
        <f>VLOOKUP(B3856,[1]LifeList!$E$2:$G$2036,1)</f>
        <v>Yellow-tailed Black-Cockatoo</v>
      </c>
      <c r="E3856" s="3" t="str">
        <f>VLOOKUP(B3856,[1]LifeList!$E$2:$G$2036,2)</f>
        <v>Cacatoès funèbre</v>
      </c>
      <c r="F3856" s="3" t="str">
        <f>VLOOKUP(B3856,[1]LifeList!$E$2:$G$2036,3)</f>
        <v>Zanda funerea</v>
      </c>
      <c r="G3856" s="3" t="str">
        <f>VLOOKUP(B3856,[1]LifeList!$E$2:$I$2036,4)</f>
        <v>Psittaciformes</v>
      </c>
      <c r="H3856" s="3" t="str">
        <f>VLOOKUP(B3856,[1]LifeList!$E$2:$I$2036,5)</f>
        <v>Cacatuidae (Cockatoos)</v>
      </c>
    </row>
    <row r="3857" spans="1:8" x14ac:dyDescent="0.15">
      <c r="A3857" s="3" t="s">
        <v>3696</v>
      </c>
      <c r="B3857" s="3" t="s">
        <v>5196</v>
      </c>
      <c r="C3857" s="3">
        <v>12151</v>
      </c>
      <c r="D3857" s="3" t="str">
        <f>VLOOKUP(B3857,[1]LifeList!$E$2:$G$2036,1)</f>
        <v>Yellow-tailed Black-Cockatoo</v>
      </c>
      <c r="E3857" s="3" t="str">
        <f>VLOOKUP(B3857,[1]LifeList!$E$2:$G$2036,2)</f>
        <v>Cacatoès funèbre</v>
      </c>
      <c r="F3857" s="3" t="str">
        <f>VLOOKUP(B3857,[1]LifeList!$E$2:$G$2036,3)</f>
        <v>Zanda funerea</v>
      </c>
      <c r="G3857" s="3" t="str">
        <f>VLOOKUP(B3857,[1]LifeList!$E$2:$I$2036,4)</f>
        <v>Psittaciformes</v>
      </c>
      <c r="H3857" s="3" t="str">
        <f>VLOOKUP(B3857,[1]LifeList!$E$2:$I$2036,5)</f>
        <v>Cacatuidae (Cockatoos)</v>
      </c>
    </row>
    <row r="3858" spans="1:8" x14ac:dyDescent="0.15">
      <c r="A3858" s="3" t="s">
        <v>3699</v>
      </c>
      <c r="B3858" s="3" t="s">
        <v>5196</v>
      </c>
      <c r="C3858" s="3">
        <v>12151</v>
      </c>
      <c r="D3858" s="3" t="str">
        <f>VLOOKUP(B3858,[1]LifeList!$E$2:$G$2036,1)</f>
        <v>Yellow-tailed Black-Cockatoo</v>
      </c>
      <c r="E3858" s="3" t="str">
        <f>VLOOKUP(B3858,[1]LifeList!$E$2:$G$2036,2)</f>
        <v>Cacatoès funèbre</v>
      </c>
      <c r="F3858" s="3" t="str">
        <f>VLOOKUP(B3858,[1]LifeList!$E$2:$G$2036,3)</f>
        <v>Zanda funerea</v>
      </c>
      <c r="G3858" s="3" t="str">
        <f>VLOOKUP(B3858,[1]LifeList!$E$2:$I$2036,4)</f>
        <v>Psittaciformes</v>
      </c>
      <c r="H3858" s="3" t="str">
        <f>VLOOKUP(B3858,[1]LifeList!$E$2:$I$2036,5)</f>
        <v>Cacatuidae (Cockatoos)</v>
      </c>
    </row>
    <row r="3859" spans="1:8" x14ac:dyDescent="0.15">
      <c r="A3859" s="3" t="s">
        <v>3697</v>
      </c>
      <c r="B3859" s="3" t="s">
        <v>5196</v>
      </c>
      <c r="C3859" s="3">
        <v>12151</v>
      </c>
      <c r="D3859" s="3" t="str">
        <f>VLOOKUP(B3859,[1]LifeList!$E$2:$G$2036,1)</f>
        <v>Yellow-tailed Black-Cockatoo</v>
      </c>
      <c r="E3859" s="3" t="str">
        <f>VLOOKUP(B3859,[1]LifeList!$E$2:$G$2036,2)</f>
        <v>Cacatoès funèbre</v>
      </c>
      <c r="F3859" s="3" t="str">
        <f>VLOOKUP(B3859,[1]LifeList!$E$2:$G$2036,3)</f>
        <v>Zanda funerea</v>
      </c>
      <c r="G3859" s="3" t="str">
        <f>VLOOKUP(B3859,[1]LifeList!$E$2:$I$2036,4)</f>
        <v>Psittaciformes</v>
      </c>
      <c r="H3859" s="3" t="str">
        <f>VLOOKUP(B3859,[1]LifeList!$E$2:$I$2036,5)</f>
        <v>Cacatuidae (Cockatoos)</v>
      </c>
    </row>
    <row r="3860" spans="1:8" x14ac:dyDescent="0.15">
      <c r="A3860" s="3" t="s">
        <v>3698</v>
      </c>
      <c r="B3860" s="3" t="s">
        <v>5196</v>
      </c>
      <c r="C3860" s="3">
        <v>12151</v>
      </c>
      <c r="D3860" s="3" t="str">
        <f>VLOOKUP(B3860,[1]LifeList!$E$2:$G$2036,1)</f>
        <v>Yellow-tailed Black-Cockatoo</v>
      </c>
      <c r="E3860" s="3" t="str">
        <f>VLOOKUP(B3860,[1]LifeList!$E$2:$G$2036,2)</f>
        <v>Cacatoès funèbre</v>
      </c>
      <c r="F3860" s="3" t="str">
        <f>VLOOKUP(B3860,[1]LifeList!$E$2:$G$2036,3)</f>
        <v>Zanda funerea</v>
      </c>
      <c r="G3860" s="3" t="str">
        <f>VLOOKUP(B3860,[1]LifeList!$E$2:$I$2036,4)</f>
        <v>Psittaciformes</v>
      </c>
      <c r="H3860" s="3" t="str">
        <f>VLOOKUP(B3860,[1]LifeList!$E$2:$I$2036,5)</f>
        <v>Cacatuidae (Cockatoos)</v>
      </c>
    </row>
    <row r="3861" spans="1:8" x14ac:dyDescent="0.15">
      <c r="A3861" s="3" t="s">
        <v>3700</v>
      </c>
      <c r="B3861" s="3" t="s">
        <v>5197</v>
      </c>
      <c r="C3861" s="3">
        <v>33700</v>
      </c>
      <c r="D3861" s="3" t="str">
        <f>VLOOKUP(B3861,[1]LifeList!$E$2:$G$2036,1)</f>
        <v>Yellow-tailed Oriole</v>
      </c>
      <c r="E3861" s="3" t="str">
        <f>VLOOKUP(B3861,[1]LifeList!$E$2:$G$2036,2)</f>
        <v>Oriole à queue jaune</v>
      </c>
      <c r="F3861" s="3" t="str">
        <f>VLOOKUP(B3861,[1]LifeList!$E$2:$G$2036,3)</f>
        <v>Icterus mesomelas</v>
      </c>
      <c r="G3861" s="3" t="str">
        <f>VLOOKUP(B3861,[1]LifeList!$E$2:$I$2036,4)</f>
        <v>Passeriformes</v>
      </c>
      <c r="H3861" s="3" t="str">
        <f>VLOOKUP(B3861,[1]LifeList!$E$2:$I$2036,5)</f>
        <v>Icteridae (Troupials and Allies)</v>
      </c>
    </row>
    <row r="3862" spans="1:8" x14ac:dyDescent="0.15">
      <c r="A3862" s="3" t="s">
        <v>3701</v>
      </c>
      <c r="B3862" s="3" t="s">
        <v>5198</v>
      </c>
      <c r="C3862" s="3">
        <v>33446</v>
      </c>
      <c r="D3862" s="3" t="str">
        <f>VLOOKUP(B3862,[1]LifeList!$E$2:$G$2036,1)</f>
        <v>Yellow-thighed Brushfinch</v>
      </c>
      <c r="E3862" s="3" t="str">
        <f>VLOOKUP(B3862,[1]LifeList!$E$2:$G$2036,2)</f>
        <v>Tohi à cuisses jaunes</v>
      </c>
      <c r="F3862" s="3" t="str">
        <f>VLOOKUP(B3862,[1]LifeList!$E$2:$G$2036,3)</f>
        <v>Atlapetes tibialis</v>
      </c>
      <c r="G3862" s="3" t="str">
        <f>VLOOKUP(B3862,[1]LifeList!$E$2:$I$2036,4)</f>
        <v>Passeriformes</v>
      </c>
      <c r="H3862" s="3" t="str">
        <f>VLOOKUP(B3862,[1]LifeList!$E$2:$I$2036,5)</f>
        <v>Passerellidae (New World Sparrows)</v>
      </c>
    </row>
    <row r="3863" spans="1:8" x14ac:dyDescent="0.15">
      <c r="A3863" s="3" t="s">
        <v>3702</v>
      </c>
      <c r="B3863" s="3" t="s">
        <v>5198</v>
      </c>
      <c r="C3863" s="3">
        <v>33446</v>
      </c>
      <c r="D3863" s="3" t="str">
        <f>VLOOKUP(B3863,[1]LifeList!$E$2:$G$2036,1)</f>
        <v>Yellow-thighed Brushfinch</v>
      </c>
      <c r="E3863" s="3" t="str">
        <f>VLOOKUP(B3863,[1]LifeList!$E$2:$G$2036,2)</f>
        <v>Tohi à cuisses jaunes</v>
      </c>
      <c r="F3863" s="3" t="str">
        <f>VLOOKUP(B3863,[1]LifeList!$E$2:$G$2036,3)</f>
        <v>Atlapetes tibialis</v>
      </c>
      <c r="G3863" s="3" t="str">
        <f>VLOOKUP(B3863,[1]LifeList!$E$2:$I$2036,4)</f>
        <v>Passeriformes</v>
      </c>
      <c r="H3863" s="3" t="str">
        <f>VLOOKUP(B3863,[1]LifeList!$E$2:$I$2036,5)</f>
        <v>Passerellidae (New World Sparrows)</v>
      </c>
    </row>
    <row r="3864" spans="1:8" x14ac:dyDescent="0.15">
      <c r="A3864" s="3" t="s">
        <v>3703</v>
      </c>
      <c r="B3864" s="3" t="s">
        <v>5199</v>
      </c>
      <c r="C3864" s="3">
        <v>32847</v>
      </c>
      <c r="D3864" s="3" t="str">
        <f>VLOOKUP(B3864,[1]LifeList!$E$2:$G$2036,1)</f>
        <v>Yellow-throated Chlorospingus</v>
      </c>
      <c r="E3864" s="3" t="str">
        <f>VLOOKUP(B3864,[1]LifeList!$E$2:$G$2036,2)</f>
        <v>Chlorospin à gorge jaune</v>
      </c>
      <c r="F3864" s="3" t="str">
        <f>VLOOKUP(B3864,[1]LifeList!$E$2:$G$2036,3)</f>
        <v>Chlorospingus flavigularis</v>
      </c>
      <c r="G3864" s="3" t="str">
        <f>VLOOKUP(B3864,[1]LifeList!$E$2:$I$2036,4)</f>
        <v>Passeriformes</v>
      </c>
      <c r="H3864" s="3" t="str">
        <f>VLOOKUP(B3864,[1]LifeList!$E$2:$I$2036,5)</f>
        <v>Passerellidae (New World Sparrows)</v>
      </c>
    </row>
    <row r="3865" spans="1:8" x14ac:dyDescent="0.15">
      <c r="A3865" s="3" t="s">
        <v>3704</v>
      </c>
      <c r="B3865" s="3" t="s">
        <v>5200</v>
      </c>
      <c r="C3865" s="3">
        <v>32030</v>
      </c>
      <c r="D3865" s="3" t="str">
        <f>VLOOKUP(B3865,[1]LifeList!$E$2:$G$2036,1)</f>
        <v>Yellow-throated Euphonia</v>
      </c>
      <c r="E3865" s="3" t="str">
        <f>VLOOKUP(B3865,[1]LifeList!$E$2:$G$2036,2)</f>
        <v>Organiste à gorge jaune</v>
      </c>
      <c r="F3865" s="3" t="str">
        <f>VLOOKUP(B3865,[1]LifeList!$E$2:$G$2036,3)</f>
        <v>Euphonia hirundinacea</v>
      </c>
      <c r="G3865" s="3" t="str">
        <f>VLOOKUP(B3865,[1]LifeList!$E$2:$I$2036,4)</f>
        <v>Passeriformes</v>
      </c>
      <c r="H3865" s="3" t="str">
        <f>VLOOKUP(B3865,[1]LifeList!$E$2:$I$2036,5)</f>
        <v>Fringillidae (Finches, Euphonias, and Allies)</v>
      </c>
    </row>
    <row r="3866" spans="1:8" x14ac:dyDescent="0.15">
      <c r="A3866" s="3" t="s">
        <v>3705</v>
      </c>
      <c r="B3866" s="3" t="s">
        <v>5200</v>
      </c>
      <c r="C3866" s="3">
        <v>32030</v>
      </c>
      <c r="D3866" s="3" t="str">
        <f>VLOOKUP(B3866,[1]LifeList!$E$2:$G$2036,1)</f>
        <v>Yellow-throated Euphonia</v>
      </c>
      <c r="E3866" s="3" t="str">
        <f>VLOOKUP(B3866,[1]LifeList!$E$2:$G$2036,2)</f>
        <v>Organiste à gorge jaune</v>
      </c>
      <c r="F3866" s="3" t="str">
        <f>VLOOKUP(B3866,[1]LifeList!$E$2:$G$2036,3)</f>
        <v>Euphonia hirundinacea</v>
      </c>
      <c r="G3866" s="3" t="str">
        <f>VLOOKUP(B3866,[1]LifeList!$E$2:$I$2036,4)</f>
        <v>Passeriformes</v>
      </c>
      <c r="H3866" s="3" t="str">
        <f>VLOOKUP(B3866,[1]LifeList!$E$2:$I$2036,5)</f>
        <v>Fringillidae (Finches, Euphonias, and Allies)</v>
      </c>
    </row>
    <row r="3867" spans="1:8" x14ac:dyDescent="0.15">
      <c r="A3867" s="3" t="s">
        <v>3706</v>
      </c>
      <c r="B3867" s="3" t="s">
        <v>5200</v>
      </c>
      <c r="C3867" s="3">
        <v>32030</v>
      </c>
      <c r="D3867" s="3" t="str">
        <f>VLOOKUP(B3867,[1]LifeList!$E$2:$G$2036,1)</f>
        <v>Yellow-throated Euphonia</v>
      </c>
      <c r="E3867" s="3" t="str">
        <f>VLOOKUP(B3867,[1]LifeList!$E$2:$G$2036,2)</f>
        <v>Organiste à gorge jaune</v>
      </c>
      <c r="F3867" s="3" t="str">
        <f>VLOOKUP(B3867,[1]LifeList!$E$2:$G$2036,3)</f>
        <v>Euphonia hirundinacea</v>
      </c>
      <c r="G3867" s="3" t="str">
        <f>VLOOKUP(B3867,[1]LifeList!$E$2:$I$2036,4)</f>
        <v>Passeriformes</v>
      </c>
      <c r="H3867" s="3" t="str">
        <f>VLOOKUP(B3867,[1]LifeList!$E$2:$I$2036,5)</f>
        <v>Fringillidae (Finches, Euphonias, and Allies)</v>
      </c>
    </row>
    <row r="3868" spans="1:8" x14ac:dyDescent="0.15">
      <c r="A3868" s="3" t="s">
        <v>3707</v>
      </c>
      <c r="B3868" s="3" t="s">
        <v>5201</v>
      </c>
      <c r="C3868" s="3">
        <v>31935</v>
      </c>
      <c r="D3868" s="3" t="str">
        <f>VLOOKUP(B3868,[1]LifeList!$E$2:$G$2036,1)</f>
        <v>Yellow-throated Longclaw</v>
      </c>
      <c r="E3868" s="3" t="str">
        <f>VLOOKUP(B3868,[1]LifeList!$E$2:$G$2036,2)</f>
        <v>Sentinelle à gorge jaune</v>
      </c>
      <c r="F3868" s="3" t="str">
        <f>VLOOKUP(B3868,[1]LifeList!$E$2:$G$2036,3)</f>
        <v>Macronyx croceus</v>
      </c>
      <c r="G3868" s="3" t="str">
        <f>VLOOKUP(B3868,[1]LifeList!$E$2:$I$2036,4)</f>
        <v>Passeriformes</v>
      </c>
      <c r="H3868" s="3" t="str">
        <f>VLOOKUP(B3868,[1]LifeList!$E$2:$I$2036,5)</f>
        <v>Motacillidae (Wagtails and Pipits)</v>
      </c>
    </row>
    <row r="3869" spans="1:8" x14ac:dyDescent="0.15">
      <c r="A3869" s="3" t="s">
        <v>3708</v>
      </c>
      <c r="B3869" s="3" t="s">
        <v>5202</v>
      </c>
      <c r="C3869" s="3">
        <v>10926</v>
      </c>
      <c r="D3869" s="3" t="str">
        <f>VLOOKUP(B3869,[1]LifeList!$E$2:$G$2036,1)</f>
        <v>Yellow-throated Toucan</v>
      </c>
      <c r="E3869" s="3" t="str">
        <f>VLOOKUP(B3869,[1]LifeList!$E$2:$G$2036,2)</f>
        <v>Toucan tocard</v>
      </c>
      <c r="F3869" s="3" t="str">
        <f>VLOOKUP(B3869,[1]LifeList!$E$2:$G$2036,3)</f>
        <v>Ramphastos ambiguus</v>
      </c>
      <c r="G3869" s="3" t="str">
        <f>VLOOKUP(B3869,[1]LifeList!$E$2:$I$2036,4)</f>
        <v>Piciformes</v>
      </c>
      <c r="H3869" s="3" t="str">
        <f>VLOOKUP(B3869,[1]LifeList!$E$2:$I$2036,5)</f>
        <v>Ramphastidae (Toucans)</v>
      </c>
    </row>
    <row r="3870" spans="1:8" x14ac:dyDescent="0.15">
      <c r="A3870" s="3" t="s">
        <v>3709</v>
      </c>
      <c r="B3870" s="3" t="s">
        <v>5202</v>
      </c>
      <c r="C3870" s="3">
        <v>10926</v>
      </c>
      <c r="D3870" s="3" t="str">
        <f>VLOOKUP(B3870,[1]LifeList!$E$2:$G$2036,1)</f>
        <v>Yellow-throated Toucan</v>
      </c>
      <c r="E3870" s="3" t="str">
        <f>VLOOKUP(B3870,[1]LifeList!$E$2:$G$2036,2)</f>
        <v>Toucan tocard</v>
      </c>
      <c r="F3870" s="3" t="str">
        <f>VLOOKUP(B3870,[1]LifeList!$E$2:$G$2036,3)</f>
        <v>Ramphastos ambiguus</v>
      </c>
      <c r="G3870" s="3" t="str">
        <f>VLOOKUP(B3870,[1]LifeList!$E$2:$I$2036,4)</f>
        <v>Piciformes</v>
      </c>
      <c r="H3870" s="3" t="str">
        <f>VLOOKUP(B3870,[1]LifeList!$E$2:$I$2036,5)</f>
        <v>Ramphastidae (Toucans)</v>
      </c>
    </row>
    <row r="3871" spans="1:8" x14ac:dyDescent="0.15">
      <c r="A3871" s="3" t="s">
        <v>3710</v>
      </c>
      <c r="B3871" s="3" t="s">
        <v>5202</v>
      </c>
      <c r="C3871" s="3">
        <v>10926</v>
      </c>
      <c r="D3871" s="3" t="str">
        <f>VLOOKUP(B3871,[1]LifeList!$E$2:$G$2036,1)</f>
        <v>Yellow-throated Toucan</v>
      </c>
      <c r="E3871" s="3" t="str">
        <f>VLOOKUP(B3871,[1]LifeList!$E$2:$G$2036,2)</f>
        <v>Toucan tocard</v>
      </c>
      <c r="F3871" s="3" t="str">
        <f>VLOOKUP(B3871,[1]LifeList!$E$2:$G$2036,3)</f>
        <v>Ramphastos ambiguus</v>
      </c>
      <c r="G3871" s="3" t="str">
        <f>VLOOKUP(B3871,[1]LifeList!$E$2:$I$2036,4)</f>
        <v>Piciformes</v>
      </c>
      <c r="H3871" s="3" t="str">
        <f>VLOOKUP(B3871,[1]LifeList!$E$2:$I$2036,5)</f>
        <v>Ramphastidae (Toucans)</v>
      </c>
    </row>
    <row r="3872" spans="1:8" x14ac:dyDescent="0.15">
      <c r="A3872" s="3" t="s">
        <v>3711</v>
      </c>
      <c r="B3872" s="3" t="s">
        <v>5203</v>
      </c>
      <c r="C3872" s="3">
        <v>19220</v>
      </c>
      <c r="D3872" s="3" t="str">
        <f>VLOOKUP(B3872,[1]LifeList!$E$2:$G$2036,1)</f>
        <v>Yellow-throated Vireo</v>
      </c>
      <c r="E3872" s="3" t="str">
        <f>VLOOKUP(B3872,[1]LifeList!$E$2:$G$2036,2)</f>
        <v>Viréo à gorge jaune</v>
      </c>
      <c r="F3872" s="3" t="str">
        <f>VLOOKUP(B3872,[1]LifeList!$E$2:$G$2036,3)</f>
        <v>Vireo flavifrons</v>
      </c>
      <c r="G3872" s="3" t="str">
        <f>VLOOKUP(B3872,[1]LifeList!$E$2:$I$2036,4)</f>
        <v>Passeriformes</v>
      </c>
      <c r="H3872" s="3" t="str">
        <f>VLOOKUP(B3872,[1]LifeList!$E$2:$I$2036,5)</f>
        <v>Vireonidae (Vireos, Shrike-Babblers, and Erpornis)</v>
      </c>
    </row>
    <row r="3873" spans="1:9" x14ac:dyDescent="0.15">
      <c r="A3873" s="3" t="s">
        <v>3712</v>
      </c>
      <c r="B3873" s="3" t="s">
        <v>5203</v>
      </c>
      <c r="C3873" s="3">
        <v>19220</v>
      </c>
      <c r="D3873" s="3" t="str">
        <f>VLOOKUP(B3873,[1]LifeList!$E$2:$G$2036,1)</f>
        <v>Yellow-throated Vireo</v>
      </c>
      <c r="E3873" s="3" t="str">
        <f>VLOOKUP(B3873,[1]LifeList!$E$2:$G$2036,2)</f>
        <v>Viréo à gorge jaune</v>
      </c>
      <c r="F3873" s="3" t="str">
        <f>VLOOKUP(B3873,[1]LifeList!$E$2:$G$2036,3)</f>
        <v>Vireo flavifrons</v>
      </c>
      <c r="G3873" s="3" t="str">
        <f>VLOOKUP(B3873,[1]LifeList!$E$2:$I$2036,4)</f>
        <v>Passeriformes</v>
      </c>
      <c r="H3873" s="3" t="str">
        <f>VLOOKUP(B3873,[1]LifeList!$E$2:$I$2036,5)</f>
        <v>Vireonidae (Vireos, Shrike-Babblers, and Erpornis)</v>
      </c>
    </row>
    <row r="3874" spans="1:9" x14ac:dyDescent="0.15">
      <c r="A3874" s="3" t="s">
        <v>3713</v>
      </c>
      <c r="B3874" s="3" t="s">
        <v>5203</v>
      </c>
      <c r="C3874" s="3">
        <v>19220</v>
      </c>
      <c r="D3874" s="3" t="str">
        <f>VLOOKUP(B3874,[1]LifeList!$E$2:$G$2036,1)</f>
        <v>Yellow-throated Vireo</v>
      </c>
      <c r="E3874" s="3" t="str">
        <f>VLOOKUP(B3874,[1]LifeList!$E$2:$G$2036,2)</f>
        <v>Viréo à gorge jaune</v>
      </c>
      <c r="F3874" s="3" t="str">
        <f>VLOOKUP(B3874,[1]LifeList!$E$2:$G$2036,3)</f>
        <v>Vireo flavifrons</v>
      </c>
      <c r="G3874" s="3" t="str">
        <f>VLOOKUP(B3874,[1]LifeList!$E$2:$I$2036,4)</f>
        <v>Passeriformes</v>
      </c>
      <c r="H3874" s="3" t="str">
        <f>VLOOKUP(B3874,[1]LifeList!$E$2:$I$2036,5)</f>
        <v>Vireonidae (Vireos, Shrike-Babblers, and Erpornis)</v>
      </c>
    </row>
    <row r="3875" spans="1:9" x14ac:dyDescent="0.15">
      <c r="A3875" s="3" t="s">
        <v>3714</v>
      </c>
      <c r="B3875" s="3" t="s">
        <v>5203</v>
      </c>
      <c r="C3875" s="3">
        <v>19220</v>
      </c>
      <c r="D3875" s="3" t="str">
        <f>VLOOKUP(B3875,[1]LifeList!$E$2:$G$2036,1)</f>
        <v>Yellow-throated Vireo</v>
      </c>
      <c r="E3875" s="3" t="str">
        <f>VLOOKUP(B3875,[1]LifeList!$E$2:$G$2036,2)</f>
        <v>Viréo à gorge jaune</v>
      </c>
      <c r="F3875" s="3" t="str">
        <f>VLOOKUP(B3875,[1]LifeList!$E$2:$G$2036,3)</f>
        <v>Vireo flavifrons</v>
      </c>
      <c r="G3875" s="3" t="str">
        <f>VLOOKUP(B3875,[1]LifeList!$E$2:$I$2036,4)</f>
        <v>Passeriformes</v>
      </c>
      <c r="H3875" s="3" t="str">
        <f>VLOOKUP(B3875,[1]LifeList!$E$2:$I$2036,5)</f>
        <v>Vireonidae (Vireos, Shrike-Babblers, and Erpornis)</v>
      </c>
    </row>
    <row r="3876" spans="1:9" x14ac:dyDescent="0.15">
      <c r="A3876" s="3" t="s">
        <v>3715</v>
      </c>
      <c r="B3876" s="3" t="s">
        <v>5203</v>
      </c>
      <c r="C3876" s="3">
        <v>19220</v>
      </c>
      <c r="D3876" s="3" t="str">
        <f>VLOOKUP(B3876,[1]LifeList!$E$2:$G$2036,1)</f>
        <v>Yellow-throated Vireo</v>
      </c>
      <c r="E3876" s="3" t="str">
        <f>VLOOKUP(B3876,[1]LifeList!$E$2:$G$2036,2)</f>
        <v>Viréo à gorge jaune</v>
      </c>
      <c r="F3876" s="3" t="str">
        <f>VLOOKUP(B3876,[1]LifeList!$E$2:$G$2036,3)</f>
        <v>Vireo flavifrons</v>
      </c>
      <c r="G3876" s="3" t="str">
        <f>VLOOKUP(B3876,[1]LifeList!$E$2:$I$2036,4)</f>
        <v>Passeriformes</v>
      </c>
      <c r="H3876" s="3" t="str">
        <f>VLOOKUP(B3876,[1]LifeList!$E$2:$I$2036,5)</f>
        <v>Vireonidae (Vireos, Shrike-Babblers, and Erpornis)</v>
      </c>
    </row>
    <row r="3877" spans="1:9" x14ac:dyDescent="0.15">
      <c r="A3877" s="3" t="s">
        <v>3716</v>
      </c>
      <c r="B3877" s="3" t="s">
        <v>5203</v>
      </c>
      <c r="C3877" s="3">
        <v>19220</v>
      </c>
      <c r="D3877" s="3" t="str">
        <f>VLOOKUP(B3877,[1]LifeList!$E$2:$G$2036,1)</f>
        <v>Yellow-throated Vireo</v>
      </c>
      <c r="E3877" s="3" t="str">
        <f>VLOOKUP(B3877,[1]LifeList!$E$2:$G$2036,2)</f>
        <v>Viréo à gorge jaune</v>
      </c>
      <c r="F3877" s="3" t="str">
        <f>VLOOKUP(B3877,[1]LifeList!$E$2:$G$2036,3)</f>
        <v>Vireo flavifrons</v>
      </c>
      <c r="G3877" s="3" t="str">
        <f>VLOOKUP(B3877,[1]LifeList!$E$2:$I$2036,4)</f>
        <v>Passeriformes</v>
      </c>
      <c r="H3877" s="3" t="str">
        <f>VLOOKUP(B3877,[1]LifeList!$E$2:$I$2036,5)</f>
        <v>Vireonidae (Vireos, Shrike-Babblers, and Erpornis)</v>
      </c>
    </row>
    <row r="3878" spans="1:9" x14ac:dyDescent="0.15">
      <c r="A3878" s="3" t="s">
        <v>3717</v>
      </c>
      <c r="B3878" s="3" t="s">
        <v>5204</v>
      </c>
      <c r="C3878" s="3">
        <v>34171</v>
      </c>
      <c r="D3878" s="3" t="str">
        <f>VLOOKUP(B3878,[1]LifeList!$E$2:$G$2036,1)</f>
        <v>Yellow-throated Warbler</v>
      </c>
      <c r="E3878" s="3" t="str">
        <f>VLOOKUP(B3878,[1]LifeList!$E$2:$G$2036,2)</f>
        <v>Paruline à gorge jaune</v>
      </c>
      <c r="F3878" s="3" t="str">
        <f>VLOOKUP(B3878,[1]LifeList!$E$2:$G$2036,3)</f>
        <v>Setophaga dominica</v>
      </c>
      <c r="G3878" s="3" t="str">
        <f>VLOOKUP(B3878,[1]LifeList!$E$2:$I$2036,4)</f>
        <v>Passeriformes</v>
      </c>
      <c r="H3878" s="3" t="str">
        <f>VLOOKUP(B3878,[1]LifeList!$E$2:$I$2036,5)</f>
        <v>Parulidae (New World Warblers)</v>
      </c>
    </row>
    <row r="3879" spans="1:9" x14ac:dyDescent="0.15">
      <c r="A3879" s="3" t="s">
        <v>3718</v>
      </c>
      <c r="B3879" s="3" t="s">
        <v>5204</v>
      </c>
      <c r="C3879" s="3">
        <v>34171</v>
      </c>
      <c r="D3879" s="3" t="str">
        <f>VLOOKUP(B3879,[1]LifeList!$E$2:$G$2036,1)</f>
        <v>Yellow-throated Warbler</v>
      </c>
      <c r="E3879" s="3" t="str">
        <f>VLOOKUP(B3879,[1]LifeList!$E$2:$G$2036,2)</f>
        <v>Paruline à gorge jaune</v>
      </c>
      <c r="F3879" s="3" t="str">
        <f>VLOOKUP(B3879,[1]LifeList!$E$2:$G$2036,3)</f>
        <v>Setophaga dominica</v>
      </c>
      <c r="G3879" s="3" t="str">
        <f>VLOOKUP(B3879,[1]LifeList!$E$2:$I$2036,4)</f>
        <v>Passeriformes</v>
      </c>
      <c r="H3879" s="3" t="str">
        <f>VLOOKUP(B3879,[1]LifeList!$E$2:$I$2036,5)</f>
        <v>Parulidae (New World Warblers)</v>
      </c>
    </row>
    <row r="3880" spans="1:9" x14ac:dyDescent="0.15">
      <c r="A3880" s="3" t="s">
        <v>3719</v>
      </c>
      <c r="B3880" s="3" t="s">
        <v>5204</v>
      </c>
      <c r="C3880" s="3">
        <v>34171</v>
      </c>
      <c r="D3880" s="3" t="str">
        <f>VLOOKUP(B3880,[1]LifeList!$E$2:$G$2036,1)</f>
        <v>Yellow-throated Warbler</v>
      </c>
      <c r="E3880" s="3" t="str">
        <f>VLOOKUP(B3880,[1]LifeList!$E$2:$G$2036,2)</f>
        <v>Paruline à gorge jaune</v>
      </c>
      <c r="F3880" s="3" t="str">
        <f>VLOOKUP(B3880,[1]LifeList!$E$2:$G$2036,3)</f>
        <v>Setophaga dominica</v>
      </c>
      <c r="G3880" s="3" t="str">
        <f>VLOOKUP(B3880,[1]LifeList!$E$2:$I$2036,4)</f>
        <v>Passeriformes</v>
      </c>
      <c r="H3880" s="3" t="str">
        <f>VLOOKUP(B3880,[1]LifeList!$E$2:$I$2036,5)</f>
        <v>Parulidae (New World Warblers)</v>
      </c>
      <c r="I3880" s="2"/>
    </row>
    <row r="3881" spans="1:9" x14ac:dyDescent="0.15">
      <c r="A3881" s="3" t="s">
        <v>3720</v>
      </c>
      <c r="B3881" s="3" t="s">
        <v>5204</v>
      </c>
      <c r="C3881" s="3">
        <v>34171</v>
      </c>
      <c r="D3881" s="3" t="str">
        <f>VLOOKUP(B3881,[1]LifeList!$E$2:$G$2036,1)</f>
        <v>Yellow-throated Warbler</v>
      </c>
      <c r="E3881" s="3" t="str">
        <f>VLOOKUP(B3881,[1]LifeList!$E$2:$G$2036,2)</f>
        <v>Paruline à gorge jaune</v>
      </c>
      <c r="F3881" s="3" t="str">
        <f>VLOOKUP(B3881,[1]LifeList!$E$2:$G$2036,3)</f>
        <v>Setophaga dominica</v>
      </c>
      <c r="G3881" s="3" t="str">
        <f>VLOOKUP(B3881,[1]LifeList!$E$2:$I$2036,4)</f>
        <v>Passeriformes</v>
      </c>
      <c r="H3881" s="3" t="str">
        <f>VLOOKUP(B3881,[1]LifeList!$E$2:$I$2036,5)</f>
        <v>Parulidae (New World Warblers)</v>
      </c>
    </row>
    <row r="3882" spans="1:9" x14ac:dyDescent="0.15">
      <c r="A3882" s="3" t="s">
        <v>3728</v>
      </c>
      <c r="B3882" s="3" t="s">
        <v>5205</v>
      </c>
      <c r="C3882" s="3">
        <v>16984</v>
      </c>
      <c r="D3882" s="3" t="str">
        <f>VLOOKUP(B3882,[1]LifeList!$E$2:$G$2036,1)</f>
        <v>Yellowish Flycatcher</v>
      </c>
      <c r="E3882" s="3" t="str">
        <f>VLOOKUP(B3882,[1]LifeList!$E$2:$G$2036,2)</f>
        <v>Moucherolle jaunâtre</v>
      </c>
      <c r="F3882" s="3" t="str">
        <f>VLOOKUP(B3882,[1]LifeList!$E$2:$G$2036,3)</f>
        <v>Empidonax flavescens</v>
      </c>
      <c r="G3882" s="3" t="str">
        <f>VLOOKUP(B3882,[1]LifeList!$E$2:$I$2036,4)</f>
        <v>Passeriformes</v>
      </c>
      <c r="H3882" s="3" t="str">
        <f>VLOOKUP(B3882,[1]LifeList!$E$2:$I$2036,5)</f>
        <v>Tyrannidae (Tyrant Flycatchers)</v>
      </c>
    </row>
    <row r="3883" spans="1:9" x14ac:dyDescent="0.15">
      <c r="A3883" s="3" t="s">
        <v>3729</v>
      </c>
      <c r="B3883" s="3" t="s">
        <v>5205</v>
      </c>
      <c r="C3883" s="3">
        <v>16984</v>
      </c>
      <c r="D3883" s="3" t="str">
        <f>VLOOKUP(B3883,[1]LifeList!$E$2:$G$2036,1)</f>
        <v>Yellowish Flycatcher</v>
      </c>
      <c r="E3883" s="3" t="str">
        <f>VLOOKUP(B3883,[1]LifeList!$E$2:$G$2036,2)</f>
        <v>Moucherolle jaunâtre</v>
      </c>
      <c r="F3883" s="3" t="str">
        <f>VLOOKUP(B3883,[1]LifeList!$E$2:$G$2036,3)</f>
        <v>Empidonax flavescens</v>
      </c>
      <c r="G3883" s="3" t="str">
        <f>VLOOKUP(B3883,[1]LifeList!$E$2:$I$2036,4)</f>
        <v>Passeriformes</v>
      </c>
      <c r="H3883" s="3" t="str">
        <f>VLOOKUP(B3883,[1]LifeList!$E$2:$I$2036,5)</f>
        <v>Tyrannidae (Tyrant Flycatchers)</v>
      </c>
    </row>
    <row r="3884" spans="1:9" x14ac:dyDescent="0.15">
      <c r="A3884" s="3" t="s">
        <v>3730</v>
      </c>
      <c r="B3884" s="3" t="s">
        <v>5205</v>
      </c>
      <c r="C3884" s="3">
        <v>16984</v>
      </c>
      <c r="D3884" s="3" t="str">
        <f>VLOOKUP(B3884,[1]LifeList!$E$2:$G$2036,1)</f>
        <v>Yellowish Flycatcher</v>
      </c>
      <c r="E3884" s="3" t="str">
        <f>VLOOKUP(B3884,[1]LifeList!$E$2:$G$2036,2)</f>
        <v>Moucherolle jaunâtre</v>
      </c>
      <c r="F3884" s="3" t="str">
        <f>VLOOKUP(B3884,[1]LifeList!$E$2:$G$2036,3)</f>
        <v>Empidonax flavescens</v>
      </c>
      <c r="G3884" s="3" t="str">
        <f>VLOOKUP(B3884,[1]LifeList!$E$2:$I$2036,4)</f>
        <v>Passeriformes</v>
      </c>
      <c r="H3884" s="3" t="str">
        <f>VLOOKUP(B3884,[1]LifeList!$E$2:$I$2036,5)</f>
        <v>Tyrannidae (Tyrant Flycatchers)</v>
      </c>
    </row>
    <row r="3885" spans="1:9" x14ac:dyDescent="0.15">
      <c r="A3885" s="3" t="s">
        <v>3731</v>
      </c>
      <c r="B3885" s="3" t="s">
        <v>5206</v>
      </c>
      <c r="C3885" s="3">
        <v>2232</v>
      </c>
      <c r="D3885" s="3" t="str">
        <f>VLOOKUP(B3885,[1]LifeList!$E$2:$G$2036,1)</f>
        <v>Zebra Dove</v>
      </c>
      <c r="E3885" s="3" t="str">
        <f>VLOOKUP(B3885,[1]LifeList!$E$2:$G$2036,2)</f>
        <v>Géopélie zébrée</v>
      </c>
      <c r="F3885" s="3" t="str">
        <f>VLOOKUP(B3885,[1]LifeList!$E$2:$G$2036,3)</f>
        <v>Geopelia striata</v>
      </c>
      <c r="G3885" s="3" t="str">
        <f>VLOOKUP(B3885,[1]LifeList!$E$2:$I$2036,4)</f>
        <v>Columbiformes</v>
      </c>
      <c r="H3885" s="3" t="str">
        <f>VLOOKUP(B3885,[1]LifeList!$E$2:$I$2036,5)</f>
        <v>Columbidae (Pigeons and Doves)</v>
      </c>
    </row>
    <row r="3886" spans="1:9" x14ac:dyDescent="0.15">
      <c r="A3886" s="3" t="s">
        <v>3954</v>
      </c>
      <c r="B3886" s="3" t="s">
        <v>5256</v>
      </c>
      <c r="C3886" s="3">
        <v>14055</v>
      </c>
      <c r="D3886" s="3" t="str">
        <f>VLOOKUP(B3886,[1]LifeList!$E$2:$G$2036,1)</f>
        <v>Zeledon's Antbird</v>
      </c>
      <c r="E3886" s="3" t="str">
        <f>VLOOKUP(B3886,[1]LifeList!$E$2:$G$2036,2)</f>
        <v>Alapi de Zeledon</v>
      </c>
      <c r="F3886" s="3" t="str">
        <f>VLOOKUP(B3886,[1]LifeList!$E$2:$G$2036,3)</f>
        <v>Hafferia zeledoni</v>
      </c>
      <c r="G3886" s="3" t="str">
        <f>VLOOKUP(B3886,[1]LifeList!$E$2:$I$2036,4)</f>
        <v>Passeriformes</v>
      </c>
      <c r="H3886" s="3" t="str">
        <f>VLOOKUP(B3886,[1]LifeList!$E$2:$I$2036,5)</f>
        <v>Thamnophilidae (Typical Antbirds)</v>
      </c>
    </row>
  </sheetData>
  <sortState xmlns:xlrd2="http://schemas.microsoft.com/office/spreadsheetml/2017/richdata2" ref="A2:H3886">
    <sortCondition ref="A2:A38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BirdPhotos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Marie-France Tourigny-Rivard</dc:creator>
  <cp:lastModifiedBy>Marie-France Tourigny-Rivard</cp:lastModifiedBy>
  <dcterms:created xsi:type="dcterms:W3CDTF">2026-04-10T01:52:30Z</dcterms:created>
  <dcterms:modified xsi:type="dcterms:W3CDTF">2026-04-20T21:55:47Z</dcterms:modified>
</cp:coreProperties>
</file>